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135" windowWidth="20160" windowHeight="7995" firstSheet="3" activeTab="10"/>
  </bookViews>
  <sheets>
    <sheet name="Cover" sheetId="3" r:id="rId1"/>
    <sheet name="EchoData" sheetId="1" r:id="rId2"/>
    <sheet name="Forces+Stresses" sheetId="4" r:id="rId3"/>
    <sheet name="Displacements" sheetId="5" r:id="rId4"/>
    <sheet name="Springs" sheetId="6" r:id="rId5"/>
    <sheet name="Flexjoints" sheetId="7" r:id="rId6"/>
    <sheet name="Stress_Breakdown" sheetId="9" r:id="rId7"/>
    <sheet name="Warnings" sheetId="16" r:id="rId8"/>
    <sheet name="Labels" sheetId="17" r:id="rId9"/>
    <sheet name="Summary" sheetId="24" r:id="rId10"/>
    <sheet name="Plot Data" sheetId="25" r:id="rId11"/>
    <sheet name="Summary Chart" sheetId="26" r:id="rId12"/>
  </sheets>
  <functionGroups builtInGroupCount="17"/>
  <definedNames>
    <definedName name="_xlnm._FilterDatabase" localSheetId="9" hidden="1">Summary!$A$6:$W$6</definedName>
    <definedName name="Data_Start" localSheetId="10">'Plot Data'!$I$10</definedName>
    <definedName name="First_Element" localSheetId="9">Summary!$A$7</definedName>
    <definedName name="Last_Row" localSheetId="10">'Plot Data'!$I$4</definedName>
    <definedName name="Line_Label" localSheetId="9">Summary!$P$4</definedName>
    <definedName name="Plot_Label" localSheetId="10">'Plot Data'!$I$7</definedName>
    <definedName name="Start_Node_Base_Elev" localSheetId="9">Summary!$D$5</definedName>
    <definedName name="Teff_Max" localSheetId="9">Summary!$M$5</definedName>
    <definedName name="Total_Elements" localSheetId="9">Summary!$C$3</definedName>
    <definedName name="Total_Labels" localSheetId="10">'Plot Data'!$I$3</definedName>
  </definedNames>
  <calcPr calcId="145621"/>
</workbook>
</file>

<file path=xl/calcChain.xml><?xml version="1.0" encoding="utf-8"?>
<calcChain xmlns="http://schemas.openxmlformats.org/spreadsheetml/2006/main">
  <c r="B2" i="25" l="1" a="1"/>
  <c r="B2" i="25" s="1"/>
  <c r="C2" i="25" a="1"/>
  <c r="C2" i="25" s="1"/>
  <c r="B3" i="25" l="1" a="1"/>
  <c r="B3" i="25" s="1"/>
  <c r="B4" i="25" s="1" a="1"/>
  <c r="B4" i="25" s="1"/>
  <c r="C3" i="25" a="1"/>
  <c r="C3" i="25" s="1"/>
  <c r="C4" i="25" a="1"/>
  <c r="C4" i="25" s="1"/>
  <c r="C5" i="25" s="1" a="1"/>
  <c r="C5" i="25" s="1"/>
  <c r="S164" i="24"/>
  <c r="W164" i="24"/>
  <c r="P203" i="24"/>
  <c r="S240" i="24"/>
  <c r="W240" i="24"/>
  <c r="P280" i="24"/>
  <c r="R280" i="24"/>
  <c r="R294" i="24"/>
  <c r="T294" i="24"/>
  <c r="R322" i="24"/>
  <c r="V322" i="24"/>
  <c r="R340" i="24"/>
  <c r="S346" i="24"/>
  <c r="V346" i="24"/>
  <c r="R362" i="24"/>
  <c r="S362" i="24"/>
  <c r="X366" i="24"/>
  <c r="R379" i="24"/>
  <c r="S379" i="24"/>
  <c r="W382" i="24"/>
  <c r="X382" i="24"/>
  <c r="S386" i="24"/>
  <c r="T386" i="24"/>
  <c r="P390" i="24"/>
  <c r="T393" i="24"/>
  <c r="U393" i="24"/>
  <c r="W407" i="24"/>
  <c r="W414" i="24"/>
  <c r="X414" i="24"/>
  <c r="S418" i="24"/>
  <c r="T418" i="24"/>
  <c r="X421" i="24"/>
  <c r="P422" i="24"/>
  <c r="R436" i="24"/>
  <c r="X442" i="24"/>
  <c r="P443" i="24"/>
  <c r="V447" i="24"/>
  <c r="W447" i="24"/>
  <c r="P450" i="24"/>
  <c r="Q450" i="24"/>
  <c r="U452" i="24"/>
  <c r="W454" i="24"/>
  <c r="X454" i="24"/>
  <c r="Q457" i="24"/>
  <c r="R457" i="24"/>
  <c r="P462" i="24"/>
  <c r="U466" i="24"/>
  <c r="W466" i="24"/>
  <c r="R470" i="24"/>
  <c r="S470" i="24"/>
  <c r="X473" i="24"/>
  <c r="T477" i="24"/>
  <c r="P481" i="24"/>
  <c r="U491" i="24"/>
  <c r="V491" i="24"/>
  <c r="Q495" i="24"/>
  <c r="R495" i="24"/>
  <c r="V498" i="24"/>
  <c r="W498" i="24"/>
  <c r="R502" i="24"/>
  <c r="S502" i="24"/>
  <c r="X505" i="24"/>
  <c r="T509" i="24"/>
  <c r="P513" i="24"/>
  <c r="U523" i="24"/>
  <c r="V523" i="24"/>
  <c r="R527" i="24"/>
  <c r="V530" i="24"/>
  <c r="W530" i="24"/>
  <c r="R534" i="24"/>
  <c r="S534" i="24"/>
  <c r="X537" i="24"/>
  <c r="T541" i="24"/>
  <c r="P545" i="24"/>
  <c r="V555" i="24"/>
  <c r="R559" i="24"/>
  <c r="V562" i="24"/>
  <c r="W562" i="24"/>
  <c r="R566" i="24"/>
  <c r="S566" i="24"/>
  <c r="X569" i="24"/>
  <c r="T573" i="24"/>
  <c r="X576" i="24"/>
  <c r="P577" i="24"/>
  <c r="T580" i="24"/>
  <c r="U580" i="24"/>
  <c r="P584" i="24"/>
  <c r="Q584" i="24"/>
  <c r="V587" i="24"/>
  <c r="R591" i="24"/>
  <c r="A7" i="24"/>
  <c r="B7" i="24" s="1"/>
  <c r="E7" i="24" s="1"/>
  <c r="M7" i="24"/>
  <c r="N7" i="24"/>
  <c r="A8" i="24"/>
  <c r="B8" i="24"/>
  <c r="C8" i="24"/>
  <c r="F8" i="24"/>
  <c r="L8" i="24"/>
  <c r="M8" i="24"/>
  <c r="N8" i="24"/>
  <c r="O8" i="24"/>
  <c r="A9" i="24"/>
  <c r="B9" i="24" s="1"/>
  <c r="C9" i="24"/>
  <c r="I9" i="24" s="1"/>
  <c r="G9" i="24"/>
  <c r="H9" i="24"/>
  <c r="L9" i="24"/>
  <c r="M9" i="24"/>
  <c r="N9" i="24"/>
  <c r="O9" i="24"/>
  <c r="A10" i="24"/>
  <c r="L10" i="24"/>
  <c r="M10" i="24"/>
  <c r="A11" i="24"/>
  <c r="B11" i="24" s="1"/>
  <c r="D11" i="24" s="1"/>
  <c r="E11" i="24"/>
  <c r="F11" i="24"/>
  <c r="M11" i="24"/>
  <c r="N11" i="24"/>
  <c r="A12" i="24"/>
  <c r="B12" i="24"/>
  <c r="C12" i="24"/>
  <c r="F12" i="24"/>
  <c r="L12" i="24"/>
  <c r="M12" i="24"/>
  <c r="N12" i="24"/>
  <c r="O12" i="24"/>
  <c r="A13" i="24"/>
  <c r="B13" i="24"/>
  <c r="E13" i="24" s="1"/>
  <c r="C13" i="24"/>
  <c r="I13" i="24" s="1"/>
  <c r="D13" i="24"/>
  <c r="F13" i="24"/>
  <c r="G13" i="24"/>
  <c r="H13" i="24"/>
  <c r="L13" i="24"/>
  <c r="M13" i="24"/>
  <c r="N13" i="24"/>
  <c r="O13" i="24"/>
  <c r="A14" i="24"/>
  <c r="A15" i="24"/>
  <c r="B15" i="24" s="1"/>
  <c r="A16" i="24"/>
  <c r="B16" i="24"/>
  <c r="C16" i="24"/>
  <c r="G16" i="24"/>
  <c r="M16" i="24"/>
  <c r="N16" i="24"/>
  <c r="O16" i="24"/>
  <c r="A17" i="24"/>
  <c r="B17" i="24"/>
  <c r="E17" i="24" s="1"/>
  <c r="C17" i="24"/>
  <c r="D17" i="24"/>
  <c r="F17" i="24"/>
  <c r="H17" i="24"/>
  <c r="L17" i="24"/>
  <c r="M17" i="24"/>
  <c r="N17" i="24"/>
  <c r="O17" i="24"/>
  <c r="A18" i="24"/>
  <c r="L18" i="24" s="1"/>
  <c r="M18" i="24"/>
  <c r="A19" i="24"/>
  <c r="A20" i="24"/>
  <c r="B20" i="24"/>
  <c r="C20" i="24"/>
  <c r="F20" i="24"/>
  <c r="G20" i="24"/>
  <c r="M20" i="24"/>
  <c r="N20" i="24"/>
  <c r="O20" i="24"/>
  <c r="A21" i="24"/>
  <c r="B21" i="24"/>
  <c r="E21" i="24" s="1"/>
  <c r="C21" i="24"/>
  <c r="I21" i="24" s="1"/>
  <c r="D21" i="24"/>
  <c r="F21" i="24"/>
  <c r="G21" i="24"/>
  <c r="J21" i="24" s="1"/>
  <c r="H21" i="24"/>
  <c r="L21" i="24"/>
  <c r="M21" i="24"/>
  <c r="N21" i="24"/>
  <c r="O21" i="24"/>
  <c r="A22" i="24"/>
  <c r="L22" i="24"/>
  <c r="M22" i="24"/>
  <c r="A23" i="24"/>
  <c r="B23" i="24" s="1"/>
  <c r="D23" i="24" s="1"/>
  <c r="E23" i="24"/>
  <c r="F23" i="24"/>
  <c r="M23" i="24"/>
  <c r="N23" i="24"/>
  <c r="A24" i="24"/>
  <c r="B24" i="24"/>
  <c r="C24" i="24"/>
  <c r="F24" i="24"/>
  <c r="M24" i="24"/>
  <c r="N24" i="24"/>
  <c r="O24" i="24"/>
  <c r="A25" i="24"/>
  <c r="B25" i="24"/>
  <c r="E25" i="24" s="1"/>
  <c r="C25" i="24"/>
  <c r="I25" i="24" s="1"/>
  <c r="D25" i="24"/>
  <c r="F25" i="24"/>
  <c r="G25" i="24"/>
  <c r="J25" i="24" s="1"/>
  <c r="H25" i="24"/>
  <c r="L25" i="24"/>
  <c r="M25" i="24"/>
  <c r="N25" i="24"/>
  <c r="O25" i="24"/>
  <c r="A26" i="24"/>
  <c r="A27" i="24"/>
  <c r="B27" i="24"/>
  <c r="E27" i="24"/>
  <c r="M27" i="24"/>
  <c r="N27" i="24"/>
  <c r="A28" i="24"/>
  <c r="B28" i="24"/>
  <c r="C28" i="24"/>
  <c r="M28" i="24"/>
  <c r="N28" i="24"/>
  <c r="O28" i="24"/>
  <c r="A29" i="24"/>
  <c r="B29" i="24"/>
  <c r="E29" i="24" s="1"/>
  <c r="C29" i="24"/>
  <c r="I29" i="24" s="1"/>
  <c r="D29" i="24"/>
  <c r="F29" i="24"/>
  <c r="G29" i="24"/>
  <c r="H29" i="24"/>
  <c r="L29" i="24"/>
  <c r="M29" i="24"/>
  <c r="N29" i="24"/>
  <c r="O29" i="24"/>
  <c r="A30" i="24"/>
  <c r="A31" i="24"/>
  <c r="A32" i="24"/>
  <c r="B32" i="24"/>
  <c r="C32" i="24"/>
  <c r="G32" i="24"/>
  <c r="M32" i="24"/>
  <c r="N32" i="24"/>
  <c r="O32" i="24"/>
  <c r="A33" i="24"/>
  <c r="B33" i="24"/>
  <c r="E33" i="24" s="1"/>
  <c r="C33" i="24"/>
  <c r="D33" i="24"/>
  <c r="F33" i="24"/>
  <c r="H33" i="24"/>
  <c r="L33" i="24"/>
  <c r="M33" i="24"/>
  <c r="N33" i="24"/>
  <c r="O33" i="24"/>
  <c r="A34" i="24"/>
  <c r="L34" i="24" s="1"/>
  <c r="M34" i="24"/>
  <c r="A35" i="24"/>
  <c r="A36" i="24"/>
  <c r="B36" i="24"/>
  <c r="C36" i="24"/>
  <c r="F36" i="24"/>
  <c r="G36" i="24"/>
  <c r="M36" i="24"/>
  <c r="N36" i="24"/>
  <c r="O36" i="24"/>
  <c r="A37" i="24"/>
  <c r="B37" i="24"/>
  <c r="E37" i="24" s="1"/>
  <c r="C37" i="24"/>
  <c r="I37" i="24" s="1"/>
  <c r="D37" i="24"/>
  <c r="F37" i="24"/>
  <c r="G37" i="24"/>
  <c r="J37" i="24" s="1"/>
  <c r="H37" i="24"/>
  <c r="L37" i="24"/>
  <c r="M37" i="24"/>
  <c r="N37" i="24"/>
  <c r="O37" i="24"/>
  <c r="A38" i="24"/>
  <c r="L38" i="24"/>
  <c r="M38" i="24"/>
  <c r="A39" i="24"/>
  <c r="B39" i="24" s="1"/>
  <c r="D39" i="24" s="1"/>
  <c r="E39" i="24"/>
  <c r="F39" i="24"/>
  <c r="M39" i="24"/>
  <c r="N39" i="24"/>
  <c r="A40" i="24"/>
  <c r="B40" i="24"/>
  <c r="C40" i="24"/>
  <c r="F40" i="24"/>
  <c r="M40" i="24"/>
  <c r="N40" i="24"/>
  <c r="O40" i="24"/>
  <c r="A41" i="24"/>
  <c r="B41" i="24"/>
  <c r="E41" i="24" s="1"/>
  <c r="C41" i="24"/>
  <c r="I41" i="24" s="1"/>
  <c r="D41" i="24"/>
  <c r="F41" i="24"/>
  <c r="J41" i="24" s="1"/>
  <c r="G41" i="24"/>
  <c r="H41" i="24"/>
  <c r="L41" i="24"/>
  <c r="M41" i="24"/>
  <c r="N41" i="24"/>
  <c r="O41" i="24"/>
  <c r="A42" i="24"/>
  <c r="C42" i="24" s="1"/>
  <c r="I42" i="24"/>
  <c r="L42" i="24"/>
  <c r="O42" i="24"/>
  <c r="A43" i="24"/>
  <c r="L43" i="24"/>
  <c r="A44" i="24"/>
  <c r="B44" i="24"/>
  <c r="F44" i="24"/>
  <c r="M44" i="24"/>
  <c r="A45" i="24"/>
  <c r="B45" i="24"/>
  <c r="C45" i="24"/>
  <c r="I45" i="24" s="1"/>
  <c r="G45" i="24"/>
  <c r="H45" i="24"/>
  <c r="L45" i="24"/>
  <c r="M45" i="24"/>
  <c r="N45" i="24"/>
  <c r="O45" i="24"/>
  <c r="A46" i="24"/>
  <c r="L46" i="24"/>
  <c r="A47" i="24"/>
  <c r="B47" i="24"/>
  <c r="A48" i="24"/>
  <c r="B48" i="24"/>
  <c r="C48" i="24"/>
  <c r="G48" i="24" s="1"/>
  <c r="M48" i="24"/>
  <c r="N48" i="24"/>
  <c r="O48" i="24"/>
  <c r="A49" i="24"/>
  <c r="B49" i="24"/>
  <c r="C49" i="24"/>
  <c r="L49" i="24"/>
  <c r="M49" i="24"/>
  <c r="N49" i="24"/>
  <c r="O49" i="24"/>
  <c r="A50" i="24"/>
  <c r="C50" i="24"/>
  <c r="G50" i="24"/>
  <c r="L50" i="24"/>
  <c r="M50" i="24"/>
  <c r="A51" i="24"/>
  <c r="B51" i="24"/>
  <c r="D51" i="24"/>
  <c r="L51" i="24"/>
  <c r="M51" i="24"/>
  <c r="N51" i="24"/>
  <c r="A52" i="24"/>
  <c r="B52" i="24" s="1"/>
  <c r="C52" i="24"/>
  <c r="I52" i="24"/>
  <c r="N52" i="24"/>
  <c r="O52" i="24"/>
  <c r="A53" i="24"/>
  <c r="B53" i="24"/>
  <c r="E53" i="24" s="1"/>
  <c r="C53" i="24"/>
  <c r="D53" i="24"/>
  <c r="F53" i="24"/>
  <c r="H53" i="24"/>
  <c r="L53" i="24"/>
  <c r="M53" i="24"/>
  <c r="N53" i="24"/>
  <c r="O53" i="24"/>
  <c r="A54" i="24"/>
  <c r="C54" i="24"/>
  <c r="L54" i="24"/>
  <c r="M54" i="24"/>
  <c r="O54" i="24"/>
  <c r="A55" i="24"/>
  <c r="A56" i="24"/>
  <c r="O56" i="24"/>
  <c r="A57" i="24"/>
  <c r="B57" i="24"/>
  <c r="E57" i="24" s="1"/>
  <c r="C57" i="24"/>
  <c r="I57" i="24" s="1"/>
  <c r="D57" i="24"/>
  <c r="G57" i="24"/>
  <c r="H57" i="24"/>
  <c r="L57" i="24"/>
  <c r="M57" i="24"/>
  <c r="N57" i="24"/>
  <c r="O57" i="24"/>
  <c r="A58" i="24"/>
  <c r="L58" i="24"/>
  <c r="A59" i="24"/>
  <c r="B59" i="24"/>
  <c r="E59" i="24" s="1"/>
  <c r="L59" i="24"/>
  <c r="A60" i="24"/>
  <c r="B60" i="24"/>
  <c r="C60" i="24"/>
  <c r="I60" i="24"/>
  <c r="N60" i="24"/>
  <c r="A61" i="24"/>
  <c r="B61" i="24"/>
  <c r="C61" i="24"/>
  <c r="I61" i="24" s="1"/>
  <c r="G61" i="24"/>
  <c r="H61" i="24"/>
  <c r="L61" i="24"/>
  <c r="M61" i="24"/>
  <c r="N61" i="24"/>
  <c r="O61" i="24"/>
  <c r="A62" i="24"/>
  <c r="C62" i="24"/>
  <c r="L62" i="24"/>
  <c r="A63" i="24"/>
  <c r="B63" i="24"/>
  <c r="D63" i="24"/>
  <c r="L63" i="24"/>
  <c r="N63" i="24"/>
  <c r="A64" i="24"/>
  <c r="B64" i="24"/>
  <c r="C64" i="24"/>
  <c r="H64" i="24" s="1"/>
  <c r="G64" i="24"/>
  <c r="I64" i="24"/>
  <c r="M64" i="24"/>
  <c r="N64" i="24"/>
  <c r="O64" i="24"/>
  <c r="A65" i="24"/>
  <c r="B65" i="24"/>
  <c r="C65" i="24"/>
  <c r="D65" i="24"/>
  <c r="L65" i="24"/>
  <c r="M65" i="24"/>
  <c r="N65" i="24"/>
  <c r="O65" i="24"/>
  <c r="A66" i="24"/>
  <c r="M66" i="24" s="1"/>
  <c r="A67" i="24"/>
  <c r="B67" i="24"/>
  <c r="F67" i="24" s="1"/>
  <c r="D67" i="24"/>
  <c r="E67" i="24"/>
  <c r="L67" i="24"/>
  <c r="M67" i="24"/>
  <c r="N67" i="24"/>
  <c r="A68" i="24"/>
  <c r="C68" i="24" s="1"/>
  <c r="O68" i="24"/>
  <c r="A69" i="24"/>
  <c r="B69" i="24"/>
  <c r="E69" i="24" s="1"/>
  <c r="C69" i="24"/>
  <c r="D69" i="24"/>
  <c r="F69" i="24"/>
  <c r="L69" i="24"/>
  <c r="M69" i="24"/>
  <c r="N69" i="24"/>
  <c r="O69" i="24"/>
  <c r="A70" i="24"/>
  <c r="B70" i="24"/>
  <c r="E70" i="24" s="1"/>
  <c r="C70" i="24"/>
  <c r="I70" i="24" s="1"/>
  <c r="D70" i="24"/>
  <c r="F70" i="24"/>
  <c r="H70" i="24"/>
  <c r="L70" i="24"/>
  <c r="M70" i="24"/>
  <c r="N70" i="24"/>
  <c r="O70" i="24"/>
  <c r="A71" i="24"/>
  <c r="C71" i="24"/>
  <c r="G71" i="24" s="1"/>
  <c r="H71" i="24"/>
  <c r="I71" i="24"/>
  <c r="L71" i="24"/>
  <c r="M71" i="24"/>
  <c r="O71" i="24"/>
  <c r="A72" i="24"/>
  <c r="L72" i="24"/>
  <c r="A73" i="24"/>
  <c r="B73" i="24"/>
  <c r="M73" i="24"/>
  <c r="A74" i="24"/>
  <c r="B74" i="24"/>
  <c r="C74" i="24"/>
  <c r="I74" i="24" s="1"/>
  <c r="F74" i="24"/>
  <c r="G74" i="24"/>
  <c r="H74" i="24"/>
  <c r="L74" i="24"/>
  <c r="M74" i="24"/>
  <c r="N74" i="24"/>
  <c r="O74" i="24"/>
  <c r="A75" i="24"/>
  <c r="L75" i="24"/>
  <c r="A76" i="24"/>
  <c r="B76" i="24" s="1"/>
  <c r="L76" i="24"/>
  <c r="A77" i="24"/>
  <c r="B77" i="24"/>
  <c r="C77" i="24"/>
  <c r="H77" i="24" s="1"/>
  <c r="I77" i="24"/>
  <c r="M77" i="24"/>
  <c r="N77" i="24"/>
  <c r="A78" i="24"/>
  <c r="B78" i="24"/>
  <c r="C78" i="24"/>
  <c r="I78" i="24" s="1"/>
  <c r="L78" i="24"/>
  <c r="M78" i="24"/>
  <c r="N78" i="24"/>
  <c r="O78" i="24"/>
  <c r="A79" i="24"/>
  <c r="C79" i="24"/>
  <c r="I79" i="24" s="1"/>
  <c r="L79" i="24"/>
  <c r="M79" i="24"/>
  <c r="A80" i="24"/>
  <c r="B80" i="24"/>
  <c r="D80" i="24"/>
  <c r="L80" i="24"/>
  <c r="M80" i="24"/>
  <c r="N80" i="24"/>
  <c r="A81" i="24"/>
  <c r="B81" i="24"/>
  <c r="D81" i="24" s="1"/>
  <c r="C81" i="24"/>
  <c r="E81" i="24"/>
  <c r="M81" i="24"/>
  <c r="N81" i="24"/>
  <c r="O81" i="24"/>
  <c r="A82" i="24"/>
  <c r="B82" i="24"/>
  <c r="E82" i="24" s="1"/>
  <c r="C82" i="24"/>
  <c r="D82" i="24"/>
  <c r="L82" i="24"/>
  <c r="M82" i="24"/>
  <c r="N82" i="24"/>
  <c r="O82" i="24"/>
  <c r="A83" i="24"/>
  <c r="C83" i="24"/>
  <c r="G83" i="24" s="1"/>
  <c r="H83" i="24"/>
  <c r="I83" i="24"/>
  <c r="L83" i="24"/>
  <c r="M83" i="24"/>
  <c r="O83" i="24"/>
  <c r="A84" i="24"/>
  <c r="B84" i="24"/>
  <c r="F84" i="24" s="1"/>
  <c r="D84" i="24"/>
  <c r="E84" i="24"/>
  <c r="L84" i="24"/>
  <c r="M84" i="24"/>
  <c r="N84" i="24"/>
  <c r="A85" i="24"/>
  <c r="O85" i="24" s="1"/>
  <c r="A86" i="24"/>
  <c r="B86" i="24"/>
  <c r="E86" i="24" s="1"/>
  <c r="C86" i="24"/>
  <c r="I86" i="24" s="1"/>
  <c r="D86" i="24"/>
  <c r="F86" i="24"/>
  <c r="H86" i="24"/>
  <c r="L86" i="24"/>
  <c r="M86" i="24"/>
  <c r="N86" i="24"/>
  <c r="O86" i="24"/>
  <c r="A87" i="24"/>
  <c r="C87" i="24"/>
  <c r="G87" i="24" s="1"/>
  <c r="H87" i="24"/>
  <c r="I87" i="24"/>
  <c r="L87" i="24"/>
  <c r="M87" i="24"/>
  <c r="O87" i="24"/>
  <c r="A88" i="24"/>
  <c r="L88" i="24"/>
  <c r="A89" i="24"/>
  <c r="B89" i="24"/>
  <c r="F89" i="24"/>
  <c r="M89" i="24"/>
  <c r="A90" i="24"/>
  <c r="B90" i="24"/>
  <c r="C90" i="24"/>
  <c r="I90" i="24" s="1"/>
  <c r="F90" i="24"/>
  <c r="G90" i="24"/>
  <c r="H90" i="24"/>
  <c r="L90" i="24"/>
  <c r="M90" i="24"/>
  <c r="N90" i="24"/>
  <c r="O90" i="24"/>
  <c r="A91" i="24"/>
  <c r="L91" i="24"/>
  <c r="A92" i="24"/>
  <c r="L92" i="24"/>
  <c r="A93" i="24"/>
  <c r="B93" i="24"/>
  <c r="C93" i="24"/>
  <c r="H93" i="24" s="1"/>
  <c r="M93" i="24"/>
  <c r="N93" i="24"/>
  <c r="A94" i="24"/>
  <c r="B94" i="24"/>
  <c r="C94" i="24"/>
  <c r="I94" i="24" s="1"/>
  <c r="G94" i="24"/>
  <c r="L94" i="24"/>
  <c r="M94" i="24"/>
  <c r="N94" i="24"/>
  <c r="O94" i="24"/>
  <c r="A95" i="24"/>
  <c r="C95" i="24"/>
  <c r="I95" i="24" s="1"/>
  <c r="G95" i="24"/>
  <c r="L95" i="24"/>
  <c r="M95" i="24"/>
  <c r="A96" i="24"/>
  <c r="B96" i="24"/>
  <c r="D96" i="24" s="1"/>
  <c r="L96" i="24"/>
  <c r="M96" i="24"/>
  <c r="N96" i="24"/>
  <c r="A97" i="24"/>
  <c r="B97" i="24"/>
  <c r="D97" i="24" s="1"/>
  <c r="C97" i="24"/>
  <c r="E97" i="24"/>
  <c r="I97" i="24"/>
  <c r="M97" i="24"/>
  <c r="N97" i="24"/>
  <c r="O97" i="24"/>
  <c r="A98" i="24"/>
  <c r="B98" i="24"/>
  <c r="E98" i="24" s="1"/>
  <c r="C98" i="24"/>
  <c r="D98" i="24"/>
  <c r="L98" i="24"/>
  <c r="M98" i="24"/>
  <c r="N98" i="24"/>
  <c r="O98" i="24"/>
  <c r="A99" i="24"/>
  <c r="C99" i="24"/>
  <c r="G99" i="24" s="1"/>
  <c r="L99" i="24"/>
  <c r="M99" i="24"/>
  <c r="O99" i="24"/>
  <c r="A100" i="24"/>
  <c r="B100" i="24"/>
  <c r="F100" i="24" s="1"/>
  <c r="D100" i="24"/>
  <c r="E100" i="24"/>
  <c r="L100" i="24"/>
  <c r="M100" i="24"/>
  <c r="N100" i="24"/>
  <c r="A101" i="24"/>
  <c r="A102" i="24"/>
  <c r="B102" i="24"/>
  <c r="E102" i="24" s="1"/>
  <c r="C102" i="24"/>
  <c r="I102" i="24" s="1"/>
  <c r="D102" i="24"/>
  <c r="F102" i="24"/>
  <c r="H102" i="24"/>
  <c r="L102" i="24"/>
  <c r="M102" i="24"/>
  <c r="N102" i="24"/>
  <c r="O102" i="24"/>
  <c r="A103" i="24"/>
  <c r="C103" i="24"/>
  <c r="G103" i="24" s="1"/>
  <c r="H103" i="24"/>
  <c r="I103" i="24"/>
  <c r="L103" i="24"/>
  <c r="M103" i="24"/>
  <c r="O103" i="24"/>
  <c r="A104" i="24"/>
  <c r="L104" i="24"/>
  <c r="A105" i="24"/>
  <c r="B105" i="24" s="1"/>
  <c r="A106" i="24"/>
  <c r="B106" i="24"/>
  <c r="C106" i="24"/>
  <c r="I106" i="24" s="1"/>
  <c r="G106" i="24"/>
  <c r="H106" i="24"/>
  <c r="L106" i="24"/>
  <c r="M106" i="24"/>
  <c r="N106" i="24"/>
  <c r="O106" i="24"/>
  <c r="A107" i="24"/>
  <c r="L107" i="24"/>
  <c r="A108" i="24"/>
  <c r="B108" i="24"/>
  <c r="L108" i="24"/>
  <c r="M108" i="24"/>
  <c r="A109" i="24"/>
  <c r="B109" i="24"/>
  <c r="C109" i="24"/>
  <c r="H109" i="24" s="1"/>
  <c r="G109" i="24"/>
  <c r="M109" i="24"/>
  <c r="N109" i="24"/>
  <c r="A110" i="24"/>
  <c r="B110" i="24"/>
  <c r="C110" i="24"/>
  <c r="I110" i="24" s="1"/>
  <c r="G110" i="24"/>
  <c r="H110" i="24"/>
  <c r="L110" i="24"/>
  <c r="M110" i="24"/>
  <c r="N110" i="24"/>
  <c r="O110" i="24"/>
  <c r="A111" i="24"/>
  <c r="C111" i="24" s="1"/>
  <c r="L111" i="24"/>
  <c r="A112" i="24"/>
  <c r="B112" i="24"/>
  <c r="L112" i="24"/>
  <c r="M112" i="24"/>
  <c r="N112" i="24"/>
  <c r="A113" i="24"/>
  <c r="B113" i="24"/>
  <c r="D113" i="24" s="1"/>
  <c r="C113" i="24"/>
  <c r="E113" i="24"/>
  <c r="I113" i="24"/>
  <c r="M113" i="24"/>
  <c r="N113" i="24"/>
  <c r="O113" i="24"/>
  <c r="A114" i="24"/>
  <c r="B114" i="24"/>
  <c r="E114" i="24" s="1"/>
  <c r="C114" i="24"/>
  <c r="D114" i="24"/>
  <c r="H114" i="24"/>
  <c r="L114" i="24"/>
  <c r="M114" i="24"/>
  <c r="N114" i="24"/>
  <c r="O114" i="24"/>
  <c r="A115" i="24"/>
  <c r="C115" i="24"/>
  <c r="G115" i="24" s="1"/>
  <c r="L115" i="24"/>
  <c r="M115" i="24"/>
  <c r="O115" i="24"/>
  <c r="A116" i="24"/>
  <c r="B116" i="24"/>
  <c r="F116" i="24" s="1"/>
  <c r="D116" i="24"/>
  <c r="E116" i="24"/>
  <c r="L116" i="24"/>
  <c r="M116" i="24"/>
  <c r="N116" i="24"/>
  <c r="A117" i="24"/>
  <c r="O117" i="24"/>
  <c r="A118" i="24"/>
  <c r="B118" i="24"/>
  <c r="E118" i="24" s="1"/>
  <c r="C118" i="24"/>
  <c r="I118" i="24" s="1"/>
  <c r="D118" i="24"/>
  <c r="F118" i="24"/>
  <c r="H118" i="24"/>
  <c r="L118" i="24"/>
  <c r="M118" i="24"/>
  <c r="N118" i="24"/>
  <c r="O118" i="24"/>
  <c r="A119" i="24"/>
  <c r="C119" i="24"/>
  <c r="G119" i="24" s="1"/>
  <c r="H119" i="24"/>
  <c r="I119" i="24"/>
  <c r="L119" i="24"/>
  <c r="M119" i="24"/>
  <c r="O119" i="24"/>
  <c r="A120" i="24"/>
  <c r="L120" i="24"/>
  <c r="A121" i="24"/>
  <c r="A122" i="24"/>
  <c r="B122" i="24"/>
  <c r="C122" i="24"/>
  <c r="I122" i="24" s="1"/>
  <c r="G122" i="24"/>
  <c r="H122" i="24"/>
  <c r="L122" i="24"/>
  <c r="M122" i="24"/>
  <c r="N122" i="24"/>
  <c r="O122" i="24"/>
  <c r="A123" i="24"/>
  <c r="L123" i="24"/>
  <c r="A124" i="24"/>
  <c r="B124" i="24"/>
  <c r="F124" i="24"/>
  <c r="L124" i="24"/>
  <c r="M124" i="24"/>
  <c r="A125" i="24"/>
  <c r="B125" i="24"/>
  <c r="C125" i="24"/>
  <c r="H125" i="24" s="1"/>
  <c r="G125" i="24"/>
  <c r="I125" i="24"/>
  <c r="M125" i="24"/>
  <c r="N125" i="24"/>
  <c r="A126" i="24"/>
  <c r="B126" i="24"/>
  <c r="C126" i="24"/>
  <c r="I126" i="24" s="1"/>
  <c r="H126" i="24"/>
  <c r="L126" i="24"/>
  <c r="M126" i="24"/>
  <c r="N126" i="24"/>
  <c r="O126" i="24"/>
  <c r="A127" i="24"/>
  <c r="L127" i="24"/>
  <c r="A128" i="24"/>
  <c r="B128" i="24"/>
  <c r="D128" i="24"/>
  <c r="L128" i="24"/>
  <c r="M128" i="24"/>
  <c r="N128" i="24"/>
  <c r="A129" i="24"/>
  <c r="B129" i="24"/>
  <c r="D129" i="24" s="1"/>
  <c r="C129" i="24"/>
  <c r="I129" i="24" s="1"/>
  <c r="E129" i="24"/>
  <c r="M129" i="24"/>
  <c r="N129" i="24"/>
  <c r="O129" i="24"/>
  <c r="A130" i="24"/>
  <c r="B130" i="24"/>
  <c r="E130" i="24" s="1"/>
  <c r="C130" i="24"/>
  <c r="D130" i="24"/>
  <c r="H130" i="24"/>
  <c r="L130" i="24"/>
  <c r="M130" i="24"/>
  <c r="N130" i="24"/>
  <c r="O130" i="24"/>
  <c r="A131" i="24"/>
  <c r="C131" i="24"/>
  <c r="G131" i="24" s="1"/>
  <c r="H131" i="24"/>
  <c r="I131" i="24"/>
  <c r="L131" i="24"/>
  <c r="M131" i="24"/>
  <c r="O131" i="24"/>
  <c r="A132" i="24"/>
  <c r="B132" i="24"/>
  <c r="F132" i="24" s="1"/>
  <c r="D132" i="24"/>
  <c r="E132" i="24"/>
  <c r="L132" i="24"/>
  <c r="M132" i="24"/>
  <c r="N132" i="24"/>
  <c r="A133" i="24"/>
  <c r="O133" i="24"/>
  <c r="A134" i="24"/>
  <c r="B134" i="24"/>
  <c r="E134" i="24" s="1"/>
  <c r="C134" i="24"/>
  <c r="I134" i="24" s="1"/>
  <c r="D134" i="24"/>
  <c r="F134" i="24"/>
  <c r="H134" i="24"/>
  <c r="L134" i="24"/>
  <c r="M134" i="24"/>
  <c r="N134" i="24"/>
  <c r="O134" i="24"/>
  <c r="A135" i="24"/>
  <c r="C135" i="24"/>
  <c r="G135" i="24" s="1"/>
  <c r="H135" i="24"/>
  <c r="I135" i="24"/>
  <c r="L135" i="24"/>
  <c r="M135" i="24"/>
  <c r="O135" i="24"/>
  <c r="A136" i="24"/>
  <c r="L136" i="24"/>
  <c r="A137" i="24"/>
  <c r="B137" i="24"/>
  <c r="M137" i="24"/>
  <c r="A138" i="24"/>
  <c r="B138" i="24"/>
  <c r="C138" i="24"/>
  <c r="I138" i="24" s="1"/>
  <c r="F138" i="24"/>
  <c r="G138" i="24"/>
  <c r="H138" i="24"/>
  <c r="L138" i="24"/>
  <c r="M138" i="24"/>
  <c r="N138" i="24"/>
  <c r="O138" i="24"/>
  <c r="A139" i="24"/>
  <c r="L139" i="24"/>
  <c r="A140" i="24"/>
  <c r="B140" i="24" s="1"/>
  <c r="L140" i="24"/>
  <c r="A141" i="24"/>
  <c r="B141" i="24"/>
  <c r="C141" i="24"/>
  <c r="H141" i="24" s="1"/>
  <c r="I141" i="24"/>
  <c r="M141" i="24"/>
  <c r="N141" i="24"/>
  <c r="A142" i="24"/>
  <c r="B142" i="24"/>
  <c r="C142" i="24"/>
  <c r="I142" i="24" s="1"/>
  <c r="L142" i="24"/>
  <c r="M142" i="24"/>
  <c r="N142" i="24"/>
  <c r="O142" i="24"/>
  <c r="A143" i="24"/>
  <c r="C143" i="24"/>
  <c r="I143" i="24" s="1"/>
  <c r="L143" i="24"/>
  <c r="M143" i="24"/>
  <c r="A144" i="24"/>
  <c r="B144" i="24"/>
  <c r="D144" i="24"/>
  <c r="L144" i="24"/>
  <c r="M144" i="24"/>
  <c r="N144" i="24"/>
  <c r="A145" i="24"/>
  <c r="B145" i="24"/>
  <c r="D145" i="24" s="1"/>
  <c r="C145" i="24"/>
  <c r="E145" i="24"/>
  <c r="M145" i="24"/>
  <c r="N145" i="24"/>
  <c r="O145" i="24"/>
  <c r="A146" i="24"/>
  <c r="B146" i="24"/>
  <c r="E146" i="24" s="1"/>
  <c r="C146" i="24"/>
  <c r="H146" i="24" s="1"/>
  <c r="D146" i="24"/>
  <c r="L146" i="24"/>
  <c r="M146" i="24"/>
  <c r="N146" i="24"/>
  <c r="O146" i="24"/>
  <c r="A147" i="24"/>
  <c r="C147" i="24"/>
  <c r="G147" i="24" s="1"/>
  <c r="H147" i="24"/>
  <c r="I147" i="24"/>
  <c r="L147" i="24"/>
  <c r="M147" i="24"/>
  <c r="O147" i="24"/>
  <c r="A148" i="24"/>
  <c r="B148" i="24"/>
  <c r="F148" i="24" s="1"/>
  <c r="D148" i="24"/>
  <c r="E148" i="24"/>
  <c r="L148" i="24"/>
  <c r="M148" i="24"/>
  <c r="N148" i="24"/>
  <c r="A149" i="24"/>
  <c r="O149" i="24" s="1"/>
  <c r="A150" i="24"/>
  <c r="B150" i="24"/>
  <c r="E150" i="24" s="1"/>
  <c r="C150" i="24"/>
  <c r="I150" i="24" s="1"/>
  <c r="D150" i="24"/>
  <c r="F150" i="24"/>
  <c r="H150" i="24"/>
  <c r="L150" i="24"/>
  <c r="M150" i="24"/>
  <c r="N150" i="24"/>
  <c r="O150" i="24"/>
  <c r="A151" i="24"/>
  <c r="C151" i="24"/>
  <c r="G151" i="24" s="1"/>
  <c r="H151" i="24"/>
  <c r="I151" i="24"/>
  <c r="L151" i="24"/>
  <c r="M151" i="24"/>
  <c r="O151" i="24"/>
  <c r="A152" i="24"/>
  <c r="L152" i="24"/>
  <c r="A153" i="24"/>
  <c r="B153" i="24"/>
  <c r="F153" i="24"/>
  <c r="M153" i="24"/>
  <c r="A154" i="24"/>
  <c r="B154" i="24"/>
  <c r="C154" i="24"/>
  <c r="I154" i="24" s="1"/>
  <c r="F154" i="24"/>
  <c r="G154" i="24"/>
  <c r="H154" i="24"/>
  <c r="L154" i="24"/>
  <c r="M154" i="24"/>
  <c r="N154" i="24"/>
  <c r="O154" i="24"/>
  <c r="A155" i="24"/>
  <c r="L155" i="24"/>
  <c r="A156" i="24"/>
  <c r="L156" i="24"/>
  <c r="A157" i="24"/>
  <c r="B157" i="24"/>
  <c r="C157" i="24"/>
  <c r="H157" i="24" s="1"/>
  <c r="M157" i="24"/>
  <c r="N157" i="24"/>
  <c r="A158" i="24"/>
  <c r="B158" i="24"/>
  <c r="C158" i="24"/>
  <c r="I158" i="24" s="1"/>
  <c r="G158" i="24"/>
  <c r="L158" i="24"/>
  <c r="M158" i="24"/>
  <c r="N158" i="24"/>
  <c r="O158" i="24"/>
  <c r="A159" i="24"/>
  <c r="C159" i="24"/>
  <c r="I159" i="24" s="1"/>
  <c r="G159" i="24"/>
  <c r="L159" i="24"/>
  <c r="M159" i="24"/>
  <c r="A160" i="24"/>
  <c r="B160" i="24"/>
  <c r="D160" i="24" s="1"/>
  <c r="L160" i="24"/>
  <c r="M160" i="24"/>
  <c r="N160" i="24"/>
  <c r="A161" i="24"/>
  <c r="B161" i="24"/>
  <c r="D161" i="24" s="1"/>
  <c r="C161" i="24"/>
  <c r="E161" i="24"/>
  <c r="I161" i="24"/>
  <c r="M161" i="24"/>
  <c r="N161" i="24"/>
  <c r="O161" i="24"/>
  <c r="A162" i="24"/>
  <c r="B162" i="24"/>
  <c r="E162" i="24" s="1"/>
  <c r="C162" i="24"/>
  <c r="D162" i="24"/>
  <c r="L162" i="24"/>
  <c r="M162" i="24"/>
  <c r="N162" i="24"/>
  <c r="O162" i="24"/>
  <c r="A163" i="24"/>
  <c r="C163" i="24"/>
  <c r="G163" i="24" s="1"/>
  <c r="L163" i="24"/>
  <c r="M163" i="24"/>
  <c r="O163" i="24"/>
  <c r="A164" i="24"/>
  <c r="B164" i="24"/>
  <c r="F164" i="24" s="1"/>
  <c r="D164" i="24"/>
  <c r="E164" i="24"/>
  <c r="L164" i="24"/>
  <c r="M164" i="24"/>
  <c r="N164" i="24"/>
  <c r="A165" i="24"/>
  <c r="A166" i="24"/>
  <c r="B166" i="24"/>
  <c r="E166" i="24" s="1"/>
  <c r="C166" i="24"/>
  <c r="I166" i="24" s="1"/>
  <c r="D166" i="24"/>
  <c r="F166" i="24"/>
  <c r="H166" i="24"/>
  <c r="L166" i="24"/>
  <c r="M166" i="24"/>
  <c r="N166" i="24"/>
  <c r="O166" i="24"/>
  <c r="A167" i="24"/>
  <c r="C167" i="24"/>
  <c r="G167" i="24" s="1"/>
  <c r="H167" i="24"/>
  <c r="I167" i="24"/>
  <c r="L167" i="24"/>
  <c r="M167" i="24"/>
  <c r="O167" i="24"/>
  <c r="A168" i="24"/>
  <c r="L168" i="24"/>
  <c r="A169" i="24"/>
  <c r="B169" i="24" s="1"/>
  <c r="A170" i="24"/>
  <c r="B170" i="24"/>
  <c r="C170" i="24"/>
  <c r="I170" i="24" s="1"/>
  <c r="G170" i="24"/>
  <c r="H170" i="24"/>
  <c r="L170" i="24"/>
  <c r="M170" i="24"/>
  <c r="N170" i="24"/>
  <c r="O170" i="24"/>
  <c r="A171" i="24"/>
  <c r="N171" i="24"/>
  <c r="O171" i="24"/>
  <c r="A172" i="24"/>
  <c r="B172" i="24"/>
  <c r="E172" i="24" s="1"/>
  <c r="C172" i="24"/>
  <c r="I172" i="24" s="1"/>
  <c r="D172" i="24"/>
  <c r="F172" i="24"/>
  <c r="L172" i="24"/>
  <c r="M172" i="24"/>
  <c r="N172" i="24"/>
  <c r="O172" i="24"/>
  <c r="A173" i="24"/>
  <c r="L173" i="24" s="1"/>
  <c r="M173" i="24"/>
  <c r="A174" i="24"/>
  <c r="A175" i="24"/>
  <c r="B175" i="24"/>
  <c r="C175" i="24"/>
  <c r="F175" i="24"/>
  <c r="G175" i="24"/>
  <c r="M175" i="24"/>
  <c r="N175" i="24"/>
  <c r="O175" i="24"/>
  <c r="A176" i="24"/>
  <c r="B176" i="24"/>
  <c r="E176" i="24" s="1"/>
  <c r="C176" i="24"/>
  <c r="I176" i="24" s="1"/>
  <c r="D176" i="24"/>
  <c r="F176" i="24"/>
  <c r="L176" i="24"/>
  <c r="M176" i="24"/>
  <c r="N176" i="24"/>
  <c r="O176" i="24"/>
  <c r="A177" i="24"/>
  <c r="L177" i="24"/>
  <c r="M177" i="24"/>
  <c r="A178" i="24"/>
  <c r="B178" i="24" s="1"/>
  <c r="M178" i="24"/>
  <c r="N178" i="24"/>
  <c r="A179" i="24"/>
  <c r="B179" i="24"/>
  <c r="C179" i="24"/>
  <c r="F179" i="24"/>
  <c r="M179" i="24"/>
  <c r="N179" i="24"/>
  <c r="O179" i="24"/>
  <c r="A180" i="24"/>
  <c r="B180" i="24"/>
  <c r="E180" i="24" s="1"/>
  <c r="C180" i="24"/>
  <c r="I180" i="24" s="1"/>
  <c r="D180" i="24"/>
  <c r="F180" i="24"/>
  <c r="G180" i="24"/>
  <c r="J180" i="24" s="1"/>
  <c r="H180" i="24"/>
  <c r="L180" i="24"/>
  <c r="M180" i="24"/>
  <c r="N180" i="24"/>
  <c r="O180" i="24"/>
  <c r="A181" i="24"/>
  <c r="L181" i="24"/>
  <c r="A182" i="24"/>
  <c r="B182" i="24"/>
  <c r="D182" i="24" s="1"/>
  <c r="E182" i="24"/>
  <c r="M182" i="24"/>
  <c r="N182" i="24"/>
  <c r="A183" i="24"/>
  <c r="B183" i="24"/>
  <c r="C183" i="24"/>
  <c r="M183" i="24"/>
  <c r="N183" i="24"/>
  <c r="O183" i="24"/>
  <c r="A184" i="24"/>
  <c r="B184" i="24"/>
  <c r="E184" i="24" s="1"/>
  <c r="C184" i="24"/>
  <c r="I184" i="24" s="1"/>
  <c r="D184" i="24"/>
  <c r="F184" i="24"/>
  <c r="G184" i="24"/>
  <c r="H184" i="24"/>
  <c r="L184" i="24"/>
  <c r="M184" i="24"/>
  <c r="N184" i="24"/>
  <c r="O184" i="24"/>
  <c r="A185" i="24"/>
  <c r="A186" i="24"/>
  <c r="N186" i="24" s="1"/>
  <c r="B186" i="24"/>
  <c r="D186" i="24" s="1"/>
  <c r="A187" i="24"/>
  <c r="B187" i="24"/>
  <c r="F187" i="24" s="1"/>
  <c r="C187" i="24"/>
  <c r="G187" i="24"/>
  <c r="M187" i="24"/>
  <c r="N187" i="24"/>
  <c r="O187" i="24"/>
  <c r="A188" i="24"/>
  <c r="B188" i="24"/>
  <c r="E188" i="24" s="1"/>
  <c r="C188" i="24"/>
  <c r="I188" i="24" s="1"/>
  <c r="D188" i="24"/>
  <c r="F188" i="24"/>
  <c r="L188" i="24"/>
  <c r="M188" i="24"/>
  <c r="N188" i="24"/>
  <c r="O188" i="24"/>
  <c r="A189" i="24"/>
  <c r="L189" i="24" s="1"/>
  <c r="M189" i="24"/>
  <c r="A190" i="24"/>
  <c r="M190" i="24" s="1"/>
  <c r="A191" i="24"/>
  <c r="B191" i="24"/>
  <c r="C191" i="24"/>
  <c r="F191" i="24"/>
  <c r="G191" i="24"/>
  <c r="M191" i="24"/>
  <c r="N191" i="24"/>
  <c r="O191" i="24"/>
  <c r="A192" i="24"/>
  <c r="B192" i="24"/>
  <c r="E192" i="24" s="1"/>
  <c r="C192" i="24"/>
  <c r="I192" i="24" s="1"/>
  <c r="D192" i="24"/>
  <c r="F192" i="24"/>
  <c r="L192" i="24"/>
  <c r="M192" i="24"/>
  <c r="N192" i="24"/>
  <c r="O192" i="24"/>
  <c r="A193" i="24"/>
  <c r="L193" i="24"/>
  <c r="M193" i="24"/>
  <c r="A194" i="24"/>
  <c r="B194" i="24" s="1"/>
  <c r="M194" i="24"/>
  <c r="N194" i="24"/>
  <c r="A195" i="24"/>
  <c r="B195" i="24"/>
  <c r="C195" i="24"/>
  <c r="F195" i="24"/>
  <c r="M195" i="24"/>
  <c r="N195" i="24"/>
  <c r="O195" i="24"/>
  <c r="A196" i="24"/>
  <c r="B196" i="24"/>
  <c r="E196" i="24" s="1"/>
  <c r="C196" i="24"/>
  <c r="I196" i="24" s="1"/>
  <c r="D196" i="24"/>
  <c r="F196" i="24"/>
  <c r="G196" i="24"/>
  <c r="J196" i="24" s="1"/>
  <c r="H196" i="24"/>
  <c r="L196" i="24"/>
  <c r="M196" i="24"/>
  <c r="N196" i="24"/>
  <c r="O196" i="24"/>
  <c r="A197" i="24"/>
  <c r="L197" i="24"/>
  <c r="A198" i="24"/>
  <c r="B198" i="24"/>
  <c r="D198" i="24" s="1"/>
  <c r="E198" i="24"/>
  <c r="M198" i="24"/>
  <c r="N198" i="24"/>
  <c r="A199" i="24"/>
  <c r="B199" i="24"/>
  <c r="C199" i="24"/>
  <c r="M199" i="24"/>
  <c r="N199" i="24"/>
  <c r="O199" i="24"/>
  <c r="A200" i="24"/>
  <c r="B200" i="24"/>
  <c r="E200" i="24" s="1"/>
  <c r="C200" i="24"/>
  <c r="I200" i="24" s="1"/>
  <c r="D200" i="24"/>
  <c r="F200" i="24"/>
  <c r="G200" i="24"/>
  <c r="H200" i="24"/>
  <c r="L200" i="24"/>
  <c r="M200" i="24"/>
  <c r="N200" i="24"/>
  <c r="O200" i="24"/>
  <c r="A201" i="24"/>
  <c r="A202" i="24"/>
  <c r="B202" i="24"/>
  <c r="D202" i="24" s="1"/>
  <c r="A203" i="24"/>
  <c r="B203" i="24"/>
  <c r="F203" i="24" s="1"/>
  <c r="C203" i="24"/>
  <c r="G203" i="24"/>
  <c r="M203" i="24"/>
  <c r="N203" i="24"/>
  <c r="O203" i="24"/>
  <c r="A204" i="24"/>
  <c r="B204" i="24"/>
  <c r="E204" i="24" s="1"/>
  <c r="C204" i="24"/>
  <c r="I204" i="24" s="1"/>
  <c r="D204" i="24"/>
  <c r="F204" i="24"/>
  <c r="L204" i="24"/>
  <c r="M204" i="24"/>
  <c r="N204" i="24"/>
  <c r="O204" i="24"/>
  <c r="A205" i="24"/>
  <c r="L205" i="24" s="1"/>
  <c r="M205" i="24"/>
  <c r="A206" i="24"/>
  <c r="M206" i="24" s="1"/>
  <c r="A207" i="24"/>
  <c r="B207" i="24"/>
  <c r="C207" i="24"/>
  <c r="F207" i="24"/>
  <c r="G207" i="24"/>
  <c r="M207" i="24"/>
  <c r="N207" i="24"/>
  <c r="O207" i="24"/>
  <c r="A208" i="24"/>
  <c r="B208" i="24"/>
  <c r="E208" i="24" s="1"/>
  <c r="C208" i="24"/>
  <c r="I208" i="24" s="1"/>
  <c r="D208" i="24"/>
  <c r="F208" i="24"/>
  <c r="L208" i="24"/>
  <c r="M208" i="24"/>
  <c r="N208" i="24"/>
  <c r="O208" i="24"/>
  <c r="A209" i="24"/>
  <c r="L209" i="24"/>
  <c r="M209" i="24"/>
  <c r="A210" i="24"/>
  <c r="B210" i="24" s="1"/>
  <c r="M210" i="24"/>
  <c r="N210" i="24"/>
  <c r="A211" i="24"/>
  <c r="B211" i="24"/>
  <c r="C211" i="24"/>
  <c r="F211" i="24"/>
  <c r="M211" i="24"/>
  <c r="N211" i="24"/>
  <c r="O211" i="24"/>
  <c r="A212" i="24"/>
  <c r="B212" i="24"/>
  <c r="E212" i="24" s="1"/>
  <c r="C212" i="24"/>
  <c r="I212" i="24" s="1"/>
  <c r="D212" i="24"/>
  <c r="F212" i="24"/>
  <c r="G212" i="24"/>
  <c r="J212" i="24" s="1"/>
  <c r="H212" i="24"/>
  <c r="L212" i="24"/>
  <c r="M212" i="24"/>
  <c r="N212" i="24"/>
  <c r="O212" i="24"/>
  <c r="A213" i="24"/>
  <c r="L213" i="24"/>
  <c r="A214" i="24"/>
  <c r="B214" i="24"/>
  <c r="D214" i="24" s="1"/>
  <c r="E214" i="24"/>
  <c r="M214" i="24"/>
  <c r="N214" i="24"/>
  <c r="A215" i="24"/>
  <c r="B215" i="24"/>
  <c r="C215" i="24"/>
  <c r="G215" i="24" s="1"/>
  <c r="M215" i="24"/>
  <c r="N215" i="24"/>
  <c r="O215" i="24"/>
  <c r="A216" i="24"/>
  <c r="B216" i="24"/>
  <c r="E216" i="24" s="1"/>
  <c r="C216" i="24"/>
  <c r="I216" i="24" s="1"/>
  <c r="D216" i="24"/>
  <c r="F216" i="24"/>
  <c r="G216" i="24"/>
  <c r="H216" i="24"/>
  <c r="L216" i="24"/>
  <c r="M216" i="24"/>
  <c r="N216" i="24"/>
  <c r="O216" i="24"/>
  <c r="A217" i="24"/>
  <c r="M217" i="24" s="1"/>
  <c r="A218" i="24"/>
  <c r="B218" i="24"/>
  <c r="D218" i="24" s="1"/>
  <c r="A219" i="24"/>
  <c r="B219" i="24"/>
  <c r="C219" i="24"/>
  <c r="G219" i="24"/>
  <c r="M219" i="24"/>
  <c r="N219" i="24"/>
  <c r="O219" i="24"/>
  <c r="A220" i="24"/>
  <c r="B220" i="24"/>
  <c r="E220" i="24" s="1"/>
  <c r="C220" i="24"/>
  <c r="I220" i="24" s="1"/>
  <c r="D220" i="24"/>
  <c r="F220" i="24"/>
  <c r="L220" i="24"/>
  <c r="M220" i="24"/>
  <c r="N220" i="24"/>
  <c r="O220" i="24"/>
  <c r="A221" i="24"/>
  <c r="L221" i="24" s="1"/>
  <c r="M221" i="24"/>
  <c r="A222" i="24"/>
  <c r="M222" i="24" s="1"/>
  <c r="A223" i="24"/>
  <c r="B223" i="24"/>
  <c r="C223" i="24"/>
  <c r="F223" i="24"/>
  <c r="G223" i="24"/>
  <c r="M223" i="24"/>
  <c r="N223" i="24"/>
  <c r="O223" i="24"/>
  <c r="A224" i="24"/>
  <c r="B224" i="24"/>
  <c r="E224" i="24" s="1"/>
  <c r="C224" i="24"/>
  <c r="I224" i="24" s="1"/>
  <c r="D224" i="24"/>
  <c r="F224" i="24"/>
  <c r="L224" i="24"/>
  <c r="M224" i="24"/>
  <c r="N224" i="24"/>
  <c r="O224" i="24"/>
  <c r="A225" i="24"/>
  <c r="L225" i="24"/>
  <c r="M225" i="24"/>
  <c r="A226" i="24"/>
  <c r="B226" i="24" s="1"/>
  <c r="M226" i="24"/>
  <c r="N226" i="24"/>
  <c r="A227" i="24"/>
  <c r="B227" i="24"/>
  <c r="C227" i="24"/>
  <c r="F227" i="24"/>
  <c r="M227" i="24"/>
  <c r="N227" i="24"/>
  <c r="O227" i="24"/>
  <c r="A228" i="24"/>
  <c r="B228" i="24"/>
  <c r="E228" i="24" s="1"/>
  <c r="C228" i="24"/>
  <c r="I228" i="24" s="1"/>
  <c r="D228" i="24"/>
  <c r="F228" i="24"/>
  <c r="G228" i="24"/>
  <c r="J228" i="24" s="1"/>
  <c r="H228" i="24"/>
  <c r="L228" i="24"/>
  <c r="M228" i="24"/>
  <c r="N228" i="24"/>
  <c r="O228" i="24"/>
  <c r="A229" i="24"/>
  <c r="L229" i="24"/>
  <c r="A230" i="24"/>
  <c r="B230" i="24"/>
  <c r="D230" i="24" s="1"/>
  <c r="E230" i="24"/>
  <c r="M230" i="24"/>
  <c r="N230" i="24"/>
  <c r="A231" i="24"/>
  <c r="B231" i="24"/>
  <c r="C231" i="24"/>
  <c r="M231" i="24"/>
  <c r="N231" i="24"/>
  <c r="O231" i="24"/>
  <c r="A232" i="24"/>
  <c r="B232" i="24"/>
  <c r="E232" i="24" s="1"/>
  <c r="C232" i="24"/>
  <c r="I232" i="24" s="1"/>
  <c r="D232" i="24"/>
  <c r="F232" i="24"/>
  <c r="G232" i="24"/>
  <c r="H232" i="24"/>
  <c r="L232" i="24"/>
  <c r="M232" i="24"/>
  <c r="N232" i="24"/>
  <c r="O232" i="24"/>
  <c r="A233" i="24"/>
  <c r="A234" i="24"/>
  <c r="N234" i="24" s="1"/>
  <c r="B234" i="24"/>
  <c r="D234" i="24" s="1"/>
  <c r="A235" i="24"/>
  <c r="B235" i="24"/>
  <c r="F235" i="24" s="1"/>
  <c r="C235" i="24"/>
  <c r="G235" i="24"/>
  <c r="M235" i="24"/>
  <c r="N235" i="24"/>
  <c r="O235" i="24"/>
  <c r="A236" i="24"/>
  <c r="B236" i="24"/>
  <c r="E236" i="24" s="1"/>
  <c r="C236" i="24"/>
  <c r="I236" i="24" s="1"/>
  <c r="D236" i="24"/>
  <c r="F236" i="24"/>
  <c r="L236" i="24"/>
  <c r="M236" i="24"/>
  <c r="N236" i="24"/>
  <c r="O236" i="24"/>
  <c r="A237" i="24"/>
  <c r="L237" i="24" s="1"/>
  <c r="M237" i="24"/>
  <c r="A238" i="24"/>
  <c r="M238" i="24" s="1"/>
  <c r="A239" i="24"/>
  <c r="B239" i="24"/>
  <c r="C239" i="24"/>
  <c r="F239" i="24"/>
  <c r="G239" i="24"/>
  <c r="M239" i="24"/>
  <c r="N239" i="24"/>
  <c r="O239" i="24"/>
  <c r="A240" i="24"/>
  <c r="B240" i="24"/>
  <c r="E240" i="24" s="1"/>
  <c r="C240" i="24"/>
  <c r="I240" i="24" s="1"/>
  <c r="D240" i="24"/>
  <c r="F240" i="24"/>
  <c r="L240" i="24"/>
  <c r="M240" i="24"/>
  <c r="N240" i="24"/>
  <c r="O240" i="24"/>
  <c r="A241" i="24"/>
  <c r="L241" i="24"/>
  <c r="M241" i="24"/>
  <c r="A242" i="24"/>
  <c r="B242" i="24" s="1"/>
  <c r="M242" i="24"/>
  <c r="N242" i="24"/>
  <c r="A243" i="24"/>
  <c r="B243" i="24"/>
  <c r="C243" i="24"/>
  <c r="F243" i="24"/>
  <c r="M243" i="24"/>
  <c r="N243" i="24"/>
  <c r="O243" i="24"/>
  <c r="A244" i="24"/>
  <c r="B244" i="24"/>
  <c r="E244" i="24" s="1"/>
  <c r="C244" i="24"/>
  <c r="I244" i="24" s="1"/>
  <c r="D244" i="24"/>
  <c r="F244" i="24"/>
  <c r="G244" i="24"/>
  <c r="J244" i="24" s="1"/>
  <c r="H244" i="24"/>
  <c r="L244" i="24"/>
  <c r="M244" i="24"/>
  <c r="N244" i="24"/>
  <c r="O244" i="24"/>
  <c r="A245" i="24"/>
  <c r="L245" i="24"/>
  <c r="A246" i="24"/>
  <c r="B246" i="24"/>
  <c r="D246" i="24" s="1"/>
  <c r="E246" i="24"/>
  <c r="M246" i="24"/>
  <c r="N246" i="24"/>
  <c r="A247" i="24"/>
  <c r="B247" i="24"/>
  <c r="C247" i="24"/>
  <c r="G247" i="24" s="1"/>
  <c r="M247" i="24"/>
  <c r="N247" i="24"/>
  <c r="O247" i="24"/>
  <c r="A248" i="24"/>
  <c r="B248" i="24"/>
  <c r="E248" i="24" s="1"/>
  <c r="C248" i="24"/>
  <c r="I248" i="24" s="1"/>
  <c r="D248" i="24"/>
  <c r="F248" i="24"/>
  <c r="G248" i="24"/>
  <c r="H248" i="24"/>
  <c r="L248" i="24"/>
  <c r="M248" i="24"/>
  <c r="N248" i="24"/>
  <c r="O248" i="24"/>
  <c r="A249" i="24"/>
  <c r="M249" i="24" s="1"/>
  <c r="A250" i="24"/>
  <c r="B250" i="24"/>
  <c r="D250" i="24" s="1"/>
  <c r="A251" i="24"/>
  <c r="B251" i="24"/>
  <c r="C251" i="24"/>
  <c r="G251" i="24"/>
  <c r="M251" i="24"/>
  <c r="N251" i="24"/>
  <c r="O251" i="24"/>
  <c r="A252" i="24"/>
  <c r="B252" i="24"/>
  <c r="E252" i="24" s="1"/>
  <c r="C252" i="24"/>
  <c r="I252" i="24" s="1"/>
  <c r="D252" i="24"/>
  <c r="F252" i="24"/>
  <c r="L252" i="24"/>
  <c r="M252" i="24"/>
  <c r="N252" i="24"/>
  <c r="O252" i="24"/>
  <c r="A253" i="24"/>
  <c r="L253" i="24" s="1"/>
  <c r="M253" i="24"/>
  <c r="A254" i="24"/>
  <c r="M254" i="24" s="1"/>
  <c r="A255" i="24"/>
  <c r="B255" i="24"/>
  <c r="C255" i="24"/>
  <c r="F255" i="24"/>
  <c r="G255" i="24"/>
  <c r="M255" i="24"/>
  <c r="N255" i="24"/>
  <c r="O255" i="24"/>
  <c r="A256" i="24"/>
  <c r="B256" i="24"/>
  <c r="E256" i="24" s="1"/>
  <c r="C256" i="24"/>
  <c r="I256" i="24" s="1"/>
  <c r="D256" i="24"/>
  <c r="F256" i="24"/>
  <c r="L256" i="24"/>
  <c r="M256" i="24"/>
  <c r="N256" i="24"/>
  <c r="O256" i="24"/>
  <c r="A257" i="24"/>
  <c r="L257" i="24"/>
  <c r="M257" i="24"/>
  <c r="A258" i="24"/>
  <c r="B258" i="24" s="1"/>
  <c r="M258" i="24"/>
  <c r="N258" i="24"/>
  <c r="A259" i="24"/>
  <c r="B259" i="24"/>
  <c r="C259" i="24"/>
  <c r="F259" i="24"/>
  <c r="M259" i="24"/>
  <c r="N259" i="24"/>
  <c r="O259" i="24"/>
  <c r="A260" i="24"/>
  <c r="B260" i="24"/>
  <c r="E260" i="24" s="1"/>
  <c r="C260" i="24"/>
  <c r="I260" i="24" s="1"/>
  <c r="D260" i="24"/>
  <c r="F260" i="24"/>
  <c r="G260" i="24"/>
  <c r="J260" i="24" s="1"/>
  <c r="H260" i="24"/>
  <c r="L260" i="24"/>
  <c r="M260" i="24"/>
  <c r="N260" i="24"/>
  <c r="O260" i="24"/>
  <c r="A261" i="24"/>
  <c r="L261" i="24"/>
  <c r="A262" i="24"/>
  <c r="B262" i="24"/>
  <c r="D262" i="24" s="1"/>
  <c r="E262" i="24"/>
  <c r="M262" i="24"/>
  <c r="N262" i="24"/>
  <c r="A263" i="24"/>
  <c r="B263" i="24"/>
  <c r="C263" i="24"/>
  <c r="G263" i="24" s="1"/>
  <c r="M263" i="24"/>
  <c r="N263" i="24"/>
  <c r="O263" i="24"/>
  <c r="A264" i="24"/>
  <c r="B264" i="24"/>
  <c r="E264" i="24" s="1"/>
  <c r="C264" i="24"/>
  <c r="I264" i="24" s="1"/>
  <c r="D264" i="24"/>
  <c r="F264" i="24"/>
  <c r="G264" i="24"/>
  <c r="H264" i="24"/>
  <c r="L264" i="24"/>
  <c r="M264" i="24"/>
  <c r="N264" i="24"/>
  <c r="O264" i="24"/>
  <c r="A265" i="24"/>
  <c r="M265" i="24" s="1"/>
  <c r="A266" i="24"/>
  <c r="B266" i="24"/>
  <c r="D266" i="24" s="1"/>
  <c r="A267" i="24"/>
  <c r="B267" i="24"/>
  <c r="C267" i="24"/>
  <c r="G267" i="24"/>
  <c r="M267" i="24"/>
  <c r="N267" i="24"/>
  <c r="O267" i="24"/>
  <c r="A268" i="24"/>
  <c r="B268" i="24"/>
  <c r="E268" i="24" s="1"/>
  <c r="C268" i="24"/>
  <c r="I268" i="24" s="1"/>
  <c r="D268" i="24"/>
  <c r="F268" i="24"/>
  <c r="L268" i="24"/>
  <c r="M268" i="24"/>
  <c r="N268" i="24"/>
  <c r="O268" i="24"/>
  <c r="A269" i="24"/>
  <c r="L269" i="24" s="1"/>
  <c r="M269" i="24"/>
  <c r="A270" i="24"/>
  <c r="M270" i="24" s="1"/>
  <c r="A271" i="24"/>
  <c r="B271" i="24"/>
  <c r="C271" i="24"/>
  <c r="F271" i="24"/>
  <c r="G271" i="24"/>
  <c r="M271" i="24"/>
  <c r="N271" i="24"/>
  <c r="O271" i="24"/>
  <c r="A272" i="24"/>
  <c r="B272" i="24"/>
  <c r="E272" i="24" s="1"/>
  <c r="C272" i="24"/>
  <c r="I272" i="24" s="1"/>
  <c r="D272" i="24"/>
  <c r="F272" i="24"/>
  <c r="L272" i="24"/>
  <c r="M272" i="24"/>
  <c r="N272" i="24"/>
  <c r="O272" i="24"/>
  <c r="A273" i="24"/>
  <c r="L273" i="24"/>
  <c r="M273" i="24"/>
  <c r="A274" i="24"/>
  <c r="B274" i="24" s="1"/>
  <c r="M274" i="24"/>
  <c r="N274" i="24"/>
  <c r="A275" i="24"/>
  <c r="B275" i="24"/>
  <c r="C275" i="24"/>
  <c r="F275" i="24"/>
  <c r="M275" i="24"/>
  <c r="N275" i="24"/>
  <c r="O275" i="24"/>
  <c r="A276" i="24"/>
  <c r="B276" i="24"/>
  <c r="E276" i="24" s="1"/>
  <c r="C276" i="24"/>
  <c r="I276" i="24" s="1"/>
  <c r="D276" i="24"/>
  <c r="F276" i="24"/>
  <c r="G276" i="24"/>
  <c r="J276" i="24" s="1"/>
  <c r="H276" i="24"/>
  <c r="L276" i="24"/>
  <c r="M276" i="24"/>
  <c r="N276" i="24"/>
  <c r="O276" i="24"/>
  <c r="A277" i="24"/>
  <c r="L277" i="24"/>
  <c r="A278" i="24"/>
  <c r="B278" i="24"/>
  <c r="D278" i="24" s="1"/>
  <c r="E278" i="24"/>
  <c r="M278" i="24"/>
  <c r="N278" i="24"/>
  <c r="A279" i="24"/>
  <c r="B279" i="24"/>
  <c r="C279" i="24"/>
  <c r="G279" i="24" s="1"/>
  <c r="M279" i="24"/>
  <c r="N279" i="24"/>
  <c r="O279" i="24"/>
  <c r="A280" i="24"/>
  <c r="B280" i="24"/>
  <c r="E280" i="24" s="1"/>
  <c r="C280" i="24"/>
  <c r="I280" i="24" s="1"/>
  <c r="D280" i="24"/>
  <c r="F280" i="24"/>
  <c r="G280" i="24"/>
  <c r="H280" i="24"/>
  <c r="L280" i="24"/>
  <c r="M280" i="24"/>
  <c r="N280" i="24"/>
  <c r="O280" i="24"/>
  <c r="A281" i="24"/>
  <c r="M281" i="24" s="1"/>
  <c r="A282" i="24"/>
  <c r="N282" i="24" s="1"/>
  <c r="B282" i="24"/>
  <c r="D282" i="24" s="1"/>
  <c r="A283" i="24"/>
  <c r="B283" i="24"/>
  <c r="C283" i="24"/>
  <c r="G283" i="24"/>
  <c r="O283" i="24"/>
  <c r="A284" i="24"/>
  <c r="B284" i="24"/>
  <c r="D284" i="24" s="1"/>
  <c r="A285" i="24"/>
  <c r="B285" i="24"/>
  <c r="F285" i="24" s="1"/>
  <c r="C285" i="24"/>
  <c r="G285" i="24"/>
  <c r="M285" i="24"/>
  <c r="N285" i="24"/>
  <c r="O285" i="24"/>
  <c r="A286" i="24"/>
  <c r="B286" i="24"/>
  <c r="E286" i="24" s="1"/>
  <c r="C286" i="24"/>
  <c r="I286" i="24" s="1"/>
  <c r="D286" i="24"/>
  <c r="F286" i="24"/>
  <c r="L286" i="24"/>
  <c r="M286" i="24"/>
  <c r="N286" i="24"/>
  <c r="O286" i="24"/>
  <c r="A287" i="24"/>
  <c r="L287" i="24" s="1"/>
  <c r="M287" i="24"/>
  <c r="A288" i="24"/>
  <c r="A289" i="24"/>
  <c r="B289" i="24"/>
  <c r="C289" i="24"/>
  <c r="F289" i="24"/>
  <c r="G289" i="24"/>
  <c r="M289" i="24"/>
  <c r="N289" i="24"/>
  <c r="O289" i="24"/>
  <c r="A290" i="24"/>
  <c r="B290" i="24"/>
  <c r="E290" i="24" s="1"/>
  <c r="C290" i="24"/>
  <c r="I290" i="24" s="1"/>
  <c r="D290" i="24"/>
  <c r="F290" i="24"/>
  <c r="L290" i="24"/>
  <c r="M290" i="24"/>
  <c r="N290" i="24"/>
  <c r="O290" i="24"/>
  <c r="A291" i="24"/>
  <c r="L291" i="24"/>
  <c r="M291" i="24"/>
  <c r="A292" i="24"/>
  <c r="B292" i="24" s="1"/>
  <c r="M292" i="24"/>
  <c r="N292" i="24"/>
  <c r="A293" i="24"/>
  <c r="B293" i="24"/>
  <c r="C293" i="24"/>
  <c r="F293" i="24"/>
  <c r="M293" i="24"/>
  <c r="N293" i="24"/>
  <c r="O293" i="24"/>
  <c r="A294" i="24"/>
  <c r="B294" i="24"/>
  <c r="E294" i="24" s="1"/>
  <c r="C294" i="24"/>
  <c r="I294" i="24" s="1"/>
  <c r="D294" i="24"/>
  <c r="F294" i="24"/>
  <c r="G294" i="24"/>
  <c r="J294" i="24" s="1"/>
  <c r="H294" i="24"/>
  <c r="L294" i="24"/>
  <c r="M294" i="24"/>
  <c r="N294" i="24"/>
  <c r="O294" i="24"/>
  <c r="A295" i="24"/>
  <c r="C295" i="24"/>
  <c r="I295" i="24" s="1"/>
  <c r="L295" i="24"/>
  <c r="M295" i="24"/>
  <c r="A296" i="24"/>
  <c r="B296" i="24"/>
  <c r="E296" i="24" s="1"/>
  <c r="D296" i="24"/>
  <c r="L296" i="24"/>
  <c r="M296" i="24"/>
  <c r="N296" i="24"/>
  <c r="A297" i="24"/>
  <c r="B297" i="24" s="1"/>
  <c r="C297" i="24"/>
  <c r="H297" i="24" s="1"/>
  <c r="N297" i="24"/>
  <c r="O297" i="24"/>
  <c r="A298" i="24"/>
  <c r="B298" i="24"/>
  <c r="E298" i="24" s="1"/>
  <c r="C298" i="24"/>
  <c r="I298" i="24" s="1"/>
  <c r="D298" i="24"/>
  <c r="F298" i="24"/>
  <c r="L298" i="24"/>
  <c r="M298" i="24"/>
  <c r="N298" i="24"/>
  <c r="O298" i="24"/>
  <c r="A299" i="24"/>
  <c r="C299" i="24"/>
  <c r="G299" i="24" s="1"/>
  <c r="H299" i="24"/>
  <c r="I299" i="24"/>
  <c r="L299" i="24"/>
  <c r="M299" i="24"/>
  <c r="O299" i="24"/>
  <c r="A300" i="24"/>
  <c r="B300" i="24" s="1"/>
  <c r="L300" i="24"/>
  <c r="N300" i="24"/>
  <c r="A301" i="24"/>
  <c r="C301" i="24" s="1"/>
  <c r="A302" i="24"/>
  <c r="B302" i="24"/>
  <c r="E302" i="24" s="1"/>
  <c r="C302" i="24"/>
  <c r="I302" i="24" s="1"/>
  <c r="D302" i="24"/>
  <c r="J302" i="24" s="1"/>
  <c r="F302" i="24"/>
  <c r="G302" i="24"/>
  <c r="H302" i="24"/>
  <c r="L302" i="24"/>
  <c r="M302" i="24"/>
  <c r="N302" i="24"/>
  <c r="O302" i="24"/>
  <c r="A303" i="24"/>
  <c r="C303" i="24" s="1"/>
  <c r="L303" i="24"/>
  <c r="O303" i="24"/>
  <c r="A304" i="24"/>
  <c r="N304" i="24" s="1"/>
  <c r="L304" i="24"/>
  <c r="A305" i="24"/>
  <c r="B305" i="24"/>
  <c r="D305" i="24" s="1"/>
  <c r="M305" i="24"/>
  <c r="A306" i="24"/>
  <c r="B306" i="24"/>
  <c r="E306" i="24" s="1"/>
  <c r="C306" i="24"/>
  <c r="I306" i="24" s="1"/>
  <c r="G306" i="24"/>
  <c r="H306" i="24"/>
  <c r="L306" i="24"/>
  <c r="M306" i="24"/>
  <c r="N306" i="24"/>
  <c r="O306" i="24"/>
  <c r="A307" i="24"/>
  <c r="O307" i="24" s="1"/>
  <c r="L307" i="24"/>
  <c r="A308" i="24"/>
  <c r="V308" i="24" s="1"/>
  <c r="B308" i="24"/>
  <c r="D308" i="24" s="1"/>
  <c r="L308" i="24"/>
  <c r="M308" i="24"/>
  <c r="A309" i="24"/>
  <c r="B309" i="24"/>
  <c r="D309" i="24" s="1"/>
  <c r="C309" i="24"/>
  <c r="H309" i="24" s="1"/>
  <c r="M309" i="24"/>
  <c r="N309" i="24"/>
  <c r="O309" i="24"/>
  <c r="A310" i="24"/>
  <c r="B310" i="24"/>
  <c r="E310" i="24" s="1"/>
  <c r="C310" i="24"/>
  <c r="I310" i="24" s="1"/>
  <c r="L310" i="24"/>
  <c r="M310" i="24"/>
  <c r="N310" i="24"/>
  <c r="O310" i="24"/>
  <c r="A311" i="24"/>
  <c r="C311" i="24"/>
  <c r="I311" i="24" s="1"/>
  <c r="H311" i="24"/>
  <c r="L311" i="24"/>
  <c r="M311" i="24"/>
  <c r="A312" i="24"/>
  <c r="B312" i="24"/>
  <c r="E312" i="24" s="1"/>
  <c r="D312" i="24"/>
  <c r="L312" i="24"/>
  <c r="M312" i="24"/>
  <c r="N312" i="24"/>
  <c r="A313" i="24"/>
  <c r="B313" i="24" s="1"/>
  <c r="C313" i="24"/>
  <c r="H313" i="24" s="1"/>
  <c r="N313" i="24"/>
  <c r="O313" i="24"/>
  <c r="A314" i="24"/>
  <c r="B314" i="24"/>
  <c r="E314" i="24" s="1"/>
  <c r="C314" i="24"/>
  <c r="I314" i="24" s="1"/>
  <c r="D314" i="24"/>
  <c r="F314" i="24"/>
  <c r="L314" i="24"/>
  <c r="M314" i="24"/>
  <c r="N314" i="24"/>
  <c r="O314" i="24"/>
  <c r="A315" i="24"/>
  <c r="C315" i="24"/>
  <c r="G315" i="24" s="1"/>
  <c r="H315" i="24"/>
  <c r="I315" i="24"/>
  <c r="L315" i="24"/>
  <c r="M315" i="24"/>
  <c r="O315" i="24"/>
  <c r="A316" i="24"/>
  <c r="B316" i="24" s="1"/>
  <c r="L316" i="24"/>
  <c r="N316" i="24"/>
  <c r="A317" i="24"/>
  <c r="A318" i="24"/>
  <c r="B318" i="24"/>
  <c r="E318" i="24" s="1"/>
  <c r="C318" i="24"/>
  <c r="I318" i="24" s="1"/>
  <c r="D318" i="24"/>
  <c r="J318" i="24" s="1"/>
  <c r="F318" i="24"/>
  <c r="G318" i="24"/>
  <c r="H318" i="24"/>
  <c r="L318" i="24"/>
  <c r="M318" i="24"/>
  <c r="N318" i="24"/>
  <c r="O318" i="24"/>
  <c r="A319" i="24"/>
  <c r="C319" i="24" s="1"/>
  <c r="L319" i="24"/>
  <c r="O319" i="24"/>
  <c r="A320" i="24"/>
  <c r="L320" i="24"/>
  <c r="A321" i="24"/>
  <c r="B321" i="24"/>
  <c r="D321" i="24" s="1"/>
  <c r="M321" i="24"/>
  <c r="A322" i="24"/>
  <c r="B322" i="24"/>
  <c r="E322" i="24" s="1"/>
  <c r="C322" i="24"/>
  <c r="I322" i="24" s="1"/>
  <c r="G322" i="24"/>
  <c r="H322" i="24"/>
  <c r="L322" i="24"/>
  <c r="M322" i="24"/>
  <c r="N322" i="24"/>
  <c r="O322" i="24"/>
  <c r="A323" i="24"/>
  <c r="L323" i="24"/>
  <c r="A324" i="24"/>
  <c r="B324" i="24"/>
  <c r="D324" i="24" s="1"/>
  <c r="L324" i="24"/>
  <c r="M324" i="24"/>
  <c r="A325" i="24"/>
  <c r="B325" i="24"/>
  <c r="D325" i="24" s="1"/>
  <c r="C325" i="24"/>
  <c r="H325" i="24" s="1"/>
  <c r="M325" i="24"/>
  <c r="N325" i="24"/>
  <c r="O325" i="24"/>
  <c r="A326" i="24"/>
  <c r="B326" i="24"/>
  <c r="E326" i="24" s="1"/>
  <c r="C326" i="24"/>
  <c r="I326" i="24" s="1"/>
  <c r="L326" i="24"/>
  <c r="M326" i="24"/>
  <c r="N326" i="24"/>
  <c r="O326" i="24"/>
  <c r="A327" i="24"/>
  <c r="C327" i="24"/>
  <c r="I327" i="24" s="1"/>
  <c r="H327" i="24"/>
  <c r="L327" i="24"/>
  <c r="M327" i="24"/>
  <c r="A328" i="24"/>
  <c r="B328" i="24"/>
  <c r="E328" i="24" s="1"/>
  <c r="D328" i="24"/>
  <c r="L328" i="24"/>
  <c r="M328" i="24"/>
  <c r="N328" i="24"/>
  <c r="A329" i="24"/>
  <c r="B329" i="24" s="1"/>
  <c r="C329" i="24"/>
  <c r="H329" i="24" s="1"/>
  <c r="N329" i="24"/>
  <c r="O329" i="24"/>
  <c r="A330" i="24"/>
  <c r="B330" i="24"/>
  <c r="E330" i="24" s="1"/>
  <c r="C330" i="24"/>
  <c r="I330" i="24" s="1"/>
  <c r="D330" i="24"/>
  <c r="F330" i="24"/>
  <c r="L330" i="24"/>
  <c r="M330" i="24"/>
  <c r="N330" i="24"/>
  <c r="O330" i="24"/>
  <c r="A331" i="24"/>
  <c r="C331" i="24"/>
  <c r="G331" i="24" s="1"/>
  <c r="H331" i="24"/>
  <c r="I331" i="24"/>
  <c r="L331" i="24"/>
  <c r="M331" i="24"/>
  <c r="O331" i="24"/>
  <c r="A332" i="24"/>
  <c r="P332" i="24" s="1"/>
  <c r="L332" i="24"/>
  <c r="N332" i="24"/>
  <c r="A333" i="24"/>
  <c r="A334" i="24"/>
  <c r="B334" i="24"/>
  <c r="E334" i="24" s="1"/>
  <c r="C334" i="24"/>
  <c r="I334" i="24" s="1"/>
  <c r="D334" i="24"/>
  <c r="J334" i="24" s="1"/>
  <c r="F334" i="24"/>
  <c r="G334" i="24"/>
  <c r="H334" i="24"/>
  <c r="L334" i="24"/>
  <c r="M334" i="24"/>
  <c r="N334" i="24"/>
  <c r="O334" i="24"/>
  <c r="A335" i="24"/>
  <c r="C335" i="24" s="1"/>
  <c r="L335" i="24"/>
  <c r="O335" i="24"/>
  <c r="A336" i="24"/>
  <c r="L336" i="24"/>
  <c r="A337" i="24"/>
  <c r="O337" i="24" s="1"/>
  <c r="B337" i="24"/>
  <c r="D337" i="24" s="1"/>
  <c r="M337" i="24"/>
  <c r="A338" i="24"/>
  <c r="B338" i="24"/>
  <c r="E338" i="24" s="1"/>
  <c r="C338" i="24"/>
  <c r="I338" i="24" s="1"/>
  <c r="G338" i="24"/>
  <c r="H338" i="24"/>
  <c r="L338" i="24"/>
  <c r="M338" i="24"/>
  <c r="N338" i="24"/>
  <c r="O338" i="24"/>
  <c r="A339" i="24"/>
  <c r="L339" i="24"/>
  <c r="A340" i="24"/>
  <c r="Q340" i="24" s="1"/>
  <c r="B340" i="24"/>
  <c r="D340" i="24" s="1"/>
  <c r="L340" i="24"/>
  <c r="M340" i="24"/>
  <c r="A341" i="24"/>
  <c r="B341" i="24"/>
  <c r="D341" i="24" s="1"/>
  <c r="C341" i="24"/>
  <c r="H341" i="24" s="1"/>
  <c r="M341" i="24"/>
  <c r="N341" i="24"/>
  <c r="O341" i="24"/>
  <c r="A342" i="24"/>
  <c r="B342" i="24"/>
  <c r="E342" i="24" s="1"/>
  <c r="C342" i="24"/>
  <c r="I342" i="24" s="1"/>
  <c r="L342" i="24"/>
  <c r="M342" i="24"/>
  <c r="N342" i="24"/>
  <c r="O342" i="24"/>
  <c r="A343" i="24"/>
  <c r="C343" i="24"/>
  <c r="I343" i="24" s="1"/>
  <c r="H343" i="24"/>
  <c r="L343" i="24"/>
  <c r="M343" i="24"/>
  <c r="A344" i="24"/>
  <c r="B344" i="24"/>
  <c r="E344" i="24" s="1"/>
  <c r="D344" i="24"/>
  <c r="L344" i="24"/>
  <c r="M344" i="24"/>
  <c r="N344" i="24"/>
  <c r="A345" i="24"/>
  <c r="B345" i="24" s="1"/>
  <c r="C345" i="24"/>
  <c r="H345" i="24" s="1"/>
  <c r="N345" i="24"/>
  <c r="O345" i="24"/>
  <c r="A346" i="24"/>
  <c r="B346" i="24"/>
  <c r="E346" i="24" s="1"/>
  <c r="C346" i="24"/>
  <c r="I346" i="24" s="1"/>
  <c r="D346" i="24"/>
  <c r="F346" i="24"/>
  <c r="L346" i="24"/>
  <c r="M346" i="24"/>
  <c r="N346" i="24"/>
  <c r="O346" i="24"/>
  <c r="A347" i="24"/>
  <c r="C347" i="24"/>
  <c r="G347" i="24" s="1"/>
  <c r="H347" i="24"/>
  <c r="I347" i="24"/>
  <c r="L347" i="24"/>
  <c r="M347" i="24"/>
  <c r="O347" i="24"/>
  <c r="A348" i="24"/>
  <c r="B348" i="24" s="1"/>
  <c r="L348" i="24"/>
  <c r="N348" i="24"/>
  <c r="A349" i="24"/>
  <c r="A350" i="24"/>
  <c r="B350" i="24"/>
  <c r="E350" i="24" s="1"/>
  <c r="C350" i="24"/>
  <c r="I350" i="24" s="1"/>
  <c r="D350" i="24"/>
  <c r="J350" i="24" s="1"/>
  <c r="F350" i="24"/>
  <c r="G350" i="24"/>
  <c r="H350" i="24"/>
  <c r="L350" i="24"/>
  <c r="M350" i="24"/>
  <c r="N350" i="24"/>
  <c r="O350" i="24"/>
  <c r="A351" i="24"/>
  <c r="C351" i="24" s="1"/>
  <c r="L351" i="24"/>
  <c r="O351" i="24"/>
  <c r="A352" i="24"/>
  <c r="L352" i="24"/>
  <c r="A353" i="24"/>
  <c r="O353" i="24" s="1"/>
  <c r="B353" i="24"/>
  <c r="D353" i="24" s="1"/>
  <c r="M353" i="24"/>
  <c r="A354" i="24"/>
  <c r="B354" i="24"/>
  <c r="E354" i="24" s="1"/>
  <c r="C354" i="24"/>
  <c r="I354" i="24" s="1"/>
  <c r="G354" i="24"/>
  <c r="H354" i="24"/>
  <c r="L354" i="24"/>
  <c r="M354" i="24"/>
  <c r="N354" i="24"/>
  <c r="O354" i="24"/>
  <c r="A355" i="24"/>
  <c r="L355" i="24"/>
  <c r="A356" i="24"/>
  <c r="B356" i="24"/>
  <c r="D356" i="24" s="1"/>
  <c r="L356" i="24"/>
  <c r="M356" i="24"/>
  <c r="A357" i="24"/>
  <c r="B357" i="24"/>
  <c r="D357" i="24" s="1"/>
  <c r="C357" i="24"/>
  <c r="H357" i="24" s="1"/>
  <c r="M357" i="24"/>
  <c r="N357" i="24"/>
  <c r="O357" i="24"/>
  <c r="A358" i="24"/>
  <c r="B358" i="24"/>
  <c r="E358" i="24" s="1"/>
  <c r="C358" i="24"/>
  <c r="I358" i="24" s="1"/>
  <c r="L358" i="24"/>
  <c r="M358" i="24"/>
  <c r="N358" i="24"/>
  <c r="O358" i="24"/>
  <c r="A359" i="24"/>
  <c r="C359" i="24"/>
  <c r="I359" i="24" s="1"/>
  <c r="H359" i="24"/>
  <c r="L359" i="24"/>
  <c r="M359" i="24"/>
  <c r="A360" i="24"/>
  <c r="B360" i="24"/>
  <c r="E360" i="24" s="1"/>
  <c r="D360" i="24"/>
  <c r="L360" i="24"/>
  <c r="M360" i="24"/>
  <c r="N360" i="24"/>
  <c r="A361" i="24"/>
  <c r="B361" i="24" s="1"/>
  <c r="C361" i="24"/>
  <c r="H361" i="24" s="1"/>
  <c r="N361" i="24"/>
  <c r="O361" i="24"/>
  <c r="A362" i="24"/>
  <c r="B362" i="24"/>
  <c r="E362" i="24" s="1"/>
  <c r="C362" i="24"/>
  <c r="I362" i="24" s="1"/>
  <c r="D362" i="24"/>
  <c r="F362" i="24"/>
  <c r="L362" i="24"/>
  <c r="M362" i="24"/>
  <c r="N362" i="24"/>
  <c r="O362" i="24"/>
  <c r="A363" i="24"/>
  <c r="C363" i="24"/>
  <c r="G363" i="24" s="1"/>
  <c r="H363" i="24"/>
  <c r="I363" i="24"/>
  <c r="L363" i="24"/>
  <c r="M363" i="24"/>
  <c r="O363" i="24"/>
  <c r="A364" i="24"/>
  <c r="B364" i="24" s="1"/>
  <c r="L364" i="24"/>
  <c r="N364" i="24"/>
  <c r="A365" i="24"/>
  <c r="A366" i="24"/>
  <c r="B366" i="24"/>
  <c r="E366" i="24" s="1"/>
  <c r="C366" i="24"/>
  <c r="I366" i="24" s="1"/>
  <c r="D366" i="24"/>
  <c r="J366" i="24" s="1"/>
  <c r="F366" i="24"/>
  <c r="G366" i="24"/>
  <c r="H366" i="24"/>
  <c r="L366" i="24"/>
  <c r="M366" i="24"/>
  <c r="N366" i="24"/>
  <c r="O366" i="24"/>
  <c r="A367" i="24"/>
  <c r="Q367" i="24" s="1"/>
  <c r="L367" i="24"/>
  <c r="O367" i="24"/>
  <c r="A368" i="24"/>
  <c r="L368" i="24"/>
  <c r="A369" i="24"/>
  <c r="O369" i="24" s="1"/>
  <c r="B369" i="24"/>
  <c r="D369" i="24" s="1"/>
  <c r="M369" i="24"/>
  <c r="A370" i="24"/>
  <c r="B370" i="24"/>
  <c r="E370" i="24" s="1"/>
  <c r="C370" i="24"/>
  <c r="I370" i="24" s="1"/>
  <c r="G370" i="24"/>
  <c r="H370" i="24"/>
  <c r="L370" i="24"/>
  <c r="M370" i="24"/>
  <c r="N370" i="24"/>
  <c r="O370" i="24"/>
  <c r="A371" i="24"/>
  <c r="L371" i="24"/>
  <c r="A372" i="24"/>
  <c r="B372" i="24"/>
  <c r="D372" i="24" s="1"/>
  <c r="L372" i="24"/>
  <c r="M372" i="24"/>
  <c r="A373" i="24"/>
  <c r="B373" i="24"/>
  <c r="D373" i="24" s="1"/>
  <c r="C373" i="24"/>
  <c r="H373" i="24" s="1"/>
  <c r="M373" i="24"/>
  <c r="N373" i="24"/>
  <c r="O373" i="24"/>
  <c r="A374" i="24"/>
  <c r="P374" i="24" s="1"/>
  <c r="B374" i="24"/>
  <c r="E374" i="24" s="1"/>
  <c r="C374" i="24"/>
  <c r="I374" i="24" s="1"/>
  <c r="L374" i="24"/>
  <c r="M374" i="24"/>
  <c r="N374" i="24"/>
  <c r="O374" i="24"/>
  <c r="A375" i="24"/>
  <c r="W375" i="24" s="1"/>
  <c r="C375" i="24"/>
  <c r="I375" i="24" s="1"/>
  <c r="H375" i="24"/>
  <c r="L375" i="24"/>
  <c r="M375" i="24"/>
  <c r="A376" i="24"/>
  <c r="B376" i="24"/>
  <c r="E376" i="24" s="1"/>
  <c r="D376" i="24"/>
  <c r="L376" i="24"/>
  <c r="M376" i="24"/>
  <c r="N376" i="24"/>
  <c r="A377" i="24"/>
  <c r="B377" i="24" s="1"/>
  <c r="C377" i="24"/>
  <c r="H377" i="24" s="1"/>
  <c r="N377" i="24"/>
  <c r="O377" i="24"/>
  <c r="A378" i="24"/>
  <c r="B378" i="24"/>
  <c r="E378" i="24" s="1"/>
  <c r="C378" i="24"/>
  <c r="I378" i="24" s="1"/>
  <c r="D378" i="24"/>
  <c r="F378" i="24"/>
  <c r="L378" i="24"/>
  <c r="M378" i="24"/>
  <c r="N378" i="24"/>
  <c r="O378" i="24"/>
  <c r="A379" i="24"/>
  <c r="C379" i="24"/>
  <c r="G379" i="24" s="1"/>
  <c r="H379" i="24"/>
  <c r="I379" i="24"/>
  <c r="L379" i="24"/>
  <c r="M379" i="24"/>
  <c r="O379" i="24"/>
  <c r="A380" i="24"/>
  <c r="B380" i="24" s="1"/>
  <c r="L380" i="24"/>
  <c r="N380" i="24"/>
  <c r="A381" i="24"/>
  <c r="A382" i="24"/>
  <c r="B382" i="24"/>
  <c r="E382" i="24" s="1"/>
  <c r="C382" i="24"/>
  <c r="I382" i="24" s="1"/>
  <c r="D382" i="24"/>
  <c r="J382" i="24" s="1"/>
  <c r="F382" i="24"/>
  <c r="G382" i="24"/>
  <c r="H382" i="24"/>
  <c r="L382" i="24"/>
  <c r="M382" i="24"/>
  <c r="N382" i="24"/>
  <c r="O382" i="24"/>
  <c r="A383" i="24"/>
  <c r="C383" i="24" s="1"/>
  <c r="L383" i="24"/>
  <c r="O383" i="24"/>
  <c r="A384" i="24"/>
  <c r="L384" i="24"/>
  <c r="A385" i="24"/>
  <c r="O385" i="24" s="1"/>
  <c r="B385" i="24"/>
  <c r="D385" i="24" s="1"/>
  <c r="M385" i="24"/>
  <c r="A386" i="24"/>
  <c r="B386" i="24"/>
  <c r="E386" i="24" s="1"/>
  <c r="C386" i="24"/>
  <c r="I386" i="24" s="1"/>
  <c r="G386" i="24"/>
  <c r="H386" i="24"/>
  <c r="L386" i="24"/>
  <c r="M386" i="24"/>
  <c r="N386" i="24"/>
  <c r="O386" i="24"/>
  <c r="A387" i="24"/>
  <c r="L387" i="24"/>
  <c r="A388" i="24"/>
  <c r="B388" i="24"/>
  <c r="D388" i="24" s="1"/>
  <c r="L388" i="24"/>
  <c r="M388" i="24"/>
  <c r="A389" i="24"/>
  <c r="B389" i="24"/>
  <c r="D389" i="24" s="1"/>
  <c r="C389" i="24"/>
  <c r="H389" i="24" s="1"/>
  <c r="M389" i="24"/>
  <c r="N389" i="24"/>
  <c r="O389" i="24"/>
  <c r="A390" i="24"/>
  <c r="B390" i="24"/>
  <c r="E390" i="24" s="1"/>
  <c r="C390" i="24"/>
  <c r="I390" i="24" s="1"/>
  <c r="L390" i="24"/>
  <c r="M390" i="24"/>
  <c r="N390" i="24"/>
  <c r="O390" i="24"/>
  <c r="A391" i="24"/>
  <c r="C391" i="24"/>
  <c r="I391" i="24" s="1"/>
  <c r="H391" i="24"/>
  <c r="L391" i="24"/>
  <c r="M391" i="24"/>
  <c r="A392" i="24"/>
  <c r="B392" i="24"/>
  <c r="E392" i="24" s="1"/>
  <c r="D392" i="24"/>
  <c r="L392" i="24"/>
  <c r="M392" i="24"/>
  <c r="N392" i="24"/>
  <c r="A393" i="24"/>
  <c r="B393" i="24" s="1"/>
  <c r="C393" i="24"/>
  <c r="H393" i="24" s="1"/>
  <c r="N393" i="24"/>
  <c r="O393" i="24"/>
  <c r="A394" i="24"/>
  <c r="B394" i="24"/>
  <c r="E394" i="24" s="1"/>
  <c r="C394" i="24"/>
  <c r="I394" i="24" s="1"/>
  <c r="D394" i="24"/>
  <c r="F394" i="24"/>
  <c r="L394" i="24"/>
  <c r="M394" i="24"/>
  <c r="N394" i="24"/>
  <c r="O394" i="24"/>
  <c r="A395" i="24"/>
  <c r="C395" i="24"/>
  <c r="G395" i="24" s="1"/>
  <c r="H395" i="24"/>
  <c r="I395" i="24"/>
  <c r="L395" i="24"/>
  <c r="M395" i="24"/>
  <c r="O395" i="24"/>
  <c r="A396" i="24"/>
  <c r="B396" i="24" s="1"/>
  <c r="L396" i="24"/>
  <c r="N396" i="24"/>
  <c r="A397" i="24"/>
  <c r="A398" i="24"/>
  <c r="X398" i="24" s="1"/>
  <c r="B398" i="24"/>
  <c r="E398" i="24" s="1"/>
  <c r="C398" i="24"/>
  <c r="I398" i="24" s="1"/>
  <c r="D398" i="24"/>
  <c r="J398" i="24" s="1"/>
  <c r="F398" i="24"/>
  <c r="G398" i="24"/>
  <c r="H398" i="24"/>
  <c r="L398" i="24"/>
  <c r="M398" i="24"/>
  <c r="N398" i="24"/>
  <c r="O398" i="24"/>
  <c r="A399" i="24"/>
  <c r="C399" i="24" s="1"/>
  <c r="L399" i="24"/>
  <c r="O399" i="24"/>
  <c r="A400" i="24"/>
  <c r="N400" i="24" s="1"/>
  <c r="L400" i="24"/>
  <c r="A401" i="24"/>
  <c r="B401" i="24"/>
  <c r="D401" i="24" s="1"/>
  <c r="M401" i="24"/>
  <c r="A402" i="24"/>
  <c r="T402" i="24" s="1"/>
  <c r="B402" i="24"/>
  <c r="E402" i="24" s="1"/>
  <c r="C402" i="24"/>
  <c r="I402" i="24" s="1"/>
  <c r="G402" i="24"/>
  <c r="H402" i="24"/>
  <c r="L402" i="24"/>
  <c r="M402" i="24"/>
  <c r="N402" i="24"/>
  <c r="O402" i="24"/>
  <c r="A403" i="24"/>
  <c r="O403" i="24" s="1"/>
  <c r="L403" i="24"/>
  <c r="A404" i="24"/>
  <c r="B404" i="24"/>
  <c r="D404" i="24" s="1"/>
  <c r="L404" i="24"/>
  <c r="M404" i="24"/>
  <c r="A405" i="24"/>
  <c r="B405" i="24"/>
  <c r="D405" i="24" s="1"/>
  <c r="C405" i="24"/>
  <c r="H405" i="24" s="1"/>
  <c r="I405" i="24"/>
  <c r="M405" i="24"/>
  <c r="N405" i="24"/>
  <c r="O405" i="24"/>
  <c r="A406" i="24"/>
  <c r="P406" i="24" s="1"/>
  <c r="B406" i="24"/>
  <c r="E406" i="24" s="1"/>
  <c r="C406" i="24"/>
  <c r="I406" i="24" s="1"/>
  <c r="L406" i="24"/>
  <c r="M406" i="24"/>
  <c r="N406" i="24"/>
  <c r="O406" i="24"/>
  <c r="A407" i="24"/>
  <c r="V407" i="24" s="1"/>
  <c r="C407" i="24"/>
  <c r="I407" i="24" s="1"/>
  <c r="H407" i="24"/>
  <c r="L407" i="24"/>
  <c r="M407" i="24"/>
  <c r="A408" i="24"/>
  <c r="B408" i="24"/>
  <c r="E408" i="24" s="1"/>
  <c r="D408" i="24"/>
  <c r="L408" i="24"/>
  <c r="M408" i="24"/>
  <c r="N408" i="24"/>
  <c r="A409" i="24"/>
  <c r="B409" i="24" s="1"/>
  <c r="C409" i="24"/>
  <c r="H409" i="24" s="1"/>
  <c r="N409" i="24"/>
  <c r="O409" i="24"/>
  <c r="A410" i="24"/>
  <c r="B410" i="24"/>
  <c r="E410" i="24" s="1"/>
  <c r="C410" i="24"/>
  <c r="I410" i="24" s="1"/>
  <c r="D410" i="24"/>
  <c r="F410" i="24"/>
  <c r="L410" i="24"/>
  <c r="M410" i="24"/>
  <c r="N410" i="24"/>
  <c r="O410" i="24"/>
  <c r="A411" i="24"/>
  <c r="C411" i="24"/>
  <c r="G411" i="24" s="1"/>
  <c r="H411" i="24"/>
  <c r="I411" i="24"/>
  <c r="L411" i="24"/>
  <c r="M411" i="24"/>
  <c r="O411" i="24"/>
  <c r="A412" i="24"/>
  <c r="B412" i="24" s="1"/>
  <c r="L412" i="24"/>
  <c r="N412" i="24"/>
  <c r="A413" i="24"/>
  <c r="C413" i="24" s="1"/>
  <c r="A414" i="24"/>
  <c r="B414" i="24"/>
  <c r="E414" i="24" s="1"/>
  <c r="C414" i="24"/>
  <c r="I414" i="24" s="1"/>
  <c r="D414" i="24"/>
  <c r="J414" i="24" s="1"/>
  <c r="F414" i="24"/>
  <c r="G414" i="24"/>
  <c r="H414" i="24"/>
  <c r="L414" i="24"/>
  <c r="M414" i="24"/>
  <c r="N414" i="24"/>
  <c r="O414" i="24"/>
  <c r="A415" i="24"/>
  <c r="C415" i="24" s="1"/>
  <c r="L415" i="24"/>
  <c r="O415" i="24"/>
  <c r="A416" i="24"/>
  <c r="N416" i="24" s="1"/>
  <c r="L416" i="24"/>
  <c r="A417" i="24"/>
  <c r="O417" i="24" s="1"/>
  <c r="B417" i="24"/>
  <c r="D417" i="24" s="1"/>
  <c r="M417" i="24"/>
  <c r="A418" i="24"/>
  <c r="B418" i="24"/>
  <c r="E418" i="24" s="1"/>
  <c r="C418" i="24"/>
  <c r="I418" i="24" s="1"/>
  <c r="G418" i="24"/>
  <c r="H418" i="24"/>
  <c r="L418" i="24"/>
  <c r="M418" i="24"/>
  <c r="N418" i="24"/>
  <c r="O418" i="24"/>
  <c r="A419" i="24"/>
  <c r="O419" i="24" s="1"/>
  <c r="L419" i="24"/>
  <c r="A420" i="24"/>
  <c r="B420" i="24"/>
  <c r="D420" i="24" s="1"/>
  <c r="L420" i="24"/>
  <c r="M420" i="24"/>
  <c r="A421" i="24"/>
  <c r="B421" i="24"/>
  <c r="D421" i="24" s="1"/>
  <c r="C421" i="24"/>
  <c r="H421" i="24" s="1"/>
  <c r="M421" i="24"/>
  <c r="N421" i="24"/>
  <c r="O421" i="24"/>
  <c r="A422" i="24"/>
  <c r="B422" i="24"/>
  <c r="E422" i="24" s="1"/>
  <c r="C422" i="24"/>
  <c r="I422" i="24" s="1"/>
  <c r="L422" i="24"/>
  <c r="M422" i="24"/>
  <c r="N422" i="24"/>
  <c r="O422" i="24"/>
  <c r="A423" i="24"/>
  <c r="C423" i="24"/>
  <c r="I423" i="24" s="1"/>
  <c r="H423" i="24"/>
  <c r="L423" i="24"/>
  <c r="M423" i="24"/>
  <c r="A424" i="24"/>
  <c r="B424" i="24"/>
  <c r="E424" i="24" s="1"/>
  <c r="D424" i="24"/>
  <c r="L424" i="24"/>
  <c r="M424" i="24"/>
  <c r="N424" i="24"/>
  <c r="A425" i="24"/>
  <c r="U425" i="24" s="1"/>
  <c r="C425" i="24"/>
  <c r="H425" i="24" s="1"/>
  <c r="N425" i="24"/>
  <c r="O425" i="24"/>
  <c r="A426" i="24"/>
  <c r="B426" i="24"/>
  <c r="E426" i="24" s="1"/>
  <c r="C426" i="24"/>
  <c r="I426" i="24" s="1"/>
  <c r="D426" i="24"/>
  <c r="F426" i="24"/>
  <c r="L426" i="24"/>
  <c r="M426" i="24"/>
  <c r="N426" i="24"/>
  <c r="O426" i="24"/>
  <c r="A427" i="24"/>
  <c r="C427" i="24"/>
  <c r="G427" i="24" s="1"/>
  <c r="H427" i="24"/>
  <c r="I427" i="24"/>
  <c r="L427" i="24"/>
  <c r="M427" i="24"/>
  <c r="O427" i="24"/>
  <c r="A428" i="24"/>
  <c r="B428" i="24" s="1"/>
  <c r="L428" i="24"/>
  <c r="N428" i="24"/>
  <c r="A429" i="24"/>
  <c r="A430" i="24"/>
  <c r="X430" i="24" s="1"/>
  <c r="B430" i="24"/>
  <c r="E430" i="24" s="1"/>
  <c r="C430" i="24"/>
  <c r="I430" i="24" s="1"/>
  <c r="D430" i="24"/>
  <c r="J430" i="24" s="1"/>
  <c r="F430" i="24"/>
  <c r="G430" i="24"/>
  <c r="H430" i="24"/>
  <c r="L430" i="24"/>
  <c r="M430" i="24"/>
  <c r="N430" i="24"/>
  <c r="O430" i="24"/>
  <c r="A431" i="24"/>
  <c r="C431" i="24" s="1"/>
  <c r="L431" i="24"/>
  <c r="O431" i="24"/>
  <c r="A432" i="24"/>
  <c r="V432" i="24" s="1"/>
  <c r="L432" i="24"/>
  <c r="A433" i="24"/>
  <c r="B433" i="24"/>
  <c r="D433" i="24" s="1"/>
  <c r="M433" i="24"/>
  <c r="A434" i="24"/>
  <c r="T434" i="24" s="1"/>
  <c r="B434" i="24"/>
  <c r="E434" i="24" s="1"/>
  <c r="C434" i="24"/>
  <c r="I434" i="24" s="1"/>
  <c r="G434" i="24"/>
  <c r="H434" i="24"/>
  <c r="L434" i="24"/>
  <c r="M434" i="24"/>
  <c r="N434" i="24"/>
  <c r="O434" i="24"/>
  <c r="A435" i="24"/>
  <c r="O435" i="24" s="1"/>
  <c r="L435" i="24"/>
  <c r="A436" i="24"/>
  <c r="Q436" i="24" s="1"/>
  <c r="B436" i="24"/>
  <c r="D436" i="24" s="1"/>
  <c r="L436" i="24"/>
  <c r="M436" i="24"/>
  <c r="A437" i="24"/>
  <c r="B437" i="24"/>
  <c r="D437" i="24" s="1"/>
  <c r="C437" i="24"/>
  <c r="H437" i="24" s="1"/>
  <c r="M437" i="24"/>
  <c r="N437" i="24"/>
  <c r="O437" i="24"/>
  <c r="A438" i="24"/>
  <c r="P438" i="24" s="1"/>
  <c r="B438" i="24"/>
  <c r="E438" i="24" s="1"/>
  <c r="C438" i="24"/>
  <c r="I438" i="24" s="1"/>
  <c r="L438" i="24"/>
  <c r="M438" i="24"/>
  <c r="N438" i="24"/>
  <c r="O438" i="24"/>
  <c r="A439" i="24"/>
  <c r="C439" i="24"/>
  <c r="I439" i="24" s="1"/>
  <c r="H439" i="24"/>
  <c r="L439" i="24"/>
  <c r="M439" i="24"/>
  <c r="A440" i="24"/>
  <c r="B440" i="24"/>
  <c r="E440" i="24" s="1"/>
  <c r="D440" i="24"/>
  <c r="L440" i="24"/>
  <c r="M440" i="24"/>
  <c r="N440" i="24"/>
  <c r="A441" i="24"/>
  <c r="B441" i="24" s="1"/>
  <c r="C441" i="24"/>
  <c r="H441" i="24" s="1"/>
  <c r="N441" i="24"/>
  <c r="O441" i="24"/>
  <c r="A442" i="24"/>
  <c r="B442" i="24"/>
  <c r="E442" i="24" s="1"/>
  <c r="C442" i="24"/>
  <c r="I442" i="24" s="1"/>
  <c r="D442" i="24"/>
  <c r="F442" i="24"/>
  <c r="L442" i="24"/>
  <c r="M442" i="24"/>
  <c r="N442" i="24"/>
  <c r="O442" i="24"/>
  <c r="A443" i="24"/>
  <c r="C443" i="24"/>
  <c r="G443" i="24" s="1"/>
  <c r="H443" i="24"/>
  <c r="I443" i="24"/>
  <c r="L443" i="24"/>
  <c r="M443" i="24"/>
  <c r="O443" i="24"/>
  <c r="A444" i="24"/>
  <c r="B444" i="24" s="1"/>
  <c r="L444" i="24"/>
  <c r="N444" i="24"/>
  <c r="A445" i="24"/>
  <c r="A446" i="24"/>
  <c r="U446" i="24" s="1"/>
  <c r="B446" i="24"/>
  <c r="E446" i="24" s="1"/>
  <c r="C446" i="24"/>
  <c r="I446" i="24" s="1"/>
  <c r="D446" i="24"/>
  <c r="J446" i="24" s="1"/>
  <c r="F446" i="24"/>
  <c r="G446" i="24"/>
  <c r="H446" i="24"/>
  <c r="L446" i="24"/>
  <c r="M446" i="24"/>
  <c r="N446" i="24"/>
  <c r="O446" i="24"/>
  <c r="A447" i="24"/>
  <c r="C447" i="24" s="1"/>
  <c r="L447" i="24"/>
  <c r="O447" i="24"/>
  <c r="A448" i="24"/>
  <c r="N448" i="24" s="1"/>
  <c r="L448" i="24"/>
  <c r="A449" i="24"/>
  <c r="O449" i="24" s="1"/>
  <c r="B449" i="24"/>
  <c r="D449" i="24" s="1"/>
  <c r="M449" i="24"/>
  <c r="A450" i="24"/>
  <c r="B450" i="24"/>
  <c r="E450" i="24" s="1"/>
  <c r="C450" i="24"/>
  <c r="I450" i="24" s="1"/>
  <c r="G450" i="24"/>
  <c r="H450" i="24"/>
  <c r="L450" i="24"/>
  <c r="M450" i="24"/>
  <c r="N450" i="24"/>
  <c r="O450" i="24"/>
  <c r="A451" i="24"/>
  <c r="O451" i="24" s="1"/>
  <c r="L451" i="24"/>
  <c r="A452" i="24"/>
  <c r="B452" i="24"/>
  <c r="D452" i="24" s="1"/>
  <c r="L452" i="24"/>
  <c r="M452" i="24"/>
  <c r="A453" i="24"/>
  <c r="B453" i="24"/>
  <c r="D453" i="24" s="1"/>
  <c r="C453" i="24"/>
  <c r="H453" i="24" s="1"/>
  <c r="M453" i="24"/>
  <c r="N453" i="24"/>
  <c r="O453" i="24"/>
  <c r="A454" i="24"/>
  <c r="B454" i="24"/>
  <c r="E454" i="24" s="1"/>
  <c r="C454" i="24"/>
  <c r="I454" i="24" s="1"/>
  <c r="L454" i="24"/>
  <c r="M454" i="24"/>
  <c r="N454" i="24"/>
  <c r="O454" i="24"/>
  <c r="A455" i="24"/>
  <c r="C455" i="24"/>
  <c r="I455" i="24" s="1"/>
  <c r="H455" i="24"/>
  <c r="L455" i="24"/>
  <c r="M455" i="24"/>
  <c r="A456" i="24"/>
  <c r="B456" i="24"/>
  <c r="E456" i="24" s="1"/>
  <c r="D456" i="24"/>
  <c r="L456" i="24"/>
  <c r="M456" i="24"/>
  <c r="N456" i="24"/>
  <c r="A457" i="24"/>
  <c r="B457" i="24" s="1"/>
  <c r="C457" i="24"/>
  <c r="H457" i="24" s="1"/>
  <c r="N457" i="24"/>
  <c r="O457" i="24"/>
  <c r="A458" i="24"/>
  <c r="T458" i="24" s="1"/>
  <c r="B458" i="24"/>
  <c r="E458" i="24" s="1"/>
  <c r="C458" i="24"/>
  <c r="I458" i="24" s="1"/>
  <c r="D458" i="24"/>
  <c r="F458" i="24"/>
  <c r="L458" i="24"/>
  <c r="M458" i="24"/>
  <c r="N458" i="24"/>
  <c r="O458" i="24"/>
  <c r="A459" i="24"/>
  <c r="C459" i="24"/>
  <c r="G459" i="24" s="1"/>
  <c r="H459" i="24"/>
  <c r="I459" i="24"/>
  <c r="L459" i="24"/>
  <c r="M459" i="24"/>
  <c r="O459" i="24"/>
  <c r="A460" i="24"/>
  <c r="B460" i="24" s="1"/>
  <c r="L460" i="24"/>
  <c r="N460" i="24"/>
  <c r="A461" i="24"/>
  <c r="A462" i="24"/>
  <c r="B462" i="24"/>
  <c r="E462" i="24" s="1"/>
  <c r="C462" i="24"/>
  <c r="I462" i="24" s="1"/>
  <c r="D462" i="24"/>
  <c r="J462" i="24" s="1"/>
  <c r="F462" i="24"/>
  <c r="G462" i="24"/>
  <c r="H462" i="24"/>
  <c r="L462" i="24"/>
  <c r="M462" i="24"/>
  <c r="N462" i="24"/>
  <c r="O462" i="24"/>
  <c r="A463" i="24"/>
  <c r="C463" i="24" s="1"/>
  <c r="L463" i="24"/>
  <c r="O463" i="24"/>
  <c r="A464" i="24"/>
  <c r="M464" i="24"/>
  <c r="A465" i="24"/>
  <c r="L465" i="24" s="1"/>
  <c r="B465" i="24"/>
  <c r="E465" i="24" s="1"/>
  <c r="M465" i="24"/>
  <c r="N465" i="24"/>
  <c r="A466" i="24"/>
  <c r="B466" i="24"/>
  <c r="D466" i="24" s="1"/>
  <c r="C466" i="24"/>
  <c r="H466" i="24" s="1"/>
  <c r="L466" i="24"/>
  <c r="M466" i="24"/>
  <c r="N466" i="24"/>
  <c r="O466" i="24"/>
  <c r="A467" i="24"/>
  <c r="B467" i="24" s="1"/>
  <c r="C467" i="24"/>
  <c r="I467" i="24" s="1"/>
  <c r="H467" i="24"/>
  <c r="L467" i="24"/>
  <c r="M467" i="24"/>
  <c r="O467" i="24"/>
  <c r="A468" i="24"/>
  <c r="U468" i="24" s="1"/>
  <c r="M468" i="24"/>
  <c r="A469" i="24"/>
  <c r="B469" i="24"/>
  <c r="F469" i="24" s="1"/>
  <c r="M469" i="24"/>
  <c r="N469" i="24"/>
  <c r="A470" i="24"/>
  <c r="B470" i="24"/>
  <c r="D470" i="24" s="1"/>
  <c r="C470" i="24"/>
  <c r="H470" i="24" s="1"/>
  <c r="L470" i="24"/>
  <c r="M470" i="24"/>
  <c r="N470" i="24"/>
  <c r="O470" i="24"/>
  <c r="A471" i="24"/>
  <c r="B471" i="24" s="1"/>
  <c r="C471" i="24"/>
  <c r="I471" i="24" s="1"/>
  <c r="H471" i="24"/>
  <c r="L471" i="24"/>
  <c r="M471" i="24"/>
  <c r="O471" i="24"/>
  <c r="A472" i="24"/>
  <c r="M472" i="24"/>
  <c r="A473" i="24"/>
  <c r="L473" i="24" s="1"/>
  <c r="B473" i="24"/>
  <c r="E473" i="24" s="1"/>
  <c r="M473" i="24"/>
  <c r="N473" i="24"/>
  <c r="A474" i="24"/>
  <c r="B474" i="24"/>
  <c r="D474" i="24" s="1"/>
  <c r="C474" i="24"/>
  <c r="H474" i="24" s="1"/>
  <c r="L474" i="24"/>
  <c r="M474" i="24"/>
  <c r="N474" i="24"/>
  <c r="O474" i="24"/>
  <c r="A475" i="24"/>
  <c r="V475" i="24" s="1"/>
  <c r="C475" i="24"/>
  <c r="I475" i="24" s="1"/>
  <c r="H475" i="24"/>
  <c r="L475" i="24"/>
  <c r="M475" i="24"/>
  <c r="O475" i="24"/>
  <c r="A476" i="24"/>
  <c r="C476" i="24" s="1"/>
  <c r="M476" i="24"/>
  <c r="A477" i="24"/>
  <c r="B477" i="24"/>
  <c r="D477" i="24" s="1"/>
  <c r="M477" i="24"/>
  <c r="N477" i="24"/>
  <c r="A478" i="24"/>
  <c r="B478" i="24"/>
  <c r="D478" i="24" s="1"/>
  <c r="C478" i="24"/>
  <c r="H478" i="24" s="1"/>
  <c r="G478" i="24"/>
  <c r="L478" i="24"/>
  <c r="M478" i="24"/>
  <c r="N478" i="24"/>
  <c r="O478" i="24"/>
  <c r="A479" i="24"/>
  <c r="R479" i="24" s="1"/>
  <c r="C479" i="24"/>
  <c r="I479" i="24" s="1"/>
  <c r="H479" i="24"/>
  <c r="L479" i="24"/>
  <c r="M479" i="24"/>
  <c r="O479" i="24"/>
  <c r="A480" i="24"/>
  <c r="M480" i="24"/>
  <c r="A481" i="24"/>
  <c r="L481" i="24" s="1"/>
  <c r="B481" i="24"/>
  <c r="E481" i="24" s="1"/>
  <c r="M481" i="24"/>
  <c r="N481" i="24"/>
  <c r="A482" i="24"/>
  <c r="B482" i="24"/>
  <c r="D482" i="24" s="1"/>
  <c r="C482" i="24"/>
  <c r="H482" i="24" s="1"/>
  <c r="L482" i="24"/>
  <c r="M482" i="24"/>
  <c r="N482" i="24"/>
  <c r="O482" i="24"/>
  <c r="A483" i="24"/>
  <c r="B483" i="24" s="1"/>
  <c r="C483" i="24"/>
  <c r="I483" i="24" s="1"/>
  <c r="G483" i="24"/>
  <c r="H483" i="24"/>
  <c r="L483" i="24"/>
  <c r="M483" i="24"/>
  <c r="O483" i="24"/>
  <c r="A484" i="24"/>
  <c r="C484" i="24" s="1"/>
  <c r="M484" i="24"/>
  <c r="A485" i="24"/>
  <c r="L485" i="24" s="1"/>
  <c r="B485" i="24"/>
  <c r="F485" i="24" s="1"/>
  <c r="M485" i="24"/>
  <c r="N485" i="24"/>
  <c r="A486" i="24"/>
  <c r="B486" i="24"/>
  <c r="D486" i="24" s="1"/>
  <c r="C486" i="24"/>
  <c r="H486" i="24" s="1"/>
  <c r="L486" i="24"/>
  <c r="M486" i="24"/>
  <c r="N486" i="24"/>
  <c r="O486" i="24"/>
  <c r="A487" i="24"/>
  <c r="B487" i="24" s="1"/>
  <c r="C487" i="24"/>
  <c r="I487" i="24" s="1"/>
  <c r="H487" i="24"/>
  <c r="L487" i="24"/>
  <c r="M487" i="24"/>
  <c r="O487" i="24"/>
  <c r="A488" i="24"/>
  <c r="M488" i="24"/>
  <c r="A489" i="24"/>
  <c r="X489" i="24" s="1"/>
  <c r="B489" i="24"/>
  <c r="E489" i="24" s="1"/>
  <c r="M489" i="24"/>
  <c r="N489" i="24"/>
  <c r="A490" i="24"/>
  <c r="B490" i="24"/>
  <c r="D490" i="24" s="1"/>
  <c r="C490" i="24"/>
  <c r="H490" i="24" s="1"/>
  <c r="L490" i="24"/>
  <c r="M490" i="24"/>
  <c r="N490" i="24"/>
  <c r="O490" i="24"/>
  <c r="A491" i="24"/>
  <c r="B491" i="24" s="1"/>
  <c r="C491" i="24"/>
  <c r="I491" i="24" s="1"/>
  <c r="H491" i="24"/>
  <c r="L491" i="24"/>
  <c r="M491" i="24"/>
  <c r="O491" i="24"/>
  <c r="A492" i="24"/>
  <c r="C492" i="24" s="1"/>
  <c r="M492" i="24"/>
  <c r="A493" i="24"/>
  <c r="B493" i="24"/>
  <c r="F493" i="24" s="1"/>
  <c r="M493" i="24"/>
  <c r="N493" i="24"/>
  <c r="A494" i="24"/>
  <c r="B494" i="24"/>
  <c r="D494" i="24" s="1"/>
  <c r="C494" i="24"/>
  <c r="H494" i="24" s="1"/>
  <c r="L494" i="24"/>
  <c r="M494" i="24"/>
  <c r="N494" i="24"/>
  <c r="O494" i="24"/>
  <c r="A495" i="24"/>
  <c r="B495" i="24" s="1"/>
  <c r="C495" i="24"/>
  <c r="I495" i="24" s="1"/>
  <c r="H495" i="24"/>
  <c r="L495" i="24"/>
  <c r="M495" i="24"/>
  <c r="O495" i="24"/>
  <c r="A496" i="24"/>
  <c r="M496" i="24"/>
  <c r="A497" i="24"/>
  <c r="P497" i="24" s="1"/>
  <c r="B497" i="24"/>
  <c r="E497" i="24" s="1"/>
  <c r="M497" i="24"/>
  <c r="N497" i="24"/>
  <c r="A498" i="24"/>
  <c r="B498" i="24"/>
  <c r="D498" i="24" s="1"/>
  <c r="C498" i="24"/>
  <c r="H498" i="24" s="1"/>
  <c r="L498" i="24"/>
  <c r="M498" i="24"/>
  <c r="N498" i="24"/>
  <c r="O498" i="24"/>
  <c r="A499" i="24"/>
  <c r="B499" i="24" s="1"/>
  <c r="C499" i="24"/>
  <c r="I499" i="24" s="1"/>
  <c r="H499" i="24"/>
  <c r="L499" i="24"/>
  <c r="M499" i="24"/>
  <c r="O499" i="24"/>
  <c r="A500" i="24"/>
  <c r="U500" i="24" s="1"/>
  <c r="M500" i="24"/>
  <c r="A501" i="24"/>
  <c r="B501" i="24"/>
  <c r="D501" i="24" s="1"/>
  <c r="F501" i="24"/>
  <c r="M501" i="24"/>
  <c r="N501" i="24"/>
  <c r="A502" i="24"/>
  <c r="B502" i="24"/>
  <c r="D502" i="24" s="1"/>
  <c r="C502" i="24"/>
  <c r="H502" i="24" s="1"/>
  <c r="L502" i="24"/>
  <c r="M502" i="24"/>
  <c r="N502" i="24"/>
  <c r="O502" i="24"/>
  <c r="A503" i="24"/>
  <c r="B503" i="24" s="1"/>
  <c r="C503" i="24"/>
  <c r="I503" i="24" s="1"/>
  <c r="H503" i="24"/>
  <c r="L503" i="24"/>
  <c r="M503" i="24"/>
  <c r="O503" i="24"/>
  <c r="A504" i="24"/>
  <c r="M504" i="24"/>
  <c r="A505" i="24"/>
  <c r="L505" i="24" s="1"/>
  <c r="B505" i="24"/>
  <c r="E505" i="24" s="1"/>
  <c r="M505" i="24"/>
  <c r="N505" i="24"/>
  <c r="A506" i="24"/>
  <c r="B506" i="24"/>
  <c r="D506" i="24" s="1"/>
  <c r="C506" i="24"/>
  <c r="H506" i="24" s="1"/>
  <c r="L506" i="24"/>
  <c r="M506" i="24"/>
  <c r="N506" i="24"/>
  <c r="O506" i="24"/>
  <c r="A507" i="24"/>
  <c r="V507" i="24" s="1"/>
  <c r="C507" i="24"/>
  <c r="I507" i="24" s="1"/>
  <c r="H507" i="24"/>
  <c r="L507" i="24"/>
  <c r="M507" i="24"/>
  <c r="O507" i="24"/>
  <c r="A508" i="24"/>
  <c r="C508" i="24" s="1"/>
  <c r="M508" i="24"/>
  <c r="A509" i="24"/>
  <c r="B509" i="24"/>
  <c r="F509" i="24" s="1"/>
  <c r="M509" i="24"/>
  <c r="N509" i="24"/>
  <c r="A510" i="24"/>
  <c r="B510" i="24"/>
  <c r="D510" i="24" s="1"/>
  <c r="C510" i="24"/>
  <c r="H510" i="24" s="1"/>
  <c r="L510" i="24"/>
  <c r="M510" i="24"/>
  <c r="N510" i="24"/>
  <c r="O510" i="24"/>
  <c r="A511" i="24"/>
  <c r="R511" i="24" s="1"/>
  <c r="C511" i="24"/>
  <c r="I511" i="24" s="1"/>
  <c r="H511" i="24"/>
  <c r="L511" i="24"/>
  <c r="M511" i="24"/>
  <c r="O511" i="24"/>
  <c r="A512" i="24"/>
  <c r="M512" i="24"/>
  <c r="A513" i="24"/>
  <c r="L513" i="24" s="1"/>
  <c r="B513" i="24"/>
  <c r="E513" i="24" s="1"/>
  <c r="M513" i="24"/>
  <c r="N513" i="24"/>
  <c r="A514" i="24"/>
  <c r="B514" i="24"/>
  <c r="D514" i="24" s="1"/>
  <c r="C514" i="24"/>
  <c r="H514" i="24" s="1"/>
  <c r="F514" i="24"/>
  <c r="L514" i="24"/>
  <c r="M514" i="24"/>
  <c r="N514" i="24"/>
  <c r="O514" i="24"/>
  <c r="A515" i="24"/>
  <c r="B515" i="24" s="1"/>
  <c r="C515" i="24"/>
  <c r="I515" i="24" s="1"/>
  <c r="H515" i="24"/>
  <c r="L515" i="24"/>
  <c r="M515" i="24"/>
  <c r="O515" i="24"/>
  <c r="A516" i="24"/>
  <c r="C516" i="24" s="1"/>
  <c r="M516" i="24"/>
  <c r="A517" i="24"/>
  <c r="B517" i="24"/>
  <c r="F517" i="24" s="1"/>
  <c r="M517" i="24"/>
  <c r="N517" i="24"/>
  <c r="A518" i="24"/>
  <c r="B518" i="24"/>
  <c r="D518" i="24" s="1"/>
  <c r="C518" i="24"/>
  <c r="H518" i="24" s="1"/>
  <c r="L518" i="24"/>
  <c r="M518" i="24"/>
  <c r="N518" i="24"/>
  <c r="O518" i="24"/>
  <c r="A519" i="24"/>
  <c r="B519" i="24" s="1"/>
  <c r="C519" i="24"/>
  <c r="I519" i="24" s="1"/>
  <c r="H519" i="24"/>
  <c r="L519" i="24"/>
  <c r="M519" i="24"/>
  <c r="O519" i="24"/>
  <c r="A520" i="24"/>
  <c r="M520" i="24"/>
  <c r="A521" i="24"/>
  <c r="B521" i="24"/>
  <c r="D521" i="24" s="1"/>
  <c r="M521" i="24"/>
  <c r="N521" i="24"/>
  <c r="A522" i="24"/>
  <c r="B522" i="24"/>
  <c r="D522" i="24" s="1"/>
  <c r="C522" i="24"/>
  <c r="H522" i="24" s="1"/>
  <c r="L522" i="24"/>
  <c r="M522" i="24"/>
  <c r="N522" i="24"/>
  <c r="O522" i="24"/>
  <c r="A523" i="24"/>
  <c r="B523" i="24" s="1"/>
  <c r="C523" i="24"/>
  <c r="I523" i="24" s="1"/>
  <c r="H523" i="24"/>
  <c r="L523" i="24"/>
  <c r="M523" i="24"/>
  <c r="O523" i="24"/>
  <c r="A524" i="24"/>
  <c r="M524" i="24"/>
  <c r="A525" i="24"/>
  <c r="T525" i="24" s="1"/>
  <c r="B525" i="24"/>
  <c r="D525" i="24" s="1"/>
  <c r="F525" i="24"/>
  <c r="M525" i="24"/>
  <c r="N525" i="24"/>
  <c r="A526" i="24"/>
  <c r="B526" i="24"/>
  <c r="D526" i="24" s="1"/>
  <c r="C526" i="24"/>
  <c r="H526" i="24" s="1"/>
  <c r="F526" i="24"/>
  <c r="L526" i="24"/>
  <c r="M526" i="24"/>
  <c r="N526" i="24"/>
  <c r="O526" i="24"/>
  <c r="A527" i="24"/>
  <c r="B527" i="24" s="1"/>
  <c r="C527" i="24"/>
  <c r="I527" i="24" s="1"/>
  <c r="H527" i="24"/>
  <c r="L527" i="24"/>
  <c r="M527" i="24"/>
  <c r="O527" i="24"/>
  <c r="A528" i="24"/>
  <c r="M528" i="24"/>
  <c r="A529" i="24"/>
  <c r="B529" i="24"/>
  <c r="D529" i="24" s="1"/>
  <c r="M529" i="24"/>
  <c r="N529" i="24"/>
  <c r="A530" i="24"/>
  <c r="B530" i="24"/>
  <c r="D530" i="24" s="1"/>
  <c r="C530" i="24"/>
  <c r="H530" i="24" s="1"/>
  <c r="L530" i="24"/>
  <c r="M530" i="24"/>
  <c r="N530" i="24"/>
  <c r="O530" i="24"/>
  <c r="A531" i="24"/>
  <c r="B531" i="24" s="1"/>
  <c r="C531" i="24"/>
  <c r="I531" i="24" s="1"/>
  <c r="H531" i="24"/>
  <c r="L531" i="24"/>
  <c r="M531" i="24"/>
  <c r="O531" i="24"/>
  <c r="A532" i="24"/>
  <c r="U532" i="24" s="1"/>
  <c r="M532" i="24"/>
  <c r="A533" i="24"/>
  <c r="L533" i="24" s="1"/>
  <c r="B533" i="24"/>
  <c r="E533" i="24" s="1"/>
  <c r="M533" i="24"/>
  <c r="N533" i="24"/>
  <c r="A534" i="24"/>
  <c r="B534" i="24"/>
  <c r="D534" i="24" s="1"/>
  <c r="C534" i="24"/>
  <c r="H534" i="24" s="1"/>
  <c r="L534" i="24"/>
  <c r="M534" i="24"/>
  <c r="N534" i="24"/>
  <c r="O534" i="24"/>
  <c r="A535" i="24"/>
  <c r="B535" i="24" s="1"/>
  <c r="C535" i="24"/>
  <c r="I535" i="24" s="1"/>
  <c r="H535" i="24"/>
  <c r="L535" i="24"/>
  <c r="M535" i="24"/>
  <c r="O535" i="24"/>
  <c r="A536" i="24"/>
  <c r="M536" i="24"/>
  <c r="A537" i="24"/>
  <c r="B537" i="24"/>
  <c r="D537" i="24" s="1"/>
  <c r="M537" i="24"/>
  <c r="N537" i="24"/>
  <c r="A538" i="24"/>
  <c r="B538" i="24"/>
  <c r="D538" i="24" s="1"/>
  <c r="C538" i="24"/>
  <c r="H538" i="24" s="1"/>
  <c r="L538" i="24"/>
  <c r="M538" i="24"/>
  <c r="N538" i="24"/>
  <c r="O538" i="24"/>
  <c r="A539" i="24"/>
  <c r="V539" i="24" s="1"/>
  <c r="C539" i="24"/>
  <c r="I539" i="24" s="1"/>
  <c r="H539" i="24"/>
  <c r="L539" i="24"/>
  <c r="M539" i="24"/>
  <c r="O539" i="24"/>
  <c r="A540" i="24"/>
  <c r="C540" i="24" s="1"/>
  <c r="M540" i="24"/>
  <c r="A541" i="24"/>
  <c r="L541" i="24" s="1"/>
  <c r="B541" i="24"/>
  <c r="E541" i="24" s="1"/>
  <c r="M541" i="24"/>
  <c r="N541" i="24"/>
  <c r="A542" i="24"/>
  <c r="B542" i="24"/>
  <c r="D542" i="24" s="1"/>
  <c r="C542" i="24"/>
  <c r="H542" i="24" s="1"/>
  <c r="L542" i="24"/>
  <c r="M542" i="24"/>
  <c r="N542" i="24"/>
  <c r="O542" i="24"/>
  <c r="A543" i="24"/>
  <c r="R543" i="24" s="1"/>
  <c r="C543" i="24"/>
  <c r="I543" i="24" s="1"/>
  <c r="H543" i="24"/>
  <c r="L543" i="24"/>
  <c r="M543" i="24"/>
  <c r="O543" i="24"/>
  <c r="A544" i="24"/>
  <c r="M544" i="24"/>
  <c r="A545" i="24"/>
  <c r="B545" i="24"/>
  <c r="D545" i="24" s="1"/>
  <c r="M545" i="24"/>
  <c r="N545" i="24"/>
  <c r="A546" i="24"/>
  <c r="B546" i="24"/>
  <c r="D546" i="24" s="1"/>
  <c r="C546" i="24"/>
  <c r="H546" i="24" s="1"/>
  <c r="L546" i="24"/>
  <c r="M546" i="24"/>
  <c r="N546" i="24"/>
  <c r="O546" i="24"/>
  <c r="A547" i="24"/>
  <c r="B547" i="24" s="1"/>
  <c r="C547" i="24"/>
  <c r="I547" i="24" s="1"/>
  <c r="H547" i="24"/>
  <c r="L547" i="24"/>
  <c r="M547" i="24"/>
  <c r="O547" i="24"/>
  <c r="A548" i="24"/>
  <c r="C548" i="24" s="1"/>
  <c r="M548" i="24"/>
  <c r="A549" i="24"/>
  <c r="L549" i="24" s="1"/>
  <c r="B549" i="24"/>
  <c r="E549" i="24" s="1"/>
  <c r="F549" i="24"/>
  <c r="M549" i="24"/>
  <c r="N549" i="24"/>
  <c r="A550" i="24"/>
  <c r="B550" i="24"/>
  <c r="D550" i="24" s="1"/>
  <c r="C550" i="24"/>
  <c r="H550" i="24" s="1"/>
  <c r="L550" i="24"/>
  <c r="M550" i="24"/>
  <c r="N550" i="24"/>
  <c r="O550" i="24"/>
  <c r="A551" i="24"/>
  <c r="B551" i="24" s="1"/>
  <c r="C551" i="24"/>
  <c r="I551" i="24" s="1"/>
  <c r="H551" i="24"/>
  <c r="L551" i="24"/>
  <c r="M551" i="24"/>
  <c r="O551" i="24"/>
  <c r="A552" i="24"/>
  <c r="M552" i="24"/>
  <c r="A553" i="24"/>
  <c r="B553" i="24"/>
  <c r="D553" i="24" s="1"/>
  <c r="M553" i="24"/>
  <c r="N553" i="24"/>
  <c r="A554" i="24"/>
  <c r="B554" i="24"/>
  <c r="D554" i="24" s="1"/>
  <c r="C554" i="24"/>
  <c r="H554" i="24" s="1"/>
  <c r="L554" i="24"/>
  <c r="M554" i="24"/>
  <c r="N554" i="24"/>
  <c r="O554" i="24"/>
  <c r="A555" i="24"/>
  <c r="B555" i="24" s="1"/>
  <c r="C555" i="24"/>
  <c r="I555" i="24" s="1"/>
  <c r="H555" i="24"/>
  <c r="L555" i="24"/>
  <c r="M555" i="24"/>
  <c r="O555" i="24"/>
  <c r="A556" i="24"/>
  <c r="C556" i="24" s="1"/>
  <c r="M556" i="24"/>
  <c r="A557" i="24"/>
  <c r="T557" i="24" s="1"/>
  <c r="B557" i="24"/>
  <c r="E557" i="24" s="1"/>
  <c r="M557" i="24"/>
  <c r="N557" i="24"/>
  <c r="A558" i="24"/>
  <c r="B558" i="24"/>
  <c r="D558" i="24" s="1"/>
  <c r="C558" i="24"/>
  <c r="H558" i="24" s="1"/>
  <c r="L558" i="24"/>
  <c r="M558" i="24"/>
  <c r="N558" i="24"/>
  <c r="O558" i="24"/>
  <c r="A559" i="24"/>
  <c r="B559" i="24" s="1"/>
  <c r="C559" i="24"/>
  <c r="I559" i="24" s="1"/>
  <c r="G559" i="24"/>
  <c r="H559" i="24"/>
  <c r="L559" i="24"/>
  <c r="M559" i="24"/>
  <c r="O559" i="24"/>
  <c r="A560" i="24"/>
  <c r="M560" i="24"/>
  <c r="A561" i="24"/>
  <c r="B561" i="24"/>
  <c r="E561" i="24" s="1"/>
  <c r="M561" i="24"/>
  <c r="N561" i="24"/>
  <c r="A562" i="24"/>
  <c r="B562" i="24"/>
  <c r="D562" i="24" s="1"/>
  <c r="C562" i="24"/>
  <c r="H562" i="24" s="1"/>
  <c r="L562" i="24"/>
  <c r="M562" i="24"/>
  <c r="N562" i="24"/>
  <c r="O562" i="24"/>
  <c r="A563" i="24"/>
  <c r="B563" i="24" s="1"/>
  <c r="C563" i="24"/>
  <c r="I563" i="24" s="1"/>
  <c r="H563" i="24"/>
  <c r="L563" i="24"/>
  <c r="M563" i="24"/>
  <c r="O563" i="24"/>
  <c r="A564" i="24"/>
  <c r="U564" i="24" s="1"/>
  <c r="M564" i="24"/>
  <c r="A565" i="24"/>
  <c r="L565" i="24" s="1"/>
  <c r="B565" i="24"/>
  <c r="E565" i="24" s="1"/>
  <c r="M565" i="24"/>
  <c r="N565" i="24"/>
  <c r="A566" i="24"/>
  <c r="B566" i="24"/>
  <c r="D566" i="24" s="1"/>
  <c r="C566" i="24"/>
  <c r="H566" i="24" s="1"/>
  <c r="G566" i="24"/>
  <c r="L566" i="24"/>
  <c r="M566" i="24"/>
  <c r="N566" i="24"/>
  <c r="O566" i="24"/>
  <c r="A567" i="24"/>
  <c r="B567" i="24" s="1"/>
  <c r="C567" i="24"/>
  <c r="I567" i="24" s="1"/>
  <c r="H567" i="24"/>
  <c r="L567" i="24"/>
  <c r="M567" i="24"/>
  <c r="O567" i="24"/>
  <c r="A568" i="24"/>
  <c r="M568" i="24"/>
  <c r="A569" i="24"/>
  <c r="B569" i="24"/>
  <c r="D569" i="24" s="1"/>
  <c r="O569" i="24"/>
  <c r="A570" i="24"/>
  <c r="M570" i="24"/>
  <c r="A571" i="24"/>
  <c r="V571" i="24" s="1"/>
  <c r="B571" i="24"/>
  <c r="E571" i="24" s="1"/>
  <c r="M571" i="24"/>
  <c r="N571" i="24"/>
  <c r="A572" i="24"/>
  <c r="B572" i="24"/>
  <c r="D572" i="24" s="1"/>
  <c r="C572" i="24"/>
  <c r="H572" i="24" s="1"/>
  <c r="L572" i="24"/>
  <c r="M572" i="24"/>
  <c r="N572" i="24"/>
  <c r="O572" i="24"/>
  <c r="A573" i="24"/>
  <c r="B573" i="24" s="1"/>
  <c r="C573" i="24"/>
  <c r="I573" i="24" s="1"/>
  <c r="H573" i="24"/>
  <c r="L573" i="24"/>
  <c r="M573" i="24"/>
  <c r="O573" i="24"/>
  <c r="A574" i="24"/>
  <c r="C574" i="24" s="1"/>
  <c r="M574" i="24"/>
  <c r="A575" i="24"/>
  <c r="B575" i="24"/>
  <c r="F575" i="24" s="1"/>
  <c r="M575" i="24"/>
  <c r="N575" i="24"/>
  <c r="A576" i="24"/>
  <c r="B576" i="24"/>
  <c r="D576" i="24" s="1"/>
  <c r="C576" i="24"/>
  <c r="H576" i="24" s="1"/>
  <c r="L576" i="24"/>
  <c r="M576" i="24"/>
  <c r="N576" i="24"/>
  <c r="O576" i="24"/>
  <c r="A577" i="24"/>
  <c r="B577" i="24" s="1"/>
  <c r="C577" i="24"/>
  <c r="I577" i="24" s="1"/>
  <c r="H577" i="24"/>
  <c r="L577" i="24"/>
  <c r="M577" i="24"/>
  <c r="O577" i="24"/>
  <c r="A578" i="24"/>
  <c r="M578" i="24"/>
  <c r="A579" i="24"/>
  <c r="L579" i="24" s="1"/>
  <c r="B579" i="24"/>
  <c r="E579" i="24" s="1"/>
  <c r="M579" i="24"/>
  <c r="N579" i="24"/>
  <c r="A580" i="24"/>
  <c r="B580" i="24"/>
  <c r="D580" i="24" s="1"/>
  <c r="C580" i="24"/>
  <c r="H580" i="24" s="1"/>
  <c r="L580" i="24"/>
  <c r="M580" i="24"/>
  <c r="N580" i="24"/>
  <c r="O580" i="24"/>
  <c r="A581" i="24"/>
  <c r="B581" i="24" s="1"/>
  <c r="C581" i="24"/>
  <c r="I581" i="24" s="1"/>
  <c r="H581" i="24"/>
  <c r="L581" i="24"/>
  <c r="M581" i="24"/>
  <c r="O581" i="24"/>
  <c r="A582" i="24"/>
  <c r="S582" i="24" s="1"/>
  <c r="M582" i="24"/>
  <c r="A583" i="24"/>
  <c r="B583" i="24"/>
  <c r="F583" i="24" s="1"/>
  <c r="M583" i="24"/>
  <c r="N583" i="24"/>
  <c r="A584" i="24"/>
  <c r="B584" i="24"/>
  <c r="D584" i="24" s="1"/>
  <c r="C584" i="24"/>
  <c r="H584" i="24" s="1"/>
  <c r="L584" i="24"/>
  <c r="M584" i="24"/>
  <c r="N584" i="24"/>
  <c r="O584" i="24"/>
  <c r="A585" i="24"/>
  <c r="X585" i="24" s="1"/>
  <c r="C585" i="24"/>
  <c r="I585" i="24" s="1"/>
  <c r="H585" i="24"/>
  <c r="L585" i="24"/>
  <c r="M585" i="24"/>
  <c r="O585" i="24"/>
  <c r="A586" i="24"/>
  <c r="C586" i="24" s="1"/>
  <c r="M586" i="24"/>
  <c r="A587" i="24"/>
  <c r="L587" i="24" s="1"/>
  <c r="B587" i="24"/>
  <c r="E587" i="24" s="1"/>
  <c r="M587" i="24"/>
  <c r="N587" i="24"/>
  <c r="A588" i="24"/>
  <c r="B588" i="24"/>
  <c r="D588" i="24" s="1"/>
  <c r="C588" i="24"/>
  <c r="H588" i="24" s="1"/>
  <c r="L588" i="24"/>
  <c r="M588" i="24"/>
  <c r="N588" i="24"/>
  <c r="O588" i="24"/>
  <c r="A589" i="24"/>
  <c r="T589" i="24" s="1"/>
  <c r="C589" i="24"/>
  <c r="I589" i="24" s="1"/>
  <c r="H589" i="24"/>
  <c r="L589" i="24"/>
  <c r="M589" i="24"/>
  <c r="O589" i="24"/>
  <c r="A590" i="24"/>
  <c r="M590" i="24"/>
  <c r="A591" i="24"/>
  <c r="B591" i="24"/>
  <c r="D591" i="24" s="1"/>
  <c r="M591" i="24"/>
  <c r="N591" i="24"/>
  <c r="A592" i="24"/>
  <c r="B592" i="24"/>
  <c r="D592" i="24" s="1"/>
  <c r="C592" i="24"/>
  <c r="G592" i="24"/>
  <c r="L592" i="24"/>
  <c r="M592" i="24"/>
  <c r="N592" i="24"/>
  <c r="O592" i="24"/>
  <c r="A593" i="24"/>
  <c r="P593" i="24" s="1"/>
  <c r="C593" i="24"/>
  <c r="I593" i="24" s="1"/>
  <c r="H593" i="24"/>
  <c r="A594" i="24"/>
  <c r="A595" i="24"/>
  <c r="B595" i="24"/>
  <c r="B5" i="25" l="1" a="1"/>
  <c r="B5" i="25" s="1"/>
  <c r="C6" i="25" a="1"/>
  <c r="C6" i="25" s="1"/>
  <c r="C7" i="25" s="1" a="1"/>
  <c r="C7" i="25" s="1"/>
  <c r="E567" i="24"/>
  <c r="F567" i="24"/>
  <c r="D567" i="24"/>
  <c r="D595" i="24"/>
  <c r="E595" i="24"/>
  <c r="P594" i="24"/>
  <c r="K594" i="24" s="1"/>
  <c r="T594" i="24"/>
  <c r="X594" i="24"/>
  <c r="Q594" i="24"/>
  <c r="U594" i="24"/>
  <c r="R594" i="24"/>
  <c r="S594" i="24"/>
  <c r="B594" i="24"/>
  <c r="W594" i="24"/>
  <c r="C594" i="24"/>
  <c r="V594" i="24"/>
  <c r="E581" i="24"/>
  <c r="D581" i="24"/>
  <c r="F581" i="24"/>
  <c r="I574" i="24"/>
  <c r="G574" i="24"/>
  <c r="H574" i="24"/>
  <c r="E551" i="24"/>
  <c r="F551" i="24"/>
  <c r="D551" i="24"/>
  <c r="E547" i="24"/>
  <c r="D547" i="24"/>
  <c r="F547" i="24"/>
  <c r="H540" i="24"/>
  <c r="I540" i="24"/>
  <c r="G540" i="24"/>
  <c r="E531" i="24"/>
  <c r="D531" i="24"/>
  <c r="F531" i="24"/>
  <c r="E523" i="24"/>
  <c r="D523" i="24"/>
  <c r="F523" i="24"/>
  <c r="I516" i="24"/>
  <c r="G516" i="24"/>
  <c r="H516" i="24"/>
  <c r="E503" i="24"/>
  <c r="F503" i="24"/>
  <c r="D503" i="24"/>
  <c r="E499" i="24"/>
  <c r="D499" i="24"/>
  <c r="F499" i="24"/>
  <c r="I492" i="24"/>
  <c r="G492" i="24"/>
  <c r="H492" i="24"/>
  <c r="G447" i="24"/>
  <c r="H447" i="24"/>
  <c r="I447" i="24"/>
  <c r="G415" i="24"/>
  <c r="H415" i="24"/>
  <c r="I415" i="24"/>
  <c r="H413" i="24"/>
  <c r="G413" i="24"/>
  <c r="I413" i="24"/>
  <c r="F380" i="24"/>
  <c r="D380" i="24"/>
  <c r="E380" i="24"/>
  <c r="D377" i="24"/>
  <c r="F377" i="24"/>
  <c r="E377" i="24"/>
  <c r="F348" i="24"/>
  <c r="D348" i="24"/>
  <c r="E348" i="24"/>
  <c r="D345" i="24"/>
  <c r="F345" i="24"/>
  <c r="E345" i="24"/>
  <c r="F316" i="24"/>
  <c r="D316" i="24"/>
  <c r="E316" i="24"/>
  <c r="D313" i="24"/>
  <c r="F313" i="24"/>
  <c r="E313" i="24"/>
  <c r="D226" i="24"/>
  <c r="F226" i="24"/>
  <c r="E226" i="24"/>
  <c r="J223" i="24"/>
  <c r="I111" i="24"/>
  <c r="G111" i="24"/>
  <c r="H111" i="24"/>
  <c r="E555" i="24"/>
  <c r="D555" i="24"/>
  <c r="F555" i="24"/>
  <c r="E535" i="24"/>
  <c r="F535" i="24"/>
  <c r="D535" i="24"/>
  <c r="E487" i="24"/>
  <c r="F487" i="24"/>
  <c r="D487" i="24"/>
  <c r="E483" i="24"/>
  <c r="J483" i="24" s="1"/>
  <c r="D483" i="24"/>
  <c r="F483" i="24"/>
  <c r="F460" i="24"/>
  <c r="D460" i="24"/>
  <c r="E460" i="24"/>
  <c r="D457" i="24"/>
  <c r="F457" i="24"/>
  <c r="E457" i="24"/>
  <c r="F428" i="24"/>
  <c r="D428" i="24"/>
  <c r="E428" i="24"/>
  <c r="G383" i="24"/>
  <c r="H383" i="24"/>
  <c r="I383" i="24"/>
  <c r="G351" i="24"/>
  <c r="H351" i="24"/>
  <c r="I351" i="24"/>
  <c r="G319" i="24"/>
  <c r="I319" i="24"/>
  <c r="H319" i="24"/>
  <c r="D292" i="24"/>
  <c r="F292" i="24"/>
  <c r="E292" i="24"/>
  <c r="D242" i="24"/>
  <c r="E242" i="24"/>
  <c r="F242" i="24"/>
  <c r="D178" i="24"/>
  <c r="F178" i="24"/>
  <c r="E178" i="24"/>
  <c r="D140" i="24"/>
  <c r="E140" i="24"/>
  <c r="F140" i="24"/>
  <c r="E573" i="24"/>
  <c r="D573" i="24"/>
  <c r="F573" i="24"/>
  <c r="E563" i="24"/>
  <c r="D563" i="24"/>
  <c r="F563" i="24"/>
  <c r="E559" i="24"/>
  <c r="F559" i="24"/>
  <c r="D559" i="24"/>
  <c r="J559" i="24" s="1"/>
  <c r="H548" i="24"/>
  <c r="G548" i="24"/>
  <c r="I548" i="24"/>
  <c r="E515" i="24"/>
  <c r="D515" i="24"/>
  <c r="F515" i="24"/>
  <c r="E491" i="24"/>
  <c r="D491" i="24"/>
  <c r="F491" i="24"/>
  <c r="H484" i="24"/>
  <c r="I484" i="24"/>
  <c r="G484" i="24"/>
  <c r="I476" i="24"/>
  <c r="G476" i="24"/>
  <c r="H476" i="24"/>
  <c r="E467" i="24"/>
  <c r="D467" i="24"/>
  <c r="F467" i="24"/>
  <c r="G463" i="24"/>
  <c r="H463" i="24"/>
  <c r="I463" i="24"/>
  <c r="G431" i="24"/>
  <c r="I431" i="24"/>
  <c r="H431" i="24"/>
  <c r="F396" i="24"/>
  <c r="D396" i="24"/>
  <c r="E396" i="24"/>
  <c r="D393" i="24"/>
  <c r="F393" i="24"/>
  <c r="E393" i="24"/>
  <c r="F364" i="24"/>
  <c r="D364" i="24"/>
  <c r="E364" i="24"/>
  <c r="D361" i="24"/>
  <c r="F361" i="24"/>
  <c r="E361" i="24"/>
  <c r="D329" i="24"/>
  <c r="F329" i="24"/>
  <c r="E329" i="24"/>
  <c r="F300" i="24"/>
  <c r="E300" i="24"/>
  <c r="D300" i="24"/>
  <c r="D297" i="24"/>
  <c r="F297" i="24"/>
  <c r="E297" i="24"/>
  <c r="D258" i="24"/>
  <c r="E258" i="24"/>
  <c r="F258" i="24"/>
  <c r="D194" i="24"/>
  <c r="E194" i="24"/>
  <c r="F194" i="24"/>
  <c r="D169" i="24"/>
  <c r="E169" i="24"/>
  <c r="F169" i="24"/>
  <c r="D76" i="24"/>
  <c r="E76" i="24"/>
  <c r="F76" i="24"/>
  <c r="D15" i="24"/>
  <c r="E15" i="24"/>
  <c r="F15" i="24"/>
  <c r="F595" i="24"/>
  <c r="H592" i="24"/>
  <c r="J592" i="24" s="1"/>
  <c r="I592" i="24"/>
  <c r="H586" i="24"/>
  <c r="I586" i="24"/>
  <c r="G586" i="24"/>
  <c r="E577" i="24"/>
  <c r="F577" i="24"/>
  <c r="D577" i="24"/>
  <c r="H556" i="24"/>
  <c r="I556" i="24"/>
  <c r="G556" i="24"/>
  <c r="E527" i="24"/>
  <c r="F527" i="24"/>
  <c r="D527" i="24"/>
  <c r="E519" i="24"/>
  <c r="F519" i="24"/>
  <c r="D519" i="24"/>
  <c r="I508" i="24"/>
  <c r="G508" i="24"/>
  <c r="H508" i="24"/>
  <c r="E495" i="24"/>
  <c r="F495" i="24"/>
  <c r="D495" i="24"/>
  <c r="E471" i="24"/>
  <c r="F471" i="24"/>
  <c r="D471" i="24"/>
  <c r="F444" i="24"/>
  <c r="D444" i="24"/>
  <c r="E444" i="24"/>
  <c r="D441" i="24"/>
  <c r="F441" i="24"/>
  <c r="E441" i="24"/>
  <c r="F412" i="24"/>
  <c r="E412" i="24"/>
  <c r="D412" i="24"/>
  <c r="D409" i="24"/>
  <c r="F409" i="24"/>
  <c r="E409" i="24"/>
  <c r="G399" i="24"/>
  <c r="I399" i="24"/>
  <c r="H399" i="24"/>
  <c r="G335" i="24"/>
  <c r="H335" i="24"/>
  <c r="I335" i="24"/>
  <c r="G303" i="24"/>
  <c r="I303" i="24"/>
  <c r="H303" i="24"/>
  <c r="H301" i="24"/>
  <c r="G301" i="24"/>
  <c r="I301" i="24"/>
  <c r="D274" i="24"/>
  <c r="E274" i="24"/>
  <c r="F274" i="24"/>
  <c r="D210" i="24"/>
  <c r="E210" i="24"/>
  <c r="F210" i="24"/>
  <c r="D105" i="24"/>
  <c r="E105" i="24"/>
  <c r="F105" i="24"/>
  <c r="H68" i="24"/>
  <c r="G68" i="24"/>
  <c r="I68" i="24"/>
  <c r="F591" i="24"/>
  <c r="P590" i="24"/>
  <c r="K590" i="24" s="1"/>
  <c r="T590" i="24"/>
  <c r="X590" i="24"/>
  <c r="Q590" i="24"/>
  <c r="U590" i="24"/>
  <c r="V590" i="24"/>
  <c r="W590" i="24"/>
  <c r="R590" i="24"/>
  <c r="S590" i="24"/>
  <c r="G580" i="24"/>
  <c r="F579" i="24"/>
  <c r="P578" i="24"/>
  <c r="K578" i="24" s="1"/>
  <c r="T578" i="24"/>
  <c r="X578" i="24"/>
  <c r="Q578" i="24"/>
  <c r="U578" i="24"/>
  <c r="R578" i="24"/>
  <c r="S578" i="24"/>
  <c r="G572" i="24"/>
  <c r="F571" i="24"/>
  <c r="P570" i="24"/>
  <c r="T570" i="24"/>
  <c r="X570" i="24"/>
  <c r="Q570" i="24"/>
  <c r="U570" i="24"/>
  <c r="R570" i="24"/>
  <c r="S570" i="24"/>
  <c r="V570" i="24"/>
  <c r="W570" i="24"/>
  <c r="F569" i="24"/>
  <c r="R568" i="24"/>
  <c r="V568" i="24"/>
  <c r="S568" i="24"/>
  <c r="W568" i="24"/>
  <c r="T568" i="24"/>
  <c r="U568" i="24"/>
  <c r="X568" i="24"/>
  <c r="G562" i="24"/>
  <c r="F561" i="24"/>
  <c r="R560" i="24"/>
  <c r="V560" i="24"/>
  <c r="S560" i="24"/>
  <c r="W560" i="24"/>
  <c r="T560" i="24"/>
  <c r="U560" i="24"/>
  <c r="P560" i="24"/>
  <c r="Q560" i="24"/>
  <c r="G554" i="24"/>
  <c r="F553" i="24"/>
  <c r="R552" i="24"/>
  <c r="V552" i="24"/>
  <c r="S552" i="24"/>
  <c r="W552" i="24"/>
  <c r="T552" i="24"/>
  <c r="U552" i="24"/>
  <c r="X552" i="24"/>
  <c r="G546" i="24"/>
  <c r="J546" i="24" s="1"/>
  <c r="F545" i="24"/>
  <c r="R544" i="24"/>
  <c r="V544" i="24"/>
  <c r="S544" i="24"/>
  <c r="W544" i="24"/>
  <c r="T544" i="24"/>
  <c r="U544" i="24"/>
  <c r="P544" i="24"/>
  <c r="Q544" i="24"/>
  <c r="G538" i="24"/>
  <c r="F537" i="24"/>
  <c r="R536" i="24"/>
  <c r="V536" i="24"/>
  <c r="S536" i="24"/>
  <c r="W536" i="24"/>
  <c r="T536" i="24"/>
  <c r="U536" i="24"/>
  <c r="X536" i="24"/>
  <c r="G530" i="24"/>
  <c r="F529" i="24"/>
  <c r="R528" i="24"/>
  <c r="V528" i="24"/>
  <c r="S528" i="24"/>
  <c r="W528" i="24"/>
  <c r="T528" i="24"/>
  <c r="U528" i="24"/>
  <c r="P528" i="24"/>
  <c r="Q528" i="24"/>
  <c r="R524" i="24"/>
  <c r="V524" i="24"/>
  <c r="S524" i="24"/>
  <c r="W524" i="24"/>
  <c r="P524" i="24"/>
  <c r="X524" i="24"/>
  <c r="Q524" i="24"/>
  <c r="T524" i="24"/>
  <c r="U524" i="24"/>
  <c r="G522" i="24"/>
  <c r="F521" i="24"/>
  <c r="R520" i="24"/>
  <c r="V520" i="24"/>
  <c r="S520" i="24"/>
  <c r="W520" i="24"/>
  <c r="T520" i="24"/>
  <c r="U520" i="24"/>
  <c r="X520" i="24"/>
  <c r="G514" i="24"/>
  <c r="F513" i="24"/>
  <c r="R512" i="24"/>
  <c r="V512" i="24"/>
  <c r="S512" i="24"/>
  <c r="W512" i="24"/>
  <c r="T512" i="24"/>
  <c r="U512" i="24"/>
  <c r="P512" i="24"/>
  <c r="Q512" i="24"/>
  <c r="G506" i="24"/>
  <c r="F505" i="24"/>
  <c r="R504" i="24"/>
  <c r="V504" i="24"/>
  <c r="S504" i="24"/>
  <c r="W504" i="24"/>
  <c r="T504" i="24"/>
  <c r="U504" i="24"/>
  <c r="X504" i="24"/>
  <c r="G498" i="24"/>
  <c r="F497" i="24"/>
  <c r="R496" i="24"/>
  <c r="V496" i="24"/>
  <c r="S496" i="24"/>
  <c r="W496" i="24"/>
  <c r="T496" i="24"/>
  <c r="U496" i="24"/>
  <c r="P496" i="24"/>
  <c r="Q496" i="24"/>
  <c r="G490" i="24"/>
  <c r="J490" i="24" s="1"/>
  <c r="F489" i="24"/>
  <c r="R488" i="24"/>
  <c r="V488" i="24"/>
  <c r="S488" i="24"/>
  <c r="W488" i="24"/>
  <c r="T488" i="24"/>
  <c r="U488" i="24"/>
  <c r="X488" i="24"/>
  <c r="G482" i="24"/>
  <c r="F481" i="24"/>
  <c r="R480" i="24"/>
  <c r="V480" i="24"/>
  <c r="S480" i="24"/>
  <c r="W480" i="24"/>
  <c r="T480" i="24"/>
  <c r="U480" i="24"/>
  <c r="P480" i="24"/>
  <c r="Q480" i="24"/>
  <c r="F477" i="24"/>
  <c r="G474" i="24"/>
  <c r="F473" i="24"/>
  <c r="R472" i="24"/>
  <c r="V472" i="24"/>
  <c r="S472" i="24"/>
  <c r="W472" i="24"/>
  <c r="T472" i="24"/>
  <c r="U472" i="24"/>
  <c r="X472" i="24"/>
  <c r="G466" i="24"/>
  <c r="F465" i="24"/>
  <c r="P464" i="24"/>
  <c r="T464" i="24"/>
  <c r="X464" i="24"/>
  <c r="U464" i="24"/>
  <c r="Q464" i="24"/>
  <c r="V464" i="24"/>
  <c r="W464" i="24"/>
  <c r="S461" i="24"/>
  <c r="W461" i="24"/>
  <c r="P461" i="24"/>
  <c r="U461" i="24"/>
  <c r="Q461" i="24"/>
  <c r="V461" i="24"/>
  <c r="R461" i="24"/>
  <c r="T461" i="24"/>
  <c r="L461" i="24"/>
  <c r="S445" i="24"/>
  <c r="W445" i="24"/>
  <c r="P445" i="24"/>
  <c r="U445" i="24"/>
  <c r="Q445" i="24"/>
  <c r="V445" i="24"/>
  <c r="X445" i="24"/>
  <c r="L445" i="24"/>
  <c r="R429" i="24"/>
  <c r="V429" i="24"/>
  <c r="S429" i="24"/>
  <c r="W429" i="24"/>
  <c r="T429" i="24"/>
  <c r="U429" i="24"/>
  <c r="X429" i="24"/>
  <c r="L429" i="24"/>
  <c r="H406" i="24"/>
  <c r="R397" i="24"/>
  <c r="V397" i="24"/>
  <c r="S397" i="24"/>
  <c r="W397" i="24"/>
  <c r="T397" i="24"/>
  <c r="U397" i="24"/>
  <c r="X397" i="24"/>
  <c r="L397" i="24"/>
  <c r="I389" i="24"/>
  <c r="P387" i="24"/>
  <c r="T387" i="24"/>
  <c r="X387" i="24"/>
  <c r="Q387" i="24"/>
  <c r="U387" i="24"/>
  <c r="V387" i="24"/>
  <c r="W387" i="24"/>
  <c r="R387" i="24"/>
  <c r="S387" i="24"/>
  <c r="B387" i="24"/>
  <c r="N387" i="24"/>
  <c r="S384" i="24"/>
  <c r="W384" i="24"/>
  <c r="P384" i="24"/>
  <c r="T384" i="24"/>
  <c r="X384" i="24"/>
  <c r="Q384" i="24"/>
  <c r="R384" i="24"/>
  <c r="U384" i="24"/>
  <c r="C384" i="24"/>
  <c r="O384" i="24"/>
  <c r="V384" i="24"/>
  <c r="R381" i="24"/>
  <c r="V381" i="24"/>
  <c r="S381" i="24"/>
  <c r="W381" i="24"/>
  <c r="T381" i="24"/>
  <c r="U381" i="24"/>
  <c r="X381" i="24"/>
  <c r="P381" i="24"/>
  <c r="L381" i="24"/>
  <c r="Q381" i="24"/>
  <c r="I373" i="24"/>
  <c r="P371" i="24"/>
  <c r="T371" i="24"/>
  <c r="X371" i="24"/>
  <c r="S371" i="24"/>
  <c r="U371" i="24"/>
  <c r="Q371" i="24"/>
  <c r="R371" i="24"/>
  <c r="B371" i="24"/>
  <c r="N371" i="24"/>
  <c r="S368" i="24"/>
  <c r="W368" i="24"/>
  <c r="T368" i="24"/>
  <c r="P368" i="24"/>
  <c r="U368" i="24"/>
  <c r="V368" i="24"/>
  <c r="X368" i="24"/>
  <c r="Q368" i="24"/>
  <c r="R368" i="24"/>
  <c r="C368" i="24"/>
  <c r="O368" i="24"/>
  <c r="R365" i="24"/>
  <c r="V365" i="24"/>
  <c r="T365" i="24"/>
  <c r="P365" i="24"/>
  <c r="U365" i="24"/>
  <c r="Q365" i="24"/>
  <c r="S365" i="24"/>
  <c r="W365" i="24"/>
  <c r="X365" i="24"/>
  <c r="L365" i="24"/>
  <c r="I357" i="24"/>
  <c r="P355" i="24"/>
  <c r="T355" i="24"/>
  <c r="X355" i="24"/>
  <c r="S355" i="24"/>
  <c r="U355" i="24"/>
  <c r="V355" i="24"/>
  <c r="W355" i="24"/>
  <c r="Q355" i="24"/>
  <c r="B355" i="24"/>
  <c r="N355" i="24"/>
  <c r="R355" i="24"/>
  <c r="S352" i="24"/>
  <c r="W352" i="24"/>
  <c r="T352" i="24"/>
  <c r="R352" i="24"/>
  <c r="U352" i="24"/>
  <c r="P352" i="24"/>
  <c r="Q352" i="24"/>
  <c r="C352" i="24"/>
  <c r="O352" i="24"/>
  <c r="R349" i="24"/>
  <c r="V349" i="24"/>
  <c r="T349" i="24"/>
  <c r="Q349" i="24"/>
  <c r="X349" i="24"/>
  <c r="S349" i="24"/>
  <c r="P349" i="24"/>
  <c r="U349" i="24"/>
  <c r="L349" i="24"/>
  <c r="W349" i="24"/>
  <c r="I341" i="24"/>
  <c r="P339" i="24"/>
  <c r="T339" i="24"/>
  <c r="X339" i="24"/>
  <c r="S339" i="24"/>
  <c r="V339" i="24"/>
  <c r="Q339" i="24"/>
  <c r="W339" i="24"/>
  <c r="R339" i="24"/>
  <c r="U339" i="24"/>
  <c r="B339" i="24"/>
  <c r="N339" i="24"/>
  <c r="Q336" i="24"/>
  <c r="U336" i="24"/>
  <c r="S336" i="24"/>
  <c r="W336" i="24"/>
  <c r="V336" i="24"/>
  <c r="P336" i="24"/>
  <c r="R336" i="24"/>
  <c r="T336" i="24"/>
  <c r="C336" i="24"/>
  <c r="O336" i="24"/>
  <c r="X336" i="24"/>
  <c r="P333" i="24"/>
  <c r="T333" i="24"/>
  <c r="X333" i="24"/>
  <c r="R333" i="24"/>
  <c r="V333" i="24"/>
  <c r="Q333" i="24"/>
  <c r="U333" i="24"/>
  <c r="W333" i="24"/>
  <c r="S333" i="24"/>
  <c r="L333" i="24"/>
  <c r="I325" i="24"/>
  <c r="R323" i="24"/>
  <c r="V323" i="24"/>
  <c r="P323" i="24"/>
  <c r="T323" i="24"/>
  <c r="X323" i="24"/>
  <c r="S323" i="24"/>
  <c r="Q323" i="24"/>
  <c r="U323" i="24"/>
  <c r="W323" i="24"/>
  <c r="B323" i="24"/>
  <c r="N323" i="24"/>
  <c r="Q320" i="24"/>
  <c r="U320" i="24"/>
  <c r="S320" i="24"/>
  <c r="W320" i="24"/>
  <c r="T320" i="24"/>
  <c r="V320" i="24"/>
  <c r="P320" i="24"/>
  <c r="R320" i="24"/>
  <c r="X320" i="24"/>
  <c r="C320" i="24"/>
  <c r="O320" i="24"/>
  <c r="P317" i="24"/>
  <c r="T317" i="24"/>
  <c r="X317" i="24"/>
  <c r="R317" i="24"/>
  <c r="V317" i="24"/>
  <c r="W317" i="24"/>
  <c r="Q317" i="24"/>
  <c r="S317" i="24"/>
  <c r="U317" i="24"/>
  <c r="L317" i="24"/>
  <c r="H310" i="24"/>
  <c r="H295" i="24"/>
  <c r="Q288" i="24"/>
  <c r="U288" i="24"/>
  <c r="S288" i="24"/>
  <c r="W288" i="24"/>
  <c r="T288" i="24"/>
  <c r="V288" i="24"/>
  <c r="P288" i="24"/>
  <c r="R288" i="24"/>
  <c r="X288" i="24"/>
  <c r="C288" i="24"/>
  <c r="O288" i="24"/>
  <c r="L288" i="24"/>
  <c r="D283" i="24"/>
  <c r="E283" i="24"/>
  <c r="H272" i="24"/>
  <c r="D267" i="24"/>
  <c r="E267" i="24"/>
  <c r="H256" i="24"/>
  <c r="D251" i="24"/>
  <c r="E251" i="24"/>
  <c r="H240" i="24"/>
  <c r="S233" i="24"/>
  <c r="W233" i="24"/>
  <c r="Q233" i="24"/>
  <c r="U233" i="24"/>
  <c r="P233" i="24"/>
  <c r="X233" i="24"/>
  <c r="T233" i="24"/>
  <c r="R233" i="24"/>
  <c r="V233" i="24"/>
  <c r="B233" i="24"/>
  <c r="N233" i="24"/>
  <c r="C233" i="24"/>
  <c r="O233" i="24"/>
  <c r="H231" i="24"/>
  <c r="I231" i="24"/>
  <c r="H224" i="24"/>
  <c r="D219" i="24"/>
  <c r="E219" i="24"/>
  <c r="H208" i="24"/>
  <c r="S201" i="24"/>
  <c r="W201" i="24"/>
  <c r="Q201" i="24"/>
  <c r="U201" i="24"/>
  <c r="P201" i="24"/>
  <c r="X201" i="24"/>
  <c r="T201" i="24"/>
  <c r="R201" i="24"/>
  <c r="V201" i="24"/>
  <c r="B201" i="24"/>
  <c r="N201" i="24"/>
  <c r="C201" i="24"/>
  <c r="O201" i="24"/>
  <c r="H199" i="24"/>
  <c r="I199" i="24"/>
  <c r="H192" i="24"/>
  <c r="S185" i="24"/>
  <c r="W185" i="24"/>
  <c r="Q185" i="24"/>
  <c r="U185" i="24"/>
  <c r="P185" i="24"/>
  <c r="X185" i="24"/>
  <c r="T185" i="24"/>
  <c r="R185" i="24"/>
  <c r="V185" i="24"/>
  <c r="B185" i="24"/>
  <c r="N185" i="24"/>
  <c r="C185" i="24"/>
  <c r="O185" i="24"/>
  <c r="H183" i="24"/>
  <c r="I183" i="24"/>
  <c r="R174" i="24"/>
  <c r="V174" i="24"/>
  <c r="P174" i="24"/>
  <c r="T174" i="24"/>
  <c r="X174" i="24"/>
  <c r="S174" i="24"/>
  <c r="W174" i="24"/>
  <c r="Q174" i="24"/>
  <c r="U174" i="24"/>
  <c r="C174" i="24"/>
  <c r="O174" i="24"/>
  <c r="L174" i="24"/>
  <c r="E170" i="24"/>
  <c r="D170" i="24"/>
  <c r="P139" i="24"/>
  <c r="T139" i="24"/>
  <c r="X139" i="24"/>
  <c r="R139" i="24"/>
  <c r="V139" i="24"/>
  <c r="U139" i="24"/>
  <c r="Q139" i="24"/>
  <c r="W139" i="24"/>
  <c r="S139" i="24"/>
  <c r="B139" i="24"/>
  <c r="N139" i="24"/>
  <c r="C139" i="24"/>
  <c r="M139" i="24"/>
  <c r="O139" i="24"/>
  <c r="D137" i="24"/>
  <c r="E137" i="24"/>
  <c r="P127" i="24"/>
  <c r="T127" i="24"/>
  <c r="X127" i="24"/>
  <c r="R127" i="24"/>
  <c r="V127" i="24"/>
  <c r="Q127" i="24"/>
  <c r="U127" i="24"/>
  <c r="S127" i="24"/>
  <c r="W127" i="24"/>
  <c r="B127" i="24"/>
  <c r="N127" i="24"/>
  <c r="O127" i="24"/>
  <c r="E126" i="24"/>
  <c r="D126" i="24"/>
  <c r="F126" i="24"/>
  <c r="R121" i="24"/>
  <c r="V121" i="24"/>
  <c r="P121" i="24"/>
  <c r="T121" i="24"/>
  <c r="X121" i="24"/>
  <c r="W121" i="24"/>
  <c r="S121" i="24"/>
  <c r="Q121" i="24"/>
  <c r="U121" i="24"/>
  <c r="L121" i="24"/>
  <c r="C121" i="24"/>
  <c r="N121" i="24"/>
  <c r="O121" i="24"/>
  <c r="E106" i="24"/>
  <c r="J106" i="24" s="1"/>
  <c r="D106" i="24"/>
  <c r="P101" i="24"/>
  <c r="T101" i="24"/>
  <c r="X101" i="24"/>
  <c r="R101" i="24"/>
  <c r="V101" i="24"/>
  <c r="Q101" i="24"/>
  <c r="U101" i="24"/>
  <c r="S101" i="24"/>
  <c r="W101" i="24"/>
  <c r="L101" i="24"/>
  <c r="B101" i="24"/>
  <c r="M101" i="24"/>
  <c r="C101" i="24"/>
  <c r="N101" i="24"/>
  <c r="Q92" i="24"/>
  <c r="U92" i="24"/>
  <c r="S92" i="24"/>
  <c r="W92" i="24"/>
  <c r="R92" i="24"/>
  <c r="V92" i="24"/>
  <c r="T92" i="24"/>
  <c r="X92" i="24"/>
  <c r="P92" i="24"/>
  <c r="C92" i="24"/>
  <c r="O92" i="24"/>
  <c r="N92" i="24"/>
  <c r="I82" i="24"/>
  <c r="G82" i="24"/>
  <c r="R75" i="24"/>
  <c r="V75" i="24"/>
  <c r="P75" i="24"/>
  <c r="T75" i="24"/>
  <c r="X75" i="24"/>
  <c r="S75" i="24"/>
  <c r="W75" i="24"/>
  <c r="U75" i="24"/>
  <c r="Q75" i="24"/>
  <c r="B75" i="24"/>
  <c r="N75" i="24"/>
  <c r="C75" i="24"/>
  <c r="M75" i="24"/>
  <c r="O75" i="24"/>
  <c r="D73" i="24"/>
  <c r="E73" i="24"/>
  <c r="O66" i="24"/>
  <c r="G54" i="24"/>
  <c r="H54" i="24"/>
  <c r="I49" i="24"/>
  <c r="H49" i="24"/>
  <c r="D47" i="24"/>
  <c r="E47" i="24"/>
  <c r="F47" i="24"/>
  <c r="R31" i="24"/>
  <c r="V31" i="24"/>
  <c r="Q31" i="24"/>
  <c r="W31" i="24"/>
  <c r="T31" i="24"/>
  <c r="S31" i="24"/>
  <c r="X31" i="24"/>
  <c r="U31" i="24"/>
  <c r="P31" i="24"/>
  <c r="C31" i="24"/>
  <c r="O31" i="24"/>
  <c r="L31" i="24"/>
  <c r="M31" i="24"/>
  <c r="N31" i="24"/>
  <c r="Q552" i="24"/>
  <c r="U548" i="24"/>
  <c r="Q520" i="24"/>
  <c r="U516" i="24"/>
  <c r="Q488" i="24"/>
  <c r="U484" i="24"/>
  <c r="Q429" i="24"/>
  <c r="W371" i="24"/>
  <c r="X352" i="24"/>
  <c r="S265" i="24"/>
  <c r="S595" i="24"/>
  <c r="W595" i="24"/>
  <c r="P595" i="24"/>
  <c r="T595" i="24"/>
  <c r="X595" i="24"/>
  <c r="Q595" i="24"/>
  <c r="R595" i="24"/>
  <c r="U595" i="24"/>
  <c r="V595" i="24"/>
  <c r="G593" i="24"/>
  <c r="F592" i="24"/>
  <c r="E591" i="24"/>
  <c r="S591" i="24"/>
  <c r="W591" i="24"/>
  <c r="P591" i="24"/>
  <c r="T591" i="24"/>
  <c r="X591" i="24"/>
  <c r="U591" i="24"/>
  <c r="V591" i="24"/>
  <c r="L590" i="24"/>
  <c r="G585" i="24"/>
  <c r="F584" i="24"/>
  <c r="E583" i="24"/>
  <c r="S583" i="24"/>
  <c r="W583" i="24"/>
  <c r="P583" i="24"/>
  <c r="T583" i="24"/>
  <c r="X583" i="24"/>
  <c r="U583" i="24"/>
  <c r="V583" i="24"/>
  <c r="Q583" i="24"/>
  <c r="R583" i="24"/>
  <c r="L582" i="24"/>
  <c r="G577" i="24"/>
  <c r="J577" i="24" s="1"/>
  <c r="F576" i="24"/>
  <c r="E575" i="24"/>
  <c r="S575" i="24"/>
  <c r="W575" i="24"/>
  <c r="P575" i="24"/>
  <c r="T575" i="24"/>
  <c r="X575" i="24"/>
  <c r="U575" i="24"/>
  <c r="V575" i="24"/>
  <c r="L574" i="24"/>
  <c r="E569" i="24"/>
  <c r="Q569" i="24"/>
  <c r="U569" i="24"/>
  <c r="R569" i="24"/>
  <c r="V569" i="24"/>
  <c r="S569" i="24"/>
  <c r="T569" i="24"/>
  <c r="P569" i="24"/>
  <c r="L568" i="24"/>
  <c r="G563" i="24"/>
  <c r="J563" i="24" s="1"/>
  <c r="F562" i="24"/>
  <c r="Q561" i="24"/>
  <c r="U561" i="24"/>
  <c r="R561" i="24"/>
  <c r="V561" i="24"/>
  <c r="S561" i="24"/>
  <c r="T561" i="24"/>
  <c r="W561" i="24"/>
  <c r="X561" i="24"/>
  <c r="L560" i="24"/>
  <c r="G555" i="24"/>
  <c r="F554" i="24"/>
  <c r="E553" i="24"/>
  <c r="Q553" i="24"/>
  <c r="U553" i="24"/>
  <c r="R553" i="24"/>
  <c r="V553" i="24"/>
  <c r="S553" i="24"/>
  <c r="T553" i="24"/>
  <c r="P553" i="24"/>
  <c r="L552" i="24"/>
  <c r="G547" i="24"/>
  <c r="F546" i="24"/>
  <c r="E545" i="24"/>
  <c r="Q545" i="24"/>
  <c r="U545" i="24"/>
  <c r="R545" i="24"/>
  <c r="V545" i="24"/>
  <c r="S545" i="24"/>
  <c r="T545" i="24"/>
  <c r="W545" i="24"/>
  <c r="X545" i="24"/>
  <c r="L544" i="24"/>
  <c r="G539" i="24"/>
  <c r="F538" i="24"/>
  <c r="E537" i="24"/>
  <c r="Q537" i="24"/>
  <c r="U537" i="24"/>
  <c r="R537" i="24"/>
  <c r="V537" i="24"/>
  <c r="S537" i="24"/>
  <c r="T537" i="24"/>
  <c r="P537" i="24"/>
  <c r="L536" i="24"/>
  <c r="G531" i="24"/>
  <c r="F530" i="24"/>
  <c r="E529" i="24"/>
  <c r="Q529" i="24"/>
  <c r="U529" i="24"/>
  <c r="R529" i="24"/>
  <c r="V529" i="24"/>
  <c r="S529" i="24"/>
  <c r="T529" i="24"/>
  <c r="W529" i="24"/>
  <c r="X529" i="24"/>
  <c r="L528" i="24"/>
  <c r="E525" i="24"/>
  <c r="G523" i="24"/>
  <c r="F522" i="24"/>
  <c r="E521" i="24"/>
  <c r="Q521" i="24"/>
  <c r="U521" i="24"/>
  <c r="R521" i="24"/>
  <c r="V521" i="24"/>
  <c r="S521" i="24"/>
  <c r="T521" i="24"/>
  <c r="P521" i="24"/>
  <c r="L520" i="24"/>
  <c r="G519" i="24"/>
  <c r="F518" i="24"/>
  <c r="E517" i="24"/>
  <c r="Q517" i="24"/>
  <c r="U517" i="24"/>
  <c r="R517" i="24"/>
  <c r="V517" i="24"/>
  <c r="W517" i="24"/>
  <c r="P517" i="24"/>
  <c r="X517" i="24"/>
  <c r="S517" i="24"/>
  <c r="T517" i="24"/>
  <c r="L516" i="24"/>
  <c r="G511" i="24"/>
  <c r="F510" i="24"/>
  <c r="E509" i="24"/>
  <c r="Q509" i="24"/>
  <c r="U509" i="24"/>
  <c r="R509" i="24"/>
  <c r="V509" i="24"/>
  <c r="W509" i="24"/>
  <c r="P509" i="24"/>
  <c r="X509" i="24"/>
  <c r="L508" i="24"/>
  <c r="G503" i="24"/>
  <c r="F502" i="24"/>
  <c r="E501" i="24"/>
  <c r="Q501" i="24"/>
  <c r="U501" i="24"/>
  <c r="R501" i="24"/>
  <c r="V501" i="24"/>
  <c r="W501" i="24"/>
  <c r="P501" i="24"/>
  <c r="X501" i="24"/>
  <c r="S501" i="24"/>
  <c r="T501" i="24"/>
  <c r="L500" i="24"/>
  <c r="G495" i="24"/>
  <c r="F494" i="24"/>
  <c r="E493" i="24"/>
  <c r="Q493" i="24"/>
  <c r="U493" i="24"/>
  <c r="R493" i="24"/>
  <c r="V493" i="24"/>
  <c r="W493" i="24"/>
  <c r="P493" i="24"/>
  <c r="X493" i="24"/>
  <c r="L492" i="24"/>
  <c r="G487" i="24"/>
  <c r="F486" i="24"/>
  <c r="E485" i="24"/>
  <c r="L484" i="24"/>
  <c r="G479" i="24"/>
  <c r="F478" i="24"/>
  <c r="E477" i="24"/>
  <c r="Q477" i="24"/>
  <c r="U477" i="24"/>
  <c r="R477" i="24"/>
  <c r="V477" i="24"/>
  <c r="W477" i="24"/>
  <c r="P477" i="24"/>
  <c r="X477" i="24"/>
  <c r="L476" i="24"/>
  <c r="G471" i="24"/>
  <c r="J471" i="24" s="1"/>
  <c r="F470" i="24"/>
  <c r="E469" i="24"/>
  <c r="Q469" i="24"/>
  <c r="U469" i="24"/>
  <c r="R469" i="24"/>
  <c r="V469" i="24"/>
  <c r="W469" i="24"/>
  <c r="P469" i="24"/>
  <c r="X469" i="24"/>
  <c r="S469" i="24"/>
  <c r="T469" i="24"/>
  <c r="L468" i="24"/>
  <c r="O461" i="24"/>
  <c r="G453" i="24"/>
  <c r="F452" i="24"/>
  <c r="P452" i="24"/>
  <c r="T452" i="24"/>
  <c r="X452" i="24"/>
  <c r="Q452" i="24"/>
  <c r="V452" i="24"/>
  <c r="R452" i="24"/>
  <c r="W452" i="24"/>
  <c r="C452" i="24"/>
  <c r="O452" i="24"/>
  <c r="O445" i="24"/>
  <c r="I441" i="24"/>
  <c r="G439" i="24"/>
  <c r="P439" i="24"/>
  <c r="T439" i="24"/>
  <c r="X439" i="24"/>
  <c r="Q439" i="24"/>
  <c r="U439" i="24"/>
  <c r="R439" i="24"/>
  <c r="S439" i="24"/>
  <c r="B439" i="24"/>
  <c r="N439" i="24"/>
  <c r="G438" i="24"/>
  <c r="F433" i="24"/>
  <c r="R433" i="24"/>
  <c r="V433" i="24"/>
  <c r="S433" i="24"/>
  <c r="W433" i="24"/>
  <c r="P433" i="24"/>
  <c r="X433" i="24"/>
  <c r="Q433" i="24"/>
  <c r="T433" i="24"/>
  <c r="U433" i="24"/>
  <c r="L433" i="24"/>
  <c r="H426" i="24"/>
  <c r="G421" i="24"/>
  <c r="F420" i="24"/>
  <c r="S420" i="24"/>
  <c r="W420" i="24"/>
  <c r="P420" i="24"/>
  <c r="T420" i="24"/>
  <c r="X420" i="24"/>
  <c r="U420" i="24"/>
  <c r="V420" i="24"/>
  <c r="Q420" i="24"/>
  <c r="C420" i="24"/>
  <c r="O420" i="24"/>
  <c r="R420" i="24"/>
  <c r="H410" i="24"/>
  <c r="G405" i="24"/>
  <c r="J405" i="24" s="1"/>
  <c r="F404" i="24"/>
  <c r="S404" i="24"/>
  <c r="W404" i="24"/>
  <c r="P404" i="24"/>
  <c r="T404" i="24"/>
  <c r="X404" i="24"/>
  <c r="U404" i="24"/>
  <c r="V404" i="24"/>
  <c r="C404" i="24"/>
  <c r="O404" i="24"/>
  <c r="F401" i="24"/>
  <c r="R401" i="24"/>
  <c r="V401" i="24"/>
  <c r="S401" i="24"/>
  <c r="W401" i="24"/>
  <c r="P401" i="24"/>
  <c r="X401" i="24"/>
  <c r="Q401" i="24"/>
  <c r="T401" i="24"/>
  <c r="U401" i="24"/>
  <c r="L401" i="24"/>
  <c r="H394" i="24"/>
  <c r="G390" i="24"/>
  <c r="G389" i="24"/>
  <c r="F388" i="24"/>
  <c r="S388" i="24"/>
  <c r="W388" i="24"/>
  <c r="P388" i="24"/>
  <c r="T388" i="24"/>
  <c r="X388" i="24"/>
  <c r="U388" i="24"/>
  <c r="V388" i="24"/>
  <c r="Q388" i="24"/>
  <c r="C388" i="24"/>
  <c r="O388" i="24"/>
  <c r="R388" i="24"/>
  <c r="O381" i="24"/>
  <c r="G373" i="24"/>
  <c r="F372" i="24"/>
  <c r="S372" i="24"/>
  <c r="W372" i="24"/>
  <c r="P372" i="24"/>
  <c r="U372" i="24"/>
  <c r="Q372" i="24"/>
  <c r="V372" i="24"/>
  <c r="R372" i="24"/>
  <c r="T372" i="24"/>
  <c r="X372" i="24"/>
  <c r="C372" i="24"/>
  <c r="O372" i="24"/>
  <c r="O365" i="24"/>
  <c r="G357" i="24"/>
  <c r="F356" i="24"/>
  <c r="S356" i="24"/>
  <c r="W356" i="24"/>
  <c r="P356" i="24"/>
  <c r="U356" i="24"/>
  <c r="Q356" i="24"/>
  <c r="V356" i="24"/>
  <c r="X356" i="24"/>
  <c r="R356" i="24"/>
  <c r="T356" i="24"/>
  <c r="C356" i="24"/>
  <c r="O356" i="24"/>
  <c r="O349" i="24"/>
  <c r="I345" i="24"/>
  <c r="G343" i="24"/>
  <c r="P343" i="24"/>
  <c r="T343" i="24"/>
  <c r="X343" i="24"/>
  <c r="U343" i="24"/>
  <c r="V343" i="24"/>
  <c r="Q343" i="24"/>
  <c r="W343" i="24"/>
  <c r="R343" i="24"/>
  <c r="B343" i="24"/>
  <c r="N343" i="24"/>
  <c r="S343" i="24"/>
  <c r="G342" i="24"/>
  <c r="O333" i="24"/>
  <c r="I329" i="24"/>
  <c r="G327" i="24"/>
  <c r="R327" i="24"/>
  <c r="V327" i="24"/>
  <c r="P327" i="24"/>
  <c r="T327" i="24"/>
  <c r="X327" i="24"/>
  <c r="W327" i="24"/>
  <c r="U327" i="24"/>
  <c r="Q327" i="24"/>
  <c r="B327" i="24"/>
  <c r="N327" i="24"/>
  <c r="S327" i="24"/>
  <c r="G326" i="24"/>
  <c r="F322" i="24"/>
  <c r="F321" i="24"/>
  <c r="P321" i="24"/>
  <c r="T321" i="24"/>
  <c r="X321" i="24"/>
  <c r="R321" i="24"/>
  <c r="V321" i="24"/>
  <c r="S321" i="24"/>
  <c r="U321" i="24"/>
  <c r="W321" i="24"/>
  <c r="Q321" i="24"/>
  <c r="L321" i="24"/>
  <c r="H314" i="24"/>
  <c r="F306" i="24"/>
  <c r="F305" i="24"/>
  <c r="P305" i="24"/>
  <c r="T305" i="24"/>
  <c r="X305" i="24"/>
  <c r="R305" i="24"/>
  <c r="V305" i="24"/>
  <c r="S305" i="24"/>
  <c r="U305" i="24"/>
  <c r="W305" i="24"/>
  <c r="Q305" i="24"/>
  <c r="L305" i="24"/>
  <c r="H298" i="24"/>
  <c r="I297" i="24"/>
  <c r="Q284" i="24"/>
  <c r="U284" i="24"/>
  <c r="S284" i="24"/>
  <c r="W284" i="24"/>
  <c r="P284" i="24"/>
  <c r="X284" i="24"/>
  <c r="R284" i="24"/>
  <c r="T284" i="24"/>
  <c r="V284" i="24"/>
  <c r="C284" i="24"/>
  <c r="O284" i="24"/>
  <c r="L284" i="24"/>
  <c r="D279" i="24"/>
  <c r="J279" i="24" s="1"/>
  <c r="E279" i="24"/>
  <c r="P266" i="24"/>
  <c r="T266" i="24"/>
  <c r="X266" i="24"/>
  <c r="S266" i="24"/>
  <c r="Q266" i="24"/>
  <c r="V266" i="24"/>
  <c r="W266" i="24"/>
  <c r="R266" i="24"/>
  <c r="U266" i="24"/>
  <c r="C266" i="24"/>
  <c r="O266" i="24"/>
  <c r="L266" i="24"/>
  <c r="Q261" i="24"/>
  <c r="U261" i="24"/>
  <c r="P261" i="24"/>
  <c r="V261" i="24"/>
  <c r="S261" i="24"/>
  <c r="X261" i="24"/>
  <c r="R261" i="24"/>
  <c r="T261" i="24"/>
  <c r="W261" i="24"/>
  <c r="B261" i="24"/>
  <c r="N261" i="24"/>
  <c r="C261" i="24"/>
  <c r="O261" i="24"/>
  <c r="H259" i="24"/>
  <c r="I259" i="24"/>
  <c r="P250" i="24"/>
  <c r="T250" i="24"/>
  <c r="X250" i="24"/>
  <c r="S250" i="24"/>
  <c r="Q250" i="24"/>
  <c r="V250" i="24"/>
  <c r="W250" i="24"/>
  <c r="R250" i="24"/>
  <c r="U250" i="24"/>
  <c r="C250" i="24"/>
  <c r="O250" i="24"/>
  <c r="L250" i="24"/>
  <c r="Q245" i="24"/>
  <c r="U245" i="24"/>
  <c r="P245" i="24"/>
  <c r="V245" i="24"/>
  <c r="S245" i="24"/>
  <c r="X245" i="24"/>
  <c r="T245" i="24"/>
  <c r="W245" i="24"/>
  <c r="R245" i="24"/>
  <c r="B245" i="24"/>
  <c r="N245" i="24"/>
  <c r="C245" i="24"/>
  <c r="O245" i="24"/>
  <c r="H243" i="24"/>
  <c r="I243" i="24"/>
  <c r="G240" i="24"/>
  <c r="N238" i="24"/>
  <c r="H236" i="24"/>
  <c r="D231" i="24"/>
  <c r="E231" i="24"/>
  <c r="R218" i="24"/>
  <c r="V218" i="24"/>
  <c r="P218" i="24"/>
  <c r="T218" i="24"/>
  <c r="X218" i="24"/>
  <c r="W218" i="24"/>
  <c r="S218" i="24"/>
  <c r="U218" i="24"/>
  <c r="Q218" i="24"/>
  <c r="C218" i="24"/>
  <c r="O218" i="24"/>
  <c r="L218" i="24"/>
  <c r="G208" i="24"/>
  <c r="J208" i="24" s="1"/>
  <c r="R202" i="24"/>
  <c r="V202" i="24"/>
  <c r="P202" i="24"/>
  <c r="T202" i="24"/>
  <c r="X202" i="24"/>
  <c r="W202" i="24"/>
  <c r="S202" i="24"/>
  <c r="U202" i="24"/>
  <c r="C202" i="24"/>
  <c r="O202" i="24"/>
  <c r="L202" i="24"/>
  <c r="S197" i="24"/>
  <c r="W197" i="24"/>
  <c r="Q197" i="24"/>
  <c r="U197" i="24"/>
  <c r="T197" i="24"/>
  <c r="P197" i="24"/>
  <c r="X197" i="24"/>
  <c r="R197" i="24"/>
  <c r="V197" i="24"/>
  <c r="B197" i="24"/>
  <c r="N197" i="24"/>
  <c r="C197" i="24"/>
  <c r="O197" i="24"/>
  <c r="H195" i="24"/>
  <c r="I195" i="24"/>
  <c r="G192" i="24"/>
  <c r="J192" i="24" s="1"/>
  <c r="N190" i="24"/>
  <c r="H188" i="24"/>
  <c r="D183" i="24"/>
  <c r="E183" i="24"/>
  <c r="I163" i="24"/>
  <c r="D157" i="24"/>
  <c r="E157" i="24"/>
  <c r="F157" i="24"/>
  <c r="P143" i="24"/>
  <c r="T143" i="24"/>
  <c r="X143" i="24"/>
  <c r="R143" i="24"/>
  <c r="V143" i="24"/>
  <c r="Q143" i="24"/>
  <c r="U143" i="24"/>
  <c r="S143" i="24"/>
  <c r="W143" i="24"/>
  <c r="B143" i="24"/>
  <c r="N143" i="24"/>
  <c r="O143" i="24"/>
  <c r="E142" i="24"/>
  <c r="D142" i="24"/>
  <c r="F142" i="24"/>
  <c r="R137" i="24"/>
  <c r="V137" i="24"/>
  <c r="P137" i="24"/>
  <c r="T137" i="24"/>
  <c r="X137" i="24"/>
  <c r="W137" i="24"/>
  <c r="S137" i="24"/>
  <c r="Q137" i="24"/>
  <c r="U137" i="24"/>
  <c r="L137" i="24"/>
  <c r="C137" i="24"/>
  <c r="N137" i="24"/>
  <c r="O137" i="24"/>
  <c r="E128" i="24"/>
  <c r="F128" i="24"/>
  <c r="D124" i="24"/>
  <c r="E124" i="24"/>
  <c r="E122" i="24"/>
  <c r="D122" i="24"/>
  <c r="S120" i="24"/>
  <c r="W120" i="24"/>
  <c r="Q120" i="24"/>
  <c r="U120" i="24"/>
  <c r="P120" i="24"/>
  <c r="X120" i="24"/>
  <c r="T120" i="24"/>
  <c r="R120" i="24"/>
  <c r="V120" i="24"/>
  <c r="C120" i="24"/>
  <c r="O120" i="24"/>
  <c r="B120" i="24"/>
  <c r="M120" i="24"/>
  <c r="N120" i="24"/>
  <c r="R117" i="24"/>
  <c r="V117" i="24"/>
  <c r="P117" i="24"/>
  <c r="T117" i="24"/>
  <c r="X117" i="24"/>
  <c r="S117" i="24"/>
  <c r="W117" i="24"/>
  <c r="U117" i="24"/>
  <c r="Q117" i="24"/>
  <c r="L117" i="24"/>
  <c r="B117" i="24"/>
  <c r="M117" i="24"/>
  <c r="C117" i="24"/>
  <c r="N117" i="24"/>
  <c r="S108" i="24"/>
  <c r="W108" i="24"/>
  <c r="Q108" i="24"/>
  <c r="V108" i="24"/>
  <c r="T108" i="24"/>
  <c r="R108" i="24"/>
  <c r="X108" i="24"/>
  <c r="U108" i="24"/>
  <c r="P108" i="24"/>
  <c r="C108" i="24"/>
  <c r="O108" i="24"/>
  <c r="N108" i="24"/>
  <c r="I99" i="24"/>
  <c r="I98" i="24"/>
  <c r="G98" i="24"/>
  <c r="D93" i="24"/>
  <c r="E93" i="24"/>
  <c r="F93" i="24"/>
  <c r="R91" i="24"/>
  <c r="V91" i="24"/>
  <c r="P91" i="24"/>
  <c r="T91" i="24"/>
  <c r="X91" i="24"/>
  <c r="S91" i="24"/>
  <c r="W91" i="24"/>
  <c r="U91" i="24"/>
  <c r="Q91" i="24"/>
  <c r="B91" i="24"/>
  <c r="N91" i="24"/>
  <c r="C91" i="24"/>
  <c r="M91" i="24"/>
  <c r="O91" i="24"/>
  <c r="D89" i="24"/>
  <c r="E89" i="24"/>
  <c r="H81" i="24"/>
  <c r="G81" i="24"/>
  <c r="R79" i="24"/>
  <c r="V79" i="24"/>
  <c r="P79" i="24"/>
  <c r="T79" i="24"/>
  <c r="X79" i="24"/>
  <c r="W79" i="24"/>
  <c r="S79" i="24"/>
  <c r="Q79" i="24"/>
  <c r="U79" i="24"/>
  <c r="B79" i="24"/>
  <c r="N79" i="24"/>
  <c r="O79" i="24"/>
  <c r="E78" i="24"/>
  <c r="D78" i="24"/>
  <c r="F78" i="24"/>
  <c r="P73" i="24"/>
  <c r="T73" i="24"/>
  <c r="X73" i="24"/>
  <c r="R73" i="24"/>
  <c r="V73" i="24"/>
  <c r="U73" i="24"/>
  <c r="Q73" i="24"/>
  <c r="W73" i="24"/>
  <c r="S73" i="24"/>
  <c r="L73" i="24"/>
  <c r="C73" i="24"/>
  <c r="N73" i="24"/>
  <c r="O73" i="24"/>
  <c r="H60" i="24"/>
  <c r="G60" i="24"/>
  <c r="S56" i="24"/>
  <c r="W56" i="24"/>
  <c r="Q56" i="24"/>
  <c r="U56" i="24"/>
  <c r="P56" i="24"/>
  <c r="X56" i="24"/>
  <c r="T56" i="24"/>
  <c r="R56" i="24"/>
  <c r="V56" i="24"/>
  <c r="L56" i="24"/>
  <c r="C56" i="24"/>
  <c r="N56" i="24"/>
  <c r="B56" i="24"/>
  <c r="P55" i="24"/>
  <c r="T55" i="24"/>
  <c r="X55" i="24"/>
  <c r="R55" i="24"/>
  <c r="V55" i="24"/>
  <c r="Q55" i="24"/>
  <c r="U55" i="24"/>
  <c r="S55" i="24"/>
  <c r="W55" i="24"/>
  <c r="C55" i="24"/>
  <c r="O55" i="24"/>
  <c r="B55" i="24"/>
  <c r="M55" i="24"/>
  <c r="L55" i="24"/>
  <c r="D52" i="24"/>
  <c r="F52" i="24"/>
  <c r="E52" i="24"/>
  <c r="I50" i="24"/>
  <c r="H50" i="24"/>
  <c r="P47" i="24"/>
  <c r="T47" i="24"/>
  <c r="X47" i="24"/>
  <c r="R47" i="24"/>
  <c r="V47" i="24"/>
  <c r="Q47" i="24"/>
  <c r="U47" i="24"/>
  <c r="S47" i="24"/>
  <c r="W47" i="24"/>
  <c r="C47" i="24"/>
  <c r="O47" i="24"/>
  <c r="N47" i="24"/>
  <c r="E45" i="24"/>
  <c r="D45" i="24"/>
  <c r="F45" i="24"/>
  <c r="J45" i="24" s="1"/>
  <c r="D32" i="24"/>
  <c r="E32" i="24"/>
  <c r="F32" i="24"/>
  <c r="S30" i="24"/>
  <c r="W30" i="24"/>
  <c r="P30" i="24"/>
  <c r="U30" i="24"/>
  <c r="R30" i="24"/>
  <c r="X30" i="24"/>
  <c r="Q30" i="24"/>
  <c r="V30" i="24"/>
  <c r="T30" i="24"/>
  <c r="B30" i="24"/>
  <c r="N30" i="24"/>
  <c r="C30" i="24"/>
  <c r="O30" i="24"/>
  <c r="L30" i="24"/>
  <c r="M30" i="24"/>
  <c r="D27" i="24"/>
  <c r="F27" i="24"/>
  <c r="Q591" i="24"/>
  <c r="U587" i="24"/>
  <c r="S573" i="24"/>
  <c r="W569" i="24"/>
  <c r="Q559" i="24"/>
  <c r="U555" i="24"/>
  <c r="P552" i="24"/>
  <c r="T548" i="24"/>
  <c r="X544" i="24"/>
  <c r="S541" i="24"/>
  <c r="W537" i="24"/>
  <c r="Q527" i="24"/>
  <c r="P520" i="24"/>
  <c r="T516" i="24"/>
  <c r="X512" i="24"/>
  <c r="S509" i="24"/>
  <c r="W505" i="24"/>
  <c r="P488" i="24"/>
  <c r="T484" i="24"/>
  <c r="X480" i="24"/>
  <c r="S477" i="24"/>
  <c r="W473" i="24"/>
  <c r="X461" i="24"/>
  <c r="S452" i="24"/>
  <c r="P429" i="24"/>
  <c r="U400" i="24"/>
  <c r="V371" i="24"/>
  <c r="V352" i="24"/>
  <c r="P265" i="24"/>
  <c r="Q202" i="24"/>
  <c r="B593" i="24"/>
  <c r="E592" i="24"/>
  <c r="R592" i="24"/>
  <c r="V592" i="24"/>
  <c r="S592" i="24"/>
  <c r="W592" i="24"/>
  <c r="T592" i="24"/>
  <c r="U592" i="24"/>
  <c r="P592" i="24"/>
  <c r="K592" i="24" s="1"/>
  <c r="Q592" i="24"/>
  <c r="L591" i="24"/>
  <c r="O590" i="24"/>
  <c r="C590" i="24"/>
  <c r="N589" i="24"/>
  <c r="B589" i="24"/>
  <c r="I588" i="24"/>
  <c r="E588" i="24"/>
  <c r="R588" i="24"/>
  <c r="V588" i="24"/>
  <c r="S588" i="24"/>
  <c r="W588" i="24"/>
  <c r="P588" i="24"/>
  <c r="K588" i="24" s="1"/>
  <c r="X588" i="24"/>
  <c r="Q588" i="24"/>
  <c r="T588" i="24"/>
  <c r="U588" i="24"/>
  <c r="D587" i="24"/>
  <c r="O586" i="24"/>
  <c r="N585" i="24"/>
  <c r="B585" i="24"/>
  <c r="I584" i="24"/>
  <c r="E584" i="24"/>
  <c r="R584" i="24"/>
  <c r="V584" i="24"/>
  <c r="S584" i="24"/>
  <c r="W584" i="24"/>
  <c r="T584" i="24"/>
  <c r="U584" i="24"/>
  <c r="X584" i="24"/>
  <c r="L583" i="24"/>
  <c r="D583" i="24"/>
  <c r="O582" i="24"/>
  <c r="C582" i="24"/>
  <c r="N581" i="24"/>
  <c r="I580" i="24"/>
  <c r="E580" i="24"/>
  <c r="R580" i="24"/>
  <c r="V580" i="24"/>
  <c r="S580" i="24"/>
  <c r="W580" i="24"/>
  <c r="P580" i="24"/>
  <c r="X580" i="24"/>
  <c r="Q580" i="24"/>
  <c r="D579" i="24"/>
  <c r="O578" i="24"/>
  <c r="C578" i="24"/>
  <c r="N577" i="24"/>
  <c r="I576" i="24"/>
  <c r="E576" i="24"/>
  <c r="R576" i="24"/>
  <c r="V576" i="24"/>
  <c r="S576" i="24"/>
  <c r="W576" i="24"/>
  <c r="T576" i="24"/>
  <c r="U576" i="24"/>
  <c r="P576" i="24"/>
  <c r="K577" i="24" s="1"/>
  <c r="Q576" i="24"/>
  <c r="L575" i="24"/>
  <c r="D575" i="24"/>
  <c r="O574" i="24"/>
  <c r="N573" i="24"/>
  <c r="I572" i="24"/>
  <c r="E572" i="24"/>
  <c r="R572" i="24"/>
  <c r="V572" i="24"/>
  <c r="S572" i="24"/>
  <c r="W572" i="24"/>
  <c r="P572" i="24"/>
  <c r="X572" i="24"/>
  <c r="Q572" i="24"/>
  <c r="T572" i="24"/>
  <c r="U572" i="24"/>
  <c r="L571" i="24"/>
  <c r="D571" i="24"/>
  <c r="O570" i="24"/>
  <c r="C570" i="24"/>
  <c r="N569" i="24"/>
  <c r="O568" i="24"/>
  <c r="C568" i="24"/>
  <c r="N567" i="24"/>
  <c r="I566" i="24"/>
  <c r="E566" i="24"/>
  <c r="J566" i="24" s="1"/>
  <c r="P566" i="24"/>
  <c r="T566" i="24"/>
  <c r="X566" i="24"/>
  <c r="Q566" i="24"/>
  <c r="U566" i="24"/>
  <c r="V566" i="24"/>
  <c r="W566" i="24"/>
  <c r="D565" i="24"/>
  <c r="O564" i="24"/>
  <c r="C564" i="24"/>
  <c r="N563" i="24"/>
  <c r="I562" i="24"/>
  <c r="E562" i="24"/>
  <c r="P562" i="24"/>
  <c r="T562" i="24"/>
  <c r="X562" i="24"/>
  <c r="Q562" i="24"/>
  <c r="U562" i="24"/>
  <c r="R562" i="24"/>
  <c r="S562" i="24"/>
  <c r="L561" i="24"/>
  <c r="D561" i="24"/>
  <c r="O560" i="24"/>
  <c r="C560" i="24"/>
  <c r="N559" i="24"/>
  <c r="I558" i="24"/>
  <c r="E558" i="24"/>
  <c r="P558" i="24"/>
  <c r="T558" i="24"/>
  <c r="X558" i="24"/>
  <c r="Q558" i="24"/>
  <c r="U558" i="24"/>
  <c r="V558" i="24"/>
  <c r="W558" i="24"/>
  <c r="R558" i="24"/>
  <c r="S558" i="24"/>
  <c r="L557" i="24"/>
  <c r="D557" i="24"/>
  <c r="O556" i="24"/>
  <c r="N555" i="24"/>
  <c r="I554" i="24"/>
  <c r="E554" i="24"/>
  <c r="P554" i="24"/>
  <c r="T554" i="24"/>
  <c r="X554" i="24"/>
  <c r="Q554" i="24"/>
  <c r="U554" i="24"/>
  <c r="R554" i="24"/>
  <c r="S554" i="24"/>
  <c r="V554" i="24"/>
  <c r="W554" i="24"/>
  <c r="L553" i="24"/>
  <c r="O552" i="24"/>
  <c r="C552" i="24"/>
  <c r="N551" i="24"/>
  <c r="I550" i="24"/>
  <c r="E550" i="24"/>
  <c r="P550" i="24"/>
  <c r="T550" i="24"/>
  <c r="X550" i="24"/>
  <c r="Q550" i="24"/>
  <c r="U550" i="24"/>
  <c r="V550" i="24"/>
  <c r="W550" i="24"/>
  <c r="D549" i="24"/>
  <c r="O548" i="24"/>
  <c r="N547" i="24"/>
  <c r="I546" i="24"/>
  <c r="E546" i="24"/>
  <c r="P546" i="24"/>
  <c r="T546" i="24"/>
  <c r="X546" i="24"/>
  <c r="Q546" i="24"/>
  <c r="U546" i="24"/>
  <c r="R546" i="24"/>
  <c r="S546" i="24"/>
  <c r="L545" i="24"/>
  <c r="O544" i="24"/>
  <c r="C544" i="24"/>
  <c r="N543" i="24"/>
  <c r="B543" i="24"/>
  <c r="I542" i="24"/>
  <c r="E542" i="24"/>
  <c r="P542" i="24"/>
  <c r="T542" i="24"/>
  <c r="X542" i="24"/>
  <c r="Q542" i="24"/>
  <c r="U542" i="24"/>
  <c r="V542" i="24"/>
  <c r="W542" i="24"/>
  <c r="R542" i="24"/>
  <c r="S542" i="24"/>
  <c r="D541" i="24"/>
  <c r="O540" i="24"/>
  <c r="N539" i="24"/>
  <c r="B539" i="24"/>
  <c r="I538" i="24"/>
  <c r="E538" i="24"/>
  <c r="P538" i="24"/>
  <c r="T538" i="24"/>
  <c r="X538" i="24"/>
  <c r="Q538" i="24"/>
  <c r="U538" i="24"/>
  <c r="R538" i="24"/>
  <c r="S538" i="24"/>
  <c r="V538" i="24"/>
  <c r="W538" i="24"/>
  <c r="L537" i="24"/>
  <c r="O536" i="24"/>
  <c r="C536" i="24"/>
  <c r="N535" i="24"/>
  <c r="I534" i="24"/>
  <c r="E534" i="24"/>
  <c r="P534" i="24"/>
  <c r="T534" i="24"/>
  <c r="X534" i="24"/>
  <c r="Q534" i="24"/>
  <c r="U534" i="24"/>
  <c r="V534" i="24"/>
  <c r="W534" i="24"/>
  <c r="D533" i="24"/>
  <c r="O532" i="24"/>
  <c r="C532" i="24"/>
  <c r="N531" i="24"/>
  <c r="I530" i="24"/>
  <c r="E530" i="24"/>
  <c r="P530" i="24"/>
  <c r="T530" i="24"/>
  <c r="X530" i="24"/>
  <c r="Q530" i="24"/>
  <c r="U530" i="24"/>
  <c r="R530" i="24"/>
  <c r="S530" i="24"/>
  <c r="L529" i="24"/>
  <c r="O528" i="24"/>
  <c r="C528" i="24"/>
  <c r="N527" i="24"/>
  <c r="I526" i="24"/>
  <c r="E526" i="24"/>
  <c r="P526" i="24"/>
  <c r="T526" i="24"/>
  <c r="X526" i="24"/>
  <c r="Q526" i="24"/>
  <c r="U526" i="24"/>
  <c r="V526" i="24"/>
  <c r="W526" i="24"/>
  <c r="R526" i="24"/>
  <c r="S526" i="24"/>
  <c r="L525" i="24"/>
  <c r="O524" i="24"/>
  <c r="C524" i="24"/>
  <c r="N523" i="24"/>
  <c r="I522" i="24"/>
  <c r="E522" i="24"/>
  <c r="P522" i="24"/>
  <c r="T522" i="24"/>
  <c r="X522" i="24"/>
  <c r="Q522" i="24"/>
  <c r="U522" i="24"/>
  <c r="R522" i="24"/>
  <c r="S522" i="24"/>
  <c r="V522" i="24"/>
  <c r="W522" i="24"/>
  <c r="L521" i="24"/>
  <c r="O520" i="24"/>
  <c r="C520" i="24"/>
  <c r="N519" i="24"/>
  <c r="I518" i="24"/>
  <c r="E518" i="24"/>
  <c r="P518" i="24"/>
  <c r="T518" i="24"/>
  <c r="X518" i="24"/>
  <c r="Q518" i="24"/>
  <c r="U518" i="24"/>
  <c r="V518" i="24"/>
  <c r="W518" i="24"/>
  <c r="L517" i="24"/>
  <c r="D517" i="24"/>
  <c r="O516" i="24"/>
  <c r="N515" i="24"/>
  <c r="I514" i="24"/>
  <c r="E514" i="24"/>
  <c r="P514" i="24"/>
  <c r="T514" i="24"/>
  <c r="X514" i="24"/>
  <c r="Q514" i="24"/>
  <c r="U514" i="24"/>
  <c r="R514" i="24"/>
  <c r="S514" i="24"/>
  <c r="D513" i="24"/>
  <c r="O512" i="24"/>
  <c r="C512" i="24"/>
  <c r="N511" i="24"/>
  <c r="B511" i="24"/>
  <c r="I510" i="24"/>
  <c r="E510" i="24"/>
  <c r="P510" i="24"/>
  <c r="T510" i="24"/>
  <c r="X510" i="24"/>
  <c r="Q510" i="24"/>
  <c r="U510" i="24"/>
  <c r="V510" i="24"/>
  <c r="W510" i="24"/>
  <c r="R510" i="24"/>
  <c r="S510" i="24"/>
  <c r="L509" i="24"/>
  <c r="D509" i="24"/>
  <c r="O508" i="24"/>
  <c r="N507" i="24"/>
  <c r="B507" i="24"/>
  <c r="I506" i="24"/>
  <c r="E506" i="24"/>
  <c r="P506" i="24"/>
  <c r="T506" i="24"/>
  <c r="X506" i="24"/>
  <c r="Q506" i="24"/>
  <c r="U506" i="24"/>
  <c r="R506" i="24"/>
  <c r="S506" i="24"/>
  <c r="V506" i="24"/>
  <c r="W506" i="24"/>
  <c r="D505" i="24"/>
  <c r="O504" i="24"/>
  <c r="C504" i="24"/>
  <c r="N503" i="24"/>
  <c r="I502" i="24"/>
  <c r="E502" i="24"/>
  <c r="P502" i="24"/>
  <c r="T502" i="24"/>
  <c r="X502" i="24"/>
  <c r="Q502" i="24"/>
  <c r="U502" i="24"/>
  <c r="V502" i="24"/>
  <c r="W502" i="24"/>
  <c r="L501" i="24"/>
  <c r="O500" i="24"/>
  <c r="C500" i="24"/>
  <c r="N499" i="24"/>
  <c r="I498" i="24"/>
  <c r="E498" i="24"/>
  <c r="P498" i="24"/>
  <c r="T498" i="24"/>
  <c r="X498" i="24"/>
  <c r="Q498" i="24"/>
  <c r="U498" i="24"/>
  <c r="R498" i="24"/>
  <c r="S498" i="24"/>
  <c r="L497" i="24"/>
  <c r="D497" i="24"/>
  <c r="O496" i="24"/>
  <c r="C496" i="24"/>
  <c r="N495" i="24"/>
  <c r="I494" i="24"/>
  <c r="E494" i="24"/>
  <c r="P494" i="24"/>
  <c r="T494" i="24"/>
  <c r="X494" i="24"/>
  <c r="Q494" i="24"/>
  <c r="U494" i="24"/>
  <c r="V494" i="24"/>
  <c r="W494" i="24"/>
  <c r="R494" i="24"/>
  <c r="S494" i="24"/>
  <c r="L493" i="24"/>
  <c r="D493" i="24"/>
  <c r="O492" i="24"/>
  <c r="N491" i="24"/>
  <c r="I490" i="24"/>
  <c r="E490" i="24"/>
  <c r="P490" i="24"/>
  <c r="T490" i="24"/>
  <c r="X490" i="24"/>
  <c r="Q490" i="24"/>
  <c r="U490" i="24"/>
  <c r="R490" i="24"/>
  <c r="S490" i="24"/>
  <c r="V490" i="24"/>
  <c r="W490" i="24"/>
  <c r="L489" i="24"/>
  <c r="D489" i="24"/>
  <c r="O488" i="24"/>
  <c r="C488" i="24"/>
  <c r="N487" i="24"/>
  <c r="I486" i="24"/>
  <c r="E486" i="24"/>
  <c r="P486" i="24"/>
  <c r="T486" i="24"/>
  <c r="X486" i="24"/>
  <c r="Q486" i="24"/>
  <c r="U486" i="24"/>
  <c r="V486" i="24"/>
  <c r="W486" i="24"/>
  <c r="D485" i="24"/>
  <c r="O484" i="24"/>
  <c r="N483" i="24"/>
  <c r="I482" i="24"/>
  <c r="E482" i="24"/>
  <c r="P482" i="24"/>
  <c r="T482" i="24"/>
  <c r="X482" i="24"/>
  <c r="Q482" i="24"/>
  <c r="U482" i="24"/>
  <c r="R482" i="24"/>
  <c r="S482" i="24"/>
  <c r="D481" i="24"/>
  <c r="O480" i="24"/>
  <c r="C480" i="24"/>
  <c r="N479" i="24"/>
  <c r="B479" i="24"/>
  <c r="I478" i="24"/>
  <c r="E478" i="24"/>
  <c r="J478" i="24" s="1"/>
  <c r="P478" i="24"/>
  <c r="T478" i="24"/>
  <c r="X478" i="24"/>
  <c r="Q478" i="24"/>
  <c r="U478" i="24"/>
  <c r="V478" i="24"/>
  <c r="W478" i="24"/>
  <c r="R478" i="24"/>
  <c r="S478" i="24"/>
  <c r="L477" i="24"/>
  <c r="O476" i="24"/>
  <c r="N475" i="24"/>
  <c r="B475" i="24"/>
  <c r="I474" i="24"/>
  <c r="E474" i="24"/>
  <c r="P474" i="24"/>
  <c r="T474" i="24"/>
  <c r="X474" i="24"/>
  <c r="Q474" i="24"/>
  <c r="U474" i="24"/>
  <c r="R474" i="24"/>
  <c r="S474" i="24"/>
  <c r="V474" i="24"/>
  <c r="W474" i="24"/>
  <c r="D473" i="24"/>
  <c r="O472" i="24"/>
  <c r="C472" i="24"/>
  <c r="N471" i="24"/>
  <c r="I470" i="24"/>
  <c r="E470" i="24"/>
  <c r="P470" i="24"/>
  <c r="T470" i="24"/>
  <c r="X470" i="24"/>
  <c r="Q470" i="24"/>
  <c r="U470" i="24"/>
  <c r="V470" i="24"/>
  <c r="W470" i="24"/>
  <c r="L469" i="24"/>
  <c r="D469" i="24"/>
  <c r="O468" i="24"/>
  <c r="C468" i="24"/>
  <c r="N467" i="24"/>
  <c r="I466" i="24"/>
  <c r="E466" i="24"/>
  <c r="R466" i="24"/>
  <c r="V466" i="24"/>
  <c r="S466" i="24"/>
  <c r="X466" i="24"/>
  <c r="T466" i="24"/>
  <c r="P466" i="24"/>
  <c r="Q466" i="24"/>
  <c r="D465" i="24"/>
  <c r="O464" i="24"/>
  <c r="C464" i="24"/>
  <c r="M463" i="24"/>
  <c r="N461" i="24"/>
  <c r="C461" i="24"/>
  <c r="M460" i="24"/>
  <c r="Q459" i="24"/>
  <c r="U459" i="24"/>
  <c r="R459" i="24"/>
  <c r="W459" i="24"/>
  <c r="S459" i="24"/>
  <c r="X459" i="24"/>
  <c r="P459" i="24"/>
  <c r="B459" i="24"/>
  <c r="N459" i="24"/>
  <c r="G458" i="24"/>
  <c r="M457" i="24"/>
  <c r="G457" i="24"/>
  <c r="F456" i="24"/>
  <c r="P456" i="24"/>
  <c r="T456" i="24"/>
  <c r="X456" i="24"/>
  <c r="R456" i="24"/>
  <c r="W456" i="24"/>
  <c r="S456" i="24"/>
  <c r="U456" i="24"/>
  <c r="V456" i="24"/>
  <c r="C456" i="24"/>
  <c r="O456" i="24"/>
  <c r="Q456" i="24"/>
  <c r="F454" i="24"/>
  <c r="F453" i="24"/>
  <c r="S453" i="24"/>
  <c r="W453" i="24"/>
  <c r="R453" i="24"/>
  <c r="X453" i="24"/>
  <c r="T453" i="24"/>
  <c r="P453" i="24"/>
  <c r="Q453" i="24"/>
  <c r="U453" i="24"/>
  <c r="L453" i="24"/>
  <c r="V453" i="24"/>
  <c r="E452" i="24"/>
  <c r="D450" i="24"/>
  <c r="J450" i="24" s="1"/>
  <c r="E449" i="24"/>
  <c r="M447" i="24"/>
  <c r="N445" i="24"/>
  <c r="C445" i="24"/>
  <c r="M444" i="24"/>
  <c r="Q443" i="24"/>
  <c r="U443" i="24"/>
  <c r="R443" i="24"/>
  <c r="W443" i="24"/>
  <c r="S443" i="24"/>
  <c r="X443" i="24"/>
  <c r="T443" i="24"/>
  <c r="V443" i="24"/>
  <c r="B443" i="24"/>
  <c r="N443" i="24"/>
  <c r="G442" i="24"/>
  <c r="M441" i="24"/>
  <c r="G441" i="24"/>
  <c r="F440" i="24"/>
  <c r="S440" i="24"/>
  <c r="W440" i="24"/>
  <c r="P440" i="24"/>
  <c r="T440" i="24"/>
  <c r="X440" i="24"/>
  <c r="Q440" i="24"/>
  <c r="R440" i="24"/>
  <c r="U440" i="24"/>
  <c r="V440" i="24"/>
  <c r="C440" i="24"/>
  <c r="O440" i="24"/>
  <c r="F438" i="24"/>
  <c r="F437" i="24"/>
  <c r="R437" i="24"/>
  <c r="V437" i="24"/>
  <c r="S437" i="24"/>
  <c r="W437" i="24"/>
  <c r="T437" i="24"/>
  <c r="U437" i="24"/>
  <c r="P437" i="24"/>
  <c r="Q437" i="24"/>
  <c r="X437" i="24"/>
  <c r="L437" i="24"/>
  <c r="E436" i="24"/>
  <c r="D434" i="24"/>
  <c r="J434" i="24" s="1"/>
  <c r="O433" i="24"/>
  <c r="E433" i="24"/>
  <c r="N432" i="24"/>
  <c r="M431" i="24"/>
  <c r="N429" i="24"/>
  <c r="C429" i="24"/>
  <c r="M428" i="24"/>
  <c r="P427" i="24"/>
  <c r="T427" i="24"/>
  <c r="X427" i="24"/>
  <c r="Q427" i="24"/>
  <c r="U427" i="24"/>
  <c r="V427" i="24"/>
  <c r="W427" i="24"/>
  <c r="R427" i="24"/>
  <c r="B427" i="24"/>
  <c r="N427" i="24"/>
  <c r="S427" i="24"/>
  <c r="G426" i="24"/>
  <c r="J426" i="24" s="1"/>
  <c r="M425" i="24"/>
  <c r="G425" i="24"/>
  <c r="B425" i="24"/>
  <c r="F424" i="24"/>
  <c r="S424" i="24"/>
  <c r="W424" i="24"/>
  <c r="P424" i="24"/>
  <c r="T424" i="24"/>
  <c r="X424" i="24"/>
  <c r="Q424" i="24"/>
  <c r="R424" i="24"/>
  <c r="U424" i="24"/>
  <c r="V424" i="24"/>
  <c r="C424" i="24"/>
  <c r="O424" i="24"/>
  <c r="F422" i="24"/>
  <c r="F421" i="24"/>
  <c r="R421" i="24"/>
  <c r="V421" i="24"/>
  <c r="S421" i="24"/>
  <c r="W421" i="24"/>
  <c r="T421" i="24"/>
  <c r="U421" i="24"/>
  <c r="P421" i="24"/>
  <c r="Q421" i="24"/>
  <c r="L421" i="24"/>
  <c r="E420" i="24"/>
  <c r="D418" i="24"/>
  <c r="J418" i="24" s="1"/>
  <c r="E417" i="24"/>
  <c r="M415" i="24"/>
  <c r="N413" i="24"/>
  <c r="M412" i="24"/>
  <c r="P411" i="24"/>
  <c r="T411" i="24"/>
  <c r="X411" i="24"/>
  <c r="Q411" i="24"/>
  <c r="U411" i="24"/>
  <c r="V411" i="24"/>
  <c r="W411" i="24"/>
  <c r="B411" i="24"/>
  <c r="N411" i="24"/>
  <c r="G410" i="24"/>
  <c r="J410" i="24" s="1"/>
  <c r="M409" i="24"/>
  <c r="G409" i="24"/>
  <c r="F408" i="24"/>
  <c r="S408" i="24"/>
  <c r="W408" i="24"/>
  <c r="P408" i="24"/>
  <c r="T408" i="24"/>
  <c r="X408" i="24"/>
  <c r="Q408" i="24"/>
  <c r="R408" i="24"/>
  <c r="U408" i="24"/>
  <c r="V408" i="24"/>
  <c r="C408" i="24"/>
  <c r="O408" i="24"/>
  <c r="F406" i="24"/>
  <c r="F405" i="24"/>
  <c r="R405" i="24"/>
  <c r="V405" i="24"/>
  <c r="S405" i="24"/>
  <c r="W405" i="24"/>
  <c r="T405" i="24"/>
  <c r="U405" i="24"/>
  <c r="P405" i="24"/>
  <c r="Q405" i="24"/>
  <c r="X405" i="24"/>
  <c r="L405" i="24"/>
  <c r="E404" i="24"/>
  <c r="D402" i="24"/>
  <c r="J402" i="24" s="1"/>
  <c r="O401" i="24"/>
  <c r="E401" i="24"/>
  <c r="M399" i="24"/>
  <c r="N397" i="24"/>
  <c r="C397" i="24"/>
  <c r="M396" i="24"/>
  <c r="P395" i="24"/>
  <c r="T395" i="24"/>
  <c r="X395" i="24"/>
  <c r="Q395" i="24"/>
  <c r="U395" i="24"/>
  <c r="V395" i="24"/>
  <c r="W395" i="24"/>
  <c r="R395" i="24"/>
  <c r="B395" i="24"/>
  <c r="N395" i="24"/>
  <c r="S395" i="24"/>
  <c r="G394" i="24"/>
  <c r="J394" i="24" s="1"/>
  <c r="M393" i="24"/>
  <c r="G393" i="24"/>
  <c r="F392" i="24"/>
  <c r="S392" i="24"/>
  <c r="W392" i="24"/>
  <c r="P392" i="24"/>
  <c r="T392" i="24"/>
  <c r="X392" i="24"/>
  <c r="Q392" i="24"/>
  <c r="R392" i="24"/>
  <c r="U392" i="24"/>
  <c r="V392" i="24"/>
  <c r="C392" i="24"/>
  <c r="O392" i="24"/>
  <c r="F390" i="24"/>
  <c r="F389" i="24"/>
  <c r="R389" i="24"/>
  <c r="V389" i="24"/>
  <c r="S389" i="24"/>
  <c r="W389" i="24"/>
  <c r="T389" i="24"/>
  <c r="U389" i="24"/>
  <c r="P389" i="24"/>
  <c r="Q389" i="24"/>
  <c r="L389" i="24"/>
  <c r="E388" i="24"/>
  <c r="O387" i="24"/>
  <c r="D386" i="24"/>
  <c r="J386" i="24" s="1"/>
  <c r="E385" i="24"/>
  <c r="N384" i="24"/>
  <c r="M383" i="24"/>
  <c r="N381" i="24"/>
  <c r="C381" i="24"/>
  <c r="M380" i="24"/>
  <c r="P379" i="24"/>
  <c r="T379" i="24"/>
  <c r="X379" i="24"/>
  <c r="Q379" i="24"/>
  <c r="U379" i="24"/>
  <c r="V379" i="24"/>
  <c r="W379" i="24"/>
  <c r="B379" i="24"/>
  <c r="N379" i="24"/>
  <c r="G378" i="24"/>
  <c r="J378" i="24" s="1"/>
  <c r="M377" i="24"/>
  <c r="G377" i="24"/>
  <c r="F376" i="24"/>
  <c r="S376" i="24"/>
  <c r="W376" i="24"/>
  <c r="P376" i="24"/>
  <c r="T376" i="24"/>
  <c r="X376" i="24"/>
  <c r="Q376" i="24"/>
  <c r="R376" i="24"/>
  <c r="U376" i="24"/>
  <c r="V376" i="24"/>
  <c r="C376" i="24"/>
  <c r="O376" i="24"/>
  <c r="F374" i="24"/>
  <c r="F373" i="24"/>
  <c r="R373" i="24"/>
  <c r="Q373" i="24"/>
  <c r="V373" i="24"/>
  <c r="S373" i="24"/>
  <c r="W373" i="24"/>
  <c r="T373" i="24"/>
  <c r="U373" i="24"/>
  <c r="P373" i="24"/>
  <c r="X373" i="24"/>
  <c r="L373" i="24"/>
  <c r="E372" i="24"/>
  <c r="O371" i="24"/>
  <c r="D370" i="24"/>
  <c r="J370" i="24" s="1"/>
  <c r="E369" i="24"/>
  <c r="N368" i="24"/>
  <c r="M367" i="24"/>
  <c r="C367" i="24"/>
  <c r="N365" i="24"/>
  <c r="C365" i="24"/>
  <c r="M364" i="24"/>
  <c r="P363" i="24"/>
  <c r="T363" i="24"/>
  <c r="X363" i="24"/>
  <c r="Q363" i="24"/>
  <c r="V363" i="24"/>
  <c r="R363" i="24"/>
  <c r="W363" i="24"/>
  <c r="S363" i="24"/>
  <c r="U363" i="24"/>
  <c r="B363" i="24"/>
  <c r="N363" i="24"/>
  <c r="G362" i="24"/>
  <c r="M361" i="24"/>
  <c r="G361" i="24"/>
  <c r="F360" i="24"/>
  <c r="S360" i="24"/>
  <c r="W360" i="24"/>
  <c r="Q360" i="24"/>
  <c r="V360" i="24"/>
  <c r="R360" i="24"/>
  <c r="X360" i="24"/>
  <c r="T360" i="24"/>
  <c r="U360" i="24"/>
  <c r="C360" i="24"/>
  <c r="O360" i="24"/>
  <c r="P360" i="24"/>
  <c r="F358" i="24"/>
  <c r="F357" i="24"/>
  <c r="R357" i="24"/>
  <c r="V357" i="24"/>
  <c r="Q357" i="24"/>
  <c r="W357" i="24"/>
  <c r="S357" i="24"/>
  <c r="X357" i="24"/>
  <c r="P357" i="24"/>
  <c r="L357" i="24"/>
  <c r="E356" i="24"/>
  <c r="O355" i="24"/>
  <c r="D354" i="24"/>
  <c r="J354" i="24" s="1"/>
  <c r="E353" i="24"/>
  <c r="N352" i="24"/>
  <c r="M351" i="24"/>
  <c r="N349" i="24"/>
  <c r="C349" i="24"/>
  <c r="M348" i="24"/>
  <c r="P347" i="24"/>
  <c r="T347" i="24"/>
  <c r="X347" i="24"/>
  <c r="Q347" i="24"/>
  <c r="V347" i="24"/>
  <c r="U347" i="24"/>
  <c r="W347" i="24"/>
  <c r="R347" i="24"/>
  <c r="S347" i="24"/>
  <c r="B347" i="24"/>
  <c r="N347" i="24"/>
  <c r="G346" i="24"/>
  <c r="M345" i="24"/>
  <c r="G345" i="24"/>
  <c r="F344" i="24"/>
  <c r="S344" i="24"/>
  <c r="W344" i="24"/>
  <c r="Q344" i="24"/>
  <c r="V344" i="24"/>
  <c r="T344" i="24"/>
  <c r="U344" i="24"/>
  <c r="P344" i="24"/>
  <c r="R344" i="24"/>
  <c r="X344" i="24"/>
  <c r="C344" i="24"/>
  <c r="O344" i="24"/>
  <c r="F342" i="24"/>
  <c r="F341" i="24"/>
  <c r="R341" i="24"/>
  <c r="V341" i="24"/>
  <c r="Q341" i="24"/>
  <c r="W341" i="24"/>
  <c r="S341" i="24"/>
  <c r="T341" i="24"/>
  <c r="P341" i="24"/>
  <c r="U341" i="24"/>
  <c r="X341" i="24"/>
  <c r="L341" i="24"/>
  <c r="E340" i="24"/>
  <c r="O339" i="24"/>
  <c r="D338" i="24"/>
  <c r="J338" i="24" s="1"/>
  <c r="E337" i="24"/>
  <c r="N336" i="24"/>
  <c r="M335" i="24"/>
  <c r="N333" i="24"/>
  <c r="C333" i="24"/>
  <c r="M332" i="24"/>
  <c r="B332" i="24"/>
  <c r="R331" i="24"/>
  <c r="V331" i="24"/>
  <c r="P331" i="24"/>
  <c r="T331" i="24"/>
  <c r="X331" i="24"/>
  <c r="S331" i="24"/>
  <c r="Q331" i="24"/>
  <c r="U331" i="24"/>
  <c r="B331" i="24"/>
  <c r="N331" i="24"/>
  <c r="G330" i="24"/>
  <c r="J330" i="24" s="1"/>
  <c r="M329" i="24"/>
  <c r="G329" i="24"/>
  <c r="F328" i="24"/>
  <c r="Q328" i="24"/>
  <c r="U328" i="24"/>
  <c r="S328" i="24"/>
  <c r="W328" i="24"/>
  <c r="V328" i="24"/>
  <c r="X328" i="24"/>
  <c r="P328" i="24"/>
  <c r="R328" i="24"/>
  <c r="T328" i="24"/>
  <c r="C328" i="24"/>
  <c r="O328" i="24"/>
  <c r="F326" i="24"/>
  <c r="F325" i="24"/>
  <c r="P325" i="24"/>
  <c r="T325" i="24"/>
  <c r="X325" i="24"/>
  <c r="R325" i="24"/>
  <c r="V325" i="24"/>
  <c r="Q325" i="24"/>
  <c r="S325" i="24"/>
  <c r="U325" i="24"/>
  <c r="W325" i="24"/>
  <c r="L325" i="24"/>
  <c r="E324" i="24"/>
  <c r="O323" i="24"/>
  <c r="D322" i="24"/>
  <c r="J322" i="24" s="1"/>
  <c r="O321" i="24"/>
  <c r="E321" i="24"/>
  <c r="N320" i="24"/>
  <c r="M319" i="24"/>
  <c r="N317" i="24"/>
  <c r="C317" i="24"/>
  <c r="M316" i="24"/>
  <c r="R315" i="24"/>
  <c r="V315" i="24"/>
  <c r="P315" i="24"/>
  <c r="T315" i="24"/>
  <c r="X315" i="24"/>
  <c r="Q315" i="24"/>
  <c r="S315" i="24"/>
  <c r="U315" i="24"/>
  <c r="B315" i="24"/>
  <c r="N315" i="24"/>
  <c r="W315" i="24"/>
  <c r="G314" i="24"/>
  <c r="J314" i="24" s="1"/>
  <c r="M313" i="24"/>
  <c r="G313" i="24"/>
  <c r="F312" i="24"/>
  <c r="Q312" i="24"/>
  <c r="U312" i="24"/>
  <c r="S312" i="24"/>
  <c r="W312" i="24"/>
  <c r="T312" i="24"/>
  <c r="V312" i="24"/>
  <c r="X312" i="24"/>
  <c r="P312" i="24"/>
  <c r="R312" i="24"/>
  <c r="C312" i="24"/>
  <c r="O312" i="24"/>
  <c r="F310" i="24"/>
  <c r="F309" i="24"/>
  <c r="P309" i="24"/>
  <c r="T309" i="24"/>
  <c r="X309" i="24"/>
  <c r="R309" i="24"/>
  <c r="V309" i="24"/>
  <c r="W309" i="24"/>
  <c r="Q309" i="24"/>
  <c r="S309" i="24"/>
  <c r="U309" i="24"/>
  <c r="L309" i="24"/>
  <c r="E308" i="24"/>
  <c r="D306" i="24"/>
  <c r="J306" i="24" s="1"/>
  <c r="O305" i="24"/>
  <c r="E305" i="24"/>
  <c r="M303" i="24"/>
  <c r="N301" i="24"/>
  <c r="M300" i="24"/>
  <c r="R299" i="24"/>
  <c r="V299" i="24"/>
  <c r="P299" i="24"/>
  <c r="T299" i="24"/>
  <c r="X299" i="24"/>
  <c r="Q299" i="24"/>
  <c r="S299" i="24"/>
  <c r="U299" i="24"/>
  <c r="W299" i="24"/>
  <c r="B299" i="24"/>
  <c r="N299" i="24"/>
  <c r="G298" i="24"/>
  <c r="M297" i="24"/>
  <c r="G297" i="24"/>
  <c r="F296" i="24"/>
  <c r="Q296" i="24"/>
  <c r="U296" i="24"/>
  <c r="S296" i="24"/>
  <c r="W296" i="24"/>
  <c r="T296" i="24"/>
  <c r="V296" i="24"/>
  <c r="X296" i="24"/>
  <c r="P296" i="24"/>
  <c r="R296" i="24"/>
  <c r="C296" i="24"/>
  <c r="O296" i="24"/>
  <c r="D293" i="24"/>
  <c r="E293" i="24"/>
  <c r="R291" i="24"/>
  <c r="V291" i="24"/>
  <c r="P291" i="24"/>
  <c r="T291" i="24"/>
  <c r="X291" i="24"/>
  <c r="Q291" i="24"/>
  <c r="S291" i="24"/>
  <c r="U291" i="24"/>
  <c r="W291" i="24"/>
  <c r="B291" i="24"/>
  <c r="N291" i="24"/>
  <c r="C291" i="24"/>
  <c r="O291" i="24"/>
  <c r="H289" i="24"/>
  <c r="I289" i="24"/>
  <c r="M288" i="24"/>
  <c r="G286" i="24"/>
  <c r="N284" i="24"/>
  <c r="F284" i="24"/>
  <c r="F283" i="24"/>
  <c r="F282" i="24"/>
  <c r="S278" i="24"/>
  <c r="W278" i="24"/>
  <c r="Q278" i="24"/>
  <c r="U278" i="24"/>
  <c r="V278" i="24"/>
  <c r="P278" i="24"/>
  <c r="X278" i="24"/>
  <c r="R278" i="24"/>
  <c r="T278" i="24"/>
  <c r="C278" i="24"/>
  <c r="O278" i="24"/>
  <c r="L278" i="24"/>
  <c r="D275" i="24"/>
  <c r="E275" i="24"/>
  <c r="P273" i="24"/>
  <c r="T273" i="24"/>
  <c r="X273" i="24"/>
  <c r="R273" i="24"/>
  <c r="V273" i="24"/>
  <c r="S273" i="24"/>
  <c r="U273" i="24"/>
  <c r="W273" i="24"/>
  <c r="B273" i="24"/>
  <c r="N273" i="24"/>
  <c r="Q273" i="24"/>
  <c r="C273" i="24"/>
  <c r="O273" i="24"/>
  <c r="H271" i="24"/>
  <c r="I271" i="24"/>
  <c r="G268" i="24"/>
  <c r="J268" i="24" s="1"/>
  <c r="F267" i="24"/>
  <c r="N266" i="24"/>
  <c r="F266" i="24"/>
  <c r="P262" i="24"/>
  <c r="T262" i="24"/>
  <c r="X262" i="24"/>
  <c r="R262" i="24"/>
  <c r="W262" i="24"/>
  <c r="U262" i="24"/>
  <c r="Q262" i="24"/>
  <c r="S262" i="24"/>
  <c r="V262" i="24"/>
  <c r="C262" i="24"/>
  <c r="O262" i="24"/>
  <c r="L262" i="24"/>
  <c r="D259" i="24"/>
  <c r="E259" i="24"/>
  <c r="Q257" i="24"/>
  <c r="U257" i="24"/>
  <c r="T257" i="24"/>
  <c r="R257" i="24"/>
  <c r="W257" i="24"/>
  <c r="X257" i="24"/>
  <c r="P257" i="24"/>
  <c r="S257" i="24"/>
  <c r="V257" i="24"/>
  <c r="B257" i="24"/>
  <c r="N257" i="24"/>
  <c r="C257" i="24"/>
  <c r="O257" i="24"/>
  <c r="H255" i="24"/>
  <c r="I255" i="24"/>
  <c r="G252" i="24"/>
  <c r="F251" i="24"/>
  <c r="N250" i="24"/>
  <c r="F250" i="24"/>
  <c r="P246" i="24"/>
  <c r="T246" i="24"/>
  <c r="X246" i="24"/>
  <c r="R246" i="24"/>
  <c r="W246" i="24"/>
  <c r="U246" i="24"/>
  <c r="Q246" i="24"/>
  <c r="S246" i="24"/>
  <c r="V246" i="24"/>
  <c r="C246" i="24"/>
  <c r="O246" i="24"/>
  <c r="L246" i="24"/>
  <c r="D243" i="24"/>
  <c r="E243" i="24"/>
  <c r="S241" i="24"/>
  <c r="W241" i="24"/>
  <c r="Q241" i="24"/>
  <c r="U241" i="24"/>
  <c r="P241" i="24"/>
  <c r="X241" i="24"/>
  <c r="T241" i="24"/>
  <c r="V241" i="24"/>
  <c r="R241" i="24"/>
  <c r="B241" i="24"/>
  <c r="N241" i="24"/>
  <c r="C241" i="24"/>
  <c r="O241" i="24"/>
  <c r="H239" i="24"/>
  <c r="I239" i="24"/>
  <c r="G236" i="24"/>
  <c r="F234" i="24"/>
  <c r="M233" i="24"/>
  <c r="G231" i="24"/>
  <c r="R230" i="24"/>
  <c r="V230" i="24"/>
  <c r="P230" i="24"/>
  <c r="T230" i="24"/>
  <c r="X230" i="24"/>
  <c r="S230" i="24"/>
  <c r="W230" i="24"/>
  <c r="Q230" i="24"/>
  <c r="U230" i="24"/>
  <c r="C230" i="24"/>
  <c r="O230" i="24"/>
  <c r="L230" i="24"/>
  <c r="D227" i="24"/>
  <c r="E227" i="24"/>
  <c r="S225" i="24"/>
  <c r="W225" i="24"/>
  <c r="Q225" i="24"/>
  <c r="U225" i="24"/>
  <c r="P225" i="24"/>
  <c r="X225" i="24"/>
  <c r="T225" i="24"/>
  <c r="V225" i="24"/>
  <c r="R225" i="24"/>
  <c r="B225" i="24"/>
  <c r="N225" i="24"/>
  <c r="C225" i="24"/>
  <c r="O225" i="24"/>
  <c r="H223" i="24"/>
  <c r="I223" i="24"/>
  <c r="G220" i="24"/>
  <c r="F219" i="24"/>
  <c r="N218" i="24"/>
  <c r="F218" i="24"/>
  <c r="R214" i="24"/>
  <c r="V214" i="24"/>
  <c r="P214" i="24"/>
  <c r="T214" i="24"/>
  <c r="X214" i="24"/>
  <c r="S214" i="24"/>
  <c r="W214" i="24"/>
  <c r="Q214" i="24"/>
  <c r="U214" i="24"/>
  <c r="C214" i="24"/>
  <c r="O214" i="24"/>
  <c r="L214" i="24"/>
  <c r="D211" i="24"/>
  <c r="E211" i="24"/>
  <c r="S209" i="24"/>
  <c r="W209" i="24"/>
  <c r="Q209" i="24"/>
  <c r="U209" i="24"/>
  <c r="P209" i="24"/>
  <c r="X209" i="24"/>
  <c r="T209" i="24"/>
  <c r="V209" i="24"/>
  <c r="R209" i="24"/>
  <c r="B209" i="24"/>
  <c r="N209" i="24"/>
  <c r="C209" i="24"/>
  <c r="O209" i="24"/>
  <c r="H207" i="24"/>
  <c r="I207" i="24"/>
  <c r="G204" i="24"/>
  <c r="J204" i="24" s="1"/>
  <c r="N202" i="24"/>
  <c r="F202" i="24"/>
  <c r="M201" i="24"/>
  <c r="G199" i="24"/>
  <c r="R198" i="24"/>
  <c r="V198" i="24"/>
  <c r="P198" i="24"/>
  <c r="T198" i="24"/>
  <c r="X198" i="24"/>
  <c r="S198" i="24"/>
  <c r="W198" i="24"/>
  <c r="U198" i="24"/>
  <c r="Q198" i="24"/>
  <c r="C198" i="24"/>
  <c r="O198" i="24"/>
  <c r="L198" i="24"/>
  <c r="D195" i="24"/>
  <c r="E195" i="24"/>
  <c r="S193" i="24"/>
  <c r="W193" i="24"/>
  <c r="Q193" i="24"/>
  <c r="U193" i="24"/>
  <c r="P193" i="24"/>
  <c r="X193" i="24"/>
  <c r="T193" i="24"/>
  <c r="V193" i="24"/>
  <c r="R193" i="24"/>
  <c r="B193" i="24"/>
  <c r="N193" i="24"/>
  <c r="C193" i="24"/>
  <c r="O193" i="24"/>
  <c r="H191" i="24"/>
  <c r="I191" i="24"/>
  <c r="G188" i="24"/>
  <c r="F186" i="24"/>
  <c r="M185" i="24"/>
  <c r="G183" i="24"/>
  <c r="R182" i="24"/>
  <c r="V182" i="24"/>
  <c r="P182" i="24"/>
  <c r="T182" i="24"/>
  <c r="X182" i="24"/>
  <c r="S182" i="24"/>
  <c r="W182" i="24"/>
  <c r="Q182" i="24"/>
  <c r="U182" i="24"/>
  <c r="C182" i="24"/>
  <c r="O182" i="24"/>
  <c r="L182" i="24"/>
  <c r="D179" i="24"/>
  <c r="E179" i="24"/>
  <c r="S177" i="24"/>
  <c r="W177" i="24"/>
  <c r="Q177" i="24"/>
  <c r="U177" i="24"/>
  <c r="P177" i="24"/>
  <c r="X177" i="24"/>
  <c r="T177" i="24"/>
  <c r="V177" i="24"/>
  <c r="R177" i="24"/>
  <c r="B177" i="24"/>
  <c r="N177" i="24"/>
  <c r="C177" i="24"/>
  <c r="O177" i="24"/>
  <c r="H175" i="24"/>
  <c r="I175" i="24"/>
  <c r="M174" i="24"/>
  <c r="G172" i="24"/>
  <c r="J172" i="24" s="1"/>
  <c r="Q171" i="24"/>
  <c r="U171" i="24"/>
  <c r="S171" i="24"/>
  <c r="W171" i="24"/>
  <c r="V171" i="24"/>
  <c r="R171" i="24"/>
  <c r="P171" i="24"/>
  <c r="T171" i="24"/>
  <c r="X171" i="24"/>
  <c r="B171" i="24"/>
  <c r="C171" i="24"/>
  <c r="L171" i="24"/>
  <c r="M171" i="24"/>
  <c r="F170" i="24"/>
  <c r="J170" i="24" s="1"/>
  <c r="M169" i="24"/>
  <c r="H163" i="24"/>
  <c r="H161" i="24"/>
  <c r="G161" i="24"/>
  <c r="R159" i="24"/>
  <c r="V159" i="24"/>
  <c r="P159" i="24"/>
  <c r="U159" i="24"/>
  <c r="S159" i="24"/>
  <c r="X159" i="24"/>
  <c r="W159" i="24"/>
  <c r="Q159" i="24"/>
  <c r="T159" i="24"/>
  <c r="B159" i="24"/>
  <c r="N159" i="24"/>
  <c r="O159" i="24"/>
  <c r="E158" i="24"/>
  <c r="D158" i="24"/>
  <c r="F158" i="24"/>
  <c r="I157" i="24"/>
  <c r="P153" i="24"/>
  <c r="T153" i="24"/>
  <c r="X153" i="24"/>
  <c r="Q153" i="24"/>
  <c r="V153" i="24"/>
  <c r="S153" i="24"/>
  <c r="W153" i="24"/>
  <c r="R153" i="24"/>
  <c r="U153" i="24"/>
  <c r="L153" i="24"/>
  <c r="C153" i="24"/>
  <c r="N153" i="24"/>
  <c r="O153" i="24"/>
  <c r="E144" i="24"/>
  <c r="F144" i="24"/>
  <c r="H143" i="24"/>
  <c r="H142" i="24"/>
  <c r="G141" i="24"/>
  <c r="M140" i="24"/>
  <c r="E138" i="24"/>
  <c r="D138" i="24"/>
  <c r="S136" i="24"/>
  <c r="W136" i="24"/>
  <c r="Q136" i="24"/>
  <c r="U136" i="24"/>
  <c r="P136" i="24"/>
  <c r="X136" i="24"/>
  <c r="T136" i="24"/>
  <c r="R136" i="24"/>
  <c r="V136" i="24"/>
  <c r="C136" i="24"/>
  <c r="O136" i="24"/>
  <c r="B136" i="24"/>
  <c r="M136" i="24"/>
  <c r="N136" i="24"/>
  <c r="R133" i="24"/>
  <c r="V133" i="24"/>
  <c r="P133" i="24"/>
  <c r="T133" i="24"/>
  <c r="X133" i="24"/>
  <c r="S133" i="24"/>
  <c r="W133" i="24"/>
  <c r="U133" i="24"/>
  <c r="L133" i="24"/>
  <c r="B133" i="24"/>
  <c r="M133" i="24"/>
  <c r="Q133" i="24"/>
  <c r="C133" i="24"/>
  <c r="N133" i="24"/>
  <c r="G126" i="24"/>
  <c r="S124" i="24"/>
  <c r="W124" i="24"/>
  <c r="Q124" i="24"/>
  <c r="U124" i="24"/>
  <c r="T124" i="24"/>
  <c r="P124" i="24"/>
  <c r="X124" i="24"/>
  <c r="V124" i="24"/>
  <c r="R124" i="24"/>
  <c r="C124" i="24"/>
  <c r="O124" i="24"/>
  <c r="N124" i="24"/>
  <c r="I115" i="24"/>
  <c r="I114" i="24"/>
  <c r="G114" i="24"/>
  <c r="M111" i="24"/>
  <c r="D109" i="24"/>
  <c r="J109" i="24" s="1"/>
  <c r="E109" i="24"/>
  <c r="F109" i="24"/>
  <c r="R107" i="24"/>
  <c r="V107" i="24"/>
  <c r="P107" i="24"/>
  <c r="T107" i="24"/>
  <c r="X107" i="24"/>
  <c r="S107" i="24"/>
  <c r="W107" i="24"/>
  <c r="U107" i="24"/>
  <c r="Q107" i="24"/>
  <c r="B107" i="24"/>
  <c r="N107" i="24"/>
  <c r="C107" i="24"/>
  <c r="M107" i="24"/>
  <c r="O107" i="24"/>
  <c r="F106" i="24"/>
  <c r="M105" i="24"/>
  <c r="H99" i="24"/>
  <c r="H97" i="24"/>
  <c r="G97" i="24"/>
  <c r="R95" i="24"/>
  <c r="V95" i="24"/>
  <c r="P95" i="24"/>
  <c r="T95" i="24"/>
  <c r="X95" i="24"/>
  <c r="W95" i="24"/>
  <c r="S95" i="24"/>
  <c r="Q95" i="24"/>
  <c r="U95" i="24"/>
  <c r="B95" i="24"/>
  <c r="N95" i="24"/>
  <c r="O95" i="24"/>
  <c r="E94" i="24"/>
  <c r="D94" i="24"/>
  <c r="F94" i="24"/>
  <c r="J94" i="24" s="1"/>
  <c r="I93" i="24"/>
  <c r="P89" i="24"/>
  <c r="T89" i="24"/>
  <c r="X89" i="24"/>
  <c r="R89" i="24"/>
  <c r="V89" i="24"/>
  <c r="U89" i="24"/>
  <c r="Q89" i="24"/>
  <c r="W89" i="24"/>
  <c r="S89" i="24"/>
  <c r="L89" i="24"/>
  <c r="C89" i="24"/>
  <c r="N89" i="24"/>
  <c r="O89" i="24"/>
  <c r="H82" i="24"/>
  <c r="E80" i="24"/>
  <c r="F80" i="24"/>
  <c r="H79" i="24"/>
  <c r="H78" i="24"/>
  <c r="G77" i="24"/>
  <c r="M76" i="24"/>
  <c r="E74" i="24"/>
  <c r="D74" i="24"/>
  <c r="Q72" i="24"/>
  <c r="U72" i="24"/>
  <c r="S72" i="24"/>
  <c r="W72" i="24"/>
  <c r="V72" i="24"/>
  <c r="R72" i="24"/>
  <c r="X72" i="24"/>
  <c r="P72" i="24"/>
  <c r="T72" i="24"/>
  <c r="C72" i="24"/>
  <c r="O72" i="24"/>
  <c r="B72" i="24"/>
  <c r="M72" i="24"/>
  <c r="N72" i="24"/>
  <c r="E63" i="24"/>
  <c r="F63" i="24"/>
  <c r="D60" i="24"/>
  <c r="E60" i="24"/>
  <c r="F60" i="24"/>
  <c r="M56" i="24"/>
  <c r="N55" i="24"/>
  <c r="I54" i="24"/>
  <c r="M47" i="24"/>
  <c r="R43" i="24"/>
  <c r="V43" i="24"/>
  <c r="P43" i="24"/>
  <c r="U43" i="24"/>
  <c r="S43" i="24"/>
  <c r="X43" i="24"/>
  <c r="Q43" i="24"/>
  <c r="W43" i="24"/>
  <c r="T43" i="24"/>
  <c r="C43" i="24"/>
  <c r="O43" i="24"/>
  <c r="B43" i="24"/>
  <c r="M43" i="24"/>
  <c r="N43" i="24"/>
  <c r="W578" i="24"/>
  <c r="R575" i="24"/>
  <c r="Q568" i="24"/>
  <c r="P561" i="24"/>
  <c r="X553" i="24"/>
  <c r="S550" i="24"/>
  <c r="W546" i="24"/>
  <c r="Q536" i="24"/>
  <c r="P529" i="24"/>
  <c r="X521" i="24"/>
  <c r="S518" i="24"/>
  <c r="W514" i="24"/>
  <c r="Q504" i="24"/>
  <c r="T493" i="24"/>
  <c r="S486" i="24"/>
  <c r="W482" i="24"/>
  <c r="Q472" i="24"/>
  <c r="S464" i="24"/>
  <c r="V459" i="24"/>
  <c r="T445" i="24"/>
  <c r="W439" i="24"/>
  <c r="S411" i="24"/>
  <c r="R404" i="24"/>
  <c r="Q397" i="24"/>
  <c r="U357" i="24"/>
  <c r="G588" i="24"/>
  <c r="J588" i="24" s="1"/>
  <c r="F587" i="24"/>
  <c r="P586" i="24"/>
  <c r="K586" i="24" s="1"/>
  <c r="T586" i="24"/>
  <c r="X586" i="24"/>
  <c r="Q586" i="24"/>
  <c r="U586" i="24"/>
  <c r="R586" i="24"/>
  <c r="S586" i="24"/>
  <c r="V586" i="24"/>
  <c r="W586" i="24"/>
  <c r="G584" i="24"/>
  <c r="P582" i="24"/>
  <c r="K582" i="24" s="1"/>
  <c r="T582" i="24"/>
  <c r="X582" i="24"/>
  <c r="Q582" i="24"/>
  <c r="U582" i="24"/>
  <c r="V582" i="24"/>
  <c r="W582" i="24"/>
  <c r="G576" i="24"/>
  <c r="P574" i="24"/>
  <c r="T574" i="24"/>
  <c r="X574" i="24"/>
  <c r="Q574" i="24"/>
  <c r="U574" i="24"/>
  <c r="V574" i="24"/>
  <c r="W574" i="24"/>
  <c r="R574" i="24"/>
  <c r="S574" i="24"/>
  <c r="F565" i="24"/>
  <c r="R564" i="24"/>
  <c r="V564" i="24"/>
  <c r="S564" i="24"/>
  <c r="W564" i="24"/>
  <c r="P564" i="24"/>
  <c r="X564" i="24"/>
  <c r="Q564" i="24"/>
  <c r="G558" i="24"/>
  <c r="F557" i="24"/>
  <c r="R556" i="24"/>
  <c r="V556" i="24"/>
  <c r="S556" i="24"/>
  <c r="W556" i="24"/>
  <c r="P556" i="24"/>
  <c r="X556" i="24"/>
  <c r="Q556" i="24"/>
  <c r="T556" i="24"/>
  <c r="U556" i="24"/>
  <c r="G550" i="24"/>
  <c r="R548" i="24"/>
  <c r="V548" i="24"/>
  <c r="S548" i="24"/>
  <c r="W548" i="24"/>
  <c r="P548" i="24"/>
  <c r="X548" i="24"/>
  <c r="Q548" i="24"/>
  <c r="G542" i="24"/>
  <c r="F541" i="24"/>
  <c r="R540" i="24"/>
  <c r="V540" i="24"/>
  <c r="S540" i="24"/>
  <c r="W540" i="24"/>
  <c r="P540" i="24"/>
  <c r="X540" i="24"/>
  <c r="Q540" i="24"/>
  <c r="T540" i="24"/>
  <c r="U540" i="24"/>
  <c r="G534" i="24"/>
  <c r="F533" i="24"/>
  <c r="R532" i="24"/>
  <c r="V532" i="24"/>
  <c r="S532" i="24"/>
  <c r="W532" i="24"/>
  <c r="P532" i="24"/>
  <c r="X532" i="24"/>
  <c r="Q532" i="24"/>
  <c r="G526" i="24"/>
  <c r="J526" i="24" s="1"/>
  <c r="G518" i="24"/>
  <c r="R516" i="24"/>
  <c r="V516" i="24"/>
  <c r="S516" i="24"/>
  <c r="W516" i="24"/>
  <c r="P516" i="24"/>
  <c r="X516" i="24"/>
  <c r="Q516" i="24"/>
  <c r="G510" i="24"/>
  <c r="J510" i="24" s="1"/>
  <c r="R508" i="24"/>
  <c r="V508" i="24"/>
  <c r="S508" i="24"/>
  <c r="W508" i="24"/>
  <c r="P508" i="24"/>
  <c r="X508" i="24"/>
  <c r="Q508" i="24"/>
  <c r="T508" i="24"/>
  <c r="U508" i="24"/>
  <c r="G502" i="24"/>
  <c r="R500" i="24"/>
  <c r="V500" i="24"/>
  <c r="S500" i="24"/>
  <c r="W500" i="24"/>
  <c r="P500" i="24"/>
  <c r="X500" i="24"/>
  <c r="Q500" i="24"/>
  <c r="G494" i="24"/>
  <c r="R492" i="24"/>
  <c r="V492" i="24"/>
  <c r="S492" i="24"/>
  <c r="W492" i="24"/>
  <c r="P492" i="24"/>
  <c r="X492" i="24"/>
  <c r="Q492" i="24"/>
  <c r="T492" i="24"/>
  <c r="U492" i="24"/>
  <c r="G486" i="24"/>
  <c r="R484" i="24"/>
  <c r="V484" i="24"/>
  <c r="S484" i="24"/>
  <c r="W484" i="24"/>
  <c r="P484" i="24"/>
  <c r="X484" i="24"/>
  <c r="Q484" i="24"/>
  <c r="R476" i="24"/>
  <c r="V476" i="24"/>
  <c r="S476" i="24"/>
  <c r="W476" i="24"/>
  <c r="P476" i="24"/>
  <c r="X476" i="24"/>
  <c r="Q476" i="24"/>
  <c r="T476" i="24"/>
  <c r="U476" i="24"/>
  <c r="G470" i="24"/>
  <c r="J470" i="24" s="1"/>
  <c r="R468" i="24"/>
  <c r="V468" i="24"/>
  <c r="S468" i="24"/>
  <c r="W468" i="24"/>
  <c r="P468" i="24"/>
  <c r="X468" i="24"/>
  <c r="Q468" i="24"/>
  <c r="H454" i="24"/>
  <c r="I453" i="24"/>
  <c r="Q451" i="24"/>
  <c r="U451" i="24"/>
  <c r="T451" i="24"/>
  <c r="P451" i="24"/>
  <c r="V451" i="24"/>
  <c r="W451" i="24"/>
  <c r="X451" i="24"/>
  <c r="R451" i="24"/>
  <c r="B451" i="24"/>
  <c r="N451" i="24"/>
  <c r="S451" i="24"/>
  <c r="P448" i="24"/>
  <c r="T448" i="24"/>
  <c r="X448" i="24"/>
  <c r="U448" i="24"/>
  <c r="Q448" i="24"/>
  <c r="V448" i="24"/>
  <c r="R448" i="24"/>
  <c r="S448" i="24"/>
  <c r="W448" i="24"/>
  <c r="C448" i="24"/>
  <c r="O448" i="24"/>
  <c r="H438" i="24"/>
  <c r="I437" i="24"/>
  <c r="P435" i="24"/>
  <c r="T435" i="24"/>
  <c r="X435" i="24"/>
  <c r="Q435" i="24"/>
  <c r="U435" i="24"/>
  <c r="V435" i="24"/>
  <c r="W435" i="24"/>
  <c r="R435" i="24"/>
  <c r="S435" i="24"/>
  <c r="B435" i="24"/>
  <c r="N435" i="24"/>
  <c r="S432" i="24"/>
  <c r="W432" i="24"/>
  <c r="P432" i="24"/>
  <c r="T432" i="24"/>
  <c r="X432" i="24"/>
  <c r="Q432" i="24"/>
  <c r="R432" i="24"/>
  <c r="C432" i="24"/>
  <c r="O432" i="24"/>
  <c r="H422" i="24"/>
  <c r="I421" i="24"/>
  <c r="P419" i="24"/>
  <c r="T419" i="24"/>
  <c r="X419" i="24"/>
  <c r="Q419" i="24"/>
  <c r="U419" i="24"/>
  <c r="V419" i="24"/>
  <c r="W419" i="24"/>
  <c r="R419" i="24"/>
  <c r="S419" i="24"/>
  <c r="B419" i="24"/>
  <c r="N419" i="24"/>
  <c r="S416" i="24"/>
  <c r="W416" i="24"/>
  <c r="P416" i="24"/>
  <c r="T416" i="24"/>
  <c r="X416" i="24"/>
  <c r="Q416" i="24"/>
  <c r="R416" i="24"/>
  <c r="U416" i="24"/>
  <c r="C416" i="24"/>
  <c r="O416" i="24"/>
  <c r="V416" i="24"/>
  <c r="R413" i="24"/>
  <c r="V413" i="24"/>
  <c r="S413" i="24"/>
  <c r="W413" i="24"/>
  <c r="T413" i="24"/>
  <c r="U413" i="24"/>
  <c r="X413" i="24"/>
  <c r="P413" i="24"/>
  <c r="L413" i="24"/>
  <c r="Q413" i="24"/>
  <c r="P403" i="24"/>
  <c r="T403" i="24"/>
  <c r="X403" i="24"/>
  <c r="Q403" i="24"/>
  <c r="U403" i="24"/>
  <c r="V403" i="24"/>
  <c r="W403" i="24"/>
  <c r="R403" i="24"/>
  <c r="S403" i="24"/>
  <c r="B403" i="24"/>
  <c r="N403" i="24"/>
  <c r="S400" i="24"/>
  <c r="W400" i="24"/>
  <c r="P400" i="24"/>
  <c r="T400" i="24"/>
  <c r="X400" i="24"/>
  <c r="Q400" i="24"/>
  <c r="R400" i="24"/>
  <c r="C400" i="24"/>
  <c r="O400" i="24"/>
  <c r="H390" i="24"/>
  <c r="H374" i="24"/>
  <c r="H358" i="24"/>
  <c r="H342" i="24"/>
  <c r="H326" i="24"/>
  <c r="I309" i="24"/>
  <c r="R307" i="24"/>
  <c r="V307" i="24"/>
  <c r="P307" i="24"/>
  <c r="T307" i="24"/>
  <c r="X307" i="24"/>
  <c r="Q307" i="24"/>
  <c r="S307" i="24"/>
  <c r="U307" i="24"/>
  <c r="W307" i="24"/>
  <c r="B307" i="24"/>
  <c r="N307" i="24"/>
  <c r="Q304" i="24"/>
  <c r="U304" i="24"/>
  <c r="S304" i="24"/>
  <c r="W304" i="24"/>
  <c r="T304" i="24"/>
  <c r="V304" i="24"/>
  <c r="P304" i="24"/>
  <c r="R304" i="24"/>
  <c r="X304" i="24"/>
  <c r="C304" i="24"/>
  <c r="O304" i="24"/>
  <c r="P301" i="24"/>
  <c r="T301" i="24"/>
  <c r="X301" i="24"/>
  <c r="R301" i="24"/>
  <c r="V301" i="24"/>
  <c r="W301" i="24"/>
  <c r="Q301" i="24"/>
  <c r="S301" i="24"/>
  <c r="L301" i="24"/>
  <c r="U301" i="24"/>
  <c r="H290" i="24"/>
  <c r="D285" i="24"/>
  <c r="E285" i="24"/>
  <c r="P281" i="24"/>
  <c r="T281" i="24"/>
  <c r="X281" i="24"/>
  <c r="R281" i="24"/>
  <c r="V281" i="24"/>
  <c r="S281" i="24"/>
  <c r="U281" i="24"/>
  <c r="Q281" i="24"/>
  <c r="W281" i="24"/>
  <c r="B281" i="24"/>
  <c r="N281" i="24"/>
  <c r="C281" i="24"/>
  <c r="O281" i="24"/>
  <c r="H279" i="24"/>
  <c r="I279" i="24"/>
  <c r="S270" i="24"/>
  <c r="W270" i="24"/>
  <c r="Q270" i="24"/>
  <c r="U270" i="24"/>
  <c r="V270" i="24"/>
  <c r="P270" i="24"/>
  <c r="X270" i="24"/>
  <c r="R270" i="24"/>
  <c r="T270" i="24"/>
  <c r="C270" i="24"/>
  <c r="O270" i="24"/>
  <c r="L270" i="24"/>
  <c r="Q265" i="24"/>
  <c r="U265" i="24"/>
  <c r="R265" i="24"/>
  <c r="W265" i="24"/>
  <c r="T265" i="24"/>
  <c r="V265" i="24"/>
  <c r="X265" i="24"/>
  <c r="B265" i="24"/>
  <c r="N265" i="24"/>
  <c r="C265" i="24"/>
  <c r="O265" i="24"/>
  <c r="H263" i="24"/>
  <c r="I263" i="24"/>
  <c r="P254" i="24"/>
  <c r="T254" i="24"/>
  <c r="X254" i="24"/>
  <c r="U254" i="24"/>
  <c r="R254" i="24"/>
  <c r="W254" i="24"/>
  <c r="S254" i="24"/>
  <c r="Q254" i="24"/>
  <c r="C254" i="24"/>
  <c r="O254" i="24"/>
  <c r="V254" i="24"/>
  <c r="L254" i="24"/>
  <c r="Q249" i="24"/>
  <c r="U249" i="24"/>
  <c r="R249" i="24"/>
  <c r="W249" i="24"/>
  <c r="T249" i="24"/>
  <c r="V249" i="24"/>
  <c r="P249" i="24"/>
  <c r="S249" i="24"/>
  <c r="X249" i="24"/>
  <c r="B249" i="24"/>
  <c r="N249" i="24"/>
  <c r="C249" i="24"/>
  <c r="O249" i="24"/>
  <c r="H247" i="24"/>
  <c r="I247" i="24"/>
  <c r="R238" i="24"/>
  <c r="V238" i="24"/>
  <c r="P238" i="24"/>
  <c r="T238" i="24"/>
  <c r="X238" i="24"/>
  <c r="S238" i="24"/>
  <c r="W238" i="24"/>
  <c r="Q238" i="24"/>
  <c r="U238" i="24"/>
  <c r="C238" i="24"/>
  <c r="O238" i="24"/>
  <c r="L238" i="24"/>
  <c r="D235" i="24"/>
  <c r="E235" i="24"/>
  <c r="R222" i="24"/>
  <c r="V222" i="24"/>
  <c r="P222" i="24"/>
  <c r="T222" i="24"/>
  <c r="X222" i="24"/>
  <c r="S222" i="24"/>
  <c r="W222" i="24"/>
  <c r="Q222" i="24"/>
  <c r="U222" i="24"/>
  <c r="C222" i="24"/>
  <c r="O222" i="24"/>
  <c r="L222" i="24"/>
  <c r="S217" i="24"/>
  <c r="W217" i="24"/>
  <c r="Q217" i="24"/>
  <c r="U217" i="24"/>
  <c r="P217" i="24"/>
  <c r="X217" i="24"/>
  <c r="T217" i="24"/>
  <c r="V217" i="24"/>
  <c r="R217" i="24"/>
  <c r="B217" i="24"/>
  <c r="N217" i="24"/>
  <c r="C217" i="24"/>
  <c r="O217" i="24"/>
  <c r="H215" i="24"/>
  <c r="I215" i="24"/>
  <c r="R206" i="24"/>
  <c r="V206" i="24"/>
  <c r="P206" i="24"/>
  <c r="T206" i="24"/>
  <c r="X206" i="24"/>
  <c r="S206" i="24"/>
  <c r="W206" i="24"/>
  <c r="Q206" i="24"/>
  <c r="U206" i="24"/>
  <c r="C206" i="24"/>
  <c r="O206" i="24"/>
  <c r="L206" i="24"/>
  <c r="D203" i="24"/>
  <c r="E203" i="24"/>
  <c r="R190" i="24"/>
  <c r="V190" i="24"/>
  <c r="P190" i="24"/>
  <c r="T190" i="24"/>
  <c r="X190" i="24"/>
  <c r="S190" i="24"/>
  <c r="W190" i="24"/>
  <c r="Q190" i="24"/>
  <c r="U190" i="24"/>
  <c r="C190" i="24"/>
  <c r="O190" i="24"/>
  <c r="L190" i="24"/>
  <c r="D187" i="24"/>
  <c r="E187" i="24"/>
  <c r="H176" i="24"/>
  <c r="P168" i="24"/>
  <c r="T168" i="24"/>
  <c r="X168" i="24"/>
  <c r="R168" i="24"/>
  <c r="V168" i="24"/>
  <c r="Q168" i="24"/>
  <c r="U168" i="24"/>
  <c r="W168" i="24"/>
  <c r="S168" i="24"/>
  <c r="C168" i="24"/>
  <c r="O168" i="24"/>
  <c r="B168" i="24"/>
  <c r="M168" i="24"/>
  <c r="N168" i="24"/>
  <c r="S165" i="24"/>
  <c r="W165" i="24"/>
  <c r="Q165" i="24"/>
  <c r="U165" i="24"/>
  <c r="T165" i="24"/>
  <c r="P165" i="24"/>
  <c r="X165" i="24"/>
  <c r="R165" i="24"/>
  <c r="V165" i="24"/>
  <c r="L165" i="24"/>
  <c r="B165" i="24"/>
  <c r="M165" i="24"/>
  <c r="C165" i="24"/>
  <c r="N165" i="24"/>
  <c r="J158" i="24"/>
  <c r="Q156" i="24"/>
  <c r="U156" i="24"/>
  <c r="P156" i="24"/>
  <c r="V156" i="24"/>
  <c r="S156" i="24"/>
  <c r="X156" i="24"/>
  <c r="R156" i="24"/>
  <c r="W156" i="24"/>
  <c r="T156" i="24"/>
  <c r="C156" i="24"/>
  <c r="O156" i="24"/>
  <c r="N156" i="24"/>
  <c r="I146" i="24"/>
  <c r="G146" i="24"/>
  <c r="D141" i="24"/>
  <c r="E141" i="24"/>
  <c r="F141" i="24"/>
  <c r="H129" i="24"/>
  <c r="G129" i="24"/>
  <c r="E112" i="24"/>
  <c r="F112" i="24"/>
  <c r="D108" i="24"/>
  <c r="E108" i="24"/>
  <c r="Q104" i="24"/>
  <c r="U104" i="24"/>
  <c r="S104" i="24"/>
  <c r="W104" i="24"/>
  <c r="V104" i="24"/>
  <c r="R104" i="24"/>
  <c r="X104" i="24"/>
  <c r="P104" i="24"/>
  <c r="T104" i="24"/>
  <c r="C104" i="24"/>
  <c r="O104" i="24"/>
  <c r="B104" i="24"/>
  <c r="M104" i="24"/>
  <c r="N104" i="24"/>
  <c r="D77" i="24"/>
  <c r="E77" i="24"/>
  <c r="F77" i="24"/>
  <c r="S66" i="24"/>
  <c r="W66" i="24"/>
  <c r="Q66" i="24"/>
  <c r="U66" i="24"/>
  <c r="T66" i="24"/>
  <c r="P66" i="24"/>
  <c r="X66" i="24"/>
  <c r="V66" i="24"/>
  <c r="R66" i="24"/>
  <c r="B66" i="24"/>
  <c r="N66" i="24"/>
  <c r="C66" i="24"/>
  <c r="L66" i="24"/>
  <c r="D64" i="24"/>
  <c r="F64" i="24"/>
  <c r="J64" i="24" s="1"/>
  <c r="E64" i="24"/>
  <c r="E61" i="24"/>
  <c r="D61" i="24"/>
  <c r="J61" i="24" s="1"/>
  <c r="F61" i="24"/>
  <c r="D16" i="24"/>
  <c r="E16" i="24"/>
  <c r="F16" i="24"/>
  <c r="Q14" i="24"/>
  <c r="U14" i="24"/>
  <c r="S14" i="24"/>
  <c r="W14" i="24"/>
  <c r="R14" i="24"/>
  <c r="V14" i="24"/>
  <c r="T14" i="24"/>
  <c r="X14" i="24"/>
  <c r="P14" i="24"/>
  <c r="B14" i="24"/>
  <c r="N14" i="24"/>
  <c r="C14" i="24"/>
  <c r="O14" i="24"/>
  <c r="L14" i="24"/>
  <c r="M14" i="24"/>
  <c r="V400" i="24"/>
  <c r="G589" i="24"/>
  <c r="F588" i="24"/>
  <c r="S587" i="24"/>
  <c r="W587" i="24"/>
  <c r="P587" i="24"/>
  <c r="K587" i="24" s="1"/>
  <c r="T587" i="24"/>
  <c r="X587" i="24"/>
  <c r="Q587" i="24"/>
  <c r="R587" i="24"/>
  <c r="L586" i="24"/>
  <c r="G581" i="24"/>
  <c r="J581" i="24" s="1"/>
  <c r="F580" i="24"/>
  <c r="S579" i="24"/>
  <c r="W579" i="24"/>
  <c r="P579" i="24"/>
  <c r="K579" i="24" s="1"/>
  <c r="T579" i="24"/>
  <c r="X579" i="24"/>
  <c r="Q579" i="24"/>
  <c r="R579" i="24"/>
  <c r="U579" i="24"/>
  <c r="V579" i="24"/>
  <c r="L578" i="24"/>
  <c r="G573" i="24"/>
  <c r="J573" i="24" s="1"/>
  <c r="F572" i="24"/>
  <c r="S571" i="24"/>
  <c r="W571" i="24"/>
  <c r="P571" i="24"/>
  <c r="T571" i="24"/>
  <c r="X571" i="24"/>
  <c r="Q571" i="24"/>
  <c r="R571" i="24"/>
  <c r="L570" i="24"/>
  <c r="G567" i="24"/>
  <c r="J567" i="24" s="1"/>
  <c r="F566" i="24"/>
  <c r="Q565" i="24"/>
  <c r="U565" i="24"/>
  <c r="R565" i="24"/>
  <c r="V565" i="24"/>
  <c r="W565" i="24"/>
  <c r="P565" i="24"/>
  <c r="X565" i="24"/>
  <c r="S565" i="24"/>
  <c r="T565" i="24"/>
  <c r="L564" i="24"/>
  <c r="F558" i="24"/>
  <c r="Q557" i="24"/>
  <c r="U557" i="24"/>
  <c r="R557" i="24"/>
  <c r="V557" i="24"/>
  <c r="W557" i="24"/>
  <c r="P557" i="24"/>
  <c r="X557" i="24"/>
  <c r="L556" i="24"/>
  <c r="G551" i="24"/>
  <c r="F550" i="24"/>
  <c r="Q549" i="24"/>
  <c r="U549" i="24"/>
  <c r="R549" i="24"/>
  <c r="V549" i="24"/>
  <c r="W549" i="24"/>
  <c r="P549" i="24"/>
  <c r="X549" i="24"/>
  <c r="S549" i="24"/>
  <c r="T549" i="24"/>
  <c r="L548" i="24"/>
  <c r="G543" i="24"/>
  <c r="F542" i="24"/>
  <c r="Q541" i="24"/>
  <c r="U541" i="24"/>
  <c r="R541" i="24"/>
  <c r="V541" i="24"/>
  <c r="W541" i="24"/>
  <c r="P541" i="24"/>
  <c r="X541" i="24"/>
  <c r="L540" i="24"/>
  <c r="G535" i="24"/>
  <c r="F534" i="24"/>
  <c r="Q533" i="24"/>
  <c r="U533" i="24"/>
  <c r="R533" i="24"/>
  <c r="V533" i="24"/>
  <c r="W533" i="24"/>
  <c r="P533" i="24"/>
  <c r="X533" i="24"/>
  <c r="S533" i="24"/>
  <c r="T533" i="24"/>
  <c r="L532" i="24"/>
  <c r="G527" i="24"/>
  <c r="Q525" i="24"/>
  <c r="U525" i="24"/>
  <c r="R525" i="24"/>
  <c r="V525" i="24"/>
  <c r="W525" i="24"/>
  <c r="P525" i="24"/>
  <c r="X525" i="24"/>
  <c r="L524" i="24"/>
  <c r="G515" i="24"/>
  <c r="Q513" i="24"/>
  <c r="U513" i="24"/>
  <c r="R513" i="24"/>
  <c r="V513" i="24"/>
  <c r="S513" i="24"/>
  <c r="T513" i="24"/>
  <c r="W513" i="24"/>
  <c r="X513" i="24"/>
  <c r="L512" i="24"/>
  <c r="G507" i="24"/>
  <c r="F506" i="24"/>
  <c r="Q505" i="24"/>
  <c r="U505" i="24"/>
  <c r="R505" i="24"/>
  <c r="V505" i="24"/>
  <c r="S505" i="24"/>
  <c r="T505" i="24"/>
  <c r="P505" i="24"/>
  <c r="L504" i="24"/>
  <c r="G499" i="24"/>
  <c r="F498" i="24"/>
  <c r="Q497" i="24"/>
  <c r="U497" i="24"/>
  <c r="R497" i="24"/>
  <c r="V497" i="24"/>
  <c r="S497" i="24"/>
  <c r="T497" i="24"/>
  <c r="W497" i="24"/>
  <c r="X497" i="24"/>
  <c r="L496" i="24"/>
  <c r="G491" i="24"/>
  <c r="J491" i="24" s="1"/>
  <c r="F490" i="24"/>
  <c r="Q489" i="24"/>
  <c r="U489" i="24"/>
  <c r="R489" i="24"/>
  <c r="V489" i="24"/>
  <c r="S489" i="24"/>
  <c r="T489" i="24"/>
  <c r="P489" i="24"/>
  <c r="L488" i="24"/>
  <c r="Q485" i="24"/>
  <c r="U485" i="24"/>
  <c r="R485" i="24"/>
  <c r="V485" i="24"/>
  <c r="W485" i="24"/>
  <c r="P485" i="24"/>
  <c r="X485" i="24"/>
  <c r="S485" i="24"/>
  <c r="T485" i="24"/>
  <c r="F482" i="24"/>
  <c r="Q481" i="24"/>
  <c r="U481" i="24"/>
  <c r="R481" i="24"/>
  <c r="V481" i="24"/>
  <c r="S481" i="24"/>
  <c r="T481" i="24"/>
  <c r="W481" i="24"/>
  <c r="X481" i="24"/>
  <c r="L480" i="24"/>
  <c r="G475" i="24"/>
  <c r="F474" i="24"/>
  <c r="Q473" i="24"/>
  <c r="U473" i="24"/>
  <c r="R473" i="24"/>
  <c r="V473" i="24"/>
  <c r="S473" i="24"/>
  <c r="T473" i="24"/>
  <c r="P473" i="24"/>
  <c r="L472" i="24"/>
  <c r="G467" i="24"/>
  <c r="J467" i="24" s="1"/>
  <c r="F466" i="24"/>
  <c r="S465" i="24"/>
  <c r="W465" i="24"/>
  <c r="Q465" i="24"/>
  <c r="V465" i="24"/>
  <c r="R465" i="24"/>
  <c r="X465" i="24"/>
  <c r="P465" i="24"/>
  <c r="T465" i="24"/>
  <c r="U465" i="24"/>
  <c r="L464" i="24"/>
  <c r="H458" i="24"/>
  <c r="I457" i="24"/>
  <c r="G455" i="24"/>
  <c r="Q455" i="24"/>
  <c r="U455" i="24"/>
  <c r="P455" i="24"/>
  <c r="V455" i="24"/>
  <c r="R455" i="24"/>
  <c r="W455" i="24"/>
  <c r="S455" i="24"/>
  <c r="T455" i="24"/>
  <c r="X455" i="24"/>
  <c r="B455" i="24"/>
  <c r="N455" i="24"/>
  <c r="G454" i="24"/>
  <c r="F450" i="24"/>
  <c r="F449" i="24"/>
  <c r="S449" i="24"/>
  <c r="W449" i="24"/>
  <c r="Q449" i="24"/>
  <c r="V449" i="24"/>
  <c r="R449" i="24"/>
  <c r="X449" i="24"/>
  <c r="T449" i="24"/>
  <c r="U449" i="24"/>
  <c r="L449" i="24"/>
  <c r="P449" i="24"/>
  <c r="H442" i="24"/>
  <c r="G437" i="24"/>
  <c r="J437" i="24" s="1"/>
  <c r="F436" i="24"/>
  <c r="S436" i="24"/>
  <c r="W436" i="24"/>
  <c r="P436" i="24"/>
  <c r="T436" i="24"/>
  <c r="X436" i="24"/>
  <c r="U436" i="24"/>
  <c r="V436" i="24"/>
  <c r="C436" i="24"/>
  <c r="O436" i="24"/>
  <c r="F434" i="24"/>
  <c r="O429" i="24"/>
  <c r="I425" i="24"/>
  <c r="G423" i="24"/>
  <c r="P423" i="24"/>
  <c r="T423" i="24"/>
  <c r="X423" i="24"/>
  <c r="Q423" i="24"/>
  <c r="U423" i="24"/>
  <c r="R423" i="24"/>
  <c r="S423" i="24"/>
  <c r="V423" i="24"/>
  <c r="B423" i="24"/>
  <c r="N423" i="24"/>
  <c r="W423" i="24"/>
  <c r="G422" i="24"/>
  <c r="F418" i="24"/>
  <c r="F417" i="24"/>
  <c r="R417" i="24"/>
  <c r="V417" i="24"/>
  <c r="S417" i="24"/>
  <c r="W417" i="24"/>
  <c r="P417" i="24"/>
  <c r="X417" i="24"/>
  <c r="Q417" i="24"/>
  <c r="T417" i="24"/>
  <c r="U417" i="24"/>
  <c r="L417" i="24"/>
  <c r="O413" i="24"/>
  <c r="I409" i="24"/>
  <c r="G407" i="24"/>
  <c r="P407" i="24"/>
  <c r="T407" i="24"/>
  <c r="X407" i="24"/>
  <c r="Q407" i="24"/>
  <c r="U407" i="24"/>
  <c r="R407" i="24"/>
  <c r="S407" i="24"/>
  <c r="B407" i="24"/>
  <c r="N407" i="24"/>
  <c r="G406" i="24"/>
  <c r="F402" i="24"/>
  <c r="O397" i="24"/>
  <c r="I393" i="24"/>
  <c r="G391" i="24"/>
  <c r="P391" i="24"/>
  <c r="T391" i="24"/>
  <c r="X391" i="24"/>
  <c r="Q391" i="24"/>
  <c r="U391" i="24"/>
  <c r="R391" i="24"/>
  <c r="S391" i="24"/>
  <c r="V391" i="24"/>
  <c r="B391" i="24"/>
  <c r="N391" i="24"/>
  <c r="W391" i="24"/>
  <c r="F386" i="24"/>
  <c r="F385" i="24"/>
  <c r="R385" i="24"/>
  <c r="V385" i="24"/>
  <c r="S385" i="24"/>
  <c r="W385" i="24"/>
  <c r="P385" i="24"/>
  <c r="X385" i="24"/>
  <c r="Q385" i="24"/>
  <c r="T385" i="24"/>
  <c r="U385" i="24"/>
  <c r="L385" i="24"/>
  <c r="H378" i="24"/>
  <c r="I377" i="24"/>
  <c r="G375" i="24"/>
  <c r="P375" i="24"/>
  <c r="T375" i="24"/>
  <c r="X375" i="24"/>
  <c r="Q375" i="24"/>
  <c r="U375" i="24"/>
  <c r="R375" i="24"/>
  <c r="S375" i="24"/>
  <c r="B375" i="24"/>
  <c r="N375" i="24"/>
  <c r="G374" i="24"/>
  <c r="F370" i="24"/>
  <c r="F369" i="24"/>
  <c r="R369" i="24"/>
  <c r="V369" i="24"/>
  <c r="P369" i="24"/>
  <c r="U369" i="24"/>
  <c r="Q369" i="24"/>
  <c r="W369" i="24"/>
  <c r="X369" i="24"/>
  <c r="S369" i="24"/>
  <c r="L369" i="24"/>
  <c r="T369" i="24"/>
  <c r="H362" i="24"/>
  <c r="I361" i="24"/>
  <c r="G359" i="24"/>
  <c r="P359" i="24"/>
  <c r="T359" i="24"/>
  <c r="X359" i="24"/>
  <c r="U359" i="24"/>
  <c r="Q359" i="24"/>
  <c r="V359" i="24"/>
  <c r="R359" i="24"/>
  <c r="S359" i="24"/>
  <c r="W359" i="24"/>
  <c r="B359" i="24"/>
  <c r="N359" i="24"/>
  <c r="G358" i="24"/>
  <c r="F354" i="24"/>
  <c r="F353" i="24"/>
  <c r="R353" i="24"/>
  <c r="V353" i="24"/>
  <c r="P353" i="24"/>
  <c r="U353" i="24"/>
  <c r="Q353" i="24"/>
  <c r="W353" i="24"/>
  <c r="S353" i="24"/>
  <c r="T353" i="24"/>
  <c r="X353" i="24"/>
  <c r="L353" i="24"/>
  <c r="H346" i="24"/>
  <c r="G341" i="24"/>
  <c r="J341" i="24" s="1"/>
  <c r="F340" i="24"/>
  <c r="S340" i="24"/>
  <c r="W340" i="24"/>
  <c r="P340" i="24"/>
  <c r="U340" i="24"/>
  <c r="T340" i="24"/>
  <c r="V340" i="24"/>
  <c r="X340" i="24"/>
  <c r="C340" i="24"/>
  <c r="O340" i="24"/>
  <c r="F338" i="24"/>
  <c r="F337" i="24"/>
  <c r="P337" i="24"/>
  <c r="T337" i="24"/>
  <c r="R337" i="24"/>
  <c r="V337" i="24"/>
  <c r="U337" i="24"/>
  <c r="Q337" i="24"/>
  <c r="S337" i="24"/>
  <c r="W337" i="24"/>
  <c r="X337" i="24"/>
  <c r="L337" i="24"/>
  <c r="H330" i="24"/>
  <c r="G325" i="24"/>
  <c r="J325" i="24" s="1"/>
  <c r="F324" i="24"/>
  <c r="Q324" i="24"/>
  <c r="U324" i="24"/>
  <c r="S324" i="24"/>
  <c r="W324" i="24"/>
  <c r="R324" i="24"/>
  <c r="P324" i="24"/>
  <c r="T324" i="24"/>
  <c r="V324" i="24"/>
  <c r="X324" i="24"/>
  <c r="C324" i="24"/>
  <c r="O324" i="24"/>
  <c r="O317" i="24"/>
  <c r="I313" i="24"/>
  <c r="G311" i="24"/>
  <c r="R311" i="24"/>
  <c r="V311" i="24"/>
  <c r="P311" i="24"/>
  <c r="T311" i="24"/>
  <c r="X311" i="24"/>
  <c r="U311" i="24"/>
  <c r="W311" i="24"/>
  <c r="Q311" i="24"/>
  <c r="S311" i="24"/>
  <c r="B311" i="24"/>
  <c r="N311" i="24"/>
  <c r="G310" i="24"/>
  <c r="G309" i="24"/>
  <c r="J309" i="24" s="1"/>
  <c r="F308" i="24"/>
  <c r="Q308" i="24"/>
  <c r="U308" i="24"/>
  <c r="S308" i="24"/>
  <c r="W308" i="24"/>
  <c r="P308" i="24"/>
  <c r="X308" i="24"/>
  <c r="R308" i="24"/>
  <c r="C308" i="24"/>
  <c r="O308" i="24"/>
  <c r="O301" i="24"/>
  <c r="G295" i="24"/>
  <c r="R295" i="24"/>
  <c r="V295" i="24"/>
  <c r="P295" i="24"/>
  <c r="T295" i="24"/>
  <c r="X295" i="24"/>
  <c r="U295" i="24"/>
  <c r="W295" i="24"/>
  <c r="Q295" i="24"/>
  <c r="S295" i="24"/>
  <c r="B295" i="24"/>
  <c r="N295" i="24"/>
  <c r="H293" i="24"/>
  <c r="I293" i="24"/>
  <c r="G290" i="24"/>
  <c r="N288" i="24"/>
  <c r="H286" i="24"/>
  <c r="S282" i="24"/>
  <c r="W282" i="24"/>
  <c r="Q282" i="24"/>
  <c r="U282" i="24"/>
  <c r="R282" i="24"/>
  <c r="T282" i="24"/>
  <c r="V282" i="24"/>
  <c r="X282" i="24"/>
  <c r="P282" i="24"/>
  <c r="C282" i="24"/>
  <c r="O282" i="24"/>
  <c r="L282" i="24"/>
  <c r="P277" i="24"/>
  <c r="T277" i="24"/>
  <c r="X277" i="24"/>
  <c r="R277" i="24"/>
  <c r="V277" i="24"/>
  <c r="W277" i="24"/>
  <c r="Q277" i="24"/>
  <c r="S277" i="24"/>
  <c r="U277" i="24"/>
  <c r="B277" i="24"/>
  <c r="N277" i="24"/>
  <c r="C277" i="24"/>
  <c r="O277" i="24"/>
  <c r="H275" i="24"/>
  <c r="I275" i="24"/>
  <c r="G272" i="24"/>
  <c r="J272" i="24" s="1"/>
  <c r="N270" i="24"/>
  <c r="H268" i="24"/>
  <c r="D263" i="24"/>
  <c r="E263" i="24"/>
  <c r="J263" i="24" s="1"/>
  <c r="G256" i="24"/>
  <c r="N254" i="24"/>
  <c r="H252" i="24"/>
  <c r="D247" i="24"/>
  <c r="J247" i="24" s="1"/>
  <c r="E247" i="24"/>
  <c r="R234" i="24"/>
  <c r="V234" i="24"/>
  <c r="P234" i="24"/>
  <c r="T234" i="24"/>
  <c r="X234" i="24"/>
  <c r="W234" i="24"/>
  <c r="S234" i="24"/>
  <c r="U234" i="24"/>
  <c r="Q234" i="24"/>
  <c r="C234" i="24"/>
  <c r="O234" i="24"/>
  <c r="L234" i="24"/>
  <c r="S229" i="24"/>
  <c r="W229" i="24"/>
  <c r="Q229" i="24"/>
  <c r="U229" i="24"/>
  <c r="T229" i="24"/>
  <c r="P229" i="24"/>
  <c r="X229" i="24"/>
  <c r="R229" i="24"/>
  <c r="V229" i="24"/>
  <c r="B229" i="24"/>
  <c r="N229" i="24"/>
  <c r="C229" i="24"/>
  <c r="O229" i="24"/>
  <c r="H227" i="24"/>
  <c r="I227" i="24"/>
  <c r="G224" i="24"/>
  <c r="J224" i="24" s="1"/>
  <c r="N222" i="24"/>
  <c r="H220" i="24"/>
  <c r="D215" i="24"/>
  <c r="J215" i="24" s="1"/>
  <c r="E215" i="24"/>
  <c r="S213" i="24"/>
  <c r="W213" i="24"/>
  <c r="Q213" i="24"/>
  <c r="U213" i="24"/>
  <c r="T213" i="24"/>
  <c r="P213" i="24"/>
  <c r="X213" i="24"/>
  <c r="R213" i="24"/>
  <c r="V213" i="24"/>
  <c r="B213" i="24"/>
  <c r="N213" i="24"/>
  <c r="C213" i="24"/>
  <c r="O213" i="24"/>
  <c r="H211" i="24"/>
  <c r="I211" i="24"/>
  <c r="N206" i="24"/>
  <c r="H204" i="24"/>
  <c r="D199" i="24"/>
  <c r="E199" i="24"/>
  <c r="R186" i="24"/>
  <c r="V186" i="24"/>
  <c r="P186" i="24"/>
  <c r="T186" i="24"/>
  <c r="X186" i="24"/>
  <c r="W186" i="24"/>
  <c r="S186" i="24"/>
  <c r="U186" i="24"/>
  <c r="Q186" i="24"/>
  <c r="C186" i="24"/>
  <c r="O186" i="24"/>
  <c r="L186" i="24"/>
  <c r="S181" i="24"/>
  <c r="W181" i="24"/>
  <c r="Q181" i="24"/>
  <c r="U181" i="24"/>
  <c r="T181" i="24"/>
  <c r="P181" i="24"/>
  <c r="X181" i="24"/>
  <c r="R181" i="24"/>
  <c r="V181" i="24"/>
  <c r="B181" i="24"/>
  <c r="N181" i="24"/>
  <c r="C181" i="24"/>
  <c r="O181" i="24"/>
  <c r="H179" i="24"/>
  <c r="I179" i="24"/>
  <c r="G176" i="24"/>
  <c r="J176" i="24" s="1"/>
  <c r="N174" i="24"/>
  <c r="H172" i="24"/>
  <c r="I162" i="24"/>
  <c r="G162" i="24"/>
  <c r="J162" i="24" s="1"/>
  <c r="R155" i="24"/>
  <c r="V155" i="24"/>
  <c r="T155" i="24"/>
  <c r="Q155" i="24"/>
  <c r="W155" i="24"/>
  <c r="P155" i="24"/>
  <c r="U155" i="24"/>
  <c r="S155" i="24"/>
  <c r="X155" i="24"/>
  <c r="B155" i="24"/>
  <c r="N155" i="24"/>
  <c r="C155" i="24"/>
  <c r="M155" i="24"/>
  <c r="O155" i="24"/>
  <c r="D153" i="24"/>
  <c r="E153" i="24"/>
  <c r="H145" i="24"/>
  <c r="G145" i="24"/>
  <c r="C595" i="24"/>
  <c r="Q593" i="24"/>
  <c r="U593" i="24"/>
  <c r="R593" i="24"/>
  <c r="V593" i="24"/>
  <c r="S593" i="24"/>
  <c r="T593" i="24"/>
  <c r="W593" i="24"/>
  <c r="X593" i="24"/>
  <c r="O591" i="24"/>
  <c r="C591" i="24"/>
  <c r="N590" i="24"/>
  <c r="B590" i="24"/>
  <c r="Q589" i="24"/>
  <c r="U589" i="24"/>
  <c r="R589" i="24"/>
  <c r="V589" i="24"/>
  <c r="W589" i="24"/>
  <c r="P589" i="24"/>
  <c r="X589" i="24"/>
  <c r="O587" i="24"/>
  <c r="C587" i="24"/>
  <c r="N586" i="24"/>
  <c r="B586" i="24"/>
  <c r="Q585" i="24"/>
  <c r="U585" i="24"/>
  <c r="R585" i="24"/>
  <c r="V585" i="24"/>
  <c r="S585" i="24"/>
  <c r="T585" i="24"/>
  <c r="P585" i="24"/>
  <c r="K585" i="24" s="1"/>
  <c r="O583" i="24"/>
  <c r="C583" i="24"/>
  <c r="N582" i="24"/>
  <c r="B582" i="24"/>
  <c r="Q581" i="24"/>
  <c r="U581" i="24"/>
  <c r="R581" i="24"/>
  <c r="V581" i="24"/>
  <c r="W581" i="24"/>
  <c r="P581" i="24"/>
  <c r="K581" i="24" s="1"/>
  <c r="X581" i="24"/>
  <c r="S581" i="24"/>
  <c r="T581" i="24"/>
  <c r="O579" i="24"/>
  <c r="C579" i="24"/>
  <c r="N578" i="24"/>
  <c r="B578" i="24"/>
  <c r="Q577" i="24"/>
  <c r="U577" i="24"/>
  <c r="R577" i="24"/>
  <c r="V577" i="24"/>
  <c r="S577" i="24"/>
  <c r="T577" i="24"/>
  <c r="W577" i="24"/>
  <c r="X577" i="24"/>
  <c r="O575" i="24"/>
  <c r="C575" i="24"/>
  <c r="N574" i="24"/>
  <c r="B574" i="24"/>
  <c r="Q573" i="24"/>
  <c r="U573" i="24"/>
  <c r="R573" i="24"/>
  <c r="V573" i="24"/>
  <c r="W573" i="24"/>
  <c r="P573" i="24"/>
  <c r="X573" i="24"/>
  <c r="O571" i="24"/>
  <c r="C571" i="24"/>
  <c r="N570" i="24"/>
  <c r="B570" i="24"/>
  <c r="C569" i="24"/>
  <c r="N568" i="24"/>
  <c r="B568" i="24"/>
  <c r="S567" i="24"/>
  <c r="W567" i="24"/>
  <c r="P567" i="24"/>
  <c r="T567" i="24"/>
  <c r="X567" i="24"/>
  <c r="U567" i="24"/>
  <c r="V567" i="24"/>
  <c r="Q567" i="24"/>
  <c r="R567" i="24"/>
  <c r="O565" i="24"/>
  <c r="C565" i="24"/>
  <c r="N564" i="24"/>
  <c r="B564" i="24"/>
  <c r="S563" i="24"/>
  <c r="W563" i="24"/>
  <c r="P563" i="24"/>
  <c r="T563" i="24"/>
  <c r="X563" i="24"/>
  <c r="Q563" i="24"/>
  <c r="R563" i="24"/>
  <c r="U563" i="24"/>
  <c r="V563" i="24"/>
  <c r="O561" i="24"/>
  <c r="C561" i="24"/>
  <c r="N560" i="24"/>
  <c r="B560" i="24"/>
  <c r="S559" i="24"/>
  <c r="W559" i="24"/>
  <c r="P559" i="24"/>
  <c r="T559" i="24"/>
  <c r="X559" i="24"/>
  <c r="U559" i="24"/>
  <c r="V559" i="24"/>
  <c r="O557" i="24"/>
  <c r="C557" i="24"/>
  <c r="N556" i="24"/>
  <c r="B556" i="24"/>
  <c r="S555" i="24"/>
  <c r="W555" i="24"/>
  <c r="P555" i="24"/>
  <c r="T555" i="24"/>
  <c r="X555" i="24"/>
  <c r="Q555" i="24"/>
  <c r="R555" i="24"/>
  <c r="O553" i="24"/>
  <c r="C553" i="24"/>
  <c r="N552" i="24"/>
  <c r="B552" i="24"/>
  <c r="S551" i="24"/>
  <c r="W551" i="24"/>
  <c r="P551" i="24"/>
  <c r="T551" i="24"/>
  <c r="X551" i="24"/>
  <c r="U551" i="24"/>
  <c r="V551" i="24"/>
  <c r="Q551" i="24"/>
  <c r="R551" i="24"/>
  <c r="O549" i="24"/>
  <c r="C549" i="24"/>
  <c r="N548" i="24"/>
  <c r="B548" i="24"/>
  <c r="S547" i="24"/>
  <c r="W547" i="24"/>
  <c r="P547" i="24"/>
  <c r="T547" i="24"/>
  <c r="X547" i="24"/>
  <c r="Q547" i="24"/>
  <c r="R547" i="24"/>
  <c r="U547" i="24"/>
  <c r="V547" i="24"/>
  <c r="O545" i="24"/>
  <c r="C545" i="24"/>
  <c r="N544" i="24"/>
  <c r="B544" i="24"/>
  <c r="S543" i="24"/>
  <c r="W543" i="24"/>
  <c r="P543" i="24"/>
  <c r="T543" i="24"/>
  <c r="X543" i="24"/>
  <c r="U543" i="24"/>
  <c r="V543" i="24"/>
  <c r="O541" i="24"/>
  <c r="C541" i="24"/>
  <c r="N540" i="24"/>
  <c r="B540" i="24"/>
  <c r="S539" i="24"/>
  <c r="W539" i="24"/>
  <c r="P539" i="24"/>
  <c r="T539" i="24"/>
  <c r="X539" i="24"/>
  <c r="Q539" i="24"/>
  <c r="R539" i="24"/>
  <c r="O537" i="24"/>
  <c r="C537" i="24"/>
  <c r="N536" i="24"/>
  <c r="B536" i="24"/>
  <c r="S535" i="24"/>
  <c r="W535" i="24"/>
  <c r="P535" i="24"/>
  <c r="T535" i="24"/>
  <c r="X535" i="24"/>
  <c r="U535" i="24"/>
  <c r="V535" i="24"/>
  <c r="Q535" i="24"/>
  <c r="R535" i="24"/>
  <c r="O533" i="24"/>
  <c r="C533" i="24"/>
  <c r="N532" i="24"/>
  <c r="B532" i="24"/>
  <c r="S531" i="24"/>
  <c r="W531" i="24"/>
  <c r="P531" i="24"/>
  <c r="T531" i="24"/>
  <c r="X531" i="24"/>
  <c r="Q531" i="24"/>
  <c r="R531" i="24"/>
  <c r="U531" i="24"/>
  <c r="V531" i="24"/>
  <c r="O529" i="24"/>
  <c r="C529" i="24"/>
  <c r="N528" i="24"/>
  <c r="B528" i="24"/>
  <c r="S527" i="24"/>
  <c r="W527" i="24"/>
  <c r="P527" i="24"/>
  <c r="T527" i="24"/>
  <c r="X527" i="24"/>
  <c r="U527" i="24"/>
  <c r="V527" i="24"/>
  <c r="O525" i="24"/>
  <c r="C525" i="24"/>
  <c r="N524" i="24"/>
  <c r="B524" i="24"/>
  <c r="S523" i="24"/>
  <c r="W523" i="24"/>
  <c r="P523" i="24"/>
  <c r="T523" i="24"/>
  <c r="X523" i="24"/>
  <c r="Q523" i="24"/>
  <c r="R523" i="24"/>
  <c r="O521" i="24"/>
  <c r="C521" i="24"/>
  <c r="N520" i="24"/>
  <c r="B520" i="24"/>
  <c r="S519" i="24"/>
  <c r="W519" i="24"/>
  <c r="P519" i="24"/>
  <c r="T519" i="24"/>
  <c r="X519" i="24"/>
  <c r="U519" i="24"/>
  <c r="V519" i="24"/>
  <c r="Q519" i="24"/>
  <c r="R519" i="24"/>
  <c r="O517" i="24"/>
  <c r="C517" i="24"/>
  <c r="N516" i="24"/>
  <c r="B516" i="24"/>
  <c r="S515" i="24"/>
  <c r="W515" i="24"/>
  <c r="P515" i="24"/>
  <c r="T515" i="24"/>
  <c r="X515" i="24"/>
  <c r="Q515" i="24"/>
  <c r="R515" i="24"/>
  <c r="U515" i="24"/>
  <c r="V515" i="24"/>
  <c r="O513" i="24"/>
  <c r="C513" i="24"/>
  <c r="N512" i="24"/>
  <c r="B512" i="24"/>
  <c r="S511" i="24"/>
  <c r="W511" i="24"/>
  <c r="P511" i="24"/>
  <c r="T511" i="24"/>
  <c r="X511" i="24"/>
  <c r="U511" i="24"/>
  <c r="V511" i="24"/>
  <c r="O509" i="24"/>
  <c r="C509" i="24"/>
  <c r="N508" i="24"/>
  <c r="B508" i="24"/>
  <c r="S507" i="24"/>
  <c r="W507" i="24"/>
  <c r="P507" i="24"/>
  <c r="T507" i="24"/>
  <c r="X507" i="24"/>
  <c r="Q507" i="24"/>
  <c r="R507" i="24"/>
  <c r="O505" i="24"/>
  <c r="C505" i="24"/>
  <c r="N504" i="24"/>
  <c r="B504" i="24"/>
  <c r="S503" i="24"/>
  <c r="W503" i="24"/>
  <c r="P503" i="24"/>
  <c r="T503" i="24"/>
  <c r="X503" i="24"/>
  <c r="U503" i="24"/>
  <c r="V503" i="24"/>
  <c r="Q503" i="24"/>
  <c r="R503" i="24"/>
  <c r="O501" i="24"/>
  <c r="C501" i="24"/>
  <c r="N500" i="24"/>
  <c r="B500" i="24"/>
  <c r="S499" i="24"/>
  <c r="W499" i="24"/>
  <c r="P499" i="24"/>
  <c r="T499" i="24"/>
  <c r="X499" i="24"/>
  <c r="Q499" i="24"/>
  <c r="R499" i="24"/>
  <c r="U499" i="24"/>
  <c r="V499" i="24"/>
  <c r="O497" i="24"/>
  <c r="C497" i="24"/>
  <c r="N496" i="24"/>
  <c r="B496" i="24"/>
  <c r="S495" i="24"/>
  <c r="W495" i="24"/>
  <c r="P495" i="24"/>
  <c r="T495" i="24"/>
  <c r="X495" i="24"/>
  <c r="U495" i="24"/>
  <c r="V495" i="24"/>
  <c r="O493" i="24"/>
  <c r="C493" i="24"/>
  <c r="N492" i="24"/>
  <c r="B492" i="24"/>
  <c r="S491" i="24"/>
  <c r="W491" i="24"/>
  <c r="P491" i="24"/>
  <c r="K491" i="24" s="1"/>
  <c r="T491" i="24"/>
  <c r="X491" i="24"/>
  <c r="Q491" i="24"/>
  <c r="R491" i="24"/>
  <c r="O489" i="24"/>
  <c r="C489" i="24"/>
  <c r="N488" i="24"/>
  <c r="B488" i="24"/>
  <c r="S487" i="24"/>
  <c r="W487" i="24"/>
  <c r="P487" i="24"/>
  <c r="T487" i="24"/>
  <c r="X487" i="24"/>
  <c r="U487" i="24"/>
  <c r="V487" i="24"/>
  <c r="Q487" i="24"/>
  <c r="R487" i="24"/>
  <c r="O485" i="24"/>
  <c r="C485" i="24"/>
  <c r="N484" i="24"/>
  <c r="B484" i="24"/>
  <c r="S483" i="24"/>
  <c r="W483" i="24"/>
  <c r="P483" i="24"/>
  <c r="T483" i="24"/>
  <c r="X483" i="24"/>
  <c r="Q483" i="24"/>
  <c r="R483" i="24"/>
  <c r="U483" i="24"/>
  <c r="V483" i="24"/>
  <c r="O481" i="24"/>
  <c r="C481" i="24"/>
  <c r="N480" i="24"/>
  <c r="B480" i="24"/>
  <c r="S479" i="24"/>
  <c r="W479" i="24"/>
  <c r="P479" i="24"/>
  <c r="T479" i="24"/>
  <c r="X479" i="24"/>
  <c r="U479" i="24"/>
  <c r="V479" i="24"/>
  <c r="O477" i="24"/>
  <c r="C477" i="24"/>
  <c r="N476" i="24"/>
  <c r="B476" i="24"/>
  <c r="S475" i="24"/>
  <c r="W475" i="24"/>
  <c r="P475" i="24"/>
  <c r="T475" i="24"/>
  <c r="X475" i="24"/>
  <c r="Q475" i="24"/>
  <c r="R475" i="24"/>
  <c r="O473" i="24"/>
  <c r="C473" i="24"/>
  <c r="N472" i="24"/>
  <c r="B472" i="24"/>
  <c r="S471" i="24"/>
  <c r="W471" i="24"/>
  <c r="P471" i="24"/>
  <c r="T471" i="24"/>
  <c r="X471" i="24"/>
  <c r="U471" i="24"/>
  <c r="V471" i="24"/>
  <c r="Q471" i="24"/>
  <c r="R471" i="24"/>
  <c r="O469" i="24"/>
  <c r="C469" i="24"/>
  <c r="N468" i="24"/>
  <c r="B468" i="24"/>
  <c r="S467" i="24"/>
  <c r="W467" i="24"/>
  <c r="P467" i="24"/>
  <c r="T467" i="24"/>
  <c r="X467" i="24"/>
  <c r="Q467" i="24"/>
  <c r="R467" i="24"/>
  <c r="U467" i="24"/>
  <c r="V467" i="24"/>
  <c r="O465" i="24"/>
  <c r="C465" i="24"/>
  <c r="N464" i="24"/>
  <c r="B464" i="24"/>
  <c r="Q463" i="24"/>
  <c r="U463" i="24"/>
  <c r="S463" i="24"/>
  <c r="X463" i="24"/>
  <c r="T463" i="24"/>
  <c r="V463" i="24"/>
  <c r="W463" i="24"/>
  <c r="P463" i="24"/>
  <c r="B463" i="24"/>
  <c r="N463" i="24"/>
  <c r="R463" i="24"/>
  <c r="M461" i="24"/>
  <c r="B461" i="24"/>
  <c r="P460" i="24"/>
  <c r="T460" i="24"/>
  <c r="X460" i="24"/>
  <c r="S460" i="24"/>
  <c r="U460" i="24"/>
  <c r="Q460" i="24"/>
  <c r="R460" i="24"/>
  <c r="V460" i="24"/>
  <c r="C460" i="24"/>
  <c r="O460" i="24"/>
  <c r="W460" i="24"/>
  <c r="S457" i="24"/>
  <c r="W457" i="24"/>
  <c r="T457" i="24"/>
  <c r="P457" i="24"/>
  <c r="U457" i="24"/>
  <c r="V457" i="24"/>
  <c r="X457" i="24"/>
  <c r="L457" i="24"/>
  <c r="O455" i="24"/>
  <c r="D454" i="24"/>
  <c r="E453" i="24"/>
  <c r="N452" i="24"/>
  <c r="M451" i="24"/>
  <c r="C451" i="24"/>
  <c r="N449" i="24"/>
  <c r="C449" i="24"/>
  <c r="M448" i="24"/>
  <c r="B448" i="24"/>
  <c r="Q447" i="24"/>
  <c r="U447" i="24"/>
  <c r="S447" i="24"/>
  <c r="X447" i="24"/>
  <c r="T447" i="24"/>
  <c r="P447" i="24"/>
  <c r="R447" i="24"/>
  <c r="B447" i="24"/>
  <c r="N447" i="24"/>
  <c r="M445" i="24"/>
  <c r="B445" i="24"/>
  <c r="P444" i="24"/>
  <c r="T444" i="24"/>
  <c r="X444" i="24"/>
  <c r="S444" i="24"/>
  <c r="U444" i="24"/>
  <c r="V444" i="24"/>
  <c r="W444" i="24"/>
  <c r="Q444" i="24"/>
  <c r="C444" i="24"/>
  <c r="O444" i="24"/>
  <c r="R444" i="24"/>
  <c r="R441" i="24"/>
  <c r="V441" i="24"/>
  <c r="S441" i="24"/>
  <c r="W441" i="24"/>
  <c r="P441" i="24"/>
  <c r="X441" i="24"/>
  <c r="Q441" i="24"/>
  <c r="T441" i="24"/>
  <c r="L441" i="24"/>
  <c r="U441" i="24"/>
  <c r="O439" i="24"/>
  <c r="D438" i="24"/>
  <c r="E437" i="24"/>
  <c r="N436" i="24"/>
  <c r="M435" i="24"/>
  <c r="C435" i="24"/>
  <c r="N433" i="24"/>
  <c r="C433" i="24"/>
  <c r="M432" i="24"/>
  <c r="B432" i="24"/>
  <c r="P431" i="24"/>
  <c r="T431" i="24"/>
  <c r="X431" i="24"/>
  <c r="Q431" i="24"/>
  <c r="U431" i="24"/>
  <c r="R431" i="24"/>
  <c r="S431" i="24"/>
  <c r="V431" i="24"/>
  <c r="W431" i="24"/>
  <c r="B431" i="24"/>
  <c r="N431" i="24"/>
  <c r="M429" i="24"/>
  <c r="B429" i="24"/>
  <c r="S428" i="24"/>
  <c r="W428" i="24"/>
  <c r="P428" i="24"/>
  <c r="T428" i="24"/>
  <c r="X428" i="24"/>
  <c r="U428" i="24"/>
  <c r="V428" i="24"/>
  <c r="Q428" i="24"/>
  <c r="R428" i="24"/>
  <c r="C428" i="24"/>
  <c r="O428" i="24"/>
  <c r="R425" i="24"/>
  <c r="V425" i="24"/>
  <c r="S425" i="24"/>
  <c r="W425" i="24"/>
  <c r="P425" i="24"/>
  <c r="X425" i="24"/>
  <c r="Q425" i="24"/>
  <c r="L425" i="24"/>
  <c r="O423" i="24"/>
  <c r="D422" i="24"/>
  <c r="E421" i="24"/>
  <c r="N420" i="24"/>
  <c r="M419" i="24"/>
  <c r="C419" i="24"/>
  <c r="N417" i="24"/>
  <c r="C417" i="24"/>
  <c r="M416" i="24"/>
  <c r="B416" i="24"/>
  <c r="P415" i="24"/>
  <c r="T415" i="24"/>
  <c r="X415" i="24"/>
  <c r="Q415" i="24"/>
  <c r="U415" i="24"/>
  <c r="R415" i="24"/>
  <c r="S415" i="24"/>
  <c r="V415" i="24"/>
  <c r="W415" i="24"/>
  <c r="B415" i="24"/>
  <c r="N415" i="24"/>
  <c r="M413" i="24"/>
  <c r="B413" i="24"/>
  <c r="S412" i="24"/>
  <c r="W412" i="24"/>
  <c r="P412" i="24"/>
  <c r="T412" i="24"/>
  <c r="X412" i="24"/>
  <c r="U412" i="24"/>
  <c r="V412" i="24"/>
  <c r="Q412" i="24"/>
  <c r="R412" i="24"/>
  <c r="C412" i="24"/>
  <c r="O412" i="24"/>
  <c r="R409" i="24"/>
  <c r="V409" i="24"/>
  <c r="S409" i="24"/>
  <c r="W409" i="24"/>
  <c r="P409" i="24"/>
  <c r="X409" i="24"/>
  <c r="Q409" i="24"/>
  <c r="T409" i="24"/>
  <c r="L409" i="24"/>
  <c r="U409" i="24"/>
  <c r="O407" i="24"/>
  <c r="D406" i="24"/>
  <c r="E405" i="24"/>
  <c r="N404" i="24"/>
  <c r="M403" i="24"/>
  <c r="C403" i="24"/>
  <c r="N401" i="24"/>
  <c r="C401" i="24"/>
  <c r="M400" i="24"/>
  <c r="B400" i="24"/>
  <c r="P399" i="24"/>
  <c r="T399" i="24"/>
  <c r="X399" i="24"/>
  <c r="Q399" i="24"/>
  <c r="U399" i="24"/>
  <c r="R399" i="24"/>
  <c r="S399" i="24"/>
  <c r="V399" i="24"/>
  <c r="W399" i="24"/>
  <c r="B399" i="24"/>
  <c r="N399" i="24"/>
  <c r="M397" i="24"/>
  <c r="B397" i="24"/>
  <c r="S396" i="24"/>
  <c r="W396" i="24"/>
  <c r="P396" i="24"/>
  <c r="T396" i="24"/>
  <c r="X396" i="24"/>
  <c r="U396" i="24"/>
  <c r="V396" i="24"/>
  <c r="Q396" i="24"/>
  <c r="R396" i="24"/>
  <c r="C396" i="24"/>
  <c r="O396" i="24"/>
  <c r="R393" i="24"/>
  <c r="V393" i="24"/>
  <c r="S393" i="24"/>
  <c r="W393" i="24"/>
  <c r="P393" i="24"/>
  <c r="X393" i="24"/>
  <c r="Q393" i="24"/>
  <c r="L393" i="24"/>
  <c r="O391" i="24"/>
  <c r="D390" i="24"/>
  <c r="E389" i="24"/>
  <c r="N388" i="24"/>
  <c r="M387" i="24"/>
  <c r="C387" i="24"/>
  <c r="N385" i="24"/>
  <c r="C385" i="24"/>
  <c r="M384" i="24"/>
  <c r="B384" i="24"/>
  <c r="P383" i="24"/>
  <c r="T383" i="24"/>
  <c r="X383" i="24"/>
  <c r="Q383" i="24"/>
  <c r="U383" i="24"/>
  <c r="R383" i="24"/>
  <c r="S383" i="24"/>
  <c r="V383" i="24"/>
  <c r="W383" i="24"/>
  <c r="B383" i="24"/>
  <c r="N383" i="24"/>
  <c r="M381" i="24"/>
  <c r="B381" i="24"/>
  <c r="S380" i="24"/>
  <c r="W380" i="24"/>
  <c r="P380" i="24"/>
  <c r="T380" i="24"/>
  <c r="X380" i="24"/>
  <c r="U380" i="24"/>
  <c r="V380" i="24"/>
  <c r="Q380" i="24"/>
  <c r="R380" i="24"/>
  <c r="C380" i="24"/>
  <c r="O380" i="24"/>
  <c r="R377" i="24"/>
  <c r="V377" i="24"/>
  <c r="S377" i="24"/>
  <c r="W377" i="24"/>
  <c r="P377" i="24"/>
  <c r="X377" i="24"/>
  <c r="Q377" i="24"/>
  <c r="T377" i="24"/>
  <c r="L377" i="24"/>
  <c r="U377" i="24"/>
  <c r="O375" i="24"/>
  <c r="D374" i="24"/>
  <c r="E373" i="24"/>
  <c r="N372" i="24"/>
  <c r="M371" i="24"/>
  <c r="C371" i="24"/>
  <c r="N369" i="24"/>
  <c r="C369" i="24"/>
  <c r="M368" i="24"/>
  <c r="B368" i="24"/>
  <c r="P367" i="24"/>
  <c r="T367" i="24"/>
  <c r="X367" i="24"/>
  <c r="R367" i="24"/>
  <c r="W367" i="24"/>
  <c r="S367" i="24"/>
  <c r="U367" i="24"/>
  <c r="V367" i="24"/>
  <c r="B367" i="24"/>
  <c r="N367" i="24"/>
  <c r="M365" i="24"/>
  <c r="B365" i="24"/>
  <c r="S364" i="24"/>
  <c r="W364" i="24"/>
  <c r="R364" i="24"/>
  <c r="X364" i="24"/>
  <c r="T364" i="24"/>
  <c r="P364" i="24"/>
  <c r="Q364" i="24"/>
  <c r="U364" i="24"/>
  <c r="C364" i="24"/>
  <c r="O364" i="24"/>
  <c r="V364" i="24"/>
  <c r="R361" i="24"/>
  <c r="V361" i="24"/>
  <c r="S361" i="24"/>
  <c r="X361" i="24"/>
  <c r="T361" i="24"/>
  <c r="U361" i="24"/>
  <c r="W361" i="24"/>
  <c r="P361" i="24"/>
  <c r="Q361" i="24"/>
  <c r="L361" i="24"/>
  <c r="O359" i="24"/>
  <c r="D358" i="24"/>
  <c r="E357" i="24"/>
  <c r="N356" i="24"/>
  <c r="M355" i="24"/>
  <c r="C355" i="24"/>
  <c r="N353" i="24"/>
  <c r="C353" i="24"/>
  <c r="M352" i="24"/>
  <c r="B352" i="24"/>
  <c r="P351" i="24"/>
  <c r="T351" i="24"/>
  <c r="X351" i="24"/>
  <c r="R351" i="24"/>
  <c r="W351" i="24"/>
  <c r="U351" i="24"/>
  <c r="V351" i="24"/>
  <c r="Q351" i="24"/>
  <c r="S351" i="24"/>
  <c r="B351" i="24"/>
  <c r="N351" i="24"/>
  <c r="M349" i="24"/>
  <c r="B349" i="24"/>
  <c r="S348" i="24"/>
  <c r="W348" i="24"/>
  <c r="R348" i="24"/>
  <c r="X348" i="24"/>
  <c r="T348" i="24"/>
  <c r="U348" i="24"/>
  <c r="V348" i="24"/>
  <c r="P348" i="24"/>
  <c r="Q348" i="24"/>
  <c r="C348" i="24"/>
  <c r="O348" i="24"/>
  <c r="R345" i="24"/>
  <c r="V345" i="24"/>
  <c r="S345" i="24"/>
  <c r="X345" i="24"/>
  <c r="Q345" i="24"/>
  <c r="T345" i="24"/>
  <c r="U345" i="24"/>
  <c r="W345" i="24"/>
  <c r="P345" i="24"/>
  <c r="L345" i="24"/>
  <c r="O343" i="24"/>
  <c r="D342" i="24"/>
  <c r="E341" i="24"/>
  <c r="N340" i="24"/>
  <c r="M339" i="24"/>
  <c r="C339" i="24"/>
  <c r="N337" i="24"/>
  <c r="C337" i="24"/>
  <c r="M336" i="24"/>
  <c r="B336" i="24"/>
  <c r="R335" i="24"/>
  <c r="V335" i="24"/>
  <c r="P335" i="24"/>
  <c r="T335" i="24"/>
  <c r="X335" i="24"/>
  <c r="W335" i="24"/>
  <c r="Q335" i="24"/>
  <c r="S335" i="24"/>
  <c r="U335" i="24"/>
  <c r="B335" i="24"/>
  <c r="N335" i="24"/>
  <c r="M333" i="24"/>
  <c r="B333" i="24"/>
  <c r="Q332" i="24"/>
  <c r="U332" i="24"/>
  <c r="S332" i="24"/>
  <c r="W332" i="24"/>
  <c r="R332" i="24"/>
  <c r="T332" i="24"/>
  <c r="V332" i="24"/>
  <c r="X332" i="24"/>
  <c r="C332" i="24"/>
  <c r="O332" i="24"/>
  <c r="P329" i="24"/>
  <c r="T329" i="24"/>
  <c r="X329" i="24"/>
  <c r="R329" i="24"/>
  <c r="V329" i="24"/>
  <c r="U329" i="24"/>
  <c r="Q329" i="24"/>
  <c r="S329" i="24"/>
  <c r="W329" i="24"/>
  <c r="L329" i="24"/>
  <c r="O327" i="24"/>
  <c r="D326" i="24"/>
  <c r="E325" i="24"/>
  <c r="N324" i="24"/>
  <c r="M323" i="24"/>
  <c r="C323" i="24"/>
  <c r="N321" i="24"/>
  <c r="C321" i="24"/>
  <c r="M320" i="24"/>
  <c r="B320" i="24"/>
  <c r="R319" i="24"/>
  <c r="V319" i="24"/>
  <c r="P319" i="24"/>
  <c r="T319" i="24"/>
  <c r="X319" i="24"/>
  <c r="U319" i="24"/>
  <c r="W319" i="24"/>
  <c r="Q319" i="24"/>
  <c r="S319" i="24"/>
  <c r="B319" i="24"/>
  <c r="N319" i="24"/>
  <c r="M317" i="24"/>
  <c r="B317" i="24"/>
  <c r="Q316" i="24"/>
  <c r="U316" i="24"/>
  <c r="S316" i="24"/>
  <c r="W316" i="24"/>
  <c r="P316" i="24"/>
  <c r="X316" i="24"/>
  <c r="R316" i="24"/>
  <c r="T316" i="24"/>
  <c r="V316" i="24"/>
  <c r="C316" i="24"/>
  <c r="O316" i="24"/>
  <c r="P313" i="24"/>
  <c r="T313" i="24"/>
  <c r="X313" i="24"/>
  <c r="R313" i="24"/>
  <c r="V313" i="24"/>
  <c r="S313" i="24"/>
  <c r="U313" i="24"/>
  <c r="Q313" i="24"/>
  <c r="W313" i="24"/>
  <c r="L313" i="24"/>
  <c r="O311" i="24"/>
  <c r="D310" i="24"/>
  <c r="E309" i="24"/>
  <c r="N308" i="24"/>
  <c r="M307" i="24"/>
  <c r="C307" i="24"/>
  <c r="N305" i="24"/>
  <c r="C305" i="24"/>
  <c r="M304" i="24"/>
  <c r="B304" i="24"/>
  <c r="R303" i="24"/>
  <c r="V303" i="24"/>
  <c r="P303" i="24"/>
  <c r="T303" i="24"/>
  <c r="X303" i="24"/>
  <c r="U303" i="24"/>
  <c r="W303" i="24"/>
  <c r="Q303" i="24"/>
  <c r="S303" i="24"/>
  <c r="B303" i="24"/>
  <c r="N303" i="24"/>
  <c r="M301" i="24"/>
  <c r="B301" i="24"/>
  <c r="Q300" i="24"/>
  <c r="U300" i="24"/>
  <c r="S300" i="24"/>
  <c r="W300" i="24"/>
  <c r="P300" i="24"/>
  <c r="X300" i="24"/>
  <c r="R300" i="24"/>
  <c r="T300" i="24"/>
  <c r="V300" i="24"/>
  <c r="C300" i="24"/>
  <c r="O300" i="24"/>
  <c r="P297" i="24"/>
  <c r="T297" i="24"/>
  <c r="X297" i="24"/>
  <c r="R297" i="24"/>
  <c r="V297" i="24"/>
  <c r="S297" i="24"/>
  <c r="U297" i="24"/>
  <c r="Q297" i="24"/>
  <c r="W297" i="24"/>
  <c r="L297" i="24"/>
  <c r="O295" i="24"/>
  <c r="G293" i="24"/>
  <c r="J293" i="24" s="1"/>
  <c r="Q292" i="24"/>
  <c r="U292" i="24"/>
  <c r="S292" i="24"/>
  <c r="W292" i="24"/>
  <c r="P292" i="24"/>
  <c r="X292" i="24"/>
  <c r="R292" i="24"/>
  <c r="T292" i="24"/>
  <c r="V292" i="24"/>
  <c r="C292" i="24"/>
  <c r="O292" i="24"/>
  <c r="L292" i="24"/>
  <c r="D289" i="24"/>
  <c r="J289" i="24" s="1"/>
  <c r="E289" i="24"/>
  <c r="B288" i="24"/>
  <c r="R287" i="24"/>
  <c r="V287" i="24"/>
  <c r="P287" i="24"/>
  <c r="T287" i="24"/>
  <c r="X287" i="24"/>
  <c r="U287" i="24"/>
  <c r="W287" i="24"/>
  <c r="Q287" i="24"/>
  <c r="B287" i="24"/>
  <c r="N287" i="24"/>
  <c r="S287" i="24"/>
  <c r="C287" i="24"/>
  <c r="O287" i="24"/>
  <c r="H285" i="24"/>
  <c r="I285" i="24"/>
  <c r="M284" i="24"/>
  <c r="E284" i="24"/>
  <c r="H283" i="24"/>
  <c r="I283" i="24"/>
  <c r="M282" i="24"/>
  <c r="E282" i="24"/>
  <c r="L281" i="24"/>
  <c r="J280" i="24"/>
  <c r="F279" i="24"/>
  <c r="F278" i="24"/>
  <c r="M277" i="24"/>
  <c r="G275" i="24"/>
  <c r="S274" i="24"/>
  <c r="W274" i="24"/>
  <c r="Q274" i="24"/>
  <c r="U274" i="24"/>
  <c r="R274" i="24"/>
  <c r="T274" i="24"/>
  <c r="P274" i="24"/>
  <c r="V274" i="24"/>
  <c r="X274" i="24"/>
  <c r="C274" i="24"/>
  <c r="O274" i="24"/>
  <c r="L274" i="24"/>
  <c r="D271" i="24"/>
  <c r="J271" i="24" s="1"/>
  <c r="E271" i="24"/>
  <c r="B270" i="24"/>
  <c r="P269" i="24"/>
  <c r="T269" i="24"/>
  <c r="X269" i="24"/>
  <c r="R269" i="24"/>
  <c r="V269" i="24"/>
  <c r="W269" i="24"/>
  <c r="Q269" i="24"/>
  <c r="S269" i="24"/>
  <c r="U269" i="24"/>
  <c r="B269" i="24"/>
  <c r="N269" i="24"/>
  <c r="C269" i="24"/>
  <c r="O269" i="24"/>
  <c r="H267" i="24"/>
  <c r="I267" i="24"/>
  <c r="M266" i="24"/>
  <c r="E266" i="24"/>
  <c r="L265" i="24"/>
  <c r="J264" i="24"/>
  <c r="F263" i="24"/>
  <c r="F262" i="24"/>
  <c r="M261" i="24"/>
  <c r="G259" i="24"/>
  <c r="J259" i="24" s="1"/>
  <c r="P258" i="24"/>
  <c r="T258" i="24"/>
  <c r="X258" i="24"/>
  <c r="Q258" i="24"/>
  <c r="V258" i="24"/>
  <c r="S258" i="24"/>
  <c r="R258" i="24"/>
  <c r="U258" i="24"/>
  <c r="W258" i="24"/>
  <c r="C258" i="24"/>
  <c r="O258" i="24"/>
  <c r="L258" i="24"/>
  <c r="D255" i="24"/>
  <c r="J255" i="24" s="1"/>
  <c r="E255" i="24"/>
  <c r="B254" i="24"/>
  <c r="Q253" i="24"/>
  <c r="U253" i="24"/>
  <c r="S253" i="24"/>
  <c r="X253" i="24"/>
  <c r="P253" i="24"/>
  <c r="V253" i="24"/>
  <c r="R253" i="24"/>
  <c r="T253" i="24"/>
  <c r="W253" i="24"/>
  <c r="B253" i="24"/>
  <c r="N253" i="24"/>
  <c r="C253" i="24"/>
  <c r="O253" i="24"/>
  <c r="H251" i="24"/>
  <c r="I251" i="24"/>
  <c r="M250" i="24"/>
  <c r="E250" i="24"/>
  <c r="L249" i="24"/>
  <c r="J248" i="24"/>
  <c r="F247" i="24"/>
  <c r="F246" i="24"/>
  <c r="M245" i="24"/>
  <c r="G243" i="24"/>
  <c r="R242" i="24"/>
  <c r="V242" i="24"/>
  <c r="P242" i="24"/>
  <c r="T242" i="24"/>
  <c r="X242" i="24"/>
  <c r="W242" i="24"/>
  <c r="S242" i="24"/>
  <c r="Q242" i="24"/>
  <c r="U242" i="24"/>
  <c r="C242" i="24"/>
  <c r="O242" i="24"/>
  <c r="L242" i="24"/>
  <c r="D239" i="24"/>
  <c r="J239" i="24" s="1"/>
  <c r="E239" i="24"/>
  <c r="B238" i="24"/>
  <c r="S237" i="24"/>
  <c r="W237" i="24"/>
  <c r="Q237" i="24"/>
  <c r="U237" i="24"/>
  <c r="T237" i="24"/>
  <c r="P237" i="24"/>
  <c r="X237" i="24"/>
  <c r="R237" i="24"/>
  <c r="V237" i="24"/>
  <c r="B237" i="24"/>
  <c r="N237" i="24"/>
  <c r="C237" i="24"/>
  <c r="O237" i="24"/>
  <c r="H235" i="24"/>
  <c r="I235" i="24"/>
  <c r="M234" i="24"/>
  <c r="E234" i="24"/>
  <c r="L233" i="24"/>
  <c r="J232" i="24"/>
  <c r="F231" i="24"/>
  <c r="F230" i="24"/>
  <c r="M229" i="24"/>
  <c r="G227" i="24"/>
  <c r="J227" i="24" s="1"/>
  <c r="R226" i="24"/>
  <c r="V226" i="24"/>
  <c r="P226" i="24"/>
  <c r="T226" i="24"/>
  <c r="X226" i="24"/>
  <c r="W226" i="24"/>
  <c r="S226" i="24"/>
  <c r="Q226" i="24"/>
  <c r="U226" i="24"/>
  <c r="C226" i="24"/>
  <c r="O226" i="24"/>
  <c r="L226" i="24"/>
  <c r="D223" i="24"/>
  <c r="E223" i="24"/>
  <c r="B222" i="24"/>
  <c r="S221" i="24"/>
  <c r="W221" i="24"/>
  <c r="Q221" i="24"/>
  <c r="U221" i="24"/>
  <c r="T221" i="24"/>
  <c r="P221" i="24"/>
  <c r="X221" i="24"/>
  <c r="R221" i="24"/>
  <c r="B221" i="24"/>
  <c r="N221" i="24"/>
  <c r="V221" i="24"/>
  <c r="C221" i="24"/>
  <c r="O221" i="24"/>
  <c r="H219" i="24"/>
  <c r="I219" i="24"/>
  <c r="M218" i="24"/>
  <c r="E218" i="24"/>
  <c r="L217" i="24"/>
  <c r="J216" i="24"/>
  <c r="F215" i="24"/>
  <c r="F214" i="24"/>
  <c r="M213" i="24"/>
  <c r="G211" i="24"/>
  <c r="R210" i="24"/>
  <c r="V210" i="24"/>
  <c r="P210" i="24"/>
  <c r="T210" i="24"/>
  <c r="X210" i="24"/>
  <c r="W210" i="24"/>
  <c r="S210" i="24"/>
  <c r="U210" i="24"/>
  <c r="Q210" i="24"/>
  <c r="C210" i="24"/>
  <c r="O210" i="24"/>
  <c r="L210" i="24"/>
  <c r="D207" i="24"/>
  <c r="J207" i="24" s="1"/>
  <c r="E207" i="24"/>
  <c r="B206" i="24"/>
  <c r="S205" i="24"/>
  <c r="W205" i="24"/>
  <c r="Q205" i="24"/>
  <c r="U205" i="24"/>
  <c r="T205" i="24"/>
  <c r="P205" i="24"/>
  <c r="X205" i="24"/>
  <c r="V205" i="24"/>
  <c r="R205" i="24"/>
  <c r="B205" i="24"/>
  <c r="N205" i="24"/>
  <c r="C205" i="24"/>
  <c r="O205" i="24"/>
  <c r="H203" i="24"/>
  <c r="I203" i="24"/>
  <c r="M202" i="24"/>
  <c r="E202" i="24"/>
  <c r="L201" i="24"/>
  <c r="J200" i="24"/>
  <c r="F199" i="24"/>
  <c r="F198" i="24"/>
  <c r="M197" i="24"/>
  <c r="G195" i="24"/>
  <c r="J195" i="24" s="1"/>
  <c r="R194" i="24"/>
  <c r="V194" i="24"/>
  <c r="P194" i="24"/>
  <c r="T194" i="24"/>
  <c r="X194" i="24"/>
  <c r="W194" i="24"/>
  <c r="S194" i="24"/>
  <c r="Q194" i="24"/>
  <c r="U194" i="24"/>
  <c r="C194" i="24"/>
  <c r="O194" i="24"/>
  <c r="L194" i="24"/>
  <c r="D191" i="24"/>
  <c r="J191" i="24" s="1"/>
  <c r="E191" i="24"/>
  <c r="B190" i="24"/>
  <c r="S189" i="24"/>
  <c r="W189" i="24"/>
  <c r="Q189" i="24"/>
  <c r="U189" i="24"/>
  <c r="T189" i="24"/>
  <c r="P189" i="24"/>
  <c r="X189" i="24"/>
  <c r="R189" i="24"/>
  <c r="V189" i="24"/>
  <c r="B189" i="24"/>
  <c r="N189" i="24"/>
  <c r="C189" i="24"/>
  <c r="O189" i="24"/>
  <c r="H187" i="24"/>
  <c r="I187" i="24"/>
  <c r="M186" i="24"/>
  <c r="E186" i="24"/>
  <c r="L185" i="24"/>
  <c r="J184" i="24"/>
  <c r="F183" i="24"/>
  <c r="F182" i="24"/>
  <c r="M181" i="24"/>
  <c r="G179" i="24"/>
  <c r="J179" i="24" s="1"/>
  <c r="R178" i="24"/>
  <c r="V178" i="24"/>
  <c r="P178" i="24"/>
  <c r="T178" i="24"/>
  <c r="X178" i="24"/>
  <c r="W178" i="24"/>
  <c r="S178" i="24"/>
  <c r="Q178" i="24"/>
  <c r="U178" i="24"/>
  <c r="C178" i="24"/>
  <c r="O178" i="24"/>
  <c r="L178" i="24"/>
  <c r="D175" i="24"/>
  <c r="J175" i="24" s="1"/>
  <c r="E175" i="24"/>
  <c r="B174" i="24"/>
  <c r="S173" i="24"/>
  <c r="W173" i="24"/>
  <c r="Q173" i="24"/>
  <c r="U173" i="24"/>
  <c r="T173" i="24"/>
  <c r="P173" i="24"/>
  <c r="X173" i="24"/>
  <c r="R173" i="24"/>
  <c r="V173" i="24"/>
  <c r="B173" i="24"/>
  <c r="N173" i="24"/>
  <c r="C173" i="24"/>
  <c r="O173" i="24"/>
  <c r="S169" i="24"/>
  <c r="W169" i="24"/>
  <c r="Q169" i="24"/>
  <c r="U169" i="24"/>
  <c r="P169" i="24"/>
  <c r="X169" i="24"/>
  <c r="T169" i="24"/>
  <c r="R169" i="24"/>
  <c r="V169" i="24"/>
  <c r="L169" i="24"/>
  <c r="C169" i="24"/>
  <c r="N169" i="24"/>
  <c r="O169" i="24"/>
  <c r="O165" i="24"/>
  <c r="H162" i="24"/>
  <c r="E160" i="24"/>
  <c r="F160" i="24"/>
  <c r="H159" i="24"/>
  <c r="H158" i="24"/>
  <c r="G157" i="24"/>
  <c r="M156" i="24"/>
  <c r="B156" i="24"/>
  <c r="E154" i="24"/>
  <c r="D154" i="24"/>
  <c r="J154" i="24" s="1"/>
  <c r="Q152" i="24"/>
  <c r="U152" i="24"/>
  <c r="T152" i="24"/>
  <c r="R152" i="24"/>
  <c r="W152" i="24"/>
  <c r="V152" i="24"/>
  <c r="P152" i="24"/>
  <c r="S152" i="24"/>
  <c r="X152" i="24"/>
  <c r="C152" i="24"/>
  <c r="O152" i="24"/>
  <c r="B152" i="24"/>
  <c r="M152" i="24"/>
  <c r="N152" i="24"/>
  <c r="R149" i="24"/>
  <c r="V149" i="24"/>
  <c r="P149" i="24"/>
  <c r="T149" i="24"/>
  <c r="X149" i="24"/>
  <c r="S149" i="24"/>
  <c r="W149" i="24"/>
  <c r="U149" i="24"/>
  <c r="Q149" i="24"/>
  <c r="L149" i="24"/>
  <c r="B149" i="24"/>
  <c r="M149" i="24"/>
  <c r="C149" i="24"/>
  <c r="N149" i="24"/>
  <c r="I145" i="24"/>
  <c r="G143" i="24"/>
  <c r="G142" i="24"/>
  <c r="J142" i="24" s="1"/>
  <c r="S140" i="24"/>
  <c r="W140" i="24"/>
  <c r="Q140" i="24"/>
  <c r="U140" i="24"/>
  <c r="T140" i="24"/>
  <c r="P140" i="24"/>
  <c r="X140" i="24"/>
  <c r="V140" i="24"/>
  <c r="R140" i="24"/>
  <c r="C140" i="24"/>
  <c r="O140" i="24"/>
  <c r="N140" i="24"/>
  <c r="J138" i="24"/>
  <c r="F137" i="24"/>
  <c r="I130" i="24"/>
  <c r="G130" i="24"/>
  <c r="M127" i="24"/>
  <c r="C127" i="24"/>
  <c r="D125" i="24"/>
  <c r="J125" i="24" s="1"/>
  <c r="E125" i="24"/>
  <c r="F125" i="24"/>
  <c r="P123" i="24"/>
  <c r="T123" i="24"/>
  <c r="X123" i="24"/>
  <c r="R123" i="24"/>
  <c r="V123" i="24"/>
  <c r="U123" i="24"/>
  <c r="Q123" i="24"/>
  <c r="W123" i="24"/>
  <c r="S123" i="24"/>
  <c r="B123" i="24"/>
  <c r="N123" i="24"/>
  <c r="C123" i="24"/>
  <c r="M123" i="24"/>
  <c r="O123" i="24"/>
  <c r="F122" i="24"/>
  <c r="J122" i="24" s="1"/>
  <c r="M121" i="24"/>
  <c r="B121" i="24"/>
  <c r="H115" i="24"/>
  <c r="H113" i="24"/>
  <c r="G113" i="24"/>
  <c r="J113" i="24" s="1"/>
  <c r="D112" i="24"/>
  <c r="P111" i="24"/>
  <c r="T111" i="24"/>
  <c r="X111" i="24"/>
  <c r="Q111" i="24"/>
  <c r="V111" i="24"/>
  <c r="S111" i="24"/>
  <c r="W111" i="24"/>
  <c r="R111" i="24"/>
  <c r="U111" i="24"/>
  <c r="B111" i="24"/>
  <c r="N111" i="24"/>
  <c r="O111" i="24"/>
  <c r="E110" i="24"/>
  <c r="D110" i="24"/>
  <c r="J110" i="24" s="1"/>
  <c r="F110" i="24"/>
  <c r="I109" i="24"/>
  <c r="F108" i="24"/>
  <c r="P105" i="24"/>
  <c r="T105" i="24"/>
  <c r="X105" i="24"/>
  <c r="R105" i="24"/>
  <c r="V105" i="24"/>
  <c r="U105" i="24"/>
  <c r="Q105" i="24"/>
  <c r="W105" i="24"/>
  <c r="S105" i="24"/>
  <c r="L105" i="24"/>
  <c r="C105" i="24"/>
  <c r="N105" i="24"/>
  <c r="O105" i="24"/>
  <c r="O101" i="24"/>
  <c r="H98" i="24"/>
  <c r="E96" i="24"/>
  <c r="F96" i="24"/>
  <c r="H95" i="24"/>
  <c r="H94" i="24"/>
  <c r="G93" i="24"/>
  <c r="M92" i="24"/>
  <c r="B92" i="24"/>
  <c r="E90" i="24"/>
  <c r="D90" i="24"/>
  <c r="J90" i="24" s="1"/>
  <c r="Q88" i="24"/>
  <c r="U88" i="24"/>
  <c r="S88" i="24"/>
  <c r="W88" i="24"/>
  <c r="V88" i="24"/>
  <c r="R88" i="24"/>
  <c r="X88" i="24"/>
  <c r="P88" i="24"/>
  <c r="T88" i="24"/>
  <c r="C88" i="24"/>
  <c r="O88" i="24"/>
  <c r="B88" i="24"/>
  <c r="M88" i="24"/>
  <c r="N88" i="24"/>
  <c r="P85" i="24"/>
  <c r="T85" i="24"/>
  <c r="X85" i="24"/>
  <c r="R85" i="24"/>
  <c r="V85" i="24"/>
  <c r="Q85" i="24"/>
  <c r="U85" i="24"/>
  <c r="S85" i="24"/>
  <c r="W85" i="24"/>
  <c r="L85" i="24"/>
  <c r="B85" i="24"/>
  <c r="M85" i="24"/>
  <c r="C85" i="24"/>
  <c r="N85" i="24"/>
  <c r="I81" i="24"/>
  <c r="G79" i="24"/>
  <c r="G78" i="24"/>
  <c r="Q76" i="24"/>
  <c r="U76" i="24"/>
  <c r="S76" i="24"/>
  <c r="W76" i="24"/>
  <c r="R76" i="24"/>
  <c r="V76" i="24"/>
  <c r="T76" i="24"/>
  <c r="X76" i="24"/>
  <c r="P76" i="24"/>
  <c r="C76" i="24"/>
  <c r="O76" i="24"/>
  <c r="N76" i="24"/>
  <c r="J74" i="24"/>
  <c r="F73" i="24"/>
  <c r="Q68" i="24"/>
  <c r="U68" i="24"/>
  <c r="S68" i="24"/>
  <c r="W68" i="24"/>
  <c r="R68" i="24"/>
  <c r="V68" i="24"/>
  <c r="T68" i="24"/>
  <c r="P68" i="24"/>
  <c r="L68" i="24"/>
  <c r="X68" i="24"/>
  <c r="B68" i="24"/>
  <c r="M68" i="24"/>
  <c r="N68" i="24"/>
  <c r="I65" i="24"/>
  <c r="G65" i="24"/>
  <c r="J65" i="24" s="1"/>
  <c r="H65" i="24"/>
  <c r="I62" i="24"/>
  <c r="G62" i="24"/>
  <c r="H62" i="24"/>
  <c r="D59" i="24"/>
  <c r="F59" i="24"/>
  <c r="G49" i="24"/>
  <c r="H48" i="24"/>
  <c r="J48" i="24" s="1"/>
  <c r="I48" i="24"/>
  <c r="L47" i="24"/>
  <c r="B31" i="24"/>
  <c r="P15" i="24"/>
  <c r="T15" i="24"/>
  <c r="X15" i="24"/>
  <c r="R15" i="24"/>
  <c r="V15" i="24"/>
  <c r="Q15" i="24"/>
  <c r="U15" i="24"/>
  <c r="S15" i="24"/>
  <c r="W15" i="24"/>
  <c r="C15" i="24"/>
  <c r="O15" i="24"/>
  <c r="L15" i="24"/>
  <c r="M15" i="24"/>
  <c r="N15" i="24"/>
  <c r="D7" i="24"/>
  <c r="F7" i="24"/>
  <c r="X592" i="24"/>
  <c r="S589" i="24"/>
  <c r="W585" i="24"/>
  <c r="R582" i="24"/>
  <c r="V578" i="24"/>
  <c r="Q575" i="24"/>
  <c r="U571" i="24"/>
  <c r="P568" i="24"/>
  <c r="T564" i="24"/>
  <c r="X560" i="24"/>
  <c r="S557" i="24"/>
  <c r="W553" i="24"/>
  <c r="R550" i="24"/>
  <c r="V546" i="24"/>
  <c r="Q543" i="24"/>
  <c r="U539" i="24"/>
  <c r="P536" i="24"/>
  <c r="T532" i="24"/>
  <c r="X528" i="24"/>
  <c r="S525" i="24"/>
  <c r="W521" i="24"/>
  <c r="R518" i="24"/>
  <c r="V514" i="24"/>
  <c r="Q511" i="24"/>
  <c r="U507" i="24"/>
  <c r="P504" i="24"/>
  <c r="T500" i="24"/>
  <c r="X496" i="24"/>
  <c r="S493" i="24"/>
  <c r="W489" i="24"/>
  <c r="R486" i="24"/>
  <c r="V482" i="24"/>
  <c r="Q479" i="24"/>
  <c r="U475" i="24"/>
  <c r="P472" i="24"/>
  <c r="T468" i="24"/>
  <c r="R464" i="24"/>
  <c r="T459" i="24"/>
  <c r="R445" i="24"/>
  <c r="V439" i="24"/>
  <c r="U432" i="24"/>
  <c r="T425" i="24"/>
  <c r="R411" i="24"/>
  <c r="Q404" i="24"/>
  <c r="P397" i="24"/>
  <c r="X389" i="24"/>
  <c r="V375" i="24"/>
  <c r="T357" i="24"/>
  <c r="W331" i="24"/>
  <c r="T308" i="24"/>
  <c r="P293" i="24"/>
  <c r="T293" i="24"/>
  <c r="X293" i="24"/>
  <c r="R293" i="24"/>
  <c r="V293" i="24"/>
  <c r="W293" i="24"/>
  <c r="Q293" i="24"/>
  <c r="S293" i="24"/>
  <c r="U293" i="24"/>
  <c r="P289" i="24"/>
  <c r="T289" i="24"/>
  <c r="X289" i="24"/>
  <c r="R289" i="24"/>
  <c r="V289" i="24"/>
  <c r="S289" i="24"/>
  <c r="U289" i="24"/>
  <c r="W289" i="24"/>
  <c r="Q289" i="24"/>
  <c r="P285" i="24"/>
  <c r="T285" i="24"/>
  <c r="X285" i="24"/>
  <c r="R285" i="24"/>
  <c r="V285" i="24"/>
  <c r="W285" i="24"/>
  <c r="Q285" i="24"/>
  <c r="S285" i="24"/>
  <c r="U285" i="24"/>
  <c r="R283" i="24"/>
  <c r="V283" i="24"/>
  <c r="P283" i="24"/>
  <c r="T283" i="24"/>
  <c r="X283" i="24"/>
  <c r="Q283" i="24"/>
  <c r="S283" i="24"/>
  <c r="U283" i="24"/>
  <c r="W283" i="24"/>
  <c r="R279" i="24"/>
  <c r="V279" i="24"/>
  <c r="P279" i="24"/>
  <c r="T279" i="24"/>
  <c r="X279" i="24"/>
  <c r="U279" i="24"/>
  <c r="W279" i="24"/>
  <c r="Q279" i="24"/>
  <c r="S279" i="24"/>
  <c r="R275" i="24"/>
  <c r="V275" i="24"/>
  <c r="P275" i="24"/>
  <c r="T275" i="24"/>
  <c r="X275" i="24"/>
  <c r="Q275" i="24"/>
  <c r="S275" i="24"/>
  <c r="U275" i="24"/>
  <c r="W275" i="24"/>
  <c r="R271" i="24"/>
  <c r="V271" i="24"/>
  <c r="P271" i="24"/>
  <c r="T271" i="24"/>
  <c r="X271" i="24"/>
  <c r="U271" i="24"/>
  <c r="W271" i="24"/>
  <c r="Q271" i="24"/>
  <c r="S271" i="24"/>
  <c r="S267" i="24"/>
  <c r="W267" i="24"/>
  <c r="P267" i="24"/>
  <c r="U267" i="24"/>
  <c r="R267" i="24"/>
  <c r="X267" i="24"/>
  <c r="Q267" i="24"/>
  <c r="T267" i="24"/>
  <c r="V267" i="24"/>
  <c r="S263" i="24"/>
  <c r="W263" i="24"/>
  <c r="T263" i="24"/>
  <c r="Q263" i="24"/>
  <c r="V263" i="24"/>
  <c r="R263" i="24"/>
  <c r="U263" i="24"/>
  <c r="X263" i="24"/>
  <c r="P263" i="24"/>
  <c r="S259" i="24"/>
  <c r="W259" i="24"/>
  <c r="R259" i="24"/>
  <c r="X259" i="24"/>
  <c r="P259" i="24"/>
  <c r="U259" i="24"/>
  <c r="Q259" i="24"/>
  <c r="V259" i="24"/>
  <c r="T259" i="24"/>
  <c r="S255" i="24"/>
  <c r="W255" i="24"/>
  <c r="Q255" i="24"/>
  <c r="V255" i="24"/>
  <c r="T255" i="24"/>
  <c r="U255" i="24"/>
  <c r="P255" i="24"/>
  <c r="R255" i="24"/>
  <c r="X255" i="24"/>
  <c r="S251" i="24"/>
  <c r="W251" i="24"/>
  <c r="P251" i="24"/>
  <c r="U251" i="24"/>
  <c r="R251" i="24"/>
  <c r="X251" i="24"/>
  <c r="V251" i="24"/>
  <c r="Q251" i="24"/>
  <c r="T251" i="24"/>
  <c r="S247" i="24"/>
  <c r="W247" i="24"/>
  <c r="T247" i="24"/>
  <c r="Q247" i="24"/>
  <c r="V247" i="24"/>
  <c r="R247" i="24"/>
  <c r="P247" i="24"/>
  <c r="U247" i="24"/>
  <c r="X247" i="24"/>
  <c r="Q243" i="24"/>
  <c r="U243" i="24"/>
  <c r="S243" i="24"/>
  <c r="W243" i="24"/>
  <c r="V243" i="24"/>
  <c r="R243" i="24"/>
  <c r="T243" i="24"/>
  <c r="X243" i="24"/>
  <c r="P243" i="24"/>
  <c r="Q239" i="24"/>
  <c r="U239" i="24"/>
  <c r="S239" i="24"/>
  <c r="W239" i="24"/>
  <c r="R239" i="24"/>
  <c r="V239" i="24"/>
  <c r="X239" i="24"/>
  <c r="P239" i="24"/>
  <c r="T239" i="24"/>
  <c r="Q235" i="24"/>
  <c r="U235" i="24"/>
  <c r="S235" i="24"/>
  <c r="W235" i="24"/>
  <c r="V235" i="24"/>
  <c r="R235" i="24"/>
  <c r="P235" i="24"/>
  <c r="T235" i="24"/>
  <c r="X235" i="24"/>
  <c r="Q231" i="24"/>
  <c r="U231" i="24"/>
  <c r="S231" i="24"/>
  <c r="W231" i="24"/>
  <c r="R231" i="24"/>
  <c r="V231" i="24"/>
  <c r="P231" i="24"/>
  <c r="X231" i="24"/>
  <c r="T231" i="24"/>
  <c r="Q227" i="24"/>
  <c r="U227" i="24"/>
  <c r="S227" i="24"/>
  <c r="W227" i="24"/>
  <c r="V227" i="24"/>
  <c r="R227" i="24"/>
  <c r="T227" i="24"/>
  <c r="P227" i="24"/>
  <c r="X227" i="24"/>
  <c r="Q223" i="24"/>
  <c r="U223" i="24"/>
  <c r="S223" i="24"/>
  <c r="W223" i="24"/>
  <c r="R223" i="24"/>
  <c r="V223" i="24"/>
  <c r="X223" i="24"/>
  <c r="P223" i="24"/>
  <c r="T223" i="24"/>
  <c r="Q219" i="24"/>
  <c r="U219" i="24"/>
  <c r="S219" i="24"/>
  <c r="W219" i="24"/>
  <c r="V219" i="24"/>
  <c r="R219" i="24"/>
  <c r="X219" i="24"/>
  <c r="P219" i="24"/>
  <c r="T219" i="24"/>
  <c r="Q215" i="24"/>
  <c r="U215" i="24"/>
  <c r="S215" i="24"/>
  <c r="W215" i="24"/>
  <c r="R215" i="24"/>
  <c r="V215" i="24"/>
  <c r="P215" i="24"/>
  <c r="T215" i="24"/>
  <c r="X215" i="24"/>
  <c r="Q211" i="24"/>
  <c r="U211" i="24"/>
  <c r="S211" i="24"/>
  <c r="W211" i="24"/>
  <c r="V211" i="24"/>
  <c r="R211" i="24"/>
  <c r="T211" i="24"/>
  <c r="P211" i="24"/>
  <c r="X211" i="24"/>
  <c r="Q207" i="24"/>
  <c r="U207" i="24"/>
  <c r="S207" i="24"/>
  <c r="W207" i="24"/>
  <c r="R207" i="24"/>
  <c r="V207" i="24"/>
  <c r="X207" i="24"/>
  <c r="P207" i="24"/>
  <c r="T207" i="24"/>
  <c r="Q203" i="24"/>
  <c r="U203" i="24"/>
  <c r="S203" i="24"/>
  <c r="W203" i="24"/>
  <c r="V203" i="24"/>
  <c r="R203" i="24"/>
  <c r="T203" i="24"/>
  <c r="X203" i="24"/>
  <c r="Q199" i="24"/>
  <c r="U199" i="24"/>
  <c r="S199" i="24"/>
  <c r="W199" i="24"/>
  <c r="R199" i="24"/>
  <c r="V199" i="24"/>
  <c r="P199" i="24"/>
  <c r="T199" i="24"/>
  <c r="X199" i="24"/>
  <c r="Q195" i="24"/>
  <c r="U195" i="24"/>
  <c r="S195" i="24"/>
  <c r="W195" i="24"/>
  <c r="V195" i="24"/>
  <c r="R195" i="24"/>
  <c r="T195" i="24"/>
  <c r="P195" i="24"/>
  <c r="X195" i="24"/>
  <c r="Q191" i="24"/>
  <c r="U191" i="24"/>
  <c r="S191" i="24"/>
  <c r="W191" i="24"/>
  <c r="R191" i="24"/>
  <c r="V191" i="24"/>
  <c r="X191" i="24"/>
  <c r="T191" i="24"/>
  <c r="P191" i="24"/>
  <c r="Q187" i="24"/>
  <c r="U187" i="24"/>
  <c r="S187" i="24"/>
  <c r="W187" i="24"/>
  <c r="V187" i="24"/>
  <c r="R187" i="24"/>
  <c r="P187" i="24"/>
  <c r="T187" i="24"/>
  <c r="X187" i="24"/>
  <c r="Q183" i="24"/>
  <c r="U183" i="24"/>
  <c r="S183" i="24"/>
  <c r="W183" i="24"/>
  <c r="R183" i="24"/>
  <c r="V183" i="24"/>
  <c r="P183" i="24"/>
  <c r="Q179" i="24"/>
  <c r="U179" i="24"/>
  <c r="S179" i="24"/>
  <c r="W179" i="24"/>
  <c r="V179" i="24"/>
  <c r="R179" i="24"/>
  <c r="T179" i="24"/>
  <c r="X179" i="24"/>
  <c r="P179" i="24"/>
  <c r="Q175" i="24"/>
  <c r="U175" i="24"/>
  <c r="S175" i="24"/>
  <c r="W175" i="24"/>
  <c r="R175" i="24"/>
  <c r="V175" i="24"/>
  <c r="X175" i="24"/>
  <c r="P175" i="24"/>
  <c r="T175" i="24"/>
  <c r="Q163" i="24"/>
  <c r="U163" i="24"/>
  <c r="S163" i="24"/>
  <c r="W163" i="24"/>
  <c r="V163" i="24"/>
  <c r="R163" i="24"/>
  <c r="T163" i="24"/>
  <c r="P163" i="24"/>
  <c r="X163" i="24"/>
  <c r="B163" i="24"/>
  <c r="N163" i="24"/>
  <c r="Q160" i="24"/>
  <c r="U160" i="24"/>
  <c r="R160" i="24"/>
  <c r="W160" i="24"/>
  <c r="T160" i="24"/>
  <c r="X160" i="24"/>
  <c r="S160" i="24"/>
  <c r="V160" i="24"/>
  <c r="P160" i="24"/>
  <c r="C160" i="24"/>
  <c r="O160" i="24"/>
  <c r="P157" i="24"/>
  <c r="T157" i="24"/>
  <c r="X157" i="24"/>
  <c r="R157" i="24"/>
  <c r="W157" i="24"/>
  <c r="U157" i="24"/>
  <c r="S157" i="24"/>
  <c r="Q157" i="24"/>
  <c r="V157" i="24"/>
  <c r="L157" i="24"/>
  <c r="P147" i="24"/>
  <c r="T147" i="24"/>
  <c r="X147" i="24"/>
  <c r="R147" i="24"/>
  <c r="V147" i="24"/>
  <c r="U147" i="24"/>
  <c r="Q147" i="24"/>
  <c r="W147" i="24"/>
  <c r="S147" i="24"/>
  <c r="B147" i="24"/>
  <c r="N147" i="24"/>
  <c r="S144" i="24"/>
  <c r="W144" i="24"/>
  <c r="Q144" i="24"/>
  <c r="U144" i="24"/>
  <c r="P144" i="24"/>
  <c r="X144" i="24"/>
  <c r="T144" i="24"/>
  <c r="R144" i="24"/>
  <c r="V144" i="24"/>
  <c r="C144" i="24"/>
  <c r="O144" i="24"/>
  <c r="R141" i="24"/>
  <c r="V141" i="24"/>
  <c r="P141" i="24"/>
  <c r="T141" i="24"/>
  <c r="X141" i="24"/>
  <c r="S141" i="24"/>
  <c r="W141" i="24"/>
  <c r="U141" i="24"/>
  <c r="Q141" i="24"/>
  <c r="L141" i="24"/>
  <c r="P131" i="24"/>
  <c r="T131" i="24"/>
  <c r="X131" i="24"/>
  <c r="R131" i="24"/>
  <c r="V131" i="24"/>
  <c r="U131" i="24"/>
  <c r="Q131" i="24"/>
  <c r="W131" i="24"/>
  <c r="S131" i="24"/>
  <c r="B131" i="24"/>
  <c r="N131" i="24"/>
  <c r="S128" i="24"/>
  <c r="W128" i="24"/>
  <c r="Q128" i="24"/>
  <c r="U128" i="24"/>
  <c r="P128" i="24"/>
  <c r="X128" i="24"/>
  <c r="T128" i="24"/>
  <c r="R128" i="24"/>
  <c r="V128" i="24"/>
  <c r="C128" i="24"/>
  <c r="O128" i="24"/>
  <c r="R125" i="24"/>
  <c r="V125" i="24"/>
  <c r="P125" i="24"/>
  <c r="T125" i="24"/>
  <c r="X125" i="24"/>
  <c r="S125" i="24"/>
  <c r="W125" i="24"/>
  <c r="U125" i="24"/>
  <c r="Q125" i="24"/>
  <c r="L125" i="24"/>
  <c r="P115" i="24"/>
  <c r="T115" i="24"/>
  <c r="X115" i="24"/>
  <c r="R115" i="24"/>
  <c r="W115" i="24"/>
  <c r="U115" i="24"/>
  <c r="S115" i="24"/>
  <c r="V115" i="24"/>
  <c r="Q115" i="24"/>
  <c r="B115" i="24"/>
  <c r="N115" i="24"/>
  <c r="S112" i="24"/>
  <c r="W112" i="24"/>
  <c r="R112" i="24"/>
  <c r="X112" i="24"/>
  <c r="P112" i="24"/>
  <c r="U112" i="24"/>
  <c r="T112" i="24"/>
  <c r="Q112" i="24"/>
  <c r="V112" i="24"/>
  <c r="C112" i="24"/>
  <c r="O112" i="24"/>
  <c r="R109" i="24"/>
  <c r="V109" i="24"/>
  <c r="S109" i="24"/>
  <c r="X109" i="24"/>
  <c r="P109" i="24"/>
  <c r="U109" i="24"/>
  <c r="T109" i="24"/>
  <c r="W109" i="24"/>
  <c r="Q109" i="24"/>
  <c r="L109" i="24"/>
  <c r="R99" i="24"/>
  <c r="V99" i="24"/>
  <c r="P99" i="24"/>
  <c r="T99" i="24"/>
  <c r="X99" i="24"/>
  <c r="S99" i="24"/>
  <c r="W99" i="24"/>
  <c r="U99" i="24"/>
  <c r="Q99" i="24"/>
  <c r="B99" i="24"/>
  <c r="N99" i="24"/>
  <c r="Q96" i="24"/>
  <c r="U96" i="24"/>
  <c r="S96" i="24"/>
  <c r="W96" i="24"/>
  <c r="V96" i="24"/>
  <c r="R96" i="24"/>
  <c r="P96" i="24"/>
  <c r="X96" i="24"/>
  <c r="T96" i="24"/>
  <c r="C96" i="24"/>
  <c r="O96" i="24"/>
  <c r="P93" i="24"/>
  <c r="T93" i="24"/>
  <c r="X93" i="24"/>
  <c r="R93" i="24"/>
  <c r="V93" i="24"/>
  <c r="Q93" i="24"/>
  <c r="U93" i="24"/>
  <c r="S93" i="24"/>
  <c r="W93" i="24"/>
  <c r="L93" i="24"/>
  <c r="R83" i="24"/>
  <c r="V83" i="24"/>
  <c r="P83" i="24"/>
  <c r="T83" i="24"/>
  <c r="X83" i="24"/>
  <c r="S83" i="24"/>
  <c r="W83" i="24"/>
  <c r="U83" i="24"/>
  <c r="Q83" i="24"/>
  <c r="B83" i="24"/>
  <c r="N83" i="24"/>
  <c r="Q80" i="24"/>
  <c r="U80" i="24"/>
  <c r="S80" i="24"/>
  <c r="W80" i="24"/>
  <c r="V80" i="24"/>
  <c r="R80" i="24"/>
  <c r="P80" i="24"/>
  <c r="X80" i="24"/>
  <c r="T80" i="24"/>
  <c r="C80" i="24"/>
  <c r="O80" i="24"/>
  <c r="P77" i="24"/>
  <c r="T77" i="24"/>
  <c r="X77" i="24"/>
  <c r="R77" i="24"/>
  <c r="V77" i="24"/>
  <c r="Q77" i="24"/>
  <c r="U77" i="24"/>
  <c r="S77" i="24"/>
  <c r="W77" i="24"/>
  <c r="L77" i="24"/>
  <c r="I69" i="24"/>
  <c r="G69" i="24"/>
  <c r="J69" i="24" s="1"/>
  <c r="E65" i="24"/>
  <c r="F65" i="24"/>
  <c r="R63" i="24"/>
  <c r="V63" i="24"/>
  <c r="P63" i="24"/>
  <c r="T63" i="24"/>
  <c r="X63" i="24"/>
  <c r="W63" i="24"/>
  <c r="S63" i="24"/>
  <c r="Q63" i="24"/>
  <c r="U63" i="24"/>
  <c r="C63" i="24"/>
  <c r="O63" i="24"/>
  <c r="S62" i="24"/>
  <c r="W62" i="24"/>
  <c r="Q62" i="24"/>
  <c r="U62" i="24"/>
  <c r="P62" i="24"/>
  <c r="X62" i="24"/>
  <c r="T62" i="24"/>
  <c r="R62" i="24"/>
  <c r="V62" i="24"/>
  <c r="B62" i="24"/>
  <c r="N62" i="24"/>
  <c r="O62" i="24"/>
  <c r="Q60" i="24"/>
  <c r="U60" i="24"/>
  <c r="T60" i="24"/>
  <c r="R60" i="24"/>
  <c r="W60" i="24"/>
  <c r="P60" i="24"/>
  <c r="V60" i="24"/>
  <c r="S60" i="24"/>
  <c r="X60" i="24"/>
  <c r="L60" i="24"/>
  <c r="O60" i="24"/>
  <c r="R59" i="24"/>
  <c r="V59" i="24"/>
  <c r="S59" i="24"/>
  <c r="X59" i="24"/>
  <c r="P59" i="24"/>
  <c r="U59" i="24"/>
  <c r="T59" i="24"/>
  <c r="Q59" i="24"/>
  <c r="W59" i="24"/>
  <c r="C59" i="24"/>
  <c r="O59" i="24"/>
  <c r="N59" i="24"/>
  <c r="Q58" i="24"/>
  <c r="U58" i="24"/>
  <c r="S58" i="24"/>
  <c r="W58" i="24"/>
  <c r="V58" i="24"/>
  <c r="R58" i="24"/>
  <c r="X58" i="24"/>
  <c r="P58" i="24"/>
  <c r="T58" i="24"/>
  <c r="B58" i="24"/>
  <c r="N58" i="24"/>
  <c r="C58" i="24"/>
  <c r="M58" i="24"/>
  <c r="Q50" i="24"/>
  <c r="U50" i="24"/>
  <c r="S50" i="24"/>
  <c r="W50" i="24"/>
  <c r="V50" i="24"/>
  <c r="R50" i="24"/>
  <c r="P50" i="24"/>
  <c r="X50" i="24"/>
  <c r="T50" i="24"/>
  <c r="B50" i="24"/>
  <c r="N50" i="24"/>
  <c r="O50" i="24"/>
  <c r="E49" i="24"/>
  <c r="D49" i="24"/>
  <c r="F49" i="24"/>
  <c r="D48" i="24"/>
  <c r="E48" i="24"/>
  <c r="F48" i="24"/>
  <c r="Q46" i="24"/>
  <c r="U46" i="24"/>
  <c r="S46" i="24"/>
  <c r="W46" i="24"/>
  <c r="R46" i="24"/>
  <c r="V46" i="24"/>
  <c r="T46" i="24"/>
  <c r="X46" i="24"/>
  <c r="P46" i="24"/>
  <c r="B46" i="24"/>
  <c r="N46" i="24"/>
  <c r="C46" i="24"/>
  <c r="M46" i="24"/>
  <c r="O46" i="24"/>
  <c r="D44" i="24"/>
  <c r="E44" i="24"/>
  <c r="R35" i="24"/>
  <c r="V35" i="24"/>
  <c r="S35" i="24"/>
  <c r="X35" i="24"/>
  <c r="P35" i="24"/>
  <c r="U35" i="24"/>
  <c r="T35" i="24"/>
  <c r="Q35" i="24"/>
  <c r="W35" i="24"/>
  <c r="C35" i="24"/>
  <c r="O35" i="24"/>
  <c r="L35" i="24"/>
  <c r="B35" i="24"/>
  <c r="M35" i="24"/>
  <c r="H28" i="24"/>
  <c r="I28" i="24"/>
  <c r="G28" i="24"/>
  <c r="S26" i="24"/>
  <c r="W26" i="24"/>
  <c r="T26" i="24"/>
  <c r="Q26" i="24"/>
  <c r="V26" i="24"/>
  <c r="U26" i="24"/>
  <c r="P26" i="24"/>
  <c r="X26" i="24"/>
  <c r="R26" i="24"/>
  <c r="B26" i="24"/>
  <c r="N26" i="24"/>
  <c r="C26" i="24"/>
  <c r="O26" i="24"/>
  <c r="M26" i="24"/>
  <c r="P19" i="24"/>
  <c r="T19" i="24"/>
  <c r="X19" i="24"/>
  <c r="R19" i="24"/>
  <c r="V19" i="24"/>
  <c r="U19" i="24"/>
  <c r="Q19" i="24"/>
  <c r="W19" i="24"/>
  <c r="S19" i="24"/>
  <c r="C19" i="24"/>
  <c r="O19" i="24"/>
  <c r="L19" i="24"/>
  <c r="B19" i="24"/>
  <c r="M19" i="24"/>
  <c r="H8" i="24"/>
  <c r="I8" i="24"/>
  <c r="G8" i="24"/>
  <c r="X183" i="24"/>
  <c r="R462" i="24"/>
  <c r="V462" i="24"/>
  <c r="Q462" i="24"/>
  <c r="W462" i="24"/>
  <c r="S462" i="24"/>
  <c r="X462" i="24"/>
  <c r="T462" i="24"/>
  <c r="U462" i="24"/>
  <c r="R458" i="24"/>
  <c r="V458" i="24"/>
  <c r="P458" i="24"/>
  <c r="U458" i="24"/>
  <c r="Q458" i="24"/>
  <c r="W458" i="24"/>
  <c r="X458" i="24"/>
  <c r="R454" i="24"/>
  <c r="V454" i="24"/>
  <c r="T454" i="24"/>
  <c r="P454" i="24"/>
  <c r="U454" i="24"/>
  <c r="Q454" i="24"/>
  <c r="S454" i="24"/>
  <c r="R450" i="24"/>
  <c r="V450" i="24"/>
  <c r="S450" i="24"/>
  <c r="X450" i="24"/>
  <c r="T450" i="24"/>
  <c r="U450" i="24"/>
  <c r="W450" i="24"/>
  <c r="R446" i="24"/>
  <c r="V446" i="24"/>
  <c r="Q446" i="24"/>
  <c r="W446" i="24"/>
  <c r="S446" i="24"/>
  <c r="X446" i="24"/>
  <c r="P446" i="24"/>
  <c r="Q442" i="24"/>
  <c r="R442" i="24"/>
  <c r="V442" i="24"/>
  <c r="U442" i="24"/>
  <c r="P442" i="24"/>
  <c r="W442" i="24"/>
  <c r="S442" i="24"/>
  <c r="T442" i="24"/>
  <c r="Q438" i="24"/>
  <c r="U438" i="24"/>
  <c r="R438" i="24"/>
  <c r="V438" i="24"/>
  <c r="S438" i="24"/>
  <c r="T438" i="24"/>
  <c r="W438" i="24"/>
  <c r="X438" i="24"/>
  <c r="Q434" i="24"/>
  <c r="U434" i="24"/>
  <c r="R434" i="24"/>
  <c r="V434" i="24"/>
  <c r="W434" i="24"/>
  <c r="P434" i="24"/>
  <c r="X434" i="24"/>
  <c r="Q430" i="24"/>
  <c r="U430" i="24"/>
  <c r="R430" i="24"/>
  <c r="V430" i="24"/>
  <c r="S430" i="24"/>
  <c r="T430" i="24"/>
  <c r="P430" i="24"/>
  <c r="Q426" i="24"/>
  <c r="U426" i="24"/>
  <c r="R426" i="24"/>
  <c r="V426" i="24"/>
  <c r="W426" i="24"/>
  <c r="P426" i="24"/>
  <c r="X426" i="24"/>
  <c r="S426" i="24"/>
  <c r="T426" i="24"/>
  <c r="Q422" i="24"/>
  <c r="U422" i="24"/>
  <c r="R422" i="24"/>
  <c r="V422" i="24"/>
  <c r="S422" i="24"/>
  <c r="T422" i="24"/>
  <c r="W422" i="24"/>
  <c r="X422" i="24"/>
  <c r="Q418" i="24"/>
  <c r="U418" i="24"/>
  <c r="R418" i="24"/>
  <c r="V418" i="24"/>
  <c r="W418" i="24"/>
  <c r="P418" i="24"/>
  <c r="X418" i="24"/>
  <c r="Q414" i="24"/>
  <c r="U414" i="24"/>
  <c r="R414" i="24"/>
  <c r="V414" i="24"/>
  <c r="S414" i="24"/>
  <c r="T414" i="24"/>
  <c r="P414" i="24"/>
  <c r="Q410" i="24"/>
  <c r="U410" i="24"/>
  <c r="R410" i="24"/>
  <c r="V410" i="24"/>
  <c r="W410" i="24"/>
  <c r="P410" i="24"/>
  <c r="X410" i="24"/>
  <c r="S410" i="24"/>
  <c r="T410" i="24"/>
  <c r="Q406" i="24"/>
  <c r="U406" i="24"/>
  <c r="R406" i="24"/>
  <c r="V406" i="24"/>
  <c r="S406" i="24"/>
  <c r="T406" i="24"/>
  <c r="W406" i="24"/>
  <c r="X406" i="24"/>
  <c r="Q402" i="24"/>
  <c r="U402" i="24"/>
  <c r="R402" i="24"/>
  <c r="V402" i="24"/>
  <c r="W402" i="24"/>
  <c r="P402" i="24"/>
  <c r="X402" i="24"/>
  <c r="Q398" i="24"/>
  <c r="U398" i="24"/>
  <c r="R398" i="24"/>
  <c r="V398" i="24"/>
  <c r="S398" i="24"/>
  <c r="T398" i="24"/>
  <c r="P398" i="24"/>
  <c r="Q394" i="24"/>
  <c r="U394" i="24"/>
  <c r="R394" i="24"/>
  <c r="V394" i="24"/>
  <c r="W394" i="24"/>
  <c r="P394" i="24"/>
  <c r="X394" i="24"/>
  <c r="S394" i="24"/>
  <c r="T394" i="24"/>
  <c r="Q390" i="24"/>
  <c r="U390" i="24"/>
  <c r="R390" i="24"/>
  <c r="V390" i="24"/>
  <c r="S390" i="24"/>
  <c r="T390" i="24"/>
  <c r="W390" i="24"/>
  <c r="X390" i="24"/>
  <c r="Q386" i="24"/>
  <c r="U386" i="24"/>
  <c r="R386" i="24"/>
  <c r="V386" i="24"/>
  <c r="W386" i="24"/>
  <c r="P386" i="24"/>
  <c r="X386" i="24"/>
  <c r="Q382" i="24"/>
  <c r="U382" i="24"/>
  <c r="R382" i="24"/>
  <c r="V382" i="24"/>
  <c r="S382" i="24"/>
  <c r="T382" i="24"/>
  <c r="P382" i="24"/>
  <c r="Q378" i="24"/>
  <c r="U378" i="24"/>
  <c r="R378" i="24"/>
  <c r="V378" i="24"/>
  <c r="W378" i="24"/>
  <c r="P378" i="24"/>
  <c r="X378" i="24"/>
  <c r="S378" i="24"/>
  <c r="T378" i="24"/>
  <c r="Q374" i="24"/>
  <c r="U374" i="24"/>
  <c r="R374" i="24"/>
  <c r="V374" i="24"/>
  <c r="S374" i="24"/>
  <c r="T374" i="24"/>
  <c r="W374" i="24"/>
  <c r="X374" i="24"/>
  <c r="Q370" i="24"/>
  <c r="U370" i="24"/>
  <c r="R370" i="24"/>
  <c r="W370" i="24"/>
  <c r="S370" i="24"/>
  <c r="X370" i="24"/>
  <c r="P370" i="24"/>
  <c r="T370" i="24"/>
  <c r="V370" i="24"/>
  <c r="Q366" i="24"/>
  <c r="U366" i="24"/>
  <c r="P366" i="24"/>
  <c r="V366" i="24"/>
  <c r="R366" i="24"/>
  <c r="W366" i="24"/>
  <c r="S366" i="24"/>
  <c r="T366" i="24"/>
  <c r="Q362" i="24"/>
  <c r="U362" i="24"/>
  <c r="T362" i="24"/>
  <c r="P362" i="24"/>
  <c r="V362" i="24"/>
  <c r="W362" i="24"/>
  <c r="X362" i="24"/>
  <c r="Q358" i="24"/>
  <c r="U358" i="24"/>
  <c r="S358" i="24"/>
  <c r="X358" i="24"/>
  <c r="T358" i="24"/>
  <c r="P358" i="24"/>
  <c r="R358" i="24"/>
  <c r="V358" i="24"/>
  <c r="W358" i="24"/>
  <c r="Q354" i="24"/>
  <c r="U354" i="24"/>
  <c r="R354" i="24"/>
  <c r="W354" i="24"/>
  <c r="S354" i="24"/>
  <c r="X354" i="24"/>
  <c r="T354" i="24"/>
  <c r="V354" i="24"/>
  <c r="P354" i="24"/>
  <c r="Q350" i="24"/>
  <c r="U350" i="24"/>
  <c r="P350" i="24"/>
  <c r="V350" i="24"/>
  <c r="W350" i="24"/>
  <c r="R350" i="24"/>
  <c r="X350" i="24"/>
  <c r="S350" i="24"/>
  <c r="T350" i="24"/>
  <c r="Q346" i="24"/>
  <c r="U346" i="24"/>
  <c r="T346" i="24"/>
  <c r="P346" i="24"/>
  <c r="W346" i="24"/>
  <c r="R346" i="24"/>
  <c r="X346" i="24"/>
  <c r="Q342" i="24"/>
  <c r="U342" i="24"/>
  <c r="S342" i="24"/>
  <c r="X342" i="24"/>
  <c r="P342" i="24"/>
  <c r="W342" i="24"/>
  <c r="R342" i="24"/>
  <c r="T342" i="24"/>
  <c r="V342" i="24"/>
  <c r="Q338" i="24"/>
  <c r="U338" i="24"/>
  <c r="R338" i="24"/>
  <c r="W338" i="24"/>
  <c r="P338" i="24"/>
  <c r="X338" i="24"/>
  <c r="S338" i="24"/>
  <c r="T338" i="24"/>
  <c r="V338" i="24"/>
  <c r="S334" i="24"/>
  <c r="W334" i="24"/>
  <c r="Q334" i="24"/>
  <c r="U334" i="24"/>
  <c r="P334" i="24"/>
  <c r="X334" i="24"/>
  <c r="V334" i="24"/>
  <c r="R334" i="24"/>
  <c r="T334" i="24"/>
  <c r="S330" i="24"/>
  <c r="W330" i="24"/>
  <c r="Q330" i="24"/>
  <c r="U330" i="24"/>
  <c r="T330" i="24"/>
  <c r="P330" i="24"/>
  <c r="R330" i="24"/>
  <c r="V330" i="24"/>
  <c r="X330" i="24"/>
  <c r="S326" i="24"/>
  <c r="W326" i="24"/>
  <c r="Q326" i="24"/>
  <c r="U326" i="24"/>
  <c r="P326" i="24"/>
  <c r="X326" i="24"/>
  <c r="T326" i="24"/>
  <c r="V326" i="24"/>
  <c r="R326" i="24"/>
  <c r="S322" i="24"/>
  <c r="W322" i="24"/>
  <c r="Q322" i="24"/>
  <c r="U322" i="24"/>
  <c r="T322" i="24"/>
  <c r="X322" i="24"/>
  <c r="P322" i="24"/>
  <c r="S318" i="24"/>
  <c r="W318" i="24"/>
  <c r="Q318" i="24"/>
  <c r="U318" i="24"/>
  <c r="V318" i="24"/>
  <c r="P318" i="24"/>
  <c r="X318" i="24"/>
  <c r="R318" i="24"/>
  <c r="T318" i="24"/>
  <c r="S314" i="24"/>
  <c r="W314" i="24"/>
  <c r="Q314" i="24"/>
  <c r="U314" i="24"/>
  <c r="R314" i="24"/>
  <c r="T314" i="24"/>
  <c r="V314" i="24"/>
  <c r="X314" i="24"/>
  <c r="P314" i="24"/>
  <c r="S310" i="24"/>
  <c r="W310" i="24"/>
  <c r="Q310" i="24"/>
  <c r="U310" i="24"/>
  <c r="V310" i="24"/>
  <c r="P310" i="24"/>
  <c r="X310" i="24"/>
  <c r="R310" i="24"/>
  <c r="T310" i="24"/>
  <c r="S306" i="24"/>
  <c r="W306" i="24"/>
  <c r="Q306" i="24"/>
  <c r="U306" i="24"/>
  <c r="R306" i="24"/>
  <c r="T306" i="24"/>
  <c r="P306" i="24"/>
  <c r="V306" i="24"/>
  <c r="X306" i="24"/>
  <c r="S302" i="24"/>
  <c r="W302" i="24"/>
  <c r="Q302" i="24"/>
  <c r="U302" i="24"/>
  <c r="V302" i="24"/>
  <c r="P302" i="24"/>
  <c r="X302" i="24"/>
  <c r="R302" i="24"/>
  <c r="T302" i="24"/>
  <c r="S298" i="24"/>
  <c r="W298" i="24"/>
  <c r="Q298" i="24"/>
  <c r="U298" i="24"/>
  <c r="R298" i="24"/>
  <c r="T298" i="24"/>
  <c r="V298" i="24"/>
  <c r="X298" i="24"/>
  <c r="P298" i="24"/>
  <c r="S294" i="24"/>
  <c r="W294" i="24"/>
  <c r="Q294" i="24"/>
  <c r="U294" i="24"/>
  <c r="V294" i="24"/>
  <c r="P294" i="24"/>
  <c r="K294" i="24" s="1"/>
  <c r="X294" i="24"/>
  <c r="L293" i="24"/>
  <c r="S290" i="24"/>
  <c r="W290" i="24"/>
  <c r="Q290" i="24"/>
  <c r="U290" i="24"/>
  <c r="R290" i="24"/>
  <c r="T290" i="24"/>
  <c r="P290" i="24"/>
  <c r="V290" i="24"/>
  <c r="X290" i="24"/>
  <c r="L289" i="24"/>
  <c r="S286" i="24"/>
  <c r="W286" i="24"/>
  <c r="Q286" i="24"/>
  <c r="U286" i="24"/>
  <c r="V286" i="24"/>
  <c r="P286" i="24"/>
  <c r="X286" i="24"/>
  <c r="R286" i="24"/>
  <c r="T286" i="24"/>
  <c r="L285" i="24"/>
  <c r="N283" i="24"/>
  <c r="Q280" i="24"/>
  <c r="U280" i="24"/>
  <c r="S280" i="24"/>
  <c r="W280" i="24"/>
  <c r="T280" i="24"/>
  <c r="V280" i="24"/>
  <c r="X280" i="24"/>
  <c r="L279" i="24"/>
  <c r="Q276" i="24"/>
  <c r="U276" i="24"/>
  <c r="S276" i="24"/>
  <c r="W276" i="24"/>
  <c r="P276" i="24"/>
  <c r="X276" i="24"/>
  <c r="R276" i="24"/>
  <c r="T276" i="24"/>
  <c r="V276" i="24"/>
  <c r="L275" i="24"/>
  <c r="Q272" i="24"/>
  <c r="U272" i="24"/>
  <c r="S272" i="24"/>
  <c r="W272" i="24"/>
  <c r="T272" i="24"/>
  <c r="V272" i="24"/>
  <c r="P272" i="24"/>
  <c r="R272" i="24"/>
  <c r="L271" i="24"/>
  <c r="Q268" i="24"/>
  <c r="U268" i="24"/>
  <c r="S268" i="24"/>
  <c r="W268" i="24"/>
  <c r="P268" i="24"/>
  <c r="X268" i="24"/>
  <c r="R268" i="24"/>
  <c r="T268" i="24"/>
  <c r="V268" i="24"/>
  <c r="L267" i="24"/>
  <c r="R264" i="24"/>
  <c r="V264" i="24"/>
  <c r="P264" i="24"/>
  <c r="U264" i="24"/>
  <c r="S264" i="24"/>
  <c r="X264" i="24"/>
  <c r="T264" i="24"/>
  <c r="W264" i="24"/>
  <c r="Q264" i="24"/>
  <c r="L263" i="24"/>
  <c r="R260" i="24"/>
  <c r="V260" i="24"/>
  <c r="T260" i="24"/>
  <c r="Q260" i="24"/>
  <c r="W260" i="24"/>
  <c r="X260" i="24"/>
  <c r="P260" i="24"/>
  <c r="S260" i="24"/>
  <c r="U260" i="24"/>
  <c r="L259" i="24"/>
  <c r="R256" i="24"/>
  <c r="V256" i="24"/>
  <c r="S256" i="24"/>
  <c r="X256" i="24"/>
  <c r="P256" i="24"/>
  <c r="U256" i="24"/>
  <c r="W256" i="24"/>
  <c r="T256" i="24"/>
  <c r="Q256" i="24"/>
  <c r="L255" i="24"/>
  <c r="R252" i="24"/>
  <c r="V252" i="24"/>
  <c r="Q252" i="24"/>
  <c r="W252" i="24"/>
  <c r="T252" i="24"/>
  <c r="P252" i="24"/>
  <c r="S252" i="24"/>
  <c r="U252" i="24"/>
  <c r="X252" i="24"/>
  <c r="L251" i="24"/>
  <c r="R248" i="24"/>
  <c r="V248" i="24"/>
  <c r="P248" i="24"/>
  <c r="U248" i="24"/>
  <c r="S248" i="24"/>
  <c r="X248" i="24"/>
  <c r="T248" i="24"/>
  <c r="W248" i="24"/>
  <c r="Q248" i="24"/>
  <c r="L247" i="24"/>
  <c r="P244" i="24"/>
  <c r="R244" i="24"/>
  <c r="V244" i="24"/>
  <c r="T244" i="24"/>
  <c r="Q244" i="24"/>
  <c r="W244" i="24"/>
  <c r="X244" i="24"/>
  <c r="S244" i="24"/>
  <c r="U244" i="24"/>
  <c r="L243" i="24"/>
  <c r="P240" i="24"/>
  <c r="T240" i="24"/>
  <c r="X240" i="24"/>
  <c r="R240" i="24"/>
  <c r="V240" i="24"/>
  <c r="Q240" i="24"/>
  <c r="U240" i="24"/>
  <c r="L239" i="24"/>
  <c r="P236" i="24"/>
  <c r="T236" i="24"/>
  <c r="X236" i="24"/>
  <c r="R236" i="24"/>
  <c r="V236" i="24"/>
  <c r="U236" i="24"/>
  <c r="Q236" i="24"/>
  <c r="S236" i="24"/>
  <c r="W236" i="24"/>
  <c r="L235" i="24"/>
  <c r="P232" i="24"/>
  <c r="T232" i="24"/>
  <c r="X232" i="24"/>
  <c r="R232" i="24"/>
  <c r="V232" i="24"/>
  <c r="Q232" i="24"/>
  <c r="U232" i="24"/>
  <c r="W232" i="24"/>
  <c r="S232" i="24"/>
  <c r="L231" i="24"/>
  <c r="P228" i="24"/>
  <c r="T228" i="24"/>
  <c r="X228" i="24"/>
  <c r="R228" i="24"/>
  <c r="V228" i="24"/>
  <c r="U228" i="24"/>
  <c r="Q228" i="24"/>
  <c r="S228" i="24"/>
  <c r="W228" i="24"/>
  <c r="L227" i="24"/>
  <c r="P224" i="24"/>
  <c r="T224" i="24"/>
  <c r="X224" i="24"/>
  <c r="R224" i="24"/>
  <c r="V224" i="24"/>
  <c r="Q224" i="24"/>
  <c r="U224" i="24"/>
  <c r="W224" i="24"/>
  <c r="S224" i="24"/>
  <c r="L223" i="24"/>
  <c r="P220" i="24"/>
  <c r="T220" i="24"/>
  <c r="X220" i="24"/>
  <c r="R220" i="24"/>
  <c r="V220" i="24"/>
  <c r="U220" i="24"/>
  <c r="Q220" i="24"/>
  <c r="S220" i="24"/>
  <c r="W220" i="24"/>
  <c r="L219" i="24"/>
  <c r="P216" i="24"/>
  <c r="T216" i="24"/>
  <c r="X216" i="24"/>
  <c r="R216" i="24"/>
  <c r="V216" i="24"/>
  <c r="Q216" i="24"/>
  <c r="U216" i="24"/>
  <c r="W216" i="24"/>
  <c r="S216" i="24"/>
  <c r="L215" i="24"/>
  <c r="P212" i="24"/>
  <c r="T212" i="24"/>
  <c r="X212" i="24"/>
  <c r="R212" i="24"/>
  <c r="V212" i="24"/>
  <c r="U212" i="24"/>
  <c r="Q212" i="24"/>
  <c r="W212" i="24"/>
  <c r="S212" i="24"/>
  <c r="L211" i="24"/>
  <c r="P208" i="24"/>
  <c r="T208" i="24"/>
  <c r="X208" i="24"/>
  <c r="R208" i="24"/>
  <c r="V208" i="24"/>
  <c r="Q208" i="24"/>
  <c r="U208" i="24"/>
  <c r="S208" i="24"/>
  <c r="W208" i="24"/>
  <c r="L207" i="24"/>
  <c r="P204" i="24"/>
  <c r="T204" i="24"/>
  <c r="X204" i="24"/>
  <c r="R204" i="24"/>
  <c r="V204" i="24"/>
  <c r="U204" i="24"/>
  <c r="Q204" i="24"/>
  <c r="S204" i="24"/>
  <c r="W204" i="24"/>
  <c r="L203" i="24"/>
  <c r="P200" i="24"/>
  <c r="T200" i="24"/>
  <c r="X200" i="24"/>
  <c r="R200" i="24"/>
  <c r="V200" i="24"/>
  <c r="Q200" i="24"/>
  <c r="U200" i="24"/>
  <c r="W200" i="24"/>
  <c r="S200" i="24"/>
  <c r="L199" i="24"/>
  <c r="P196" i="24"/>
  <c r="T196" i="24"/>
  <c r="X196" i="24"/>
  <c r="R196" i="24"/>
  <c r="V196" i="24"/>
  <c r="U196" i="24"/>
  <c r="Q196" i="24"/>
  <c r="S196" i="24"/>
  <c r="W196" i="24"/>
  <c r="L195" i="24"/>
  <c r="P192" i="24"/>
  <c r="T192" i="24"/>
  <c r="X192" i="24"/>
  <c r="R192" i="24"/>
  <c r="V192" i="24"/>
  <c r="Q192" i="24"/>
  <c r="U192" i="24"/>
  <c r="S192" i="24"/>
  <c r="W192" i="24"/>
  <c r="L191" i="24"/>
  <c r="P188" i="24"/>
  <c r="T188" i="24"/>
  <c r="X188" i="24"/>
  <c r="R188" i="24"/>
  <c r="V188" i="24"/>
  <c r="U188" i="24"/>
  <c r="Q188" i="24"/>
  <c r="S188" i="24"/>
  <c r="W188" i="24"/>
  <c r="L187" i="24"/>
  <c r="P184" i="24"/>
  <c r="T184" i="24"/>
  <c r="X184" i="24"/>
  <c r="R184" i="24"/>
  <c r="V184" i="24"/>
  <c r="Q184" i="24"/>
  <c r="U184" i="24"/>
  <c r="W184" i="24"/>
  <c r="S184" i="24"/>
  <c r="L183" i="24"/>
  <c r="P180" i="24"/>
  <c r="T180" i="24"/>
  <c r="X180" i="24"/>
  <c r="R180" i="24"/>
  <c r="V180" i="24"/>
  <c r="U180" i="24"/>
  <c r="Q180" i="24"/>
  <c r="S180" i="24"/>
  <c r="W180" i="24"/>
  <c r="L179" i="24"/>
  <c r="P176" i="24"/>
  <c r="T176" i="24"/>
  <c r="X176" i="24"/>
  <c r="R176" i="24"/>
  <c r="V176" i="24"/>
  <c r="Q176" i="24"/>
  <c r="U176" i="24"/>
  <c r="S176" i="24"/>
  <c r="W176" i="24"/>
  <c r="L175" i="24"/>
  <c r="P172" i="24"/>
  <c r="T172" i="24"/>
  <c r="X172" i="24"/>
  <c r="R172" i="24"/>
  <c r="V172" i="24"/>
  <c r="U172" i="24"/>
  <c r="Q172" i="24"/>
  <c r="S172" i="24"/>
  <c r="W172" i="24"/>
  <c r="Q167" i="24"/>
  <c r="U167" i="24"/>
  <c r="S167" i="24"/>
  <c r="W167" i="24"/>
  <c r="R167" i="24"/>
  <c r="V167" i="24"/>
  <c r="P167" i="24"/>
  <c r="X167" i="24"/>
  <c r="T167" i="24"/>
  <c r="B167" i="24"/>
  <c r="N167" i="24"/>
  <c r="G166" i="24"/>
  <c r="J166" i="24" s="1"/>
  <c r="P164" i="24"/>
  <c r="T164" i="24"/>
  <c r="X164" i="24"/>
  <c r="R164" i="24"/>
  <c r="V164" i="24"/>
  <c r="U164" i="24"/>
  <c r="Q164" i="24"/>
  <c r="C164" i="24"/>
  <c r="O164" i="24"/>
  <c r="F162" i="24"/>
  <c r="F161" i="24"/>
  <c r="P161" i="24"/>
  <c r="S161" i="24"/>
  <c r="W161" i="24"/>
  <c r="Q161" i="24"/>
  <c r="U161" i="24"/>
  <c r="X161" i="24"/>
  <c r="T161" i="24"/>
  <c r="V161" i="24"/>
  <c r="R161" i="24"/>
  <c r="L161" i="24"/>
  <c r="O157" i="24"/>
  <c r="P151" i="24"/>
  <c r="T151" i="24"/>
  <c r="R151" i="24"/>
  <c r="V151" i="24"/>
  <c r="Q151" i="24"/>
  <c r="X151" i="24"/>
  <c r="U151" i="24"/>
  <c r="S151" i="24"/>
  <c r="W151" i="24"/>
  <c r="B151" i="24"/>
  <c r="N151" i="24"/>
  <c r="G150" i="24"/>
  <c r="J150" i="24" s="1"/>
  <c r="S148" i="24"/>
  <c r="W148" i="24"/>
  <c r="Q148" i="24"/>
  <c r="U148" i="24"/>
  <c r="T148" i="24"/>
  <c r="P148" i="24"/>
  <c r="X148" i="24"/>
  <c r="V148" i="24"/>
  <c r="R148" i="24"/>
  <c r="C148" i="24"/>
  <c r="O148" i="24"/>
  <c r="F146" i="24"/>
  <c r="F145" i="24"/>
  <c r="R145" i="24"/>
  <c r="V145" i="24"/>
  <c r="P145" i="24"/>
  <c r="T145" i="24"/>
  <c r="X145" i="24"/>
  <c r="W145" i="24"/>
  <c r="S145" i="24"/>
  <c r="Q145" i="24"/>
  <c r="U145" i="24"/>
  <c r="L145" i="24"/>
  <c r="O141" i="24"/>
  <c r="P135" i="24"/>
  <c r="T135" i="24"/>
  <c r="X135" i="24"/>
  <c r="R135" i="24"/>
  <c r="V135" i="24"/>
  <c r="Q135" i="24"/>
  <c r="U135" i="24"/>
  <c r="S135" i="24"/>
  <c r="W135" i="24"/>
  <c r="B135" i="24"/>
  <c r="N135" i="24"/>
  <c r="G134" i="24"/>
  <c r="J134" i="24" s="1"/>
  <c r="S132" i="24"/>
  <c r="W132" i="24"/>
  <c r="Q132" i="24"/>
  <c r="U132" i="24"/>
  <c r="T132" i="24"/>
  <c r="P132" i="24"/>
  <c r="X132" i="24"/>
  <c r="V132" i="24"/>
  <c r="C132" i="24"/>
  <c r="O132" i="24"/>
  <c r="F130" i="24"/>
  <c r="F129" i="24"/>
  <c r="R129" i="24"/>
  <c r="V129" i="24"/>
  <c r="P129" i="24"/>
  <c r="T129" i="24"/>
  <c r="X129" i="24"/>
  <c r="W129" i="24"/>
  <c r="S129" i="24"/>
  <c r="Q129" i="24"/>
  <c r="U129" i="24"/>
  <c r="L129" i="24"/>
  <c r="O125" i="24"/>
  <c r="P119" i="24"/>
  <c r="T119" i="24"/>
  <c r="X119" i="24"/>
  <c r="R119" i="24"/>
  <c r="V119" i="24"/>
  <c r="Q119" i="24"/>
  <c r="U119" i="24"/>
  <c r="S119" i="24"/>
  <c r="W119" i="24"/>
  <c r="B119" i="24"/>
  <c r="N119" i="24"/>
  <c r="G118" i="24"/>
  <c r="J118" i="24" s="1"/>
  <c r="S116" i="24"/>
  <c r="W116" i="24"/>
  <c r="Q116" i="24"/>
  <c r="U116" i="24"/>
  <c r="T116" i="24"/>
  <c r="P116" i="24"/>
  <c r="X116" i="24"/>
  <c r="V116" i="24"/>
  <c r="R116" i="24"/>
  <c r="C116" i="24"/>
  <c r="O116" i="24"/>
  <c r="F114" i="24"/>
  <c r="F113" i="24"/>
  <c r="R113" i="24"/>
  <c r="V113" i="24"/>
  <c r="T113" i="24"/>
  <c r="Q113" i="24"/>
  <c r="W113" i="24"/>
  <c r="P113" i="24"/>
  <c r="U113" i="24"/>
  <c r="S113" i="24"/>
  <c r="X113" i="24"/>
  <c r="L113" i="24"/>
  <c r="O109" i="24"/>
  <c r="R103" i="24"/>
  <c r="V103" i="24"/>
  <c r="P103" i="24"/>
  <c r="T103" i="24"/>
  <c r="X103" i="24"/>
  <c r="W103" i="24"/>
  <c r="S103" i="24"/>
  <c r="Q103" i="24"/>
  <c r="U103" i="24"/>
  <c r="B103" i="24"/>
  <c r="N103" i="24"/>
  <c r="G102" i="24"/>
  <c r="J102" i="24" s="1"/>
  <c r="Q100" i="24"/>
  <c r="U100" i="24"/>
  <c r="S100" i="24"/>
  <c r="W100" i="24"/>
  <c r="R100" i="24"/>
  <c r="V100" i="24"/>
  <c r="T100" i="24"/>
  <c r="P100" i="24"/>
  <c r="X100" i="24"/>
  <c r="C100" i="24"/>
  <c r="O100" i="24"/>
  <c r="F98" i="24"/>
  <c r="F97" i="24"/>
  <c r="P97" i="24"/>
  <c r="T97" i="24"/>
  <c r="X97" i="24"/>
  <c r="R97" i="24"/>
  <c r="V97" i="24"/>
  <c r="U97" i="24"/>
  <c r="Q97" i="24"/>
  <c r="W97" i="24"/>
  <c r="S97" i="24"/>
  <c r="L97" i="24"/>
  <c r="O93" i="24"/>
  <c r="R87" i="24"/>
  <c r="V87" i="24"/>
  <c r="P87" i="24"/>
  <c r="T87" i="24"/>
  <c r="X87" i="24"/>
  <c r="W87" i="24"/>
  <c r="S87" i="24"/>
  <c r="Q87" i="24"/>
  <c r="U87" i="24"/>
  <c r="B87" i="24"/>
  <c r="N87" i="24"/>
  <c r="G86" i="24"/>
  <c r="J86" i="24" s="1"/>
  <c r="Q84" i="24"/>
  <c r="U84" i="24"/>
  <c r="S84" i="24"/>
  <c r="W84" i="24"/>
  <c r="R84" i="24"/>
  <c r="V84" i="24"/>
  <c r="T84" i="24"/>
  <c r="P84" i="24"/>
  <c r="X84" i="24"/>
  <c r="C84" i="24"/>
  <c r="O84" i="24"/>
  <c r="F82" i="24"/>
  <c r="F81" i="24"/>
  <c r="P81" i="24"/>
  <c r="T81" i="24"/>
  <c r="X81" i="24"/>
  <c r="R81" i="24"/>
  <c r="V81" i="24"/>
  <c r="U81" i="24"/>
  <c r="Q81" i="24"/>
  <c r="W81" i="24"/>
  <c r="S81" i="24"/>
  <c r="L81" i="24"/>
  <c r="O77" i="24"/>
  <c r="R71" i="24"/>
  <c r="V71" i="24"/>
  <c r="P71" i="24"/>
  <c r="T71" i="24"/>
  <c r="X71" i="24"/>
  <c r="W71" i="24"/>
  <c r="S71" i="24"/>
  <c r="Q71" i="24"/>
  <c r="U71" i="24"/>
  <c r="B71" i="24"/>
  <c r="N71" i="24"/>
  <c r="G70" i="24"/>
  <c r="J70" i="24" s="1"/>
  <c r="H69" i="24"/>
  <c r="M63" i="24"/>
  <c r="M62" i="24"/>
  <c r="M60" i="24"/>
  <c r="M59" i="24"/>
  <c r="O58" i="24"/>
  <c r="F57" i="24"/>
  <c r="J57" i="24" s="1"/>
  <c r="I53" i="24"/>
  <c r="G53" i="24"/>
  <c r="J53" i="24" s="1"/>
  <c r="H52" i="24"/>
  <c r="G52" i="24"/>
  <c r="E51" i="24"/>
  <c r="F51" i="24"/>
  <c r="Q44" i="24"/>
  <c r="U44" i="24"/>
  <c r="R44" i="24"/>
  <c r="W44" i="24"/>
  <c r="T44" i="24"/>
  <c r="S44" i="24"/>
  <c r="X44" i="24"/>
  <c r="V44" i="24"/>
  <c r="P44" i="24"/>
  <c r="L44" i="24"/>
  <c r="C44" i="24"/>
  <c r="N44" i="24"/>
  <c r="O44" i="24"/>
  <c r="G42" i="24"/>
  <c r="H42" i="24"/>
  <c r="H40" i="24"/>
  <c r="G40" i="24"/>
  <c r="I40" i="24"/>
  <c r="N35" i="24"/>
  <c r="I33" i="24"/>
  <c r="G33" i="24"/>
  <c r="J33" i="24" s="1"/>
  <c r="D28" i="24"/>
  <c r="E28" i="24"/>
  <c r="F28" i="24"/>
  <c r="L26" i="24"/>
  <c r="H24" i="24"/>
  <c r="I24" i="24"/>
  <c r="G24" i="24"/>
  <c r="N19" i="24"/>
  <c r="I17" i="24"/>
  <c r="G17" i="24"/>
  <c r="J17" i="24" s="1"/>
  <c r="H12" i="24"/>
  <c r="I12" i="24"/>
  <c r="G12" i="24"/>
  <c r="E9" i="24"/>
  <c r="F9" i="24"/>
  <c r="D9" i="24"/>
  <c r="J9" i="24" s="1"/>
  <c r="S458" i="24"/>
  <c r="T446" i="24"/>
  <c r="S434" i="24"/>
  <c r="W430" i="24"/>
  <c r="S402" i="24"/>
  <c r="W398" i="24"/>
  <c r="X272" i="24"/>
  <c r="T183" i="24"/>
  <c r="R132" i="24"/>
  <c r="R170" i="24"/>
  <c r="V170" i="24"/>
  <c r="P170" i="24"/>
  <c r="T170" i="24"/>
  <c r="X170" i="24"/>
  <c r="W170" i="24"/>
  <c r="S170" i="24"/>
  <c r="U170" i="24"/>
  <c r="Q170" i="24"/>
  <c r="R166" i="24"/>
  <c r="V166" i="24"/>
  <c r="P166" i="24"/>
  <c r="T166" i="24"/>
  <c r="X166" i="24"/>
  <c r="S166" i="24"/>
  <c r="W166" i="24"/>
  <c r="Q166" i="24"/>
  <c r="U166" i="24"/>
  <c r="R162" i="24"/>
  <c r="V162" i="24"/>
  <c r="P162" i="24"/>
  <c r="T162" i="24"/>
  <c r="X162" i="24"/>
  <c r="W162" i="24"/>
  <c r="S162" i="24"/>
  <c r="Q162" i="24"/>
  <c r="U162" i="24"/>
  <c r="S158" i="24"/>
  <c r="W158" i="24"/>
  <c r="T158" i="24"/>
  <c r="Q158" i="24"/>
  <c r="V158" i="24"/>
  <c r="U158" i="24"/>
  <c r="P158" i="24"/>
  <c r="R158" i="24"/>
  <c r="X158" i="24"/>
  <c r="S154" i="24"/>
  <c r="W154" i="24"/>
  <c r="R154" i="24"/>
  <c r="X154" i="24"/>
  <c r="P154" i="24"/>
  <c r="U154" i="24"/>
  <c r="T154" i="24"/>
  <c r="V154" i="24"/>
  <c r="Q154" i="24"/>
  <c r="Q150" i="24"/>
  <c r="U150" i="24"/>
  <c r="S150" i="24"/>
  <c r="W150" i="24"/>
  <c r="R150" i="24"/>
  <c r="V150" i="24"/>
  <c r="T150" i="24"/>
  <c r="X150" i="24"/>
  <c r="P150" i="24"/>
  <c r="Q146" i="24"/>
  <c r="U146" i="24"/>
  <c r="S146" i="24"/>
  <c r="W146" i="24"/>
  <c r="V146" i="24"/>
  <c r="R146" i="24"/>
  <c r="P146" i="24"/>
  <c r="X146" i="24"/>
  <c r="T146" i="24"/>
  <c r="Q142" i="24"/>
  <c r="U142" i="24"/>
  <c r="S142" i="24"/>
  <c r="W142" i="24"/>
  <c r="R142" i="24"/>
  <c r="V142" i="24"/>
  <c r="T142" i="24"/>
  <c r="P142" i="24"/>
  <c r="X142" i="24"/>
  <c r="Q138" i="24"/>
  <c r="U138" i="24"/>
  <c r="S138" i="24"/>
  <c r="W138" i="24"/>
  <c r="V138" i="24"/>
  <c r="R138" i="24"/>
  <c r="X138" i="24"/>
  <c r="P138" i="24"/>
  <c r="T138" i="24"/>
  <c r="Q134" i="24"/>
  <c r="U134" i="24"/>
  <c r="S134" i="24"/>
  <c r="W134" i="24"/>
  <c r="R134" i="24"/>
  <c r="V134" i="24"/>
  <c r="T134" i="24"/>
  <c r="P134" i="24"/>
  <c r="X134" i="24"/>
  <c r="Q130" i="24"/>
  <c r="U130" i="24"/>
  <c r="S130" i="24"/>
  <c r="W130" i="24"/>
  <c r="V130" i="24"/>
  <c r="R130" i="24"/>
  <c r="P130" i="24"/>
  <c r="K130" i="24" s="1"/>
  <c r="X130" i="24"/>
  <c r="T130" i="24"/>
  <c r="Q126" i="24"/>
  <c r="U126" i="24"/>
  <c r="S126" i="24"/>
  <c r="W126" i="24"/>
  <c r="R126" i="24"/>
  <c r="V126" i="24"/>
  <c r="T126" i="24"/>
  <c r="X126" i="24"/>
  <c r="P126" i="24"/>
  <c r="Q122" i="24"/>
  <c r="U122" i="24"/>
  <c r="S122" i="24"/>
  <c r="W122" i="24"/>
  <c r="V122" i="24"/>
  <c r="R122" i="24"/>
  <c r="X122" i="24"/>
  <c r="P122" i="24"/>
  <c r="T122" i="24"/>
  <c r="Q118" i="24"/>
  <c r="U118" i="24"/>
  <c r="S118" i="24"/>
  <c r="W118" i="24"/>
  <c r="R118" i="24"/>
  <c r="V118" i="24"/>
  <c r="T118" i="24"/>
  <c r="P118" i="24"/>
  <c r="X118" i="24"/>
  <c r="Q114" i="24"/>
  <c r="U114" i="24"/>
  <c r="P114" i="24"/>
  <c r="V114" i="24"/>
  <c r="S114" i="24"/>
  <c r="X114" i="24"/>
  <c r="R114" i="24"/>
  <c r="W114" i="24"/>
  <c r="T114" i="24"/>
  <c r="Q110" i="24"/>
  <c r="U110" i="24"/>
  <c r="T110" i="24"/>
  <c r="R110" i="24"/>
  <c r="W110" i="24"/>
  <c r="V110" i="24"/>
  <c r="P110" i="24"/>
  <c r="X110" i="24"/>
  <c r="S110" i="24"/>
  <c r="S106" i="24"/>
  <c r="W106" i="24"/>
  <c r="Q106" i="24"/>
  <c r="U106" i="24"/>
  <c r="T106" i="24"/>
  <c r="P106" i="24"/>
  <c r="X106" i="24"/>
  <c r="V106" i="24"/>
  <c r="R106" i="24"/>
  <c r="S102" i="24"/>
  <c r="W102" i="24"/>
  <c r="Q102" i="24"/>
  <c r="U102" i="24"/>
  <c r="P102" i="24"/>
  <c r="X102" i="24"/>
  <c r="T102" i="24"/>
  <c r="R102" i="24"/>
  <c r="V102" i="24"/>
  <c r="S98" i="24"/>
  <c r="W98" i="24"/>
  <c r="Q98" i="24"/>
  <c r="U98" i="24"/>
  <c r="T98" i="24"/>
  <c r="P98" i="24"/>
  <c r="X98" i="24"/>
  <c r="V98" i="24"/>
  <c r="R98" i="24"/>
  <c r="S94" i="24"/>
  <c r="W94" i="24"/>
  <c r="Q94" i="24"/>
  <c r="U94" i="24"/>
  <c r="P94" i="24"/>
  <c r="X94" i="24"/>
  <c r="T94" i="24"/>
  <c r="R94" i="24"/>
  <c r="V94" i="24"/>
  <c r="S90" i="24"/>
  <c r="W90" i="24"/>
  <c r="Q90" i="24"/>
  <c r="U90" i="24"/>
  <c r="T90" i="24"/>
  <c r="P90" i="24"/>
  <c r="X90" i="24"/>
  <c r="V90" i="24"/>
  <c r="R90" i="24"/>
  <c r="S86" i="24"/>
  <c r="W86" i="24"/>
  <c r="Q86" i="24"/>
  <c r="U86" i="24"/>
  <c r="P86" i="24"/>
  <c r="X86" i="24"/>
  <c r="T86" i="24"/>
  <c r="R86" i="24"/>
  <c r="V86" i="24"/>
  <c r="S82" i="24"/>
  <c r="W82" i="24"/>
  <c r="Q82" i="24"/>
  <c r="U82" i="24"/>
  <c r="T82" i="24"/>
  <c r="P82" i="24"/>
  <c r="X82" i="24"/>
  <c r="V82" i="24"/>
  <c r="R82" i="24"/>
  <c r="S78" i="24"/>
  <c r="W78" i="24"/>
  <c r="Q78" i="24"/>
  <c r="U78" i="24"/>
  <c r="P78" i="24"/>
  <c r="X78" i="24"/>
  <c r="T78" i="24"/>
  <c r="R78" i="24"/>
  <c r="V78" i="24"/>
  <c r="S74" i="24"/>
  <c r="W74" i="24"/>
  <c r="Q74" i="24"/>
  <c r="U74" i="24"/>
  <c r="T74" i="24"/>
  <c r="P74" i="24"/>
  <c r="X74" i="24"/>
  <c r="V74" i="24"/>
  <c r="R74" i="24"/>
  <c r="S70" i="24"/>
  <c r="W70" i="24"/>
  <c r="Q70" i="24"/>
  <c r="U70" i="24"/>
  <c r="P70" i="24"/>
  <c r="X70" i="24"/>
  <c r="T70" i="24"/>
  <c r="R70" i="24"/>
  <c r="V70" i="24"/>
  <c r="R67" i="24"/>
  <c r="V67" i="24"/>
  <c r="P67" i="24"/>
  <c r="T67" i="24"/>
  <c r="X67" i="24"/>
  <c r="S67" i="24"/>
  <c r="W67" i="24"/>
  <c r="U67" i="24"/>
  <c r="Q67" i="24"/>
  <c r="C67" i="24"/>
  <c r="O67" i="24"/>
  <c r="Q64" i="24"/>
  <c r="U64" i="24"/>
  <c r="S64" i="24"/>
  <c r="W64" i="24"/>
  <c r="V64" i="24"/>
  <c r="R64" i="24"/>
  <c r="P64" i="24"/>
  <c r="X64" i="24"/>
  <c r="T64" i="24"/>
  <c r="L64" i="24"/>
  <c r="Q54" i="24"/>
  <c r="U54" i="24"/>
  <c r="S54" i="24"/>
  <c r="W54" i="24"/>
  <c r="R54" i="24"/>
  <c r="V54" i="24"/>
  <c r="T54" i="24"/>
  <c r="P54" i="24"/>
  <c r="X54" i="24"/>
  <c r="B54" i="24"/>
  <c r="N54" i="24"/>
  <c r="M52" i="24"/>
  <c r="P51" i="24"/>
  <c r="T51" i="24"/>
  <c r="X51" i="24"/>
  <c r="R51" i="24"/>
  <c r="V51" i="24"/>
  <c r="U51" i="24"/>
  <c r="Q51" i="24"/>
  <c r="W51" i="24"/>
  <c r="S51" i="24"/>
  <c r="C51" i="24"/>
  <c r="O51" i="24"/>
  <c r="S48" i="24"/>
  <c r="W48" i="24"/>
  <c r="Q48" i="24"/>
  <c r="U48" i="24"/>
  <c r="P48" i="24"/>
  <c r="X48" i="24"/>
  <c r="T48" i="24"/>
  <c r="R48" i="24"/>
  <c r="V48" i="24"/>
  <c r="L48" i="24"/>
  <c r="M42" i="24"/>
  <c r="D40" i="24"/>
  <c r="E40" i="24"/>
  <c r="S38" i="24"/>
  <c r="W38" i="24"/>
  <c r="R38" i="24"/>
  <c r="X38" i="24"/>
  <c r="P38" i="24"/>
  <c r="U38" i="24"/>
  <c r="T38" i="24"/>
  <c r="V38" i="24"/>
  <c r="Q38" i="24"/>
  <c r="B38" i="24"/>
  <c r="N38" i="24"/>
  <c r="C38" i="24"/>
  <c r="O38" i="24"/>
  <c r="H36" i="24"/>
  <c r="I36" i="24"/>
  <c r="R27" i="24"/>
  <c r="V27" i="24"/>
  <c r="P27" i="24"/>
  <c r="U27" i="24"/>
  <c r="S27" i="24"/>
  <c r="X27" i="24"/>
  <c r="W27" i="24"/>
  <c r="Q27" i="24"/>
  <c r="T27" i="24"/>
  <c r="C27" i="24"/>
  <c r="O27" i="24"/>
  <c r="L27" i="24"/>
  <c r="D24" i="24"/>
  <c r="E24" i="24"/>
  <c r="Q22" i="24"/>
  <c r="U22" i="24"/>
  <c r="S22" i="24"/>
  <c r="W22" i="24"/>
  <c r="R22" i="24"/>
  <c r="V22" i="24"/>
  <c r="T22" i="24"/>
  <c r="P22" i="24"/>
  <c r="X22" i="24"/>
  <c r="B22" i="24"/>
  <c r="N22" i="24"/>
  <c r="C22" i="24"/>
  <c r="O22" i="24"/>
  <c r="H20" i="24"/>
  <c r="I20" i="24"/>
  <c r="J20" i="24" s="1"/>
  <c r="D12" i="24"/>
  <c r="E12" i="24"/>
  <c r="Q10" i="24"/>
  <c r="U10" i="24"/>
  <c r="S10" i="24"/>
  <c r="W10" i="24"/>
  <c r="V10" i="24"/>
  <c r="R10" i="24"/>
  <c r="X10" i="24"/>
  <c r="P10" i="24"/>
  <c r="T10" i="24"/>
  <c r="B10" i="24"/>
  <c r="N10" i="24"/>
  <c r="C10" i="24"/>
  <c r="O10" i="24"/>
  <c r="D8" i="24"/>
  <c r="E8" i="24"/>
  <c r="S52" i="24"/>
  <c r="W52" i="24"/>
  <c r="Q52" i="24"/>
  <c r="U52" i="24"/>
  <c r="T52" i="24"/>
  <c r="P52" i="24"/>
  <c r="X52" i="24"/>
  <c r="V52" i="24"/>
  <c r="R52" i="24"/>
  <c r="L52" i="24"/>
  <c r="S42" i="24"/>
  <c r="W42" i="24"/>
  <c r="T42" i="24"/>
  <c r="Q42" i="24"/>
  <c r="V42" i="24"/>
  <c r="P42" i="24"/>
  <c r="U42" i="24"/>
  <c r="R42" i="24"/>
  <c r="X42" i="24"/>
  <c r="B42" i="24"/>
  <c r="N42" i="24"/>
  <c r="R39" i="24"/>
  <c r="V39" i="24"/>
  <c r="T39" i="24"/>
  <c r="Q39" i="24"/>
  <c r="W39" i="24"/>
  <c r="U39" i="24"/>
  <c r="P39" i="24"/>
  <c r="X39" i="24"/>
  <c r="S39" i="24"/>
  <c r="C39" i="24"/>
  <c r="O39" i="24"/>
  <c r="L39" i="24"/>
  <c r="D36" i="24"/>
  <c r="E36" i="24"/>
  <c r="J36" i="24" s="1"/>
  <c r="S34" i="24"/>
  <c r="W34" i="24"/>
  <c r="Q34" i="24"/>
  <c r="V34" i="24"/>
  <c r="T34" i="24"/>
  <c r="X34" i="24"/>
  <c r="R34" i="24"/>
  <c r="P34" i="24"/>
  <c r="U34" i="24"/>
  <c r="B34" i="24"/>
  <c r="N34" i="24"/>
  <c r="C34" i="24"/>
  <c r="O34" i="24"/>
  <c r="H32" i="24"/>
  <c r="I32" i="24"/>
  <c r="J29" i="24"/>
  <c r="P23" i="24"/>
  <c r="T23" i="24"/>
  <c r="X23" i="24"/>
  <c r="R23" i="24"/>
  <c r="V23" i="24"/>
  <c r="Q23" i="24"/>
  <c r="U23" i="24"/>
  <c r="S23" i="24"/>
  <c r="W23" i="24"/>
  <c r="C23" i="24"/>
  <c r="O23" i="24"/>
  <c r="L23" i="24"/>
  <c r="D20" i="24"/>
  <c r="E20" i="24"/>
  <c r="Q18" i="24"/>
  <c r="U18" i="24"/>
  <c r="S18" i="24"/>
  <c r="W18" i="24"/>
  <c r="V18" i="24"/>
  <c r="R18" i="24"/>
  <c r="P18" i="24"/>
  <c r="X18" i="24"/>
  <c r="T18" i="24"/>
  <c r="B18" i="24"/>
  <c r="N18" i="24"/>
  <c r="C18" i="24"/>
  <c r="O18" i="24"/>
  <c r="H16" i="24"/>
  <c r="I16" i="24"/>
  <c r="J13" i="24"/>
  <c r="P11" i="24"/>
  <c r="T11" i="24"/>
  <c r="X11" i="24"/>
  <c r="R11" i="24"/>
  <c r="V11" i="24"/>
  <c r="U11" i="24"/>
  <c r="Q11" i="24"/>
  <c r="W11" i="24"/>
  <c r="S11" i="24"/>
  <c r="C11" i="24"/>
  <c r="O11" i="24"/>
  <c r="L11" i="24"/>
  <c r="P7" i="24"/>
  <c r="K7" i="24" s="1"/>
  <c r="T7" i="24"/>
  <c r="X7" i="24"/>
  <c r="R7" i="24"/>
  <c r="V7" i="24"/>
  <c r="Q7" i="24"/>
  <c r="U7" i="24"/>
  <c r="S7" i="24"/>
  <c r="W7" i="24"/>
  <c r="C7" i="24"/>
  <c r="O7" i="24"/>
  <c r="L7" i="24"/>
  <c r="Q40" i="24"/>
  <c r="U40" i="24"/>
  <c r="P40" i="24"/>
  <c r="V40" i="24"/>
  <c r="S40" i="24"/>
  <c r="X40" i="24"/>
  <c r="W40" i="24"/>
  <c r="R40" i="24"/>
  <c r="T40" i="24"/>
  <c r="Q36" i="24"/>
  <c r="U36" i="24"/>
  <c r="T36" i="24"/>
  <c r="R36" i="24"/>
  <c r="W36" i="24"/>
  <c r="P36" i="24"/>
  <c r="V36" i="24"/>
  <c r="S36" i="24"/>
  <c r="X36" i="24"/>
  <c r="Q32" i="24"/>
  <c r="U32" i="24"/>
  <c r="S32" i="24"/>
  <c r="X32" i="24"/>
  <c r="P32" i="24"/>
  <c r="V32" i="24"/>
  <c r="T32" i="24"/>
  <c r="W32" i="24"/>
  <c r="R32" i="24"/>
  <c r="Q28" i="24"/>
  <c r="U28" i="24"/>
  <c r="R28" i="24"/>
  <c r="W28" i="24"/>
  <c r="T28" i="24"/>
  <c r="X28" i="24"/>
  <c r="S28" i="24"/>
  <c r="P28" i="24"/>
  <c r="V28" i="24"/>
  <c r="S24" i="24"/>
  <c r="W24" i="24"/>
  <c r="Q24" i="24"/>
  <c r="U24" i="24"/>
  <c r="P24" i="24"/>
  <c r="X24" i="24"/>
  <c r="T24" i="24"/>
  <c r="R24" i="24"/>
  <c r="V24" i="24"/>
  <c r="S20" i="24"/>
  <c r="W20" i="24"/>
  <c r="Q20" i="24"/>
  <c r="U20" i="24"/>
  <c r="T20" i="24"/>
  <c r="P20" i="24"/>
  <c r="X20" i="24"/>
  <c r="V20" i="24"/>
  <c r="R20" i="24"/>
  <c r="S16" i="24"/>
  <c r="W16" i="24"/>
  <c r="Q16" i="24"/>
  <c r="U16" i="24"/>
  <c r="P16" i="24"/>
  <c r="X16" i="24"/>
  <c r="T16" i="24"/>
  <c r="R16" i="24"/>
  <c r="V16" i="24"/>
  <c r="S12" i="24"/>
  <c r="W12" i="24"/>
  <c r="Q12" i="24"/>
  <c r="U12" i="24"/>
  <c r="T12" i="24"/>
  <c r="P12" i="24"/>
  <c r="X12" i="24"/>
  <c r="V12" i="24"/>
  <c r="R12" i="24"/>
  <c r="S8" i="24"/>
  <c r="W8" i="24"/>
  <c r="Q8" i="24"/>
  <c r="U8" i="24"/>
  <c r="P8" i="24"/>
  <c r="X8" i="24"/>
  <c r="T8" i="24"/>
  <c r="R8" i="24"/>
  <c r="V8" i="24"/>
  <c r="P69" i="24"/>
  <c r="T69" i="24"/>
  <c r="X69" i="24"/>
  <c r="R69" i="24"/>
  <c r="V69" i="24"/>
  <c r="Q69" i="24"/>
  <c r="U69" i="24"/>
  <c r="S69" i="24"/>
  <c r="W69" i="24"/>
  <c r="P65" i="24"/>
  <c r="T65" i="24"/>
  <c r="X65" i="24"/>
  <c r="R65" i="24"/>
  <c r="V65" i="24"/>
  <c r="U65" i="24"/>
  <c r="Q65" i="24"/>
  <c r="W65" i="24"/>
  <c r="S65" i="24"/>
  <c r="P61" i="24"/>
  <c r="T61" i="24"/>
  <c r="X61" i="24"/>
  <c r="R61" i="24"/>
  <c r="V61" i="24"/>
  <c r="Q61" i="24"/>
  <c r="U61" i="24"/>
  <c r="S61" i="24"/>
  <c r="W61" i="24"/>
  <c r="R57" i="24"/>
  <c r="V57" i="24"/>
  <c r="P57" i="24"/>
  <c r="T57" i="24"/>
  <c r="X57" i="24"/>
  <c r="W57" i="24"/>
  <c r="S57" i="24"/>
  <c r="Q57" i="24"/>
  <c r="U57" i="24"/>
  <c r="R53" i="24"/>
  <c r="V53" i="24"/>
  <c r="P53" i="24"/>
  <c r="T53" i="24"/>
  <c r="X53" i="24"/>
  <c r="S53" i="24"/>
  <c r="W53" i="24"/>
  <c r="U53" i="24"/>
  <c r="Q53" i="24"/>
  <c r="R49" i="24"/>
  <c r="V49" i="24"/>
  <c r="P49" i="24"/>
  <c r="T49" i="24"/>
  <c r="X49" i="24"/>
  <c r="W49" i="24"/>
  <c r="S49" i="24"/>
  <c r="Q49" i="24"/>
  <c r="U49" i="24"/>
  <c r="R45" i="24"/>
  <c r="V45" i="24"/>
  <c r="P45" i="24"/>
  <c r="T45" i="24"/>
  <c r="X45" i="24"/>
  <c r="S45" i="24"/>
  <c r="W45" i="24"/>
  <c r="U45" i="24"/>
  <c r="Q45" i="24"/>
  <c r="P41" i="24"/>
  <c r="T41" i="24"/>
  <c r="X41" i="24"/>
  <c r="R41" i="24"/>
  <c r="W41" i="24"/>
  <c r="U41" i="24"/>
  <c r="S41" i="24"/>
  <c r="Q41" i="24"/>
  <c r="V41" i="24"/>
  <c r="L40" i="24"/>
  <c r="P37" i="24"/>
  <c r="T37" i="24"/>
  <c r="X37" i="24"/>
  <c r="Q37" i="24"/>
  <c r="V37" i="24"/>
  <c r="S37" i="24"/>
  <c r="R37" i="24"/>
  <c r="W37" i="24"/>
  <c r="U37" i="24"/>
  <c r="L36" i="24"/>
  <c r="P33" i="24"/>
  <c r="T33" i="24"/>
  <c r="X33" i="24"/>
  <c r="U33" i="24"/>
  <c r="R33" i="24"/>
  <c r="W33" i="24"/>
  <c r="V33" i="24"/>
  <c r="Q33" i="24"/>
  <c r="S33" i="24"/>
  <c r="L32" i="24"/>
  <c r="P29" i="24"/>
  <c r="T29" i="24"/>
  <c r="X29" i="24"/>
  <c r="S29" i="24"/>
  <c r="Q29" i="24"/>
  <c r="V29" i="24"/>
  <c r="U29" i="24"/>
  <c r="R29" i="24"/>
  <c r="W29" i="24"/>
  <c r="L28" i="24"/>
  <c r="R25" i="24"/>
  <c r="V25" i="24"/>
  <c r="P25" i="24"/>
  <c r="T25" i="24"/>
  <c r="X25" i="24"/>
  <c r="W25" i="24"/>
  <c r="S25" i="24"/>
  <c r="Q25" i="24"/>
  <c r="U25" i="24"/>
  <c r="L24" i="24"/>
  <c r="R21" i="24"/>
  <c r="V21" i="24"/>
  <c r="P21" i="24"/>
  <c r="T21" i="24"/>
  <c r="X21" i="24"/>
  <c r="S21" i="24"/>
  <c r="W21" i="24"/>
  <c r="U21" i="24"/>
  <c r="Q21" i="24"/>
  <c r="L20" i="24"/>
  <c r="R17" i="24"/>
  <c r="V17" i="24"/>
  <c r="P17" i="24"/>
  <c r="T17" i="24"/>
  <c r="X17" i="24"/>
  <c r="W17" i="24"/>
  <c r="S17" i="24"/>
  <c r="Q17" i="24"/>
  <c r="U17" i="24"/>
  <c r="L16" i="24"/>
  <c r="R13" i="24"/>
  <c r="V13" i="24"/>
  <c r="P13" i="24"/>
  <c r="T13" i="24"/>
  <c r="X13" i="24"/>
  <c r="S13" i="24"/>
  <c r="W13" i="24"/>
  <c r="U13" i="24"/>
  <c r="Q13" i="24"/>
  <c r="R9" i="24"/>
  <c r="V9" i="24"/>
  <c r="P9" i="24"/>
  <c r="T9" i="24"/>
  <c r="X9" i="24"/>
  <c r="W9" i="24"/>
  <c r="S9" i="24"/>
  <c r="Q9" i="24"/>
  <c r="U9" i="24"/>
  <c r="C3" i="24"/>
  <c r="B6" i="25" l="1" a="1"/>
  <c r="B6" i="25" s="1"/>
  <c r="C8" i="25" a="1"/>
  <c r="C8" i="25" s="1"/>
  <c r="G84" i="24"/>
  <c r="H84" i="24"/>
  <c r="I84" i="24"/>
  <c r="G31" i="24"/>
  <c r="H31" i="24"/>
  <c r="I31" i="24"/>
  <c r="F75" i="24"/>
  <c r="D75" i="24"/>
  <c r="E75" i="24"/>
  <c r="D101" i="24"/>
  <c r="E101" i="24"/>
  <c r="F101" i="24"/>
  <c r="F185" i="24"/>
  <c r="D185" i="24"/>
  <c r="E185" i="24"/>
  <c r="F201" i="24"/>
  <c r="D201" i="24"/>
  <c r="E201" i="24"/>
  <c r="J219" i="24"/>
  <c r="G288" i="24"/>
  <c r="H288" i="24"/>
  <c r="I288" i="24"/>
  <c r="G368" i="24"/>
  <c r="H368" i="24"/>
  <c r="I368" i="24"/>
  <c r="G384" i="24"/>
  <c r="H384" i="24"/>
  <c r="I384" i="24"/>
  <c r="J474" i="24"/>
  <c r="K474" i="24" s="1"/>
  <c r="J303" i="24"/>
  <c r="K303" i="24" s="1"/>
  <c r="G594" i="24"/>
  <c r="H594" i="24"/>
  <c r="I594" i="24"/>
  <c r="F87" i="24"/>
  <c r="D87" i="24"/>
  <c r="J87" i="24" s="1"/>
  <c r="K87" i="24" s="1"/>
  <c r="E87" i="24"/>
  <c r="G100" i="24"/>
  <c r="H100" i="24"/>
  <c r="I100" i="24"/>
  <c r="G132" i="24"/>
  <c r="H132" i="24"/>
  <c r="I132" i="24"/>
  <c r="G63" i="24"/>
  <c r="J63" i="24" s="1"/>
  <c r="K64" i="24" s="1"/>
  <c r="H63" i="24"/>
  <c r="I63" i="24"/>
  <c r="F99" i="24"/>
  <c r="E99" i="24"/>
  <c r="D99" i="24"/>
  <c r="J99" i="24" s="1"/>
  <c r="F115" i="24"/>
  <c r="E115" i="24"/>
  <c r="D115" i="24"/>
  <c r="F131" i="24"/>
  <c r="E131" i="24"/>
  <c r="D131" i="24"/>
  <c r="F163" i="24"/>
  <c r="E163" i="24"/>
  <c r="D163" i="24"/>
  <c r="J163" i="24" s="1"/>
  <c r="D31" i="24"/>
  <c r="E31" i="24"/>
  <c r="F31" i="24"/>
  <c r="D68" i="24"/>
  <c r="J68" i="24" s="1"/>
  <c r="E68" i="24"/>
  <c r="F68" i="24"/>
  <c r="G76" i="24"/>
  <c r="I76" i="24"/>
  <c r="H76" i="24"/>
  <c r="G88" i="24"/>
  <c r="H88" i="24"/>
  <c r="I88" i="24"/>
  <c r="D156" i="24"/>
  <c r="E156" i="24"/>
  <c r="F156" i="24"/>
  <c r="G210" i="24"/>
  <c r="H210" i="24"/>
  <c r="I210" i="24"/>
  <c r="G274" i="24"/>
  <c r="H274" i="24"/>
  <c r="I274" i="24"/>
  <c r="F304" i="24"/>
  <c r="D304" i="24"/>
  <c r="E304" i="24"/>
  <c r="H323" i="24"/>
  <c r="I323" i="24"/>
  <c r="G323" i="24"/>
  <c r="H369" i="24"/>
  <c r="I369" i="24"/>
  <c r="G369" i="24"/>
  <c r="F383" i="24"/>
  <c r="D383" i="24"/>
  <c r="E383" i="24"/>
  <c r="J383" i="24" s="1"/>
  <c r="K383" i="24" s="1"/>
  <c r="H385" i="24"/>
  <c r="I385" i="24"/>
  <c r="G385" i="24"/>
  <c r="J385" i="24" s="1"/>
  <c r="H403" i="24"/>
  <c r="G403" i="24"/>
  <c r="I403" i="24"/>
  <c r="H419" i="24"/>
  <c r="G419" i="24"/>
  <c r="I419" i="24"/>
  <c r="H433" i="24"/>
  <c r="I433" i="24"/>
  <c r="G433" i="24"/>
  <c r="G444" i="24"/>
  <c r="I444" i="24"/>
  <c r="H444" i="24"/>
  <c r="F447" i="24"/>
  <c r="E447" i="24"/>
  <c r="D447" i="24"/>
  <c r="J447" i="24" s="1"/>
  <c r="K447" i="24" s="1"/>
  <c r="H451" i="24"/>
  <c r="G451" i="24"/>
  <c r="I451" i="24"/>
  <c r="G460" i="24"/>
  <c r="J460" i="24" s="1"/>
  <c r="K460" i="24" s="1"/>
  <c r="I460" i="24"/>
  <c r="H460" i="24"/>
  <c r="G465" i="24"/>
  <c r="J465" i="24" s="1"/>
  <c r="I465" i="24"/>
  <c r="H465" i="24"/>
  <c r="F472" i="24"/>
  <c r="D472" i="24"/>
  <c r="E472" i="24"/>
  <c r="G497" i="24"/>
  <c r="I497" i="24"/>
  <c r="H497" i="24"/>
  <c r="F504" i="24"/>
  <c r="D504" i="24"/>
  <c r="E504" i="24"/>
  <c r="G513" i="24"/>
  <c r="I513" i="24"/>
  <c r="H513" i="24"/>
  <c r="F520" i="24"/>
  <c r="D520" i="24"/>
  <c r="E520" i="24"/>
  <c r="F536" i="24"/>
  <c r="D536" i="24"/>
  <c r="E536" i="24"/>
  <c r="K547" i="24"/>
  <c r="G561" i="24"/>
  <c r="H561" i="24"/>
  <c r="I561" i="24"/>
  <c r="G575" i="24"/>
  <c r="H575" i="24"/>
  <c r="I575" i="24"/>
  <c r="G181" i="24"/>
  <c r="I181" i="24"/>
  <c r="H181" i="24"/>
  <c r="F359" i="24"/>
  <c r="D359" i="24"/>
  <c r="E359" i="24"/>
  <c r="J359" i="24" s="1"/>
  <c r="K359" i="24" s="1"/>
  <c r="F455" i="24"/>
  <c r="D455" i="24"/>
  <c r="J455" i="24" s="1"/>
  <c r="K455" i="24" s="1"/>
  <c r="E455" i="24"/>
  <c r="G14" i="24"/>
  <c r="H14" i="24"/>
  <c r="I14" i="24"/>
  <c r="D165" i="24"/>
  <c r="E165" i="24"/>
  <c r="F165" i="24"/>
  <c r="F281" i="24"/>
  <c r="D281" i="24"/>
  <c r="E281" i="24"/>
  <c r="G400" i="24"/>
  <c r="H400" i="24"/>
  <c r="I400" i="24"/>
  <c r="F451" i="24"/>
  <c r="D451" i="24"/>
  <c r="E451" i="24"/>
  <c r="J550" i="24"/>
  <c r="F26" i="24"/>
  <c r="E26" i="24"/>
  <c r="D26" i="24"/>
  <c r="H46" i="24"/>
  <c r="I46" i="24"/>
  <c r="G46" i="24"/>
  <c r="F50" i="24"/>
  <c r="D50" i="24"/>
  <c r="E50" i="24"/>
  <c r="F62" i="24"/>
  <c r="J62" i="24" s="1"/>
  <c r="D62" i="24"/>
  <c r="E62" i="24"/>
  <c r="G80" i="24"/>
  <c r="I80" i="24"/>
  <c r="H80" i="24"/>
  <c r="G96" i="24"/>
  <c r="H96" i="24"/>
  <c r="I96" i="24"/>
  <c r="G112" i="24"/>
  <c r="H112" i="24"/>
  <c r="I112" i="24"/>
  <c r="G128" i="24"/>
  <c r="H128" i="24"/>
  <c r="I128" i="24"/>
  <c r="G144" i="24"/>
  <c r="I144" i="24"/>
  <c r="H144" i="24"/>
  <c r="G160" i="24"/>
  <c r="H160" i="24"/>
  <c r="I160" i="24"/>
  <c r="J49" i="24"/>
  <c r="D85" i="24"/>
  <c r="E85" i="24"/>
  <c r="F85" i="24"/>
  <c r="F111" i="24"/>
  <c r="D111" i="24"/>
  <c r="E111" i="24"/>
  <c r="J111" i="24" s="1"/>
  <c r="K111" i="24" s="1"/>
  <c r="J130" i="24"/>
  <c r="D149" i="24"/>
  <c r="E149" i="24"/>
  <c r="F149" i="24"/>
  <c r="F173" i="24"/>
  <c r="E173" i="24"/>
  <c r="D173" i="24"/>
  <c r="G189" i="24"/>
  <c r="I189" i="24"/>
  <c r="H189" i="24"/>
  <c r="D190" i="24"/>
  <c r="E190" i="24"/>
  <c r="F190" i="24"/>
  <c r="F205" i="24"/>
  <c r="E205" i="24"/>
  <c r="D205" i="24"/>
  <c r="G221" i="24"/>
  <c r="I221" i="24"/>
  <c r="H221" i="24"/>
  <c r="D222" i="24"/>
  <c r="F222" i="24"/>
  <c r="E222" i="24"/>
  <c r="F237" i="24"/>
  <c r="D237" i="24"/>
  <c r="E237" i="24"/>
  <c r="G253" i="24"/>
  <c r="J253" i="24" s="1"/>
  <c r="K253" i="24" s="1"/>
  <c r="I253" i="24"/>
  <c r="H253" i="24"/>
  <c r="D254" i="24"/>
  <c r="F254" i="24"/>
  <c r="E254" i="24"/>
  <c r="F269" i="24"/>
  <c r="E269" i="24"/>
  <c r="D269" i="24"/>
  <c r="G287" i="24"/>
  <c r="I287" i="24"/>
  <c r="H287" i="24"/>
  <c r="D288" i="24"/>
  <c r="F288" i="24"/>
  <c r="E288" i="24"/>
  <c r="G300" i="24"/>
  <c r="H300" i="24"/>
  <c r="I300" i="24"/>
  <c r="G316" i="24"/>
  <c r="H316" i="24"/>
  <c r="I316" i="24"/>
  <c r="G332" i="24"/>
  <c r="I332" i="24"/>
  <c r="H332" i="24"/>
  <c r="F335" i="24"/>
  <c r="D335" i="24"/>
  <c r="E335" i="24"/>
  <c r="H337" i="24"/>
  <c r="I337" i="24"/>
  <c r="G337" i="24"/>
  <c r="J337" i="24" s="1"/>
  <c r="K338" i="24" s="1"/>
  <c r="F351" i="24"/>
  <c r="D351" i="24"/>
  <c r="J351" i="24" s="1"/>
  <c r="K351" i="24" s="1"/>
  <c r="E351" i="24"/>
  <c r="H353" i="24"/>
  <c r="I353" i="24"/>
  <c r="G353" i="24"/>
  <c r="G364" i="24"/>
  <c r="I364" i="24"/>
  <c r="H364" i="24"/>
  <c r="F367" i="24"/>
  <c r="D367" i="24"/>
  <c r="E367" i="24"/>
  <c r="D381" i="24"/>
  <c r="E381" i="24"/>
  <c r="F381" i="24"/>
  <c r="G396" i="24"/>
  <c r="H396" i="24"/>
  <c r="I396" i="24"/>
  <c r="G412" i="24"/>
  <c r="H412" i="24"/>
  <c r="I412" i="24"/>
  <c r="D429" i="24"/>
  <c r="E429" i="24"/>
  <c r="F429" i="24"/>
  <c r="D445" i="24"/>
  <c r="E445" i="24"/>
  <c r="F445" i="24"/>
  <c r="D461" i="24"/>
  <c r="E461" i="24"/>
  <c r="F461" i="24"/>
  <c r="F463" i="24"/>
  <c r="J463" i="24" s="1"/>
  <c r="K463" i="24" s="1"/>
  <c r="D463" i="24"/>
  <c r="E463" i="24"/>
  <c r="G469" i="24"/>
  <c r="H469" i="24"/>
  <c r="I469" i="24"/>
  <c r="K471" i="24"/>
  <c r="G477" i="24"/>
  <c r="H477" i="24"/>
  <c r="I477" i="24"/>
  <c r="G485" i="24"/>
  <c r="I485" i="24"/>
  <c r="H485" i="24"/>
  <c r="G493" i="24"/>
  <c r="H493" i="24"/>
  <c r="I493" i="24"/>
  <c r="G501" i="24"/>
  <c r="H501" i="24"/>
  <c r="I501" i="24"/>
  <c r="K503" i="24"/>
  <c r="G509" i="24"/>
  <c r="H509" i="24"/>
  <c r="I509" i="24"/>
  <c r="G517" i="24"/>
  <c r="J517" i="24" s="1"/>
  <c r="H517" i="24"/>
  <c r="I517" i="24"/>
  <c r="G525" i="24"/>
  <c r="J525" i="24" s="1"/>
  <c r="I525" i="24"/>
  <c r="H525" i="24"/>
  <c r="G533" i="24"/>
  <c r="I533" i="24"/>
  <c r="H533" i="24"/>
  <c r="G541" i="24"/>
  <c r="I541" i="24"/>
  <c r="H541" i="24"/>
  <c r="G549" i="24"/>
  <c r="I549" i="24"/>
  <c r="H549" i="24"/>
  <c r="G557" i="24"/>
  <c r="I557" i="24"/>
  <c r="H557" i="24"/>
  <c r="G565" i="24"/>
  <c r="I565" i="24"/>
  <c r="H565" i="24"/>
  <c r="K567" i="24"/>
  <c r="G571" i="24"/>
  <c r="I571" i="24"/>
  <c r="H571" i="24"/>
  <c r="G583" i="24"/>
  <c r="J583" i="24" s="1"/>
  <c r="H583" i="24"/>
  <c r="I583" i="24"/>
  <c r="F590" i="24"/>
  <c r="D590" i="24"/>
  <c r="E590" i="24"/>
  <c r="G595" i="24"/>
  <c r="H595" i="24"/>
  <c r="I595" i="24"/>
  <c r="F213" i="24"/>
  <c r="E213" i="24"/>
  <c r="D213" i="24"/>
  <c r="F229" i="24"/>
  <c r="E229" i="24"/>
  <c r="D229" i="24"/>
  <c r="G234" i="24"/>
  <c r="H234" i="24"/>
  <c r="I234" i="24"/>
  <c r="J310" i="24"/>
  <c r="G324" i="24"/>
  <c r="J324" i="24" s="1"/>
  <c r="K325" i="24" s="1"/>
  <c r="I324" i="24"/>
  <c r="H324" i="24"/>
  <c r="J374" i="24"/>
  <c r="J406" i="24"/>
  <c r="F423" i="24"/>
  <c r="D423" i="24"/>
  <c r="E423" i="24"/>
  <c r="J423" i="24" s="1"/>
  <c r="K423" i="24" s="1"/>
  <c r="J551" i="24"/>
  <c r="K551" i="24" s="1"/>
  <c r="F66" i="24"/>
  <c r="E66" i="24"/>
  <c r="D66" i="24"/>
  <c r="J129" i="24"/>
  <c r="D168" i="24"/>
  <c r="E168" i="24"/>
  <c r="F168" i="24"/>
  <c r="J203" i="24"/>
  <c r="G217" i="24"/>
  <c r="I217" i="24"/>
  <c r="H217" i="24"/>
  <c r="G238" i="24"/>
  <c r="H238" i="24"/>
  <c r="I238" i="24"/>
  <c r="G254" i="24"/>
  <c r="H254" i="24"/>
  <c r="I254" i="24"/>
  <c r="K254" i="24"/>
  <c r="G265" i="24"/>
  <c r="I265" i="24"/>
  <c r="H265" i="24"/>
  <c r="G270" i="24"/>
  <c r="H270" i="24"/>
  <c r="I270" i="24"/>
  <c r="F403" i="24"/>
  <c r="D403" i="24"/>
  <c r="E403" i="24"/>
  <c r="F419" i="24"/>
  <c r="D419" i="24"/>
  <c r="E419" i="24"/>
  <c r="J494" i="24"/>
  <c r="J502" i="24"/>
  <c r="J534" i="24"/>
  <c r="J576" i="24"/>
  <c r="J584" i="24"/>
  <c r="D72" i="24"/>
  <c r="F72" i="24"/>
  <c r="E72" i="24"/>
  <c r="F95" i="24"/>
  <c r="D95" i="24"/>
  <c r="E95" i="24"/>
  <c r="G124" i="24"/>
  <c r="I124" i="24"/>
  <c r="H124" i="24"/>
  <c r="D133" i="24"/>
  <c r="F133" i="24"/>
  <c r="E133" i="24"/>
  <c r="D136" i="24"/>
  <c r="E136" i="24"/>
  <c r="F136" i="24"/>
  <c r="H171" i="24"/>
  <c r="I171" i="24"/>
  <c r="G171" i="24"/>
  <c r="G177" i="24"/>
  <c r="J177" i="24" s="1"/>
  <c r="K177" i="24" s="1"/>
  <c r="H177" i="24"/>
  <c r="I177" i="24"/>
  <c r="G182" i="24"/>
  <c r="H182" i="24"/>
  <c r="I182" i="24"/>
  <c r="J220" i="24"/>
  <c r="K220" i="24" s="1"/>
  <c r="G225" i="24"/>
  <c r="H225" i="24"/>
  <c r="I225" i="24"/>
  <c r="G230" i="24"/>
  <c r="J230" i="24" s="1"/>
  <c r="H230" i="24"/>
  <c r="I230" i="24"/>
  <c r="K241" i="24"/>
  <c r="F257" i="24"/>
  <c r="D257" i="24"/>
  <c r="E257" i="24"/>
  <c r="F291" i="24"/>
  <c r="D291" i="24"/>
  <c r="E291" i="24"/>
  <c r="J297" i="24"/>
  <c r="F299" i="24"/>
  <c r="E299" i="24"/>
  <c r="D299" i="24"/>
  <c r="H317" i="24"/>
  <c r="G317" i="24"/>
  <c r="I317" i="24"/>
  <c r="H333" i="24"/>
  <c r="G333" i="24"/>
  <c r="I333" i="24"/>
  <c r="J345" i="24"/>
  <c r="F347" i="24"/>
  <c r="E347" i="24"/>
  <c r="D347" i="24"/>
  <c r="H365" i="24"/>
  <c r="G365" i="24"/>
  <c r="I365" i="24"/>
  <c r="H397" i="24"/>
  <c r="G397" i="24"/>
  <c r="I397" i="24"/>
  <c r="G408" i="24"/>
  <c r="H408" i="24"/>
  <c r="I408" i="24"/>
  <c r="D425" i="24"/>
  <c r="F425" i="24"/>
  <c r="E425" i="24"/>
  <c r="J425" i="24" s="1"/>
  <c r="H429" i="24"/>
  <c r="G429" i="24"/>
  <c r="I429" i="24"/>
  <c r="J441" i="24"/>
  <c r="F443" i="24"/>
  <c r="E443" i="24"/>
  <c r="D443" i="24"/>
  <c r="J443" i="24" s="1"/>
  <c r="K443" i="24" s="1"/>
  <c r="J457" i="24"/>
  <c r="F459" i="24"/>
  <c r="E459" i="24"/>
  <c r="D459" i="24"/>
  <c r="J459" i="24" s="1"/>
  <c r="K459" i="24" s="1"/>
  <c r="H464" i="24"/>
  <c r="G464" i="24"/>
  <c r="I464" i="24"/>
  <c r="K466" i="24"/>
  <c r="E479" i="24"/>
  <c r="F479" i="24"/>
  <c r="D479" i="24"/>
  <c r="G500" i="24"/>
  <c r="H500" i="24"/>
  <c r="I500" i="24"/>
  <c r="E543" i="24"/>
  <c r="F543" i="24"/>
  <c r="D543" i="24"/>
  <c r="J543" i="24" s="1"/>
  <c r="K543" i="24" s="1"/>
  <c r="G568" i="24"/>
  <c r="H568" i="24"/>
  <c r="I568" i="24"/>
  <c r="G590" i="24"/>
  <c r="H590" i="24"/>
  <c r="I590" i="24"/>
  <c r="E593" i="24"/>
  <c r="J593" i="24" s="1"/>
  <c r="F593" i="24"/>
  <c r="D593" i="24"/>
  <c r="G30" i="24"/>
  <c r="H30" i="24"/>
  <c r="I30" i="24"/>
  <c r="G47" i="24"/>
  <c r="I47" i="24"/>
  <c r="H47" i="24"/>
  <c r="J81" i="24"/>
  <c r="K82" i="24" s="1"/>
  <c r="F91" i="24"/>
  <c r="D91" i="24"/>
  <c r="E91" i="24"/>
  <c r="G108" i="24"/>
  <c r="J108" i="24" s="1"/>
  <c r="K109" i="24" s="1"/>
  <c r="I108" i="24"/>
  <c r="H108" i="24"/>
  <c r="D120" i="24"/>
  <c r="F120" i="24"/>
  <c r="E120" i="24"/>
  <c r="G261" i="24"/>
  <c r="I261" i="24"/>
  <c r="H261" i="24"/>
  <c r="G284" i="24"/>
  <c r="H284" i="24"/>
  <c r="I284" i="24"/>
  <c r="F327" i="24"/>
  <c r="D327" i="24"/>
  <c r="E327" i="24"/>
  <c r="J327" i="24" s="1"/>
  <c r="K327" i="24" s="1"/>
  <c r="J342" i="24"/>
  <c r="K342" i="24" s="1"/>
  <c r="G356" i="24"/>
  <c r="I356" i="24"/>
  <c r="H356" i="24"/>
  <c r="J390" i="24"/>
  <c r="K390" i="24" s="1"/>
  <c r="F439" i="24"/>
  <c r="D439" i="24"/>
  <c r="J439" i="24" s="1"/>
  <c r="K439" i="24" s="1"/>
  <c r="E439" i="24"/>
  <c r="G452" i="24"/>
  <c r="I452" i="24"/>
  <c r="H452" i="24"/>
  <c r="J555" i="24"/>
  <c r="K555" i="24" s="1"/>
  <c r="H139" i="24"/>
  <c r="I139" i="24"/>
  <c r="G139" i="24"/>
  <c r="G174" i="24"/>
  <c r="H174" i="24"/>
  <c r="I174" i="24"/>
  <c r="G233" i="24"/>
  <c r="H233" i="24"/>
  <c r="I233" i="24"/>
  <c r="J283" i="24"/>
  <c r="G336" i="24"/>
  <c r="H336" i="24"/>
  <c r="I336" i="24"/>
  <c r="G352" i="24"/>
  <c r="H352" i="24"/>
  <c r="I352" i="24"/>
  <c r="J514" i="24"/>
  <c r="J530" i="24"/>
  <c r="K531" i="24" s="1"/>
  <c r="J554" i="24"/>
  <c r="J492" i="24"/>
  <c r="K492" i="24" s="1"/>
  <c r="G7" i="24"/>
  <c r="H7" i="24"/>
  <c r="I7" i="24"/>
  <c r="G39" i="24"/>
  <c r="H39" i="24"/>
  <c r="I39" i="24"/>
  <c r="D43" i="24"/>
  <c r="E43" i="24"/>
  <c r="F43" i="24"/>
  <c r="J141" i="24"/>
  <c r="K141" i="24" s="1"/>
  <c r="F159" i="24"/>
  <c r="D159" i="24"/>
  <c r="E159" i="24"/>
  <c r="G273" i="24"/>
  <c r="H273" i="24"/>
  <c r="I273" i="24"/>
  <c r="G360" i="24"/>
  <c r="H360" i="24"/>
  <c r="I360" i="24"/>
  <c r="F411" i="24"/>
  <c r="E411" i="24"/>
  <c r="D411" i="24"/>
  <c r="J411" i="24" s="1"/>
  <c r="K411" i="24" s="1"/>
  <c r="H472" i="24"/>
  <c r="G472" i="24"/>
  <c r="I472" i="24"/>
  <c r="H488" i="24"/>
  <c r="G488" i="24"/>
  <c r="I488" i="24"/>
  <c r="G536" i="24"/>
  <c r="H536" i="24"/>
  <c r="I536" i="24"/>
  <c r="G552" i="24"/>
  <c r="H552" i="24"/>
  <c r="I552" i="24"/>
  <c r="H564" i="24"/>
  <c r="I564" i="24"/>
  <c r="G564" i="24"/>
  <c r="H570" i="24"/>
  <c r="G570" i="24"/>
  <c r="I570" i="24"/>
  <c r="E585" i="24"/>
  <c r="F585" i="24"/>
  <c r="D585" i="24"/>
  <c r="J585" i="24" s="1"/>
  <c r="F197" i="24"/>
  <c r="E197" i="24"/>
  <c r="D197" i="24"/>
  <c r="G218" i="24"/>
  <c r="H218" i="24"/>
  <c r="I218" i="24"/>
  <c r="G250" i="24"/>
  <c r="J250" i="24" s="1"/>
  <c r="H250" i="24"/>
  <c r="I250" i="24"/>
  <c r="J389" i="24"/>
  <c r="K21" i="24"/>
  <c r="K70" i="24"/>
  <c r="K110" i="24"/>
  <c r="J24" i="24"/>
  <c r="K25" i="24" s="1"/>
  <c r="K176" i="24"/>
  <c r="K200" i="24"/>
  <c r="K208" i="24"/>
  <c r="K224" i="24"/>
  <c r="K232" i="24"/>
  <c r="K244" i="24"/>
  <c r="K248" i="24"/>
  <c r="F34" i="24"/>
  <c r="D34" i="24"/>
  <c r="E34" i="24"/>
  <c r="F38" i="24"/>
  <c r="D38" i="24"/>
  <c r="E38" i="24"/>
  <c r="G194" i="24"/>
  <c r="H194" i="24"/>
  <c r="I194" i="24"/>
  <c r="G226" i="24"/>
  <c r="H226" i="24"/>
  <c r="I226" i="24"/>
  <c r="G258" i="24"/>
  <c r="H258" i="24"/>
  <c r="I258" i="24"/>
  <c r="F303" i="24"/>
  <c r="D303" i="24"/>
  <c r="E303" i="24"/>
  <c r="F319" i="24"/>
  <c r="D319" i="24"/>
  <c r="E319" i="24"/>
  <c r="J319" i="24" s="1"/>
  <c r="K319" i="24" s="1"/>
  <c r="D349" i="24"/>
  <c r="E349" i="24"/>
  <c r="F349" i="24"/>
  <c r="E368" i="24"/>
  <c r="D368" i="24"/>
  <c r="F368" i="24"/>
  <c r="H387" i="24"/>
  <c r="I387" i="24"/>
  <c r="G387" i="24"/>
  <c r="H401" i="24"/>
  <c r="I401" i="24"/>
  <c r="G401" i="24"/>
  <c r="J401" i="24" s="1"/>
  <c r="F415" i="24"/>
  <c r="J415" i="24" s="1"/>
  <c r="K415" i="24" s="1"/>
  <c r="E415" i="24"/>
  <c r="D415" i="24"/>
  <c r="H417" i="24"/>
  <c r="I417" i="24"/>
  <c r="G417" i="24"/>
  <c r="F432" i="24"/>
  <c r="D432" i="24"/>
  <c r="E432" i="24"/>
  <c r="F464" i="24"/>
  <c r="D464" i="24"/>
  <c r="E464" i="24"/>
  <c r="G505" i="24"/>
  <c r="J505" i="24" s="1"/>
  <c r="K506" i="24" s="1"/>
  <c r="I505" i="24"/>
  <c r="H505" i="24"/>
  <c r="G521" i="24"/>
  <c r="H521" i="24"/>
  <c r="I521" i="24"/>
  <c r="F528" i="24"/>
  <c r="D528" i="24"/>
  <c r="E528" i="24"/>
  <c r="F544" i="24"/>
  <c r="D544" i="24"/>
  <c r="E544" i="24"/>
  <c r="F560" i="24"/>
  <c r="D560" i="24"/>
  <c r="E560" i="24"/>
  <c r="F574" i="24"/>
  <c r="E574" i="24"/>
  <c r="D574" i="24"/>
  <c r="J574" i="24" s="1"/>
  <c r="K574" i="24" s="1"/>
  <c r="F155" i="24"/>
  <c r="D155" i="24"/>
  <c r="E155" i="24"/>
  <c r="F181" i="24"/>
  <c r="E181" i="24"/>
  <c r="D181" i="24"/>
  <c r="F277" i="24"/>
  <c r="E277" i="24"/>
  <c r="D277" i="24"/>
  <c r="F295" i="24"/>
  <c r="D295" i="24"/>
  <c r="J295" i="24" s="1"/>
  <c r="K295" i="24" s="1"/>
  <c r="E295" i="24"/>
  <c r="J515" i="24"/>
  <c r="K515" i="24" s="1"/>
  <c r="H461" i="24"/>
  <c r="G461" i="24"/>
  <c r="J461" i="24" s="1"/>
  <c r="K462" i="24" s="1"/>
  <c r="I461" i="24"/>
  <c r="I468" i="24"/>
  <c r="G468" i="24"/>
  <c r="H468" i="24"/>
  <c r="E475" i="24"/>
  <c r="D475" i="24"/>
  <c r="F475" i="24"/>
  <c r="H504" i="24"/>
  <c r="G504" i="24"/>
  <c r="I504" i="24"/>
  <c r="H512" i="24"/>
  <c r="G512" i="24"/>
  <c r="I512" i="24"/>
  <c r="K526" i="24"/>
  <c r="G528" i="24"/>
  <c r="H528" i="24"/>
  <c r="I528" i="24"/>
  <c r="E539" i="24"/>
  <c r="D539" i="24"/>
  <c r="F539" i="24"/>
  <c r="G560" i="24"/>
  <c r="H560" i="24"/>
  <c r="I560" i="24"/>
  <c r="H578" i="24"/>
  <c r="G578" i="24"/>
  <c r="I578" i="24"/>
  <c r="D55" i="24"/>
  <c r="E55" i="24"/>
  <c r="F55" i="24"/>
  <c r="D56" i="24"/>
  <c r="E56" i="24"/>
  <c r="F56" i="24"/>
  <c r="J98" i="24"/>
  <c r="H117" i="24"/>
  <c r="G117" i="24"/>
  <c r="I117" i="24"/>
  <c r="H137" i="24"/>
  <c r="I137" i="24"/>
  <c r="G137" i="24"/>
  <c r="F143" i="24"/>
  <c r="D143" i="24"/>
  <c r="J143" i="24" s="1"/>
  <c r="K143" i="24" s="1"/>
  <c r="E143" i="24"/>
  <c r="G197" i="24"/>
  <c r="H197" i="24"/>
  <c r="I197" i="24"/>
  <c r="J240" i="24"/>
  <c r="G245" i="24"/>
  <c r="H245" i="24"/>
  <c r="I245" i="24"/>
  <c r="J326" i="24"/>
  <c r="J373" i="24"/>
  <c r="K374" i="24" s="1"/>
  <c r="G388" i="24"/>
  <c r="I388" i="24"/>
  <c r="H388" i="24"/>
  <c r="J421" i="24"/>
  <c r="J453" i="24"/>
  <c r="J495" i="24"/>
  <c r="J523" i="24"/>
  <c r="J539" i="24"/>
  <c r="K539" i="24" s="1"/>
  <c r="J547" i="24"/>
  <c r="H75" i="24"/>
  <c r="I75" i="24"/>
  <c r="G75" i="24"/>
  <c r="J82" i="24"/>
  <c r="G92" i="24"/>
  <c r="I92" i="24"/>
  <c r="H92" i="24"/>
  <c r="H101" i="24"/>
  <c r="G101" i="24"/>
  <c r="I101" i="24"/>
  <c r="G185" i="24"/>
  <c r="H185" i="24"/>
  <c r="I185" i="24"/>
  <c r="G201" i="24"/>
  <c r="H201" i="24"/>
  <c r="I201" i="24"/>
  <c r="J267" i="24"/>
  <c r="F323" i="24"/>
  <c r="E323" i="24"/>
  <c r="D323" i="24"/>
  <c r="F387" i="24"/>
  <c r="D387" i="24"/>
  <c r="E387" i="24"/>
  <c r="J498" i="24"/>
  <c r="J522" i="24"/>
  <c r="J538" i="24"/>
  <c r="J572" i="24"/>
  <c r="K573" i="24" s="1"/>
  <c r="K593" i="24"/>
  <c r="F594" i="24"/>
  <c r="D594" i="24"/>
  <c r="E594" i="24"/>
  <c r="G11" i="24"/>
  <c r="H11" i="24"/>
  <c r="I11" i="24"/>
  <c r="F18" i="24"/>
  <c r="D18" i="24"/>
  <c r="E18" i="24"/>
  <c r="G34" i="24"/>
  <c r="I34" i="24"/>
  <c r="H34" i="24"/>
  <c r="F10" i="24"/>
  <c r="D10" i="24"/>
  <c r="E10" i="24"/>
  <c r="G38" i="24"/>
  <c r="H38" i="24"/>
  <c r="I38" i="24"/>
  <c r="J40" i="24"/>
  <c r="K41" i="24" s="1"/>
  <c r="F71" i="24"/>
  <c r="D71" i="24"/>
  <c r="J71" i="24" s="1"/>
  <c r="K71" i="24" s="1"/>
  <c r="E71" i="24"/>
  <c r="F103" i="24"/>
  <c r="E103" i="24"/>
  <c r="D103" i="24"/>
  <c r="G116" i="24"/>
  <c r="H116" i="24"/>
  <c r="I116" i="24"/>
  <c r="F119" i="24"/>
  <c r="D119" i="24"/>
  <c r="E119" i="24"/>
  <c r="K272" i="24"/>
  <c r="K310" i="24"/>
  <c r="K394" i="24"/>
  <c r="H58" i="24"/>
  <c r="G58" i="24"/>
  <c r="J58" i="24" s="1"/>
  <c r="K58" i="24" s="1"/>
  <c r="I58" i="24"/>
  <c r="F83" i="24"/>
  <c r="E83" i="24"/>
  <c r="D83" i="24"/>
  <c r="J83" i="24" s="1"/>
  <c r="K83" i="24" s="1"/>
  <c r="F147" i="24"/>
  <c r="E147" i="24"/>
  <c r="D147" i="24"/>
  <c r="J147" i="24" s="1"/>
  <c r="K147" i="24" s="1"/>
  <c r="D92" i="24"/>
  <c r="E92" i="24"/>
  <c r="F92" i="24"/>
  <c r="H123" i="24"/>
  <c r="I123" i="24"/>
  <c r="G123" i="24"/>
  <c r="G140" i="24"/>
  <c r="J140" i="24" s="1"/>
  <c r="I140" i="24"/>
  <c r="H140" i="24"/>
  <c r="G152" i="24"/>
  <c r="H152" i="24"/>
  <c r="I152" i="24"/>
  <c r="G178" i="24"/>
  <c r="H178" i="24"/>
  <c r="I178" i="24"/>
  <c r="F221" i="24"/>
  <c r="E221" i="24"/>
  <c r="D221" i="24"/>
  <c r="G242" i="24"/>
  <c r="J242" i="24" s="1"/>
  <c r="K243" i="24" s="1"/>
  <c r="H242" i="24"/>
  <c r="I242" i="24"/>
  <c r="F287" i="24"/>
  <c r="E287" i="24"/>
  <c r="D287" i="24"/>
  <c r="H307" i="24"/>
  <c r="G307" i="24"/>
  <c r="I307" i="24"/>
  <c r="D320" i="24"/>
  <c r="E320" i="24"/>
  <c r="F320" i="24"/>
  <c r="G348" i="24"/>
  <c r="I348" i="24"/>
  <c r="H348" i="24"/>
  <c r="F400" i="24"/>
  <c r="D400" i="24"/>
  <c r="E400" i="24"/>
  <c r="E416" i="24"/>
  <c r="F416" i="24"/>
  <c r="D416" i="24"/>
  <c r="F431" i="24"/>
  <c r="D431" i="24"/>
  <c r="J431" i="24" s="1"/>
  <c r="K431" i="24" s="1"/>
  <c r="E431" i="24"/>
  <c r="E448" i="24"/>
  <c r="F448" i="24"/>
  <c r="D448" i="24"/>
  <c r="G481" i="24"/>
  <c r="I481" i="24"/>
  <c r="H481" i="24"/>
  <c r="F488" i="24"/>
  <c r="D488" i="24"/>
  <c r="E488" i="24"/>
  <c r="K523" i="24"/>
  <c r="G529" i="24"/>
  <c r="J529" i="24" s="1"/>
  <c r="H529" i="24"/>
  <c r="I529" i="24"/>
  <c r="G545" i="24"/>
  <c r="J545" i="24" s="1"/>
  <c r="H545" i="24"/>
  <c r="I545" i="24"/>
  <c r="F552" i="24"/>
  <c r="D552" i="24"/>
  <c r="E552" i="24"/>
  <c r="F568" i="24"/>
  <c r="D568" i="24"/>
  <c r="E568" i="24"/>
  <c r="G579" i="24"/>
  <c r="I579" i="24"/>
  <c r="H579" i="24"/>
  <c r="G587" i="24"/>
  <c r="I587" i="24"/>
  <c r="H587" i="24"/>
  <c r="H155" i="24"/>
  <c r="I155" i="24"/>
  <c r="G155" i="24"/>
  <c r="G277" i="24"/>
  <c r="J277" i="24" s="1"/>
  <c r="K277" i="24" s="1"/>
  <c r="I277" i="24"/>
  <c r="H277" i="24"/>
  <c r="F391" i="24"/>
  <c r="J391" i="24" s="1"/>
  <c r="K391" i="24" s="1"/>
  <c r="D391" i="24"/>
  <c r="E391" i="24"/>
  <c r="D104" i="24"/>
  <c r="E104" i="24"/>
  <c r="F104" i="24"/>
  <c r="G206" i="24"/>
  <c r="H206" i="24"/>
  <c r="I206" i="24"/>
  <c r="F249" i="24"/>
  <c r="D249" i="24"/>
  <c r="E249" i="24"/>
  <c r="G304" i="24"/>
  <c r="H304" i="24"/>
  <c r="I304" i="24"/>
  <c r="G448" i="24"/>
  <c r="J448" i="24" s="1"/>
  <c r="H448" i="24"/>
  <c r="I448" i="24"/>
  <c r="J542" i="24"/>
  <c r="J77" i="24"/>
  <c r="H89" i="24"/>
  <c r="I89" i="24"/>
  <c r="G89" i="24"/>
  <c r="J89" i="24" s="1"/>
  <c r="K90" i="24" s="1"/>
  <c r="F107" i="24"/>
  <c r="D107" i="24"/>
  <c r="E107" i="24"/>
  <c r="F193" i="24"/>
  <c r="D193" i="24"/>
  <c r="E193" i="24"/>
  <c r="J199" i="24"/>
  <c r="K199" i="24" s="1"/>
  <c r="G209" i="24"/>
  <c r="H209" i="24"/>
  <c r="I209" i="24"/>
  <c r="G214" i="24"/>
  <c r="H214" i="24"/>
  <c r="I214" i="24"/>
  <c r="F241" i="24"/>
  <c r="D241" i="24"/>
  <c r="E241" i="24"/>
  <c r="G278" i="24"/>
  <c r="J278" i="24" s="1"/>
  <c r="K279" i="24" s="1"/>
  <c r="H278" i="24"/>
  <c r="I278" i="24"/>
  <c r="H349" i="24"/>
  <c r="G349" i="24"/>
  <c r="I349" i="24"/>
  <c r="J362" i="24"/>
  <c r="K362" i="24" s="1"/>
  <c r="J409" i="24"/>
  <c r="K438" i="24"/>
  <c r="E507" i="24"/>
  <c r="D507" i="24"/>
  <c r="J507" i="24" s="1"/>
  <c r="K507" i="24" s="1"/>
  <c r="F507" i="24"/>
  <c r="E511" i="24"/>
  <c r="F511" i="24"/>
  <c r="D511" i="24"/>
  <c r="J511" i="24" s="1"/>
  <c r="K511" i="24" s="1"/>
  <c r="G520" i="24"/>
  <c r="H520" i="24"/>
  <c r="I520" i="24"/>
  <c r="G55" i="24"/>
  <c r="H55" i="24"/>
  <c r="I55" i="24"/>
  <c r="H56" i="24"/>
  <c r="I56" i="24"/>
  <c r="G56" i="24"/>
  <c r="D117" i="24"/>
  <c r="F117" i="24"/>
  <c r="E117" i="24"/>
  <c r="K117" i="24"/>
  <c r="G202" i="24"/>
  <c r="H202" i="24"/>
  <c r="I202" i="24"/>
  <c r="F245" i="24"/>
  <c r="E245" i="24"/>
  <c r="D245" i="24"/>
  <c r="F343" i="24"/>
  <c r="D343" i="24"/>
  <c r="J343" i="24" s="1"/>
  <c r="K343" i="24" s="1"/>
  <c r="E343" i="24"/>
  <c r="J357" i="24"/>
  <c r="K358" i="24" s="1"/>
  <c r="G420" i="24"/>
  <c r="I420" i="24"/>
  <c r="H420" i="24"/>
  <c r="K583" i="24"/>
  <c r="K584" i="24"/>
  <c r="K33" i="24"/>
  <c r="K49" i="24"/>
  <c r="F22" i="24"/>
  <c r="D22" i="24"/>
  <c r="E22" i="24"/>
  <c r="F167" i="24"/>
  <c r="E167" i="24"/>
  <c r="D167" i="24"/>
  <c r="J167" i="24" s="1"/>
  <c r="K167" i="24" s="1"/>
  <c r="K192" i="24"/>
  <c r="K216" i="24"/>
  <c r="K264" i="24"/>
  <c r="K268" i="24"/>
  <c r="G18" i="24"/>
  <c r="I18" i="24"/>
  <c r="H18" i="24"/>
  <c r="G23" i="24"/>
  <c r="H23" i="24"/>
  <c r="I23" i="24"/>
  <c r="G10" i="24"/>
  <c r="H10" i="24"/>
  <c r="I10" i="24"/>
  <c r="G51" i="24"/>
  <c r="J51" i="24" s="1"/>
  <c r="H51" i="24"/>
  <c r="I51" i="24"/>
  <c r="F54" i="24"/>
  <c r="E54" i="24"/>
  <c r="D54" i="24"/>
  <c r="J54" i="24" s="1"/>
  <c r="K54" i="24" s="1"/>
  <c r="H44" i="24"/>
  <c r="I44" i="24"/>
  <c r="G44" i="24"/>
  <c r="K286" i="24"/>
  <c r="K298" i="24"/>
  <c r="K314" i="24"/>
  <c r="K402" i="24"/>
  <c r="G19" i="24"/>
  <c r="H19" i="24"/>
  <c r="I19" i="24"/>
  <c r="G35" i="24"/>
  <c r="H35" i="24"/>
  <c r="I35" i="24"/>
  <c r="F58" i="24"/>
  <c r="E58" i="24"/>
  <c r="D58" i="24"/>
  <c r="G59" i="24"/>
  <c r="J59" i="24" s="1"/>
  <c r="K59" i="24" s="1"/>
  <c r="I59" i="24"/>
  <c r="H59" i="24"/>
  <c r="K163" i="24"/>
  <c r="G15" i="24"/>
  <c r="J15" i="24" s="1"/>
  <c r="H15" i="24"/>
  <c r="I15" i="24"/>
  <c r="J78" i="24"/>
  <c r="K78" i="24" s="1"/>
  <c r="D88" i="24"/>
  <c r="E88" i="24"/>
  <c r="F88" i="24"/>
  <c r="J93" i="24"/>
  <c r="F123" i="24"/>
  <c r="D123" i="24"/>
  <c r="E123" i="24"/>
  <c r="D152" i="24"/>
  <c r="F152" i="24"/>
  <c r="E152" i="24"/>
  <c r="J157" i="24"/>
  <c r="J211" i="24"/>
  <c r="J243" i="24"/>
  <c r="J275" i="24"/>
  <c r="K276" i="24" s="1"/>
  <c r="G292" i="24"/>
  <c r="H292" i="24"/>
  <c r="I292" i="24"/>
  <c r="H305" i="24"/>
  <c r="I305" i="24"/>
  <c r="G305" i="24"/>
  <c r="J305" i="24" s="1"/>
  <c r="K306" i="24" s="1"/>
  <c r="H321" i="24"/>
  <c r="I321" i="24"/>
  <c r="G321" i="24"/>
  <c r="D333" i="24"/>
  <c r="E333" i="24"/>
  <c r="F333" i="24"/>
  <c r="D365" i="24"/>
  <c r="E365" i="24"/>
  <c r="F365" i="24"/>
  <c r="H371" i="24"/>
  <c r="I371" i="24"/>
  <c r="G371" i="24"/>
  <c r="E384" i="24"/>
  <c r="D384" i="24"/>
  <c r="F384" i="24"/>
  <c r="F399" i="24"/>
  <c r="D399" i="24"/>
  <c r="J399" i="24" s="1"/>
  <c r="K399" i="24" s="1"/>
  <c r="E399" i="24"/>
  <c r="H435" i="24"/>
  <c r="G435" i="24"/>
  <c r="I435" i="24"/>
  <c r="H449" i="24"/>
  <c r="I449" i="24"/>
  <c r="G449" i="24"/>
  <c r="G473" i="24"/>
  <c r="J473" i="24" s="1"/>
  <c r="I473" i="24"/>
  <c r="H473" i="24"/>
  <c r="F480" i="24"/>
  <c r="D480" i="24"/>
  <c r="E480" i="24"/>
  <c r="G489" i="24"/>
  <c r="I489" i="24"/>
  <c r="H489" i="24"/>
  <c r="F496" i="24"/>
  <c r="D496" i="24"/>
  <c r="E496" i="24"/>
  <c r="F512" i="24"/>
  <c r="D512" i="24"/>
  <c r="E512" i="24"/>
  <c r="G537" i="24"/>
  <c r="H537" i="24"/>
  <c r="I537" i="24"/>
  <c r="G553" i="24"/>
  <c r="H553" i="24"/>
  <c r="I553" i="24"/>
  <c r="G569" i="24"/>
  <c r="H569" i="24"/>
  <c r="I569" i="24"/>
  <c r="F578" i="24"/>
  <c r="D578" i="24"/>
  <c r="E578" i="24"/>
  <c r="F586" i="24"/>
  <c r="D586" i="24"/>
  <c r="J586" i="24" s="1"/>
  <c r="E586" i="24"/>
  <c r="J145" i="24"/>
  <c r="G186" i="24"/>
  <c r="H186" i="24"/>
  <c r="I186" i="24"/>
  <c r="G282" i="24"/>
  <c r="J282" i="24" s="1"/>
  <c r="K283" i="24" s="1"/>
  <c r="H282" i="24"/>
  <c r="I282" i="24"/>
  <c r="J290" i="24"/>
  <c r="J358" i="24"/>
  <c r="J422" i="24"/>
  <c r="K422" i="24" s="1"/>
  <c r="J454" i="24"/>
  <c r="K454" i="24" s="1"/>
  <c r="J475" i="24"/>
  <c r="K475" i="24" s="1"/>
  <c r="J499" i="24"/>
  <c r="K499" i="24" s="1"/>
  <c r="F14" i="24"/>
  <c r="D14" i="24"/>
  <c r="E14" i="24"/>
  <c r="J16" i="24"/>
  <c r="G104" i="24"/>
  <c r="H104" i="24"/>
  <c r="I104" i="24"/>
  <c r="J146" i="24"/>
  <c r="K146" i="24" s="1"/>
  <c r="G156" i="24"/>
  <c r="I156" i="24"/>
  <c r="H156" i="24"/>
  <c r="H165" i="24"/>
  <c r="G165" i="24"/>
  <c r="I165" i="24"/>
  <c r="G190" i="24"/>
  <c r="H190" i="24"/>
  <c r="I190" i="24"/>
  <c r="J235" i="24"/>
  <c r="G249" i="24"/>
  <c r="I249" i="24"/>
  <c r="H249" i="24"/>
  <c r="G281" i="24"/>
  <c r="H281" i="24"/>
  <c r="I281" i="24"/>
  <c r="G432" i="24"/>
  <c r="J432" i="24" s="1"/>
  <c r="K432" i="24" s="1"/>
  <c r="H432" i="24"/>
  <c r="I432" i="24"/>
  <c r="G43" i="24"/>
  <c r="H43" i="24"/>
  <c r="I43" i="24"/>
  <c r="H107" i="24"/>
  <c r="I107" i="24"/>
  <c r="G107" i="24"/>
  <c r="J107" i="24" s="1"/>
  <c r="J114" i="24"/>
  <c r="K114" i="24" s="1"/>
  <c r="H133" i="24"/>
  <c r="G133" i="24"/>
  <c r="I133" i="24"/>
  <c r="J161" i="24"/>
  <c r="K162" i="24" s="1"/>
  <c r="F171" i="24"/>
  <c r="D171" i="24"/>
  <c r="E171" i="24"/>
  <c r="J188" i="24"/>
  <c r="K188" i="24" s="1"/>
  <c r="G193" i="24"/>
  <c r="H193" i="24"/>
  <c r="I193" i="24"/>
  <c r="G198" i="24"/>
  <c r="J198" i="24" s="1"/>
  <c r="H198" i="24"/>
  <c r="I198" i="24"/>
  <c r="F209" i="24"/>
  <c r="D209" i="24"/>
  <c r="E209" i="24"/>
  <c r="J236" i="24"/>
  <c r="G241" i="24"/>
  <c r="H241" i="24"/>
  <c r="I241" i="24"/>
  <c r="G246" i="24"/>
  <c r="H246" i="24"/>
  <c r="I246" i="24"/>
  <c r="J286" i="24"/>
  <c r="G296" i="24"/>
  <c r="H296" i="24"/>
  <c r="I296" i="24"/>
  <c r="J313" i="24"/>
  <c r="J329" i="24"/>
  <c r="F331" i="24"/>
  <c r="E331" i="24"/>
  <c r="D331" i="24"/>
  <c r="G344" i="24"/>
  <c r="H344" i="24"/>
  <c r="I344" i="24"/>
  <c r="J361" i="24"/>
  <c r="F363" i="24"/>
  <c r="E363" i="24"/>
  <c r="D363" i="24"/>
  <c r="J363" i="24" s="1"/>
  <c r="K363" i="24" s="1"/>
  <c r="J377" i="24"/>
  <c r="F379" i="24"/>
  <c r="E379" i="24"/>
  <c r="D379" i="24"/>
  <c r="J379" i="24" s="1"/>
  <c r="K379" i="24" s="1"/>
  <c r="J393" i="24"/>
  <c r="G424" i="24"/>
  <c r="H424" i="24"/>
  <c r="I424" i="24"/>
  <c r="G440" i="24"/>
  <c r="H440" i="24"/>
  <c r="I440" i="24"/>
  <c r="K17" i="24"/>
  <c r="K29" i="24"/>
  <c r="K37" i="24"/>
  <c r="K65" i="24"/>
  <c r="K16" i="24"/>
  <c r="F42" i="24"/>
  <c r="D42" i="24"/>
  <c r="E42" i="24"/>
  <c r="K42" i="24"/>
  <c r="G22" i="24"/>
  <c r="H22" i="24"/>
  <c r="I22" i="24"/>
  <c r="G27" i="24"/>
  <c r="H27" i="24"/>
  <c r="I27" i="24"/>
  <c r="G67" i="24"/>
  <c r="H67" i="24"/>
  <c r="I67" i="24"/>
  <c r="K94" i="24"/>
  <c r="K126" i="24"/>
  <c r="J12" i="24"/>
  <c r="K13" i="24" s="1"/>
  <c r="J42" i="24"/>
  <c r="J52" i="24"/>
  <c r="K53" i="24" s="1"/>
  <c r="F135" i="24"/>
  <c r="D135" i="24"/>
  <c r="E135" i="24"/>
  <c r="G148" i="24"/>
  <c r="H148" i="24"/>
  <c r="I148" i="24"/>
  <c r="F151" i="24"/>
  <c r="D151" i="24"/>
  <c r="E151" i="24"/>
  <c r="G164" i="24"/>
  <c r="H164" i="24"/>
  <c r="I164" i="24"/>
  <c r="K180" i="24"/>
  <c r="K196" i="24"/>
  <c r="K204" i="24"/>
  <c r="K212" i="24"/>
  <c r="K228" i="24"/>
  <c r="K236" i="24"/>
  <c r="K240" i="24"/>
  <c r="K260" i="24"/>
  <c r="K290" i="24"/>
  <c r="K326" i="24"/>
  <c r="K346" i="24"/>
  <c r="K386" i="24"/>
  <c r="K410" i="24"/>
  <c r="J8" i="24"/>
  <c r="K9" i="24" s="1"/>
  <c r="D19" i="24"/>
  <c r="E19" i="24"/>
  <c r="F19" i="24"/>
  <c r="G26" i="24"/>
  <c r="J26" i="24" s="1"/>
  <c r="K26" i="24" s="1"/>
  <c r="H26" i="24"/>
  <c r="I26" i="24"/>
  <c r="J28" i="24"/>
  <c r="D35" i="24"/>
  <c r="E35" i="24"/>
  <c r="F35" i="24"/>
  <c r="F46" i="24"/>
  <c r="D46" i="24"/>
  <c r="E46" i="24"/>
  <c r="K99" i="24"/>
  <c r="K280" i="24"/>
  <c r="H85" i="24"/>
  <c r="G85" i="24"/>
  <c r="I85" i="24"/>
  <c r="H105" i="24"/>
  <c r="I105" i="24"/>
  <c r="G105" i="24"/>
  <c r="J105" i="24" s="1"/>
  <c r="K106" i="24" s="1"/>
  <c r="D121" i="24"/>
  <c r="E121" i="24"/>
  <c r="F121" i="24"/>
  <c r="I127" i="24"/>
  <c r="G127" i="24"/>
  <c r="H127" i="24"/>
  <c r="H149" i="24"/>
  <c r="G149" i="24"/>
  <c r="I149" i="24"/>
  <c r="H169" i="24"/>
  <c r="I169" i="24"/>
  <c r="G169" i="24"/>
  <c r="G173" i="24"/>
  <c r="I173" i="24"/>
  <c r="H173" i="24"/>
  <c r="D174" i="24"/>
  <c r="F174" i="24"/>
  <c r="E174" i="24"/>
  <c r="F189" i="24"/>
  <c r="D189" i="24"/>
  <c r="E189" i="24"/>
  <c r="G205" i="24"/>
  <c r="I205" i="24"/>
  <c r="H205" i="24"/>
  <c r="D206" i="24"/>
  <c r="F206" i="24"/>
  <c r="E206" i="24"/>
  <c r="G237" i="24"/>
  <c r="I237" i="24"/>
  <c r="H237" i="24"/>
  <c r="D238" i="24"/>
  <c r="E238" i="24"/>
  <c r="F238" i="24"/>
  <c r="F253" i="24"/>
  <c r="E253" i="24"/>
  <c r="D253" i="24"/>
  <c r="G269" i="24"/>
  <c r="I269" i="24"/>
  <c r="H269" i="24"/>
  <c r="D270" i="24"/>
  <c r="F270" i="24"/>
  <c r="E270" i="24"/>
  <c r="D301" i="24"/>
  <c r="E301" i="24"/>
  <c r="J301" i="24" s="1"/>
  <c r="F301" i="24"/>
  <c r="D317" i="24"/>
  <c r="E317" i="24"/>
  <c r="F317" i="24"/>
  <c r="E336" i="24"/>
  <c r="D336" i="24"/>
  <c r="F336" i="24"/>
  <c r="H339" i="24"/>
  <c r="I339" i="24"/>
  <c r="G339" i="24"/>
  <c r="E352" i="24"/>
  <c r="D352" i="24"/>
  <c r="F352" i="24"/>
  <c r="H355" i="24"/>
  <c r="I355" i="24"/>
  <c r="G355" i="24"/>
  <c r="G380" i="24"/>
  <c r="I380" i="24"/>
  <c r="H380" i="24"/>
  <c r="D397" i="24"/>
  <c r="E397" i="24"/>
  <c r="F397" i="24"/>
  <c r="D413" i="24"/>
  <c r="J413" i="24" s="1"/>
  <c r="E413" i="24"/>
  <c r="F413" i="24"/>
  <c r="G428" i="24"/>
  <c r="J428" i="24" s="1"/>
  <c r="K428" i="24" s="1"/>
  <c r="H428" i="24"/>
  <c r="I428" i="24"/>
  <c r="F468" i="24"/>
  <c r="E468" i="24"/>
  <c r="D468" i="24"/>
  <c r="F476" i="24"/>
  <c r="D476" i="24"/>
  <c r="J476" i="24" s="1"/>
  <c r="K476" i="24" s="1"/>
  <c r="E476" i="24"/>
  <c r="F484" i="24"/>
  <c r="E484" i="24"/>
  <c r="D484" i="24"/>
  <c r="J484" i="24" s="1"/>
  <c r="K484" i="24" s="1"/>
  <c r="F492" i="24"/>
  <c r="E492" i="24"/>
  <c r="D492" i="24"/>
  <c r="K495" i="24"/>
  <c r="F500" i="24"/>
  <c r="D500" i="24"/>
  <c r="E500" i="24"/>
  <c r="F508" i="24"/>
  <c r="J508" i="24" s="1"/>
  <c r="K508" i="24" s="1"/>
  <c r="E508" i="24"/>
  <c r="D508" i="24"/>
  <c r="F516" i="24"/>
  <c r="J516" i="24" s="1"/>
  <c r="K516" i="24" s="1"/>
  <c r="E516" i="24"/>
  <c r="D516" i="24"/>
  <c r="F524" i="24"/>
  <c r="D524" i="24"/>
  <c r="E524" i="24"/>
  <c r="F532" i="24"/>
  <c r="D532" i="24"/>
  <c r="E532" i="24"/>
  <c r="F540" i="24"/>
  <c r="D540" i="24"/>
  <c r="E540" i="24"/>
  <c r="J540" i="24" s="1"/>
  <c r="K540" i="24" s="1"/>
  <c r="F548" i="24"/>
  <c r="D548" i="24"/>
  <c r="E548" i="24"/>
  <c r="J548" i="24" s="1"/>
  <c r="K548" i="24" s="1"/>
  <c r="F556" i="24"/>
  <c r="D556" i="24"/>
  <c r="E556" i="24"/>
  <c r="J556" i="24" s="1"/>
  <c r="K556" i="24" s="1"/>
  <c r="K559" i="24"/>
  <c r="F564" i="24"/>
  <c r="D564" i="24"/>
  <c r="E564" i="24"/>
  <c r="F570" i="24"/>
  <c r="D570" i="24"/>
  <c r="E570" i="24"/>
  <c r="F582" i="24"/>
  <c r="E582" i="24"/>
  <c r="D582" i="24"/>
  <c r="K589" i="24"/>
  <c r="G591" i="24"/>
  <c r="H591" i="24"/>
  <c r="I591" i="24"/>
  <c r="G213" i="24"/>
  <c r="I213" i="24"/>
  <c r="H213" i="24"/>
  <c r="G229" i="24"/>
  <c r="I229" i="24"/>
  <c r="H229" i="24"/>
  <c r="J256" i="24"/>
  <c r="K256" i="24" s="1"/>
  <c r="G308" i="24"/>
  <c r="I308" i="24"/>
  <c r="H308" i="24"/>
  <c r="F311" i="24"/>
  <c r="D311" i="24"/>
  <c r="J311" i="24" s="1"/>
  <c r="K311" i="24" s="1"/>
  <c r="E311" i="24"/>
  <c r="G340" i="24"/>
  <c r="I340" i="24"/>
  <c r="H340" i="24"/>
  <c r="F375" i="24"/>
  <c r="D375" i="24"/>
  <c r="E375" i="24"/>
  <c r="J375" i="24"/>
  <c r="K375" i="24" s="1"/>
  <c r="F407" i="24"/>
  <c r="D407" i="24"/>
  <c r="J407" i="24" s="1"/>
  <c r="K407" i="24" s="1"/>
  <c r="E407" i="24"/>
  <c r="G436" i="24"/>
  <c r="I436" i="24"/>
  <c r="H436" i="24"/>
  <c r="J527" i="24"/>
  <c r="K527" i="24" s="1"/>
  <c r="J535" i="24"/>
  <c r="K535" i="24" s="1"/>
  <c r="I66" i="24"/>
  <c r="G66" i="24"/>
  <c r="H66" i="24"/>
  <c r="G168" i="24"/>
  <c r="H168" i="24"/>
  <c r="I168" i="24"/>
  <c r="J187" i="24"/>
  <c r="F217" i="24"/>
  <c r="D217" i="24"/>
  <c r="E217" i="24"/>
  <c r="G222" i="24"/>
  <c r="H222" i="24"/>
  <c r="I222" i="24"/>
  <c r="F265" i="24"/>
  <c r="D265" i="24"/>
  <c r="E265" i="24"/>
  <c r="J285" i="24"/>
  <c r="F307" i="24"/>
  <c r="E307" i="24"/>
  <c r="D307" i="24"/>
  <c r="G416" i="24"/>
  <c r="H416" i="24"/>
  <c r="I416" i="24"/>
  <c r="F435" i="24"/>
  <c r="E435" i="24"/>
  <c r="D435" i="24"/>
  <c r="J486" i="24"/>
  <c r="J518" i="24"/>
  <c r="K518" i="24" s="1"/>
  <c r="J558" i="24"/>
  <c r="G72" i="24"/>
  <c r="J72" i="24" s="1"/>
  <c r="K72" i="24" s="1"/>
  <c r="H72" i="24"/>
  <c r="I72" i="24"/>
  <c r="J97" i="24"/>
  <c r="K98" i="24" s="1"/>
  <c r="K107" i="24"/>
  <c r="J126" i="24"/>
  <c r="G136" i="24"/>
  <c r="H136" i="24"/>
  <c r="I136" i="24"/>
  <c r="H153" i="24"/>
  <c r="I153" i="24"/>
  <c r="G153" i="24"/>
  <c r="J153" i="24" s="1"/>
  <c r="K154" i="24" s="1"/>
  <c r="F177" i="24"/>
  <c r="D177" i="24"/>
  <c r="E177" i="24"/>
  <c r="J183" i="24"/>
  <c r="K184" i="24" s="1"/>
  <c r="F225" i="24"/>
  <c r="D225" i="24"/>
  <c r="E225" i="24"/>
  <c r="J231" i="24"/>
  <c r="J252" i="24"/>
  <c r="K252" i="24" s="1"/>
  <c r="G257" i="24"/>
  <c r="H257" i="24"/>
  <c r="I257" i="24"/>
  <c r="G262" i="24"/>
  <c r="J262" i="24" s="1"/>
  <c r="K263" i="24" s="1"/>
  <c r="H262" i="24"/>
  <c r="I262" i="24"/>
  <c r="F273" i="24"/>
  <c r="D273" i="24"/>
  <c r="E273" i="24"/>
  <c r="G291" i="24"/>
  <c r="H291" i="24"/>
  <c r="I291" i="24"/>
  <c r="J298" i="24"/>
  <c r="G312" i="24"/>
  <c r="J312" i="24" s="1"/>
  <c r="K313" i="24" s="1"/>
  <c r="H312" i="24"/>
  <c r="I312" i="24"/>
  <c r="F315" i="24"/>
  <c r="E315" i="24"/>
  <c r="D315" i="24"/>
  <c r="G328" i="24"/>
  <c r="H328" i="24"/>
  <c r="I328" i="24"/>
  <c r="F332" i="24"/>
  <c r="D332" i="24"/>
  <c r="E332" i="24"/>
  <c r="J346" i="24"/>
  <c r="G367" i="24"/>
  <c r="H367" i="24"/>
  <c r="I367" i="24"/>
  <c r="G376" i="24"/>
  <c r="H376" i="24"/>
  <c r="I376" i="24"/>
  <c r="H381" i="24"/>
  <c r="G381" i="24"/>
  <c r="I381" i="24"/>
  <c r="G392" i="24"/>
  <c r="J392" i="24" s="1"/>
  <c r="H392" i="24"/>
  <c r="I392" i="24"/>
  <c r="F395" i="24"/>
  <c r="E395" i="24"/>
  <c r="D395" i="24"/>
  <c r="K406" i="24"/>
  <c r="F427" i="24"/>
  <c r="E427" i="24"/>
  <c r="D427" i="24"/>
  <c r="J427" i="24" s="1"/>
  <c r="K427" i="24" s="1"/>
  <c r="J442" i="24"/>
  <c r="K442" i="24" s="1"/>
  <c r="H445" i="24"/>
  <c r="G445" i="24"/>
  <c r="J445" i="24" s="1"/>
  <c r="K446" i="24" s="1"/>
  <c r="I445" i="24"/>
  <c r="G456" i="24"/>
  <c r="H456" i="24"/>
  <c r="I456" i="24"/>
  <c r="J458" i="24"/>
  <c r="K458" i="24" s="1"/>
  <c r="H480" i="24"/>
  <c r="G480" i="24"/>
  <c r="I480" i="24"/>
  <c r="H496" i="24"/>
  <c r="G496" i="24"/>
  <c r="I496" i="24"/>
  <c r="H524" i="24"/>
  <c r="G524" i="24"/>
  <c r="I524" i="24"/>
  <c r="K530" i="24"/>
  <c r="H532" i="24"/>
  <c r="I532" i="24"/>
  <c r="G532" i="24"/>
  <c r="G544" i="24"/>
  <c r="H544" i="24"/>
  <c r="I544" i="24"/>
  <c r="K580" i="24"/>
  <c r="I582" i="24"/>
  <c r="G582" i="24"/>
  <c r="H582" i="24"/>
  <c r="E589" i="24"/>
  <c r="F589" i="24"/>
  <c r="D589" i="24"/>
  <c r="J589" i="24" s="1"/>
  <c r="F30" i="24"/>
  <c r="D30" i="24"/>
  <c r="E30" i="24"/>
  <c r="J32" i="24"/>
  <c r="J60" i="24"/>
  <c r="K61" i="24" s="1"/>
  <c r="H73" i="24"/>
  <c r="I73" i="24"/>
  <c r="G73" i="24"/>
  <c r="F79" i="24"/>
  <c r="D79" i="24"/>
  <c r="J79" i="24" s="1"/>
  <c r="K79" i="24" s="1"/>
  <c r="E79" i="24"/>
  <c r="H91" i="24"/>
  <c r="I91" i="24"/>
  <c r="G91" i="24"/>
  <c r="J91" i="24" s="1"/>
  <c r="K91" i="24" s="1"/>
  <c r="G120" i="24"/>
  <c r="H120" i="24"/>
  <c r="I120" i="24"/>
  <c r="F261" i="24"/>
  <c r="E261" i="24"/>
  <c r="D261" i="24"/>
  <c r="G266" i="24"/>
  <c r="H266" i="24"/>
  <c r="I266" i="24"/>
  <c r="G372" i="24"/>
  <c r="I372" i="24"/>
  <c r="H372" i="24"/>
  <c r="G404" i="24"/>
  <c r="I404" i="24"/>
  <c r="H404" i="24"/>
  <c r="J438" i="24"/>
  <c r="J479" i="24"/>
  <c r="K479" i="24" s="1"/>
  <c r="J487" i="24"/>
  <c r="K487" i="24" s="1"/>
  <c r="J503" i="24"/>
  <c r="J519" i="24"/>
  <c r="K519" i="24" s="1"/>
  <c r="J531" i="24"/>
  <c r="K591" i="24"/>
  <c r="K595" i="24"/>
  <c r="H121" i="24"/>
  <c r="I121" i="24"/>
  <c r="G121" i="24"/>
  <c r="F127" i="24"/>
  <c r="D127" i="24"/>
  <c r="E127" i="24"/>
  <c r="F139" i="24"/>
  <c r="D139" i="24"/>
  <c r="E139" i="24"/>
  <c r="F233" i="24"/>
  <c r="D233" i="24"/>
  <c r="E233" i="24"/>
  <c r="J251" i="24"/>
  <c r="K251" i="24" s="1"/>
  <c r="G320" i="24"/>
  <c r="H320" i="24"/>
  <c r="I320" i="24"/>
  <c r="F339" i="24"/>
  <c r="E339" i="24"/>
  <c r="D339" i="24"/>
  <c r="F355" i="24"/>
  <c r="D355" i="24"/>
  <c r="E355" i="24"/>
  <c r="F371" i="24"/>
  <c r="D371" i="24"/>
  <c r="E371" i="24"/>
  <c r="J466" i="24"/>
  <c r="K467" i="24" s="1"/>
  <c r="J482" i="24"/>
  <c r="J506" i="24"/>
  <c r="J562" i="24"/>
  <c r="K563" i="24" s="1"/>
  <c r="J580" i="24"/>
  <c r="J335" i="24"/>
  <c r="K335" i="24" s="1"/>
  <c r="B7" i="25" l="1" a="1"/>
  <c r="B7" i="25" s="1"/>
  <c r="B8" i="25" a="1"/>
  <c r="B8" i="25" s="1"/>
  <c r="C9" i="25" a="1"/>
  <c r="C9" i="25" s="1"/>
  <c r="C10" i="25" s="1" a="1"/>
  <c r="C10" i="25" s="1"/>
  <c r="K329" i="24"/>
  <c r="K448" i="24"/>
  <c r="K465" i="24"/>
  <c r="K302" i="24"/>
  <c r="K409" i="24"/>
  <c r="K426" i="24"/>
  <c r="K392" i="24"/>
  <c r="K413" i="24"/>
  <c r="K414" i="24"/>
  <c r="K473" i="24"/>
  <c r="K15" i="24"/>
  <c r="K502" i="24"/>
  <c r="K517" i="24"/>
  <c r="K62" i="24"/>
  <c r="K63" i="24"/>
  <c r="K68" i="24"/>
  <c r="K69" i="24"/>
  <c r="J217" i="24"/>
  <c r="K217" i="24" s="1"/>
  <c r="J594" i="24"/>
  <c r="J368" i="24"/>
  <c r="J168" i="24"/>
  <c r="K168" i="24" s="1"/>
  <c r="J436" i="24"/>
  <c r="J135" i="24"/>
  <c r="K135" i="24" s="1"/>
  <c r="J67" i="24"/>
  <c r="J440" i="24"/>
  <c r="K440" i="24" s="1"/>
  <c r="J344" i="24"/>
  <c r="J165" i="24"/>
  <c r="J104" i="24"/>
  <c r="J371" i="24"/>
  <c r="K371" i="24" s="1"/>
  <c r="J19" i="24"/>
  <c r="J420" i="24"/>
  <c r="J349" i="24"/>
  <c r="J481" i="24"/>
  <c r="J307" i="24"/>
  <c r="K307" i="24" s="1"/>
  <c r="J123" i="24"/>
  <c r="K123" i="24" s="1"/>
  <c r="J119" i="24"/>
  <c r="K119" i="24" s="1"/>
  <c r="J92" i="24"/>
  <c r="K92" i="24" s="1"/>
  <c r="K108" i="24"/>
  <c r="J504" i="24"/>
  <c r="J468" i="24"/>
  <c r="K468" i="24" s="1"/>
  <c r="J194" i="24"/>
  <c r="K158" i="24"/>
  <c r="J570" i="24"/>
  <c r="K570" i="24" s="1"/>
  <c r="K278" i="24"/>
  <c r="J39" i="24"/>
  <c r="J7" i="24"/>
  <c r="J233" i="24"/>
  <c r="K233" i="24" s="1"/>
  <c r="J452" i="24"/>
  <c r="J261" i="24"/>
  <c r="K261" i="24" s="1"/>
  <c r="J47" i="24"/>
  <c r="J397" i="24"/>
  <c r="J84" i="24"/>
  <c r="K84" i="24" s="1"/>
  <c r="J182" i="24"/>
  <c r="K182" i="24" s="1"/>
  <c r="J95" i="24"/>
  <c r="K95" i="24" s="1"/>
  <c r="J238" i="24"/>
  <c r="J541" i="24"/>
  <c r="K541" i="24" s="1"/>
  <c r="J533" i="24"/>
  <c r="J477" i="24"/>
  <c r="J469" i="24"/>
  <c r="J332" i="24"/>
  <c r="J316" i="24"/>
  <c r="J300" i="24"/>
  <c r="K300" i="24" s="1"/>
  <c r="J160" i="24"/>
  <c r="J144" i="24"/>
  <c r="K144" i="24" s="1"/>
  <c r="J80" i="24"/>
  <c r="K80" i="24" s="1"/>
  <c r="K60" i="24"/>
  <c r="J46" i="24"/>
  <c r="K46" i="24" s="1"/>
  <c r="J497" i="24"/>
  <c r="J444" i="24"/>
  <c r="K444" i="24" s="1"/>
  <c r="J76" i="24"/>
  <c r="K461" i="24"/>
  <c r="J384" i="24"/>
  <c r="J288" i="24"/>
  <c r="K445" i="24"/>
  <c r="J320" i="24"/>
  <c r="K320" i="24" s="1"/>
  <c r="J404" i="24"/>
  <c r="J266" i="24"/>
  <c r="J73" i="24"/>
  <c r="J524" i="24"/>
  <c r="K524" i="24" s="1"/>
  <c r="J456" i="24"/>
  <c r="J381" i="24"/>
  <c r="J376" i="24"/>
  <c r="K376" i="24" s="1"/>
  <c r="J136" i="24"/>
  <c r="K136" i="24" s="1"/>
  <c r="J340" i="24"/>
  <c r="J213" i="24"/>
  <c r="K213" i="24" s="1"/>
  <c r="K393" i="24"/>
  <c r="J237" i="24"/>
  <c r="K237" i="24" s="1"/>
  <c r="J205" i="24"/>
  <c r="K205" i="24" s="1"/>
  <c r="J169" i="24"/>
  <c r="J85" i="24"/>
  <c r="K330" i="24"/>
  <c r="J151" i="24"/>
  <c r="K151" i="24" s="1"/>
  <c r="J331" i="24"/>
  <c r="K331" i="24" s="1"/>
  <c r="J296" i="24"/>
  <c r="J246" i="24"/>
  <c r="J133" i="24"/>
  <c r="J249" i="24"/>
  <c r="K249" i="24" s="1"/>
  <c r="J553" i="24"/>
  <c r="J489" i="24"/>
  <c r="J321" i="24"/>
  <c r="J292" i="24"/>
  <c r="K275" i="24"/>
  <c r="J35" i="24"/>
  <c r="J44" i="24"/>
  <c r="J23" i="24"/>
  <c r="J56" i="24"/>
  <c r="J209" i="24"/>
  <c r="K209" i="24" s="1"/>
  <c r="J206" i="24"/>
  <c r="J155" i="24"/>
  <c r="K155" i="24" s="1"/>
  <c r="J579" i="24"/>
  <c r="J178" i="24"/>
  <c r="J103" i="24"/>
  <c r="K103" i="24" s="1"/>
  <c r="K81" i="24"/>
  <c r="J185" i="24"/>
  <c r="K185" i="24" s="1"/>
  <c r="J197" i="24"/>
  <c r="K197" i="24" s="1"/>
  <c r="J512" i="24"/>
  <c r="K512" i="24" s="1"/>
  <c r="J226" i="24"/>
  <c r="K52" i="24"/>
  <c r="J472" i="24"/>
  <c r="K472" i="24" s="1"/>
  <c r="J360" i="24"/>
  <c r="K360" i="24" s="1"/>
  <c r="K142" i="24"/>
  <c r="J174" i="24"/>
  <c r="J356" i="24"/>
  <c r="J284" i="24"/>
  <c r="J568" i="24"/>
  <c r="K568" i="24" s="1"/>
  <c r="J464" i="24"/>
  <c r="K464" i="24" s="1"/>
  <c r="J347" i="24"/>
  <c r="K347" i="24" s="1"/>
  <c r="K312" i="24"/>
  <c r="J171" i="24"/>
  <c r="J265" i="24"/>
  <c r="K265" i="24" s="1"/>
  <c r="J254" i="24"/>
  <c r="K255" i="24" s="1"/>
  <c r="J234" i="24"/>
  <c r="J595" i="24"/>
  <c r="J557" i="24"/>
  <c r="J549" i="24"/>
  <c r="J493" i="24"/>
  <c r="J485" i="24"/>
  <c r="K485" i="24" s="1"/>
  <c r="J396" i="24"/>
  <c r="J364" i="24"/>
  <c r="K364" i="24" s="1"/>
  <c r="J189" i="24"/>
  <c r="K189" i="24" s="1"/>
  <c r="J128" i="24"/>
  <c r="K128" i="24" s="1"/>
  <c r="J96" i="24"/>
  <c r="K96" i="24" s="1"/>
  <c r="K378" i="24"/>
  <c r="J575" i="24"/>
  <c r="J561" i="24"/>
  <c r="J513" i="24"/>
  <c r="K483" i="24"/>
  <c r="J451" i="24"/>
  <c r="K451" i="24" s="1"/>
  <c r="J433" i="24"/>
  <c r="J419" i="24"/>
  <c r="K419" i="24" s="1"/>
  <c r="J403" i="24"/>
  <c r="K403" i="24" s="1"/>
  <c r="J88" i="24"/>
  <c r="J115" i="24"/>
  <c r="K115" i="24" s="1"/>
  <c r="J132" i="24"/>
  <c r="J100" i="24"/>
  <c r="K100" i="24" s="1"/>
  <c r="J31" i="24"/>
  <c r="J435" i="24"/>
  <c r="K435" i="24" s="1"/>
  <c r="J387" i="24"/>
  <c r="K387" i="24" s="1"/>
  <c r="J552" i="24"/>
  <c r="K552" i="24" s="1"/>
  <c r="J273" i="24"/>
  <c r="K273" i="24" s="1"/>
  <c r="J30" i="24"/>
  <c r="K30" i="24" s="1"/>
  <c r="J333" i="24"/>
  <c r="J372" i="24"/>
  <c r="K372" i="24" s="1"/>
  <c r="J582" i="24"/>
  <c r="J532" i="24"/>
  <c r="K532" i="24" s="1"/>
  <c r="J367" i="24"/>
  <c r="K367" i="24" s="1"/>
  <c r="J328" i="24"/>
  <c r="K328" i="24" s="1"/>
  <c r="J291" i="24"/>
  <c r="K291" i="24" s="1"/>
  <c r="J416" i="24"/>
  <c r="K416" i="24" s="1"/>
  <c r="J222" i="24"/>
  <c r="J308" i="24"/>
  <c r="J591" i="24"/>
  <c r="J380" i="24"/>
  <c r="K380" i="24" s="1"/>
  <c r="J339" i="24"/>
  <c r="K339" i="24" s="1"/>
  <c r="J173" i="24"/>
  <c r="K173" i="24" s="1"/>
  <c r="K231" i="24"/>
  <c r="J424" i="24"/>
  <c r="K424" i="24" s="1"/>
  <c r="J241" i="24"/>
  <c r="K242" i="24" s="1"/>
  <c r="J156" i="24"/>
  <c r="K157" i="24" s="1"/>
  <c r="J537" i="24"/>
  <c r="J18" i="24"/>
  <c r="K18" i="24" s="1"/>
  <c r="J152" i="24"/>
  <c r="K152" i="24" s="1"/>
  <c r="J116" i="24"/>
  <c r="K97" i="24"/>
  <c r="J38" i="24"/>
  <c r="K38" i="24" s="1"/>
  <c r="J11" i="24"/>
  <c r="J101" i="24"/>
  <c r="J245" i="24"/>
  <c r="K245" i="24" s="1"/>
  <c r="J521" i="24"/>
  <c r="J121" i="24"/>
  <c r="J120" i="24"/>
  <c r="K120" i="24" s="1"/>
  <c r="J544" i="24"/>
  <c r="K544" i="24" s="1"/>
  <c r="J496" i="24"/>
  <c r="K496" i="24" s="1"/>
  <c r="J480" i="24"/>
  <c r="K480" i="24" s="1"/>
  <c r="J395" i="24"/>
  <c r="K395" i="24" s="1"/>
  <c r="J315" i="24"/>
  <c r="K315" i="24" s="1"/>
  <c r="J257" i="24"/>
  <c r="K257" i="24" s="1"/>
  <c r="J66" i="24"/>
  <c r="K66" i="24" s="1"/>
  <c r="J229" i="24"/>
  <c r="K229" i="24" s="1"/>
  <c r="J355" i="24"/>
  <c r="K355" i="24" s="1"/>
  <c r="J269" i="24"/>
  <c r="K269" i="24" s="1"/>
  <c r="J149" i="24"/>
  <c r="J127" i="24"/>
  <c r="K127" i="24" s="1"/>
  <c r="J164" i="24"/>
  <c r="K164" i="24" s="1"/>
  <c r="J148" i="24"/>
  <c r="K148" i="24" s="1"/>
  <c r="J27" i="24"/>
  <c r="K27" i="24" s="1"/>
  <c r="J22" i="24"/>
  <c r="K22" i="24" s="1"/>
  <c r="J193" i="24"/>
  <c r="K193" i="24" s="1"/>
  <c r="J43" i="24"/>
  <c r="K43" i="24" s="1"/>
  <c r="J281" i="24"/>
  <c r="K281" i="24" s="1"/>
  <c r="J190" i="24"/>
  <c r="J186" i="24"/>
  <c r="K186" i="24" s="1"/>
  <c r="J569" i="24"/>
  <c r="J449" i="24"/>
  <c r="J10" i="24"/>
  <c r="K10" i="24" s="1"/>
  <c r="K8" i="24"/>
  <c r="J202" i="24"/>
  <c r="J55" i="24"/>
  <c r="K55" i="24" s="1"/>
  <c r="K546" i="24"/>
  <c r="J520" i="24"/>
  <c r="K520" i="24" s="1"/>
  <c r="J214" i="24"/>
  <c r="J304" i="24"/>
  <c r="J587" i="24"/>
  <c r="J348" i="24"/>
  <c r="K348" i="24" s="1"/>
  <c r="J34" i="24"/>
  <c r="K34" i="24" s="1"/>
  <c r="J201" i="24"/>
  <c r="K201" i="24" s="1"/>
  <c r="J75" i="24"/>
  <c r="K75" i="24" s="1"/>
  <c r="J388" i="24"/>
  <c r="J137" i="24"/>
  <c r="J117" i="24"/>
  <c r="K118" i="24" s="1"/>
  <c r="J578" i="24"/>
  <c r="J560" i="24"/>
  <c r="K560" i="24" s="1"/>
  <c r="J528" i="24"/>
  <c r="K528" i="24" s="1"/>
  <c r="J417" i="24"/>
  <c r="J258" i="24"/>
  <c r="J218" i="24"/>
  <c r="J564" i="24"/>
  <c r="K564" i="24" s="1"/>
  <c r="J536" i="24"/>
  <c r="K536" i="24" s="1"/>
  <c r="J488" i="24"/>
  <c r="K488" i="24" s="1"/>
  <c r="J159" i="24"/>
  <c r="K159" i="24" s="1"/>
  <c r="J352" i="24"/>
  <c r="K352" i="24" s="1"/>
  <c r="J336" i="24"/>
  <c r="J139" i="24"/>
  <c r="K139" i="24" s="1"/>
  <c r="J590" i="24"/>
  <c r="J500" i="24"/>
  <c r="K500" i="24" s="1"/>
  <c r="J429" i="24"/>
  <c r="J408" i="24"/>
  <c r="K408" i="24" s="1"/>
  <c r="J365" i="24"/>
  <c r="J317" i="24"/>
  <c r="J299" i="24"/>
  <c r="K299" i="24" s="1"/>
  <c r="J225" i="24"/>
  <c r="K225" i="24" s="1"/>
  <c r="J124" i="24"/>
  <c r="J270" i="24"/>
  <c r="J571" i="24"/>
  <c r="J565" i="24"/>
  <c r="J509" i="24"/>
  <c r="J501" i="24"/>
  <c r="K501" i="24" s="1"/>
  <c r="J412" i="24"/>
  <c r="K412" i="24" s="1"/>
  <c r="J353" i="24"/>
  <c r="J287" i="24"/>
  <c r="K287" i="24" s="1"/>
  <c r="J221" i="24"/>
  <c r="K221" i="24" s="1"/>
  <c r="J112" i="24"/>
  <c r="J50" i="24"/>
  <c r="K50" i="24" s="1"/>
  <c r="J400" i="24"/>
  <c r="K400" i="24" s="1"/>
  <c r="J14" i="24"/>
  <c r="K14" i="24" s="1"/>
  <c r="J181" i="24"/>
  <c r="K181" i="24" s="1"/>
  <c r="J369" i="24"/>
  <c r="J323" i="24"/>
  <c r="K323" i="24" s="1"/>
  <c r="J274" i="24"/>
  <c r="J210" i="24"/>
  <c r="J131" i="24"/>
  <c r="K131" i="24" s="1"/>
  <c r="B9" i="25" l="1" a="1"/>
  <c r="B9" i="25" s="1"/>
  <c r="B10" i="25" s="1" a="1"/>
  <c r="B10" i="25" s="1"/>
  <c r="B11" i="25" s="1" a="1"/>
  <c r="B11" i="25" s="1"/>
  <c r="B12" i="25" s="1" a="1"/>
  <c r="B12" i="25" s="1"/>
  <c r="C11" i="25" a="1"/>
  <c r="C11" i="25" s="1"/>
  <c r="K510" i="24"/>
  <c r="K509" i="24"/>
  <c r="K538" i="24"/>
  <c r="K537" i="24"/>
  <c r="K172" i="24"/>
  <c r="K171" i="24"/>
  <c r="K57" i="24"/>
  <c r="K56" i="24"/>
  <c r="K297" i="24"/>
  <c r="K296" i="24"/>
  <c r="K470" i="24"/>
  <c r="K469" i="24"/>
  <c r="K324" i="24"/>
  <c r="K47" i="24"/>
  <c r="K48" i="24"/>
  <c r="K259" i="24"/>
  <c r="K258" i="24"/>
  <c r="K191" i="24"/>
  <c r="K190" i="24"/>
  <c r="K116" i="24"/>
  <c r="K308" i="24"/>
  <c r="K309" i="24"/>
  <c r="K32" i="24"/>
  <c r="K31" i="24"/>
  <c r="K88" i="24"/>
  <c r="K89" i="24"/>
  <c r="K576" i="24"/>
  <c r="K575" i="24"/>
  <c r="K493" i="24"/>
  <c r="K494" i="24"/>
  <c r="K284" i="24"/>
  <c r="K285" i="24"/>
  <c r="K23" i="24"/>
  <c r="K169" i="24"/>
  <c r="K170" i="24"/>
  <c r="K238" i="24"/>
  <c r="K239" i="24"/>
  <c r="K20" i="24"/>
  <c r="K19" i="24"/>
  <c r="K250" i="24"/>
  <c r="K525" i="24"/>
  <c r="K210" i="24"/>
  <c r="K211" i="24"/>
  <c r="K112" i="24"/>
  <c r="K113" i="24"/>
  <c r="K571" i="24"/>
  <c r="K572" i="24"/>
  <c r="K430" i="24"/>
  <c r="K429" i="24"/>
  <c r="K337" i="24"/>
  <c r="K336" i="24"/>
  <c r="K418" i="24"/>
  <c r="K417" i="24"/>
  <c r="K304" i="24"/>
  <c r="K305" i="24"/>
  <c r="K450" i="24"/>
  <c r="K449" i="24"/>
  <c r="K149" i="24"/>
  <c r="K150" i="24"/>
  <c r="K122" i="24"/>
  <c r="K121" i="24"/>
  <c r="K11" i="24"/>
  <c r="K12" i="24"/>
  <c r="K223" i="24"/>
  <c r="K222" i="24"/>
  <c r="K333" i="24"/>
  <c r="K334" i="24"/>
  <c r="K24" i="24"/>
  <c r="K549" i="24"/>
  <c r="K550" i="24"/>
  <c r="K356" i="24"/>
  <c r="K178" i="24"/>
  <c r="K179" i="24"/>
  <c r="K45" i="24"/>
  <c r="K44" i="24"/>
  <c r="K321" i="24"/>
  <c r="K322" i="24"/>
  <c r="K133" i="24"/>
  <c r="K134" i="24"/>
  <c r="K282" i="24"/>
  <c r="K381" i="24"/>
  <c r="K382" i="24"/>
  <c r="K266" i="24"/>
  <c r="K288" i="24"/>
  <c r="K289" i="24"/>
  <c r="K316" i="24"/>
  <c r="K533" i="24"/>
  <c r="K534" i="24"/>
  <c r="K357" i="24"/>
  <c r="K452" i="24"/>
  <c r="K453" i="24"/>
  <c r="K262" i="24"/>
  <c r="K195" i="24"/>
  <c r="K194" i="24"/>
  <c r="K481" i="24"/>
  <c r="K183" i="24"/>
  <c r="K230" i="24"/>
  <c r="K198" i="24"/>
  <c r="K482" i="24"/>
  <c r="K93" i="24"/>
  <c r="K140" i="24"/>
  <c r="K377" i="24"/>
  <c r="K401" i="24"/>
  <c r="K441" i="24"/>
  <c r="K125" i="24"/>
  <c r="K124" i="24"/>
  <c r="K365" i="24"/>
  <c r="K366" i="24"/>
  <c r="K218" i="24"/>
  <c r="K219" i="24"/>
  <c r="K388" i="24"/>
  <c r="K389" i="24"/>
  <c r="K433" i="24"/>
  <c r="K434" i="24"/>
  <c r="K562" i="24"/>
  <c r="K561" i="24"/>
  <c r="K227" i="24"/>
  <c r="K226" i="24"/>
  <c r="K553" i="24"/>
  <c r="K554" i="24"/>
  <c r="K86" i="24"/>
  <c r="K85" i="24"/>
  <c r="K160" i="24"/>
  <c r="K161" i="24"/>
  <c r="K504" i="24"/>
  <c r="K505" i="24"/>
  <c r="K421" i="24"/>
  <c r="K420" i="24"/>
  <c r="K166" i="24"/>
  <c r="K165" i="24"/>
  <c r="K129" i="24"/>
  <c r="K187" i="24"/>
  <c r="K370" i="24"/>
  <c r="K369" i="24"/>
  <c r="K353" i="24"/>
  <c r="K354" i="24"/>
  <c r="K566" i="24"/>
  <c r="K565" i="24"/>
  <c r="K102" i="24"/>
  <c r="K101" i="24"/>
  <c r="K156" i="24"/>
  <c r="K235" i="24"/>
  <c r="K234" i="24"/>
  <c r="K206" i="24"/>
  <c r="K207" i="24"/>
  <c r="K293" i="24"/>
  <c r="K292" i="24"/>
  <c r="K74" i="24"/>
  <c r="K73" i="24"/>
  <c r="K77" i="24"/>
  <c r="K76" i="24"/>
  <c r="K478" i="24"/>
  <c r="K477" i="24"/>
  <c r="K40" i="24"/>
  <c r="K39" i="24"/>
  <c r="K344" i="24"/>
  <c r="K345" i="24"/>
  <c r="K437" i="24"/>
  <c r="K436" i="24"/>
  <c r="K486" i="24"/>
  <c r="K361" i="24"/>
  <c r="K51" i="24"/>
  <c r="K274" i="24"/>
  <c r="K271" i="24"/>
  <c r="K270" i="24"/>
  <c r="K317" i="24"/>
  <c r="K318" i="24"/>
  <c r="K138" i="24"/>
  <c r="K137" i="24"/>
  <c r="K215" i="24"/>
  <c r="K214" i="24"/>
  <c r="K202" i="24"/>
  <c r="K203" i="24"/>
  <c r="K569" i="24"/>
  <c r="K522" i="24"/>
  <c r="K521" i="24"/>
  <c r="K132" i="24"/>
  <c r="K513" i="24"/>
  <c r="K514" i="24"/>
  <c r="K396" i="24"/>
  <c r="K558" i="24"/>
  <c r="K557" i="24"/>
  <c r="K174" i="24"/>
  <c r="K175" i="24"/>
  <c r="K373" i="24"/>
  <c r="K35" i="24"/>
  <c r="K36" i="24"/>
  <c r="K489" i="24"/>
  <c r="K490" i="24"/>
  <c r="K246" i="24"/>
  <c r="K247" i="24"/>
  <c r="K341" i="24"/>
  <c r="K340" i="24"/>
  <c r="K456" i="24"/>
  <c r="K457" i="24"/>
  <c r="K405" i="24"/>
  <c r="K404" i="24"/>
  <c r="K384" i="24"/>
  <c r="K385" i="24"/>
  <c r="K497" i="24"/>
  <c r="K498" i="24"/>
  <c r="K332" i="24"/>
  <c r="K153" i="24"/>
  <c r="K398" i="24"/>
  <c r="K397" i="24"/>
  <c r="K350" i="24"/>
  <c r="K349" i="24"/>
  <c r="K105" i="24"/>
  <c r="K104" i="24"/>
  <c r="K67" i="24"/>
  <c r="K368" i="24"/>
  <c r="K267" i="24"/>
  <c r="K425" i="24"/>
  <c r="K28" i="24"/>
  <c r="K542" i="24"/>
  <c r="K301" i="24"/>
  <c r="K545" i="24"/>
  <c r="K145" i="24"/>
  <c r="K529" i="24"/>
  <c r="B13" i="25" l="1" a="1"/>
  <c r="B13" i="25" s="1"/>
  <c r="C12" i="25" a="1"/>
  <c r="C12" i="25" s="1"/>
  <c r="C13" i="25" s="1" a="1"/>
  <c r="C13" i="25" s="1"/>
  <c r="C14" i="25" s="1" a="1"/>
  <c r="C14" i="25" s="1"/>
  <c r="C15" i="25" s="1" a="1"/>
  <c r="C15" i="25" s="1"/>
  <c r="C16" i="25" s="1" a="1"/>
  <c r="C16" i="25" s="1"/>
  <c r="C17" i="25" s="1" a="1"/>
  <c r="C17" i="25" s="1"/>
  <c r="C18" i="25" s="1" a="1"/>
  <c r="C18" i="25" s="1"/>
  <c r="C19" i="25" s="1" a="1"/>
  <c r="C19" i="25" s="1"/>
  <c r="C20" i="25" s="1" a="1"/>
  <c r="C20" i="25" s="1"/>
  <c r="C21" i="25" s="1" a="1"/>
  <c r="C21" i="25" s="1"/>
  <c r="C22" i="25" s="1" a="1"/>
  <c r="C22" i="25" s="1"/>
  <c r="C23" i="25" s="1" a="1"/>
  <c r="C23" i="25" s="1"/>
  <c r="C24" i="25" s="1" a="1"/>
  <c r="C24" i="25" s="1"/>
  <c r="C25" i="25" s="1" a="1"/>
  <c r="C25" i="25" s="1"/>
  <c r="C26" i="25" s="1" a="1"/>
  <c r="C26" i="25" s="1"/>
  <c r="C27" i="25" s="1" a="1"/>
  <c r="C27" i="25" s="1"/>
  <c r="C28" i="25" s="1" a="1"/>
  <c r="C28" i="25" s="1"/>
  <c r="C29" i="25" s="1" a="1"/>
  <c r="C29" i="25" s="1"/>
  <c r="B14" i="25" l="1" a="1"/>
  <c r="B14" i="25" s="1"/>
  <c r="B15" i="25" s="1" a="1"/>
  <c r="B15" i="25" s="1"/>
  <c r="B16" i="25" s="1" a="1"/>
  <c r="B16" i="25" s="1"/>
  <c r="B17" i="25" s="1" a="1"/>
  <c r="B17" i="25" s="1"/>
  <c r="B18" i="25" s="1" a="1"/>
  <c r="B18" i="25" s="1"/>
  <c r="B19" i="25" s="1" a="1"/>
  <c r="B19" i="25" s="1"/>
  <c r="B20" i="25" s="1" a="1"/>
  <c r="B20" i="25" s="1"/>
  <c r="B21" i="25" s="1" a="1"/>
  <c r="B21" i="25" s="1"/>
  <c r="B22" i="25" s="1" a="1"/>
  <c r="B22" i="25" s="1"/>
  <c r="B23" i="25" s="1" a="1"/>
  <c r="B23" i="25" s="1"/>
  <c r="B24" i="25" s="1" a="1"/>
  <c r="B24" i="25" s="1"/>
  <c r="B25" i="25" s="1" a="1"/>
  <c r="B25" i="25" s="1"/>
</calcChain>
</file>

<file path=xl/sharedStrings.xml><?xml version="1.0" encoding="utf-8"?>
<sst xmlns="http://schemas.openxmlformats.org/spreadsheetml/2006/main" count="2205" uniqueCount="409">
  <si>
    <t xml:space="preserve">Stress Check </t>
  </si>
  <si>
    <t>Template file for 2HSTRE3D output</t>
  </si>
  <si>
    <t xml:space="preserve">Number of Warnings </t>
  </si>
  <si>
    <t>Model Summary</t>
  </si>
  <si>
    <t>Element</t>
  </si>
  <si>
    <t>Start Node Coordinates</t>
  </si>
  <si>
    <t>End Node Coordinates</t>
  </si>
  <si>
    <t>Element Length</t>
  </si>
  <si>
    <t>Mesh Ratio</t>
  </si>
  <si>
    <t>Effective Tension</t>
  </si>
  <si>
    <t>Resultant Bending Moment</t>
  </si>
  <si>
    <t>Line Label</t>
  </si>
  <si>
    <t>Section Label</t>
  </si>
  <si>
    <t>Line First Element</t>
  </si>
  <si>
    <t>Line Last Element</t>
  </si>
  <si>
    <t>Section First Element</t>
  </si>
  <si>
    <t>Section Last Element</t>
  </si>
  <si>
    <t>Min</t>
  </si>
  <si>
    <t>Max</t>
  </si>
  <si>
    <t>(m)</t>
  </si>
  <si>
    <t>(kN)</t>
  </si>
  <si>
    <t>(kNm)</t>
  </si>
  <si>
    <t>Node Label Adjacent Elements</t>
  </si>
  <si>
    <t>Additional Node Label Adjacent Elements</t>
  </si>
  <si>
    <t>Total Elements:</t>
  </si>
  <si>
    <r>
      <t>Start
Node
N</t>
    </r>
    <r>
      <rPr>
        <b/>
        <vertAlign val="subscript"/>
        <sz val="10"/>
        <color theme="1"/>
        <rFont val="Tahoma"/>
        <family val="2"/>
      </rPr>
      <t>1</t>
    </r>
  </si>
  <si>
    <r>
      <t>End
Node
N</t>
    </r>
    <r>
      <rPr>
        <b/>
        <vertAlign val="subscript"/>
        <sz val="10"/>
        <color theme="1"/>
        <rFont val="Tahoma"/>
        <family val="2"/>
      </rPr>
      <t>3</t>
    </r>
  </si>
  <si>
    <r>
      <t>X</t>
    </r>
    <r>
      <rPr>
        <b/>
        <vertAlign val="subscript"/>
        <sz val="10"/>
        <color theme="1"/>
        <rFont val="Tahoma"/>
        <family val="2"/>
      </rPr>
      <t>1</t>
    </r>
  </si>
  <si>
    <r>
      <t>Y</t>
    </r>
    <r>
      <rPr>
        <b/>
        <vertAlign val="subscript"/>
        <sz val="10"/>
        <color theme="1"/>
        <rFont val="Tahoma"/>
        <family val="2"/>
      </rPr>
      <t>1</t>
    </r>
  </si>
  <si>
    <r>
      <t>Z</t>
    </r>
    <r>
      <rPr>
        <b/>
        <vertAlign val="subscript"/>
        <sz val="10"/>
        <color theme="1"/>
        <rFont val="Tahoma"/>
        <family val="2"/>
      </rPr>
      <t>1</t>
    </r>
  </si>
  <si>
    <r>
      <t>X</t>
    </r>
    <r>
      <rPr>
        <b/>
        <vertAlign val="subscript"/>
        <sz val="10"/>
        <color theme="1"/>
        <rFont val="Tahoma"/>
        <family val="2"/>
      </rPr>
      <t>3</t>
    </r>
  </si>
  <si>
    <r>
      <t>Y</t>
    </r>
    <r>
      <rPr>
        <b/>
        <vertAlign val="subscript"/>
        <sz val="10"/>
        <color theme="1"/>
        <rFont val="Tahoma"/>
        <family val="2"/>
      </rPr>
      <t>3</t>
    </r>
  </si>
  <si>
    <r>
      <t>Z</t>
    </r>
    <r>
      <rPr>
        <b/>
        <vertAlign val="subscript"/>
        <sz val="10"/>
        <color theme="1"/>
        <rFont val="Tahoma"/>
        <family val="2"/>
      </rPr>
      <t>3</t>
    </r>
  </si>
  <si>
    <t>API-RP-2RD</t>
  </si>
  <si>
    <t>Created by : 2HSTRE3D       by 2H Offshore Engineering</t>
  </si>
  <si>
    <t>Version    : 2.0.4.5: 17th October 2017</t>
  </si>
  <si>
    <t>Title      : 01_Model_HD, DR MC, Loading = Load.lod, Offset = Offset.off</t>
  </si>
  <si>
    <t>Filename   : 01_MODEL_HD</t>
  </si>
  <si>
    <t>.INF File  : Information</t>
  </si>
  <si>
    <t xml:space="preserve"> INPUT FACTORS</t>
  </si>
  <si>
    <t>Connectivity</t>
  </si>
  <si>
    <t>Tension</t>
  </si>
  <si>
    <t>Bending</t>
  </si>
  <si>
    <t>Hoop</t>
  </si>
  <si>
    <t>Yield</t>
  </si>
  <si>
    <t>Nominal</t>
  </si>
  <si>
    <t>Internal</t>
  </si>
  <si>
    <t>External</t>
  </si>
  <si>
    <t>Shutin</t>
  </si>
  <si>
    <t>External Fluid</t>
  </si>
  <si>
    <t>Internal Fluid</t>
  </si>
  <si>
    <t>Node 1</t>
  </si>
  <si>
    <t>Node 2</t>
  </si>
  <si>
    <t>Factor</t>
  </si>
  <si>
    <t>Strength</t>
  </si>
  <si>
    <t>OD</t>
  </si>
  <si>
    <t>ID</t>
  </si>
  <si>
    <t>Corrosion</t>
  </si>
  <si>
    <t>Adjustment</t>
  </si>
  <si>
    <t>Pressure</t>
  </si>
  <si>
    <t>Elevation</t>
  </si>
  <si>
    <t>Density</t>
  </si>
  <si>
    <t>Pressure at Reference</t>
  </si>
  <si>
    <t>MPa</t>
  </si>
  <si>
    <t>m</t>
  </si>
  <si>
    <t>mm</t>
  </si>
  <si>
    <t>kN</t>
  </si>
  <si>
    <t>kg/m^3</t>
  </si>
  <si>
    <t>Pa</t>
  </si>
  <si>
    <t>{Cond_Conn_1_Weld_Top_Before}</t>
  </si>
  <si>
    <t>N/A</t>
  </si>
  <si>
    <t>{Cond_Conn_1_Weld_Top_After}</t>
  </si>
  <si>
    <t>{Cond_Conn_1_Body_Before}</t>
  </si>
  <si>
    <t>{Cond_Conn_1_Body_After}</t>
  </si>
  <si>
    <t>{Cond_Conn_1_Weld_Base_Before}</t>
  </si>
  <si>
    <t>{Cond_Conn_1_Weld_Base_After}</t>
  </si>
  <si>
    <t>{Cond_Conn_2_Weld_Top_Before}</t>
  </si>
  <si>
    <t>{Cond_Conn_2_Weld_Top_After}</t>
  </si>
  <si>
    <t>{Cond_Conn_2_Body_Before}</t>
  </si>
  <si>
    <t>{Cond_Conn_2_Body_After}</t>
  </si>
  <si>
    <t>{Cond_Conn_2_Weld_Base_Before}</t>
  </si>
  <si>
    <t>{Cond_Conn_2_Weld_Base_After}</t>
  </si>
  <si>
    <t>{LPH_Lower_Equiv_Pt_Before}</t>
  </si>
  <si>
    <t>{LPH_Lower_Equiv_Pt_After}</t>
  </si>
  <si>
    <t>{Cas_Conn_1_Weld_Top_Before}</t>
  </si>
  <si>
    <t>{Cas_Conn_1_Weld_Top_After}</t>
  </si>
  <si>
    <t>{Cas_Conn_1_Body_Before}</t>
  </si>
  <si>
    <t>{Cas_Conn_1_Body_After}</t>
  </si>
  <si>
    <t>{Cas_Conn_1_Weld_Base_Before}</t>
  </si>
  <si>
    <t>{Cas_Conn_1_Weld_Base_After}</t>
  </si>
  <si>
    <t>{Cas_Conn_2_Weld_Top_Before}</t>
  </si>
  <si>
    <t>{Cas_Conn_2_Weld_Top_After}</t>
  </si>
  <si>
    <t>{Cas_Conn_2_Body_Before}</t>
  </si>
  <si>
    <t>{Cas_Conn_2_Body_After}</t>
  </si>
  <si>
    <t>{Cas_Conn_2_Weld_Base_Before}</t>
  </si>
  <si>
    <t>{Cas_Conn_2_Weld_Base_After}</t>
  </si>
  <si>
    <t>{HPH_Lower_Equiv_Pt_Before}</t>
  </si>
  <si>
    <t>{HPH_Lower_Equiv_Pt_After}</t>
  </si>
  <si>
    <t>{Inner_Barrel_Top_Before}</t>
  </si>
  <si>
    <t>{Inner_Barrel_Top_After}</t>
  </si>
  <si>
    <t>{Tension_Ring_Before}</t>
  </si>
  <si>
    <t>{Tension_Ring_After}</t>
  </si>
  <si>
    <t>{Moonpool_Elevation_Before}</t>
  </si>
  <si>
    <t>{Moonpool_Elevation_After}</t>
  </si>
  <si>
    <t>{Outer_Barrel_Base_Before}</t>
  </si>
  <si>
    <t>{Outer_Barrel_Base_After}</t>
  </si>
  <si>
    <t>{Outer_Barrel_Mid_Stroke_Before}</t>
  </si>
  <si>
    <t>{Outer_Barrel_Mid_Stroke_After}</t>
  </si>
  <si>
    <t>{BOP_Connector_Before}</t>
  </si>
  <si>
    <t>{BOP_Connector_After}</t>
  </si>
  <si>
    <t>{HPH_Upper_Equiv_Pt_Before}</t>
  </si>
  <si>
    <t>{HPH_Upper_Equiv_Pt_After}</t>
  </si>
  <si>
    <t>{Cond 36x1.5in}</t>
  </si>
  <si>
    <t>{Cond 36x2in}</t>
  </si>
  <si>
    <t>{Cond 36x2in SW}</t>
  </si>
  <si>
    <t>{LP Housing}</t>
  </si>
  <si>
    <t>{Casing 13 3/8in}</t>
  </si>
  <si>
    <t>{HP Extension Joint}</t>
  </si>
  <si>
    <t>{HP Extension Joint SW}</t>
  </si>
  <si>
    <t>{HP Housing Internal}</t>
  </si>
  <si>
    <t>{MR Dummy}</t>
  </si>
  <si>
    <t>{HP Housing External}</t>
  </si>
  <si>
    <t>{BOP}</t>
  </si>
  <si>
    <t>{LMRP}</t>
  </si>
  <si>
    <t>{LFJ Centre}</t>
  </si>
  <si>
    <t>{LFJ Upper}</t>
  </si>
  <si>
    <t>{Termination Adapter}</t>
  </si>
  <si>
    <t>{75ft 5000ft 0.875in Buoyant}</t>
  </si>
  <si>
    <t>{75ft 2500ft 0.875in Buoyant}</t>
  </si>
  <si>
    <t>{75ft 2500ft 1in Buoyant}</t>
  </si>
  <si>
    <t>{Slick Joint}</t>
  </si>
  <si>
    <t>{Outer Barrel Lower}</t>
  </si>
  <si>
    <t>{Outer Barrel Upper}</t>
  </si>
  <si>
    <t>{Outer Barrel Top Element}</t>
  </si>
  <si>
    <t>{Stroke}</t>
  </si>
  <si>
    <t>{Inner Barrel}</t>
  </si>
  <si>
    <t>{UFJ Lower}</t>
  </si>
  <si>
    <t>{UFJ Centre}</t>
  </si>
  <si>
    <t>{UFJ Upper}</t>
  </si>
  <si>
    <t>{Diverter}</t>
  </si>
  <si>
    <t>{Tensioner 1}</t>
  </si>
  <si>
    <t>{Tensioner 2}</t>
  </si>
  <si>
    <t>{Tensioner 3}</t>
  </si>
  <si>
    <t>{Tensioner 4}</t>
  </si>
  <si>
    <t>{Tensioner 5}</t>
  </si>
  <si>
    <t>{Tensioner 6}</t>
  </si>
  <si>
    <t>{Tensioner 7}</t>
  </si>
  <si>
    <t>{Tensioner 8}</t>
  </si>
  <si>
    <t>{Stiff 1}</t>
  </si>
  <si>
    <t>{Stiff 2}</t>
  </si>
  <si>
    <t>{Stiff 3}</t>
  </si>
  <si>
    <t>{Stiff 4}</t>
  </si>
  <si>
    <t>{Stiff 5}</t>
  </si>
  <si>
    <t>{Stiff 6}</t>
  </si>
  <si>
    <t>{Stiff 7}</t>
  </si>
  <si>
    <t>{Stiff 8}</t>
  </si>
  <si>
    <t>{Stroke Spring}</t>
  </si>
  <si>
    <t>{Moonpool Clearance 1}</t>
  </si>
  <si>
    <t>{Moonpool Clearance 2}</t>
  </si>
  <si>
    <t>FORCES AND STRESSES</t>
  </si>
  <si>
    <t>Shear Y</t>
  </si>
  <si>
    <t>Shear Z</t>
  </si>
  <si>
    <t>Torque</t>
  </si>
  <si>
    <t>Bending Moment Y</t>
  </si>
  <si>
    <t>Bending Moment Z</t>
  </si>
  <si>
    <t>Bending Radius</t>
  </si>
  <si>
    <t>Von</t>
  </si>
  <si>
    <t>Local</t>
  </si>
  <si>
    <t>Mises</t>
  </si>
  <si>
    <t>Number</t>
  </si>
  <si>
    <t>Node</t>
  </si>
  <si>
    <t>kNm</t>
  </si>
  <si>
    <t>/Yield</t>
  </si>
  <si>
    <t>{Conductor Soil String}</t>
  </si>
  <si>
    <t>{Conductor &amp; LPH String}</t>
  </si>
  <si>
    <t>{Casing Soil String}</t>
  </si>
  <si>
    <t>{Casing &amp; HPH Internal String}</t>
  </si>
  <si>
    <t>{Marine Riser String}</t>
  </si>
  <si>
    <t>DISPLACEMENTS</t>
  </si>
  <si>
    <t>LOCATION</t>
  </si>
  <si>
    <t>VERTICAL DISPLACEMENT</t>
  </si>
  <si>
    <t>HORIZONTAL Y DISPLACEMENT</t>
  </si>
  <si>
    <t>HORIZONTAL Z DISPLACEMENT</t>
  </si>
  <si>
    <t>ANGLE X</t>
  </si>
  <si>
    <t>ANGLE Y</t>
  </si>
  <si>
    <t>ANGLE Z</t>
  </si>
  <si>
    <t>X</t>
  </si>
  <si>
    <t>Y</t>
  </si>
  <si>
    <t>Z</t>
  </si>
  <si>
    <t>{Cond_Soil_Str_Bottom}</t>
  </si>
  <si>
    <t>{Cond_Conn_2_Weld_Base}</t>
  </si>
  <si>
    <t>{Cond_Conn_2_Body}</t>
  </si>
  <si>
    <t>{Cond_Conn_2_Weld_Top}</t>
  </si>
  <si>
    <t>{Cond_Conn_1_Weld_Base}</t>
  </si>
  <si>
    <t>{Cond_Conn_1_Body}</t>
  </si>
  <si>
    <t>{Cond_Conn_1_Weld_Top}</t>
  </si>
  <si>
    <t>{Cond_Soil_Str_Top}</t>
  </si>
  <si>
    <t>{Cond_LPH_Str_Bottom}</t>
  </si>
  <si>
    <t>{Cas_Soil_Str_Bottom}</t>
  </si>
  <si>
    <t>{Cas_Conn_2_Weld_Base}</t>
  </si>
  <si>
    <t>{Cas_Conn_2_Body}</t>
  </si>
  <si>
    <t>{Cas_Conn_2_Weld_Top}</t>
  </si>
  <si>
    <t>{Cas_Conn_1_Weld_Base}</t>
  </si>
  <si>
    <t>{Cas_Conn_1_Body}</t>
  </si>
  <si>
    <t>{Cas_Conn_1_Weld_Top}</t>
  </si>
  <si>
    <t>{Cas_Soil_Str_Top}</t>
  </si>
  <si>
    <t>{Cas_HPH_Str_Bottom}</t>
  </si>
  <si>
    <t>{LPH_Lower_Equiv_Pt}</t>
  </si>
  <si>
    <t>{HPH_Lower_Equiv_Pt}</t>
  </si>
  <si>
    <t>{MR_Str_Bottom}</t>
  </si>
  <si>
    <t>{Cond_LPH_Str_Top}</t>
  </si>
  <si>
    <t>{Cas_HPH_Str_Top}</t>
  </si>
  <si>
    <t>{HPH_Upper_Equiv_Pt}</t>
  </si>
  <si>
    <t>{BOP_Connector}</t>
  </si>
  <si>
    <t>{Outer_Barrel_Base}</t>
  </si>
  <si>
    <t>{Stroke_Spring_Bottom}</t>
  </si>
  <si>
    <t>{Moonpool_Elevation}</t>
  </si>
  <si>
    <t>{Moonpool_Clearance_1_Inner}</t>
  </si>
  <si>
    <t>{Moonpool_Clearance_2_Inner}</t>
  </si>
  <si>
    <t>{Outer_Barrel_Mid_Stroke}</t>
  </si>
  <si>
    <t>{Tension_Ring}</t>
  </si>
  <si>
    <t>{Stiff_1_Inner}</t>
  </si>
  <si>
    <t>{Stiff_2_Inner}</t>
  </si>
  <si>
    <t>{Stiff_3_Inner}</t>
  </si>
  <si>
    <t>{Stiff_4_Inner}</t>
  </si>
  <si>
    <t>{Stiff_5_Inner}</t>
  </si>
  <si>
    <t>{Stiff_6_Inner}</t>
  </si>
  <si>
    <t>{Stiff_7_Inner}</t>
  </si>
  <si>
    <t>{Stiff_8_Inner}</t>
  </si>
  <si>
    <t>{Inner_Barrel_Top}</t>
  </si>
  <si>
    <t>{Stroke_Spring_Top}</t>
  </si>
  <si>
    <t>{MR_Str_Top}</t>
  </si>
  <si>
    <t>{Tensioner_1_TR}</t>
  </si>
  <si>
    <t>{Stiff_1_Outer}</t>
  </si>
  <si>
    <t>{Tensioner_1_RKB}</t>
  </si>
  <si>
    <t>{Tensioner_2_TR}</t>
  </si>
  <si>
    <t>{Stiff_2_Outer}</t>
  </si>
  <si>
    <t>{Tensioner_2_RKB}</t>
  </si>
  <si>
    <t>{Tensioner_3_TR}</t>
  </si>
  <si>
    <t>{Stiff_3_Outer}</t>
  </si>
  <si>
    <t>{Tensioner_3_RKB}</t>
  </si>
  <si>
    <t>{Tensioner_4_TR}</t>
  </si>
  <si>
    <t>{Stiff_4_Outer}</t>
  </si>
  <si>
    <t>{Tensioner_4_RKB}</t>
  </si>
  <si>
    <t>{Tensioner_5_TR}</t>
  </si>
  <si>
    <t>{Stiff_5_Outer}</t>
  </si>
  <si>
    <t>{Tensioner_5_RKB}</t>
  </si>
  <si>
    <t>{Tensioner_6_TR}</t>
  </si>
  <si>
    <t>{Stiff_6_Outer}</t>
  </si>
  <si>
    <t>{Tensioner_6_RKB}</t>
  </si>
  <si>
    <t>{Tensioner_7_TR}</t>
  </si>
  <si>
    <t>{Stiff_7_Outer}</t>
  </si>
  <si>
    <t>{Tensioner_7_RKB}</t>
  </si>
  <si>
    <t>{Tensioner_8_TR}</t>
  </si>
  <si>
    <t>{Stiff_8_Outer}</t>
  </si>
  <si>
    <t>{Tensioner_8_RKB}</t>
  </si>
  <si>
    <t>{Moonpool_Clearance_1_Outer}</t>
  </si>
  <si>
    <t>{Moonpool_Clearance_2_Outer}</t>
  </si>
  <si>
    <t xml:space="preserve"> Spring Data</t>
  </si>
  <si>
    <t>ELEMENT</t>
  </si>
  <si>
    <t>Spring Force</t>
  </si>
  <si>
    <t>Spring Stroke</t>
  </si>
  <si>
    <t>N</t>
  </si>
  <si>
    <t>{Stroke Spring_First}</t>
  </si>
  <si>
    <t>{Stroke Spring_Last}</t>
  </si>
  <si>
    <t>{Moonpool Clearance 1_First}</t>
  </si>
  <si>
    <t>{Moonpool Clearance 1_Last}</t>
  </si>
  <si>
    <t>{Moonpool Clearance 2_First}</t>
  </si>
  <si>
    <t>{Moonpool Clearance 2_Last}</t>
  </si>
  <si>
    <t xml:space="preserve"> Flex Joint Data and Articulation</t>
  </si>
  <si>
    <t>Note : Angle Timetrace method is valid for ALL flex joint stiffness</t>
  </si>
  <si>
    <t xml:space="preserve">     : Bending Moment method is not valid for LOW flex joint stiffness</t>
  </si>
  <si>
    <t>Flex Joint</t>
  </si>
  <si>
    <t>Method</t>
  </si>
  <si>
    <t>Bending Moment</t>
  </si>
  <si>
    <t>ANGLE</t>
  </si>
  <si>
    <t>ANGLE TAKEN BETWEEN</t>
  </si>
  <si>
    <t>Type</t>
  </si>
  <si>
    <t>deg</t>
  </si>
  <si>
    <t xml:space="preserve">Linear       </t>
  </si>
  <si>
    <t xml:space="preserve">BM Envelope      </t>
  </si>
  <si>
    <t xml:space="preserve"> Detailed Component Stresses Breakdown </t>
  </si>
  <si>
    <t>Axial</t>
  </si>
  <si>
    <t>Radial</t>
  </si>
  <si>
    <t>Shear</t>
  </si>
  <si>
    <t>Von Mises</t>
  </si>
  <si>
    <t>Stress</t>
  </si>
  <si>
    <t>Compliation of Warnings</t>
  </si>
  <si>
    <t>No Warnings</t>
  </si>
  <si>
    <t>Created by: 2HSTRE3D by 2H Offshore Engineering</t>
  </si>
  <si>
    <t>Version: 2.0.4.5: 17th October 2017</t>
  </si>
  <si>
    <t>Title: 01_Model_HD, DR MC, Loading = Load.lod, Offset = Offset.off</t>
  </si>
  <si>
    <t>Filename: 01_MODEL_HD</t>
  </si>
  <si>
    <t>INF File: Information</t>
  </si>
  <si>
    <t>Overview of Labels</t>
  </si>
  <si>
    <t>Element Labels</t>
  </si>
  <si>
    <t>Element Number</t>
  </si>
  <si>
    <t>Line Set</t>
  </si>
  <si>
    <t>Section Set</t>
  </si>
  <si>
    <t>{Conductor Soil String_First}</t>
  </si>
  <si>
    <t>{Cond 36x1.5in_First}</t>
  </si>
  <si>
    <t>{Cond 36x1.5in_Last}</t>
  </si>
  <si>
    <t>{Cond 36x2in_First}</t>
  </si>
  <si>
    <t>{Conductor Soil String_Last}</t>
  </si>
  <si>
    <t>{Cond 36x2in_Last}</t>
  </si>
  <si>
    <t>{Conductor &amp; LPH String_First}</t>
  </si>
  <si>
    <t>{Cond 36x2in SW_First}</t>
  </si>
  <si>
    <t>{Cond 36x2in SW_Last}</t>
  </si>
  <si>
    <t>{LP Housing_First}</t>
  </si>
  <si>
    <t>{Conductor &amp; LPH String_Last}</t>
  </si>
  <si>
    <t>{LP Housing_Last}</t>
  </si>
  <si>
    <t>{Casing Soil String_First}</t>
  </si>
  <si>
    <t>{Casing 13 3/8in_First}</t>
  </si>
  <si>
    <t>{Casing 13 3/8in_Last}</t>
  </si>
  <si>
    <t>{HP Extension Joint_First}</t>
  </si>
  <si>
    <t>{Casing Soil String_Last}</t>
  </si>
  <si>
    <t>{HP Extension Joint_Last}</t>
  </si>
  <si>
    <t>{Casing &amp; HPH Internal String_First}</t>
  </si>
  <si>
    <t>{HP Extension Joint SW_First}</t>
  </si>
  <si>
    <t>{HP Extension Joint SW_Last}</t>
  </si>
  <si>
    <t>{HP Housing Internal_First}</t>
  </si>
  <si>
    <t>{Casing &amp; HPH Internal String_Last}</t>
  </si>
  <si>
    <t>{HP Housing Internal_Last}</t>
  </si>
  <si>
    <t>{Marine Riser String_First}</t>
  </si>
  <si>
    <t>{MR Dummy_First}</t>
  </si>
  <si>
    <t>{MR Dummy_Last}</t>
  </si>
  <si>
    <t>{HP Housing External_First}</t>
  </si>
  <si>
    <t>{HP Housing External_Last}</t>
  </si>
  <si>
    <t>{BOP_First}</t>
  </si>
  <si>
    <t>{BOP_Last}</t>
  </si>
  <si>
    <t>{LMRP_First}</t>
  </si>
  <si>
    <t>{LMRP_Last}</t>
  </si>
  <si>
    <t>{LFJ Centre_First}</t>
  </si>
  <si>
    <t>{LFJ Centre_Last}</t>
  </si>
  <si>
    <t>{LFJ Upper_First}</t>
  </si>
  <si>
    <t>{LFJ Upper_Last}</t>
  </si>
  <si>
    <t>{Termination Adapter_First}</t>
  </si>
  <si>
    <t>{Termination Adapter_Last}</t>
  </si>
  <si>
    <t>{75ft 5000ft 0.875in Buoyant_First}</t>
  </si>
  <si>
    <t>{75ft 5000ft 0.875in Buoyant_Last}</t>
  </si>
  <si>
    <t>{75ft 2500ft 0.875in Buoyant_First}</t>
  </si>
  <si>
    <t>{75ft 2500ft 0.875in Buoyant_Last}</t>
  </si>
  <si>
    <t>{75ft 2500ft 1in Buoyant_First}</t>
  </si>
  <si>
    <t>{75ft 2500ft 1in Buoyant_Last}</t>
  </si>
  <si>
    <t>{Slick Joint_First}</t>
  </si>
  <si>
    <t>{Slick Joint_Last}</t>
  </si>
  <si>
    <t>{Outer Barrel Lower_First}</t>
  </si>
  <si>
    <t>{Outer Barrel Lower_Last}</t>
  </si>
  <si>
    <t>{Outer Barrel Upper_First}</t>
  </si>
  <si>
    <t>{Outer Barrel Upper_Last}</t>
  </si>
  <si>
    <t>{Outer Barrel Top Element_First}</t>
  </si>
  <si>
    <t>{Outer Barrel Top Element_Last}</t>
  </si>
  <si>
    <t>{Stroke_First}</t>
  </si>
  <si>
    <t>{Stroke_Last}</t>
  </si>
  <si>
    <t>{Inner Barrel_First}</t>
  </si>
  <si>
    <t>{Inner Barrel_Last}</t>
  </si>
  <si>
    <t>{UFJ Lower_First}</t>
  </si>
  <si>
    <t>{UFJ Lower_Last}</t>
  </si>
  <si>
    <t>{UFJ Centre_First}</t>
  </si>
  <si>
    <t>{UFJ Centre_Last}</t>
  </si>
  <si>
    <t>{UFJ Upper_First}</t>
  </si>
  <si>
    <t>{UFJ Upper_Last}</t>
  </si>
  <si>
    <t>{Diverter_First}</t>
  </si>
  <si>
    <t>{Marine Riser String_Last}</t>
  </si>
  <si>
    <t>{Diverter_Last}</t>
  </si>
  <si>
    <t>{Tensioner 1_First}</t>
  </si>
  <si>
    <t>{Tensioner 1_Last}</t>
  </si>
  <si>
    <t>{Tensioner 2_First}</t>
  </si>
  <si>
    <t>{Tensioner 2_Last}</t>
  </si>
  <si>
    <t>{Tensioner 3_First}</t>
  </si>
  <si>
    <t>{Tensioner 3_Last}</t>
  </si>
  <si>
    <t>{Tensioner 4_First}</t>
  </si>
  <si>
    <t>{Tensioner 4_Last}</t>
  </si>
  <si>
    <t>{Tensioner 5_First}</t>
  </si>
  <si>
    <t>{Tensioner 5_Last}</t>
  </si>
  <si>
    <t>{Tensioner 6_First}</t>
  </si>
  <si>
    <t>{Tensioner 6_Last}</t>
  </si>
  <si>
    <t>{Tensioner 7_First}</t>
  </si>
  <si>
    <t>{Tensioner 7_Last}</t>
  </si>
  <si>
    <t>{Tensioner 8_First}</t>
  </si>
  <si>
    <t>{Tensioner 8_Last}</t>
  </si>
  <si>
    <t>{Stiff 1_First}</t>
  </si>
  <si>
    <t>{Stiff 1_Last}</t>
  </si>
  <si>
    <t>{Stiff 2_First}</t>
  </si>
  <si>
    <t>{Stiff 2_Last}</t>
  </si>
  <si>
    <t>{Stiff 3_First}</t>
  </si>
  <si>
    <t>{Stiff 3_Last}</t>
  </si>
  <si>
    <t>{Stiff 4_First}</t>
  </si>
  <si>
    <t>{Stiff 4_Last}</t>
  </si>
  <si>
    <t>{Stiff 5_First}</t>
  </si>
  <si>
    <t>{Stiff 5_Last}</t>
  </si>
  <si>
    <t>{Stiff 6_First}</t>
  </si>
  <si>
    <t>{Stiff 6_Last}</t>
  </si>
  <si>
    <t>{Stiff 7_First}</t>
  </si>
  <si>
    <t>{Stiff 7_Last}</t>
  </si>
  <si>
    <t>{Stiff 8_First}</t>
  </si>
  <si>
    <t>{Stiff 8_Last}</t>
  </si>
  <si>
    <t>Nodal Labels</t>
  </si>
  <si>
    <t>Node Number</t>
  </si>
  <si>
    <t>Labels</t>
  </si>
  <si>
    <t>Done</t>
  </si>
  <si>
    <t>Lines</t>
  </si>
  <si>
    <t>Sections</t>
  </si>
  <si>
    <t>Label 1</t>
  </si>
  <si>
    <t>Teff Max</t>
  </si>
  <si>
    <t>Label 2</t>
  </si>
  <si>
    <t>Plot Data</t>
  </si>
  <si>
    <t>Last Row:</t>
  </si>
  <si>
    <t>Total Labels: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</si>
</sst>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"/>
    <numFmt numFmtId="166" formatCode="0.0"/>
  </numFmts>
  <fonts count="22" x14ac:knownFonts="1">
    <font>
      <sz val="10"/>
      <color theme="1"/>
      <name val="Tahoma"/>
      <family val="2"/>
    </font>
    <font>
      <sz val="10"/>
      <color theme="1"/>
      <name val="Tahoma"/>
      <family val="2"/>
    </font>
    <font>
      <b/>
      <sz val="18"/>
      <color theme="3"/>
      <name val="Tahoma"/>
      <family val="2"/>
      <scheme val="major"/>
    </font>
    <font>
      <b/>
      <sz val="15"/>
      <color theme="3"/>
      <name val="Tahoma"/>
      <family val="2"/>
    </font>
    <font>
      <b/>
      <sz val="13"/>
      <color theme="3"/>
      <name val="Tahoma"/>
      <family val="2"/>
    </font>
    <font>
      <b/>
      <sz val="11"/>
      <color theme="3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sz val="10"/>
      <color rgb="FF9C6500"/>
      <name val="Tahoma"/>
      <family val="2"/>
    </font>
    <font>
      <sz val="10"/>
      <color rgb="FF3F3F76"/>
      <name val="Tahoma"/>
      <family val="2"/>
    </font>
    <font>
      <b/>
      <sz val="10"/>
      <color rgb="FF3F3F3F"/>
      <name val="Tahoma"/>
      <family val="2"/>
    </font>
    <font>
      <b/>
      <sz val="10"/>
      <color rgb="FFFA7D00"/>
      <name val="Tahoma"/>
      <family val="2"/>
    </font>
    <font>
      <sz val="10"/>
      <color rgb="FFFA7D00"/>
      <name val="Tahoma"/>
      <family val="2"/>
    </font>
    <font>
      <b/>
      <sz val="10"/>
      <color theme="0"/>
      <name val="Tahoma"/>
      <family val="2"/>
    </font>
    <font>
      <sz val="10"/>
      <color rgb="FFFF0000"/>
      <name val="Tahoma"/>
      <family val="2"/>
    </font>
    <font>
      <i/>
      <sz val="10"/>
      <color rgb="FF7F7F7F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b/>
      <sz val="14"/>
      <color theme="3"/>
      <name val="Tahoma"/>
      <family val="2"/>
    </font>
    <font>
      <b/>
      <vertAlign val="subscript"/>
      <sz val="10"/>
      <color theme="1"/>
      <name val="Tahoma"/>
      <family val="2"/>
    </font>
    <font>
      <b/>
      <sz val="12"/>
      <color theme="1"/>
      <name val="Tahoma"/>
      <family val="2"/>
    </font>
    <font>
      <sz val="10"/>
      <color rgb="FF000000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66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6" fillId="0" borderId="0" xfId="0" applyFont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0" fontId="0" fillId="0" borderId="0" xfId="0" applyAlignment="1"/>
    <xf numFmtId="2" fontId="0" fillId="0" borderId="0" xfId="0" applyNumberFormat="1" applyFont="1" applyAlignment="1"/>
    <xf numFmtId="0" fontId="0" fillId="0" borderId="0" xfId="0" applyFont="1" applyAlignment="1"/>
    <xf numFmtId="0" fontId="0" fillId="0" borderId="0" xfId="0" applyNumberFormat="1"/>
    <xf numFmtId="1" fontId="0" fillId="0" borderId="0" xfId="0" applyNumberFormat="1" applyAlignment="1"/>
    <xf numFmtId="1" fontId="0" fillId="0" borderId="0" xfId="0" applyNumberFormat="1" applyFont="1" applyAlignment="1"/>
    <xf numFmtId="1" fontId="0" fillId="0" borderId="0" xfId="0" applyNumberFormat="1"/>
    <xf numFmtId="165" fontId="0" fillId="0" borderId="0" xfId="0" applyNumberFormat="1"/>
    <xf numFmtId="166" fontId="0" fillId="0" borderId="0" xfId="0" applyNumberFormat="1" applyAlignment="1"/>
    <xf numFmtId="166" fontId="0" fillId="0" borderId="0" xfId="0" applyNumberFormat="1" applyFont="1" applyAlignment="1"/>
    <xf numFmtId="166" fontId="0" fillId="0" borderId="0" xfId="0" applyNumberFormat="1"/>
    <xf numFmtId="165" fontId="0" fillId="0" borderId="0" xfId="0" applyNumberFormat="1" applyAlignment="1"/>
    <xf numFmtId="165" fontId="0" fillId="0" borderId="0" xfId="0" applyNumberFormat="1" applyFont="1" applyAlignment="1"/>
    <xf numFmtId="11" fontId="0" fillId="0" borderId="0" xfId="0" applyNumberFormat="1" applyAlignment="1"/>
    <xf numFmtId="11" fontId="0" fillId="0" borderId="0" xfId="0" applyNumberFormat="1" applyFont="1" applyAlignment="1"/>
    <xf numFmtId="0" fontId="18" fillId="0" borderId="0" xfId="0" applyFont="1"/>
    <xf numFmtId="0" fontId="0" fillId="0" borderId="0" xfId="0" applyBorder="1"/>
    <xf numFmtId="0" fontId="0" fillId="0" borderId="0" xfId="0" applyAlignment="1">
      <alignment horizontal="right"/>
    </xf>
    <xf numFmtId="0" fontId="16" fillId="33" borderId="21" xfId="0" applyFont="1" applyFill="1" applyBorder="1" applyAlignment="1">
      <alignment horizontal="center" vertical="center" wrapText="1"/>
    </xf>
    <xf numFmtId="0" fontId="16" fillId="33" borderId="22" xfId="0" applyFont="1" applyFill="1" applyBorder="1" applyAlignment="1">
      <alignment horizontal="center" vertical="center" wrapText="1"/>
    </xf>
    <xf numFmtId="0" fontId="16" fillId="33" borderId="23" xfId="0" applyFont="1" applyFill="1" applyBorder="1" applyAlignment="1">
      <alignment horizontal="center" vertical="center" wrapText="1"/>
    </xf>
    <xf numFmtId="0" fontId="16" fillId="33" borderId="31" xfId="0" applyFont="1" applyFill="1" applyBorder="1" applyAlignment="1">
      <alignment horizontal="center" vertical="center" wrapText="1"/>
    </xf>
    <xf numFmtId="0" fontId="16" fillId="33" borderId="32" xfId="0" applyFont="1" applyFill="1" applyBorder="1" applyAlignment="1">
      <alignment horizontal="center" vertical="center" wrapText="1"/>
    </xf>
    <xf numFmtId="0" fontId="16" fillId="33" borderId="33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36" xfId="0" applyNumberFormat="1" applyBorder="1"/>
    <xf numFmtId="0" fontId="0" fillId="0" borderId="35" xfId="0" applyNumberForma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65" fontId="0" fillId="0" borderId="17" xfId="0" applyNumberFormat="1" applyBorder="1"/>
    <xf numFmtId="165" fontId="0" fillId="0" borderId="36" xfId="0" applyNumberFormat="1" applyBorder="1"/>
    <xf numFmtId="165" fontId="0" fillId="0" borderId="35" xfId="0" applyNumberFormat="1" applyBorder="1"/>
    <xf numFmtId="165" fontId="0" fillId="0" borderId="21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165" fontId="0" fillId="0" borderId="33" xfId="0" applyNumberFormat="1" applyBorder="1"/>
    <xf numFmtId="2" fontId="0" fillId="0" borderId="35" xfId="0" applyNumberFormat="1" applyBorder="1" applyAlignment="1">
      <alignment horizontal="right"/>
    </xf>
    <xf numFmtId="2" fontId="0" fillId="0" borderId="23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166" fontId="0" fillId="0" borderId="17" xfId="0" applyNumberFormat="1" applyBorder="1" applyAlignment="1">
      <alignment horizontal="right"/>
    </xf>
    <xf numFmtId="166" fontId="0" fillId="0" borderId="36" xfId="0" applyNumberFormat="1" applyBorder="1" applyAlignment="1">
      <alignment horizontal="right"/>
    </xf>
    <xf numFmtId="166" fontId="0" fillId="0" borderId="35" xfId="0" applyNumberFormat="1" applyBorder="1" applyAlignment="1">
      <alignment horizontal="right"/>
    </xf>
    <xf numFmtId="166" fontId="0" fillId="0" borderId="21" xfId="0" applyNumberFormat="1" applyBorder="1" applyAlignment="1">
      <alignment horizontal="right"/>
    </xf>
    <xf numFmtId="166" fontId="0" fillId="0" borderId="22" xfId="0" applyNumberFormat="1" applyBorder="1" applyAlignment="1">
      <alignment horizontal="right"/>
    </xf>
    <xf numFmtId="166" fontId="0" fillId="0" borderId="23" xfId="0" applyNumberFormat="1" applyBorder="1" applyAlignment="1">
      <alignment horizontal="right"/>
    </xf>
    <xf numFmtId="166" fontId="0" fillId="0" borderId="31" xfId="0" applyNumberFormat="1" applyBorder="1" applyAlignment="1">
      <alignment horizontal="right"/>
    </xf>
    <xf numFmtId="166" fontId="0" fillId="0" borderId="32" xfId="0" applyNumberFormat="1" applyBorder="1" applyAlignment="1">
      <alignment horizontal="right"/>
    </xf>
    <xf numFmtId="166" fontId="0" fillId="0" borderId="33" xfId="0" applyNumberFormat="1" applyBorder="1" applyAlignment="1">
      <alignment horizontal="right"/>
    </xf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166" fontId="16" fillId="34" borderId="24" xfId="0" applyNumberFormat="1" applyFont="1" applyFill="1" applyBorder="1" applyAlignment="1">
      <alignment horizontal="center"/>
    </xf>
    <xf numFmtId="166" fontId="16" fillId="34" borderId="25" xfId="0" applyNumberFormat="1" applyFont="1" applyFill="1" applyBorder="1" applyAlignment="1">
      <alignment horizontal="center"/>
    </xf>
    <xf numFmtId="166" fontId="16" fillId="34" borderId="26" xfId="0" applyNumberFormat="1" applyFont="1" applyFill="1" applyBorder="1" applyAlignment="1">
      <alignment horizontal="center"/>
    </xf>
    <xf numFmtId="166" fontId="16" fillId="34" borderId="31" xfId="0" applyNumberFormat="1" applyFont="1" applyFill="1" applyBorder="1" applyAlignment="1">
      <alignment horizontal="center"/>
    </xf>
    <xf numFmtId="166" fontId="16" fillId="34" borderId="32" xfId="0" applyNumberFormat="1" applyFont="1" applyFill="1" applyBorder="1" applyAlignment="1">
      <alignment horizontal="center"/>
    </xf>
    <xf numFmtId="166" fontId="16" fillId="34" borderId="33" xfId="0" applyNumberFormat="1" applyFont="1" applyFill="1" applyBorder="1" applyAlignment="1">
      <alignment horizontal="center"/>
    </xf>
    <xf numFmtId="0" fontId="20" fillId="0" borderId="0" xfId="0" applyFont="1"/>
    <xf numFmtId="0" fontId="16" fillId="35" borderId="12" xfId="0" applyFont="1" applyFill="1" applyBorder="1" applyAlignment="1">
      <alignment vertical="center" wrapText="1"/>
    </xf>
    <xf numFmtId="0" fontId="16" fillId="35" borderId="20" xfId="0" applyFont="1" applyFill="1" applyBorder="1" applyAlignment="1">
      <alignment vertical="center" wrapText="1"/>
    </xf>
    <xf numFmtId="0" fontId="16" fillId="35" borderId="30" xfId="0" applyFont="1" applyFill="1" applyBorder="1" applyAlignment="1">
      <alignment vertical="center" wrapText="1"/>
    </xf>
    <xf numFmtId="0" fontId="16" fillId="35" borderId="10" xfId="0" applyFont="1" applyFill="1" applyBorder="1" applyAlignment="1">
      <alignment vertical="center" wrapText="1"/>
    </xf>
    <xf numFmtId="0" fontId="16" fillId="35" borderId="18" xfId="0" applyFont="1" applyFill="1" applyBorder="1" applyAlignment="1">
      <alignment vertical="center" wrapText="1"/>
    </xf>
    <xf numFmtId="0" fontId="16" fillId="35" borderId="28" xfId="0" applyFont="1" applyFill="1" applyBorder="1" applyAlignment="1">
      <alignment vertical="center" wrapText="1"/>
    </xf>
    <xf numFmtId="0" fontId="16" fillId="35" borderId="13" xfId="0" applyFont="1" applyFill="1" applyBorder="1" applyAlignment="1">
      <alignment vertical="center" wrapText="1"/>
    </xf>
    <xf numFmtId="0" fontId="16" fillId="35" borderId="27" xfId="0" applyFont="1" applyFill="1" applyBorder="1" applyAlignment="1">
      <alignment vertical="center" wrapText="1"/>
    </xf>
    <xf numFmtId="0" fontId="16" fillId="35" borderId="34" xfId="0" applyFont="1" applyFill="1" applyBorder="1" applyAlignment="1">
      <alignment vertical="center" wrapText="1"/>
    </xf>
    <xf numFmtId="0" fontId="16" fillId="35" borderId="0" xfId="0" applyFont="1" applyFill="1" applyBorder="1" applyAlignment="1">
      <alignment vertical="center" wrapText="1"/>
    </xf>
    <xf numFmtId="0" fontId="16" fillId="33" borderId="10" xfId="0" applyFont="1" applyFill="1" applyBorder="1" applyAlignment="1">
      <alignment horizontal="center" vertical="center" wrapText="1"/>
    </xf>
    <xf numFmtId="0" fontId="16" fillId="33" borderId="18" xfId="0" applyFont="1" applyFill="1" applyBorder="1" applyAlignment="1">
      <alignment horizontal="center" vertical="center" wrapText="1"/>
    </xf>
    <xf numFmtId="0" fontId="16" fillId="33" borderId="28" xfId="0" applyFont="1" applyFill="1" applyBorder="1" applyAlignment="1">
      <alignment horizontal="center" vertical="center" wrapText="1"/>
    </xf>
    <xf numFmtId="0" fontId="16" fillId="33" borderId="11" xfId="0" applyFont="1" applyFill="1" applyBorder="1" applyAlignment="1">
      <alignment horizontal="center" vertical="center" wrapText="1"/>
    </xf>
    <xf numFmtId="0" fontId="16" fillId="33" borderId="19" xfId="0" applyFont="1" applyFill="1" applyBorder="1" applyAlignment="1">
      <alignment horizontal="center" vertical="center" wrapText="1"/>
    </xf>
    <xf numFmtId="0" fontId="16" fillId="33" borderId="29" xfId="0" applyFont="1" applyFill="1" applyBorder="1" applyAlignment="1">
      <alignment horizontal="center" vertical="center" wrapText="1"/>
    </xf>
    <xf numFmtId="0" fontId="16" fillId="33" borderId="12" xfId="0" applyFont="1" applyFill="1" applyBorder="1" applyAlignment="1">
      <alignment horizontal="center" vertical="center" wrapText="1"/>
    </xf>
    <xf numFmtId="0" fontId="16" fillId="33" borderId="20" xfId="0" applyFont="1" applyFill="1" applyBorder="1" applyAlignment="1">
      <alignment horizontal="center" vertical="center" wrapText="1"/>
    </xf>
    <xf numFmtId="0" fontId="16" fillId="33" borderId="30" xfId="0" applyFont="1" applyFill="1" applyBorder="1" applyAlignment="1">
      <alignment horizontal="center" vertical="center" wrapText="1"/>
    </xf>
    <xf numFmtId="0" fontId="16" fillId="33" borderId="13" xfId="0" applyFont="1" applyFill="1" applyBorder="1" applyAlignment="1">
      <alignment horizontal="center" vertical="center"/>
    </xf>
    <xf numFmtId="0" fontId="16" fillId="33" borderId="14" xfId="0" applyFont="1" applyFill="1" applyBorder="1" applyAlignment="1">
      <alignment horizontal="center" vertical="center"/>
    </xf>
    <xf numFmtId="0" fontId="16" fillId="33" borderId="15" xfId="0" applyFont="1" applyFill="1" applyBorder="1" applyAlignment="1">
      <alignment horizontal="center" vertical="center"/>
    </xf>
    <xf numFmtId="0" fontId="16" fillId="33" borderId="16" xfId="0" applyFont="1" applyFill="1" applyBorder="1" applyAlignment="1">
      <alignment horizontal="center" vertical="center"/>
    </xf>
    <xf numFmtId="0" fontId="16" fillId="33" borderId="17" xfId="0" applyFont="1" applyFill="1" applyBorder="1" applyAlignment="1">
      <alignment horizontal="center" vertical="center" wrapText="1"/>
    </xf>
    <xf numFmtId="0" fontId="16" fillId="33" borderId="21" xfId="0" applyFont="1" applyFill="1" applyBorder="1" applyAlignment="1">
      <alignment horizontal="center" vertical="center" wrapText="1"/>
    </xf>
    <xf numFmtId="166" fontId="16" fillId="34" borderId="10" xfId="0" applyNumberFormat="1" applyFont="1" applyFill="1" applyBorder="1" applyAlignment="1">
      <alignment horizontal="center" vertical="center"/>
    </xf>
    <xf numFmtId="166" fontId="16" fillId="34" borderId="11" xfId="0" applyNumberFormat="1" applyFont="1" applyFill="1" applyBorder="1" applyAlignment="1">
      <alignment horizontal="center" vertical="center"/>
    </xf>
    <xf numFmtId="166" fontId="16" fillId="34" borderId="11" xfId="0" applyNumberFormat="1" applyFont="1" applyFill="1" applyBorder="1" applyAlignment="1">
      <alignment horizontal="center" vertical="center" wrapText="1"/>
    </xf>
    <xf numFmtId="166" fontId="16" fillId="34" borderId="12" xfId="0" applyNumberFormat="1" applyFont="1" applyFill="1" applyBorder="1" applyAlignment="1">
      <alignment horizontal="center" vertical="center" wrapText="1"/>
    </xf>
    <xf numFmtId="0" fontId="16" fillId="35" borderId="35" xfId="0" applyFont="1" applyFill="1" applyBorder="1" applyAlignment="1">
      <alignment vertical="center" wrapText="1"/>
    </xf>
    <xf numFmtId="0" fontId="16" fillId="35" borderId="23" xfId="0" applyFont="1" applyFill="1" applyBorder="1" applyAlignment="1">
      <alignment vertical="center" wrapText="1"/>
    </xf>
    <xf numFmtId="0" fontId="16" fillId="35" borderId="33" xfId="0" applyFont="1" applyFill="1" applyBorder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003150"/>
                </a:solidFill>
              </a:defRPr>
            </a:pPr>
            <a:r>
              <a:rPr lang="en-GB" sz="1400" b="1" i="0">
                <a:solidFill>
                  <a:srgbClr val="003150"/>
                </a:solidFill>
                <a:latin typeface="Tahoma"/>
              </a:rPr>
              <a:t>Client And Project Name (14pt)
</a:t>
            </a:r>
            <a:r>
              <a:rPr lang="en-GB" sz="1600" b="1" i="0">
                <a:solidFill>
                  <a:srgbClr val="003150"/>
                </a:solidFill>
                <a:latin typeface="Tahoma"/>
              </a:rPr>
              <a:t>GRAPH TITLE (16PT)
</a:t>
            </a:r>
            <a:r>
              <a:rPr lang="en-GB" sz="1400" b="1" i="0">
                <a:solidFill>
                  <a:srgbClr val="003150"/>
                </a:solidFill>
                <a:latin typeface="Tahoma"/>
              </a:rPr>
              <a:t>Graph Subtitle (14pt)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'Plot Data'!$I$7</c:f>
              <c:strCache>
                <c:ptCount val="1"/>
                <c:pt idx="0">
                  <c:v>{Conductor &amp; LPH String}</c:v>
                </c:pt>
              </c:strCache>
            </c:strRef>
          </c:tx>
          <c:marker>
            <c:symbol val="none"/>
          </c:marker>
          <c:xVal>
            <c:numRef>
              <c:f>'Plot Data'!$J$10:$J$22</c:f>
              <c:numCache>
                <c:formatCode>General</c:formatCode>
                <c:ptCount val="13"/>
                <c:pt idx="0">
                  <c:v>-1673</c:v>
                </c:pt>
                <c:pt idx="1">
                  <c:v>-1672</c:v>
                </c:pt>
                <c:pt idx="2">
                  <c:v>-1670</c:v>
                </c:pt>
                <c:pt idx="3">
                  <c:v>-1668</c:v>
                </c:pt>
                <c:pt idx="4">
                  <c:v>-1666</c:v>
                </c:pt>
                <c:pt idx="5">
                  <c:v>-1664</c:v>
                </c:pt>
                <c:pt idx="6">
                  <c:v>-1663</c:v>
                </c:pt>
                <c:pt idx="7">
                  <c:v>-1663</c:v>
                </c:pt>
                <c:pt idx="8">
                  <c:v>1333</c:v>
                </c:pt>
                <c:pt idx="9">
                  <c:v>1336</c:v>
                </c:pt>
                <c:pt idx="10">
                  <c:v>1340</c:v>
                </c:pt>
                <c:pt idx="11">
                  <c:v>1344</c:v>
                </c:pt>
                <c:pt idx="12">
                  <c:v>1348</c:v>
                </c:pt>
              </c:numCache>
            </c:numRef>
          </c:xVal>
          <c:yVal>
            <c:numRef>
              <c:f>'Plot Data'!$I$10:$I$22</c:f>
              <c:numCache>
                <c:formatCode>General</c:formatCode>
                <c:ptCount val="13"/>
                <c:pt idx="0">
                  <c:v>0</c:v>
                </c:pt>
                <c:pt idx="1">
                  <c:v>9.4E-2</c:v>
                </c:pt>
                <c:pt idx="2">
                  <c:v>0.23400000000000001</c:v>
                </c:pt>
                <c:pt idx="3">
                  <c:v>0.5</c:v>
                </c:pt>
                <c:pt idx="4">
                  <c:v>0.746</c:v>
                </c:pt>
                <c:pt idx="5">
                  <c:v>0.89800000000000002</c:v>
                </c:pt>
                <c:pt idx="6">
                  <c:v>1</c:v>
                </c:pt>
                <c:pt idx="7">
                  <c:v>1.0860000000000001</c:v>
                </c:pt>
                <c:pt idx="8">
                  <c:v>1.2709999999999999</c:v>
                </c:pt>
                <c:pt idx="9">
                  <c:v>1.3979999999999999</c:v>
                </c:pt>
                <c:pt idx="10">
                  <c:v>1.589</c:v>
                </c:pt>
                <c:pt idx="11">
                  <c:v>1.78</c:v>
                </c:pt>
                <c:pt idx="12">
                  <c:v>1.9119999999999999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'Plot Data'!$K$7</c:f>
              <c:strCache>
                <c:ptCount val="1"/>
                <c:pt idx="0">
                  <c:v>{Casing &amp; HPH Internal String}</c:v>
                </c:pt>
              </c:strCache>
            </c:strRef>
          </c:tx>
          <c:marker>
            <c:symbol val="none"/>
          </c:marker>
          <c:xVal>
            <c:numRef>
              <c:f>'Plot Data'!$L$10:$L$22</c:f>
              <c:numCache>
                <c:formatCode>General</c:formatCode>
                <c:ptCount val="13"/>
                <c:pt idx="0">
                  <c:v>86.03</c:v>
                </c:pt>
                <c:pt idx="1">
                  <c:v>86.29</c:v>
                </c:pt>
                <c:pt idx="2">
                  <c:v>86.67</c:v>
                </c:pt>
                <c:pt idx="3">
                  <c:v>87.44</c:v>
                </c:pt>
                <c:pt idx="4">
                  <c:v>88.13</c:v>
                </c:pt>
                <c:pt idx="5">
                  <c:v>88.57</c:v>
                </c:pt>
                <c:pt idx="6">
                  <c:v>88.86</c:v>
                </c:pt>
                <c:pt idx="7">
                  <c:v>89.34</c:v>
                </c:pt>
                <c:pt idx="8">
                  <c:v>-2901</c:v>
                </c:pt>
                <c:pt idx="9">
                  <c:v>-2900</c:v>
                </c:pt>
                <c:pt idx="10">
                  <c:v>-2898</c:v>
                </c:pt>
                <c:pt idx="11">
                  <c:v>-2896</c:v>
                </c:pt>
                <c:pt idx="12">
                  <c:v>-2895</c:v>
                </c:pt>
              </c:numCache>
            </c:numRef>
          </c:xVal>
          <c:yVal>
            <c:numRef>
              <c:f>'Plot Data'!$K$10:$K$22</c:f>
              <c:numCache>
                <c:formatCode>General</c:formatCode>
                <c:ptCount val="13"/>
                <c:pt idx="0">
                  <c:v>0</c:v>
                </c:pt>
                <c:pt idx="1">
                  <c:v>0.09</c:v>
                </c:pt>
                <c:pt idx="2">
                  <c:v>0.224</c:v>
                </c:pt>
                <c:pt idx="3">
                  <c:v>0.5</c:v>
                </c:pt>
                <c:pt idx="4">
                  <c:v>0.74299999999999999</c:v>
                </c:pt>
                <c:pt idx="5">
                  <c:v>0.89700000000000002</c:v>
                </c:pt>
                <c:pt idx="6">
                  <c:v>1</c:v>
                </c:pt>
                <c:pt idx="7">
                  <c:v>1.171</c:v>
                </c:pt>
                <c:pt idx="8">
                  <c:v>1.2709999999999999</c:v>
                </c:pt>
                <c:pt idx="9">
                  <c:v>1.3939999999999999</c:v>
                </c:pt>
                <c:pt idx="10">
                  <c:v>1.579</c:v>
                </c:pt>
                <c:pt idx="11">
                  <c:v>1.764</c:v>
                </c:pt>
                <c:pt idx="12">
                  <c:v>1.9059999999999999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12576"/>
        <c:axId val="182727040"/>
      </c:scatterChart>
      <c:valAx>
        <c:axId val="182712576"/>
        <c:scaling>
          <c:orientation val="minMax"/>
        </c:scaling>
        <c:delete val="0"/>
        <c:axPos val="b"/>
        <c:majorGridlines>
          <c:spPr>
            <a:ln w="12700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300" b="1" i="0">
                    <a:latin typeface="Tahoma"/>
                    <a:ea typeface="Tahoma"/>
                    <a:cs typeface="Tahoma"/>
                  </a:defRPr>
                </a:pPr>
                <a:r>
                  <a:rPr lang="en-GB"/>
                  <a:t>Effective Tension (kN)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300" b="0" i="0">
                <a:latin typeface="Tahoma"/>
                <a:ea typeface="Tahoma"/>
                <a:cs typeface="Tahoma"/>
              </a:defRPr>
            </a:pPr>
            <a:endParaRPr lang="en-US"/>
          </a:p>
        </c:txPr>
        <c:crossAx val="182727040"/>
        <c:crossesAt val="-1.0000000000000001E+32"/>
        <c:crossBetween val="midCat"/>
      </c:valAx>
      <c:valAx>
        <c:axId val="182727040"/>
        <c:scaling>
          <c:orientation val="minMax"/>
        </c:scaling>
        <c:delete val="0"/>
        <c:axPos val="l"/>
        <c:majorGridlines>
          <c:spPr>
            <a:ln w="12700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300" b="1" i="0">
                    <a:latin typeface="Tahoma"/>
                    <a:ea typeface="Tahoma"/>
                    <a:cs typeface="Tahoma"/>
                  </a:defRPr>
                </a:pPr>
                <a:r>
                  <a:rPr lang="en-GB"/>
                  <a:t>Elevation Above Mudline (m)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300" b="0" i="0">
                <a:latin typeface="Tahoma"/>
                <a:ea typeface="Tahoma"/>
                <a:cs typeface="Tahoma"/>
              </a:defRPr>
            </a:pPr>
            <a:endParaRPr lang="en-US"/>
          </a:p>
        </c:txPr>
        <c:crossAx val="182712576"/>
        <c:crossesAt val="-1.0000000000000001E+32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b"/>
      <c:layout/>
      <c:overlay val="0"/>
      <c:spPr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0" b="1" i="0">
              <a:latin typeface="Tahoma"/>
              <a:ea typeface="Tahoma"/>
              <a:cs typeface="Tahoma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  <a:effectLst/>
  </c:spPr>
  <c:txPr>
    <a:bodyPr/>
    <a:lstStyle/>
    <a:p>
      <a:pPr>
        <a:defRPr sz="1300" u="none" strike="noStrike" baseline="0">
          <a:latin typeface="Tahoma"/>
          <a:ea typeface="Tahoma"/>
          <a:cs typeface="Tahoma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pageMargins left="0.7" right="0.7" top="0.75" bottom="0.75" header="0.3" footer="0.3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25</xdr:row>
          <xdr:rowOff>47625</xdr:rowOff>
        </xdr:from>
        <xdr:to>
          <xdr:col>5</xdr:col>
          <xdr:colOff>161925</xdr:colOff>
          <xdr:row>28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Plot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20</xdr:row>
          <xdr:rowOff>95250</xdr:rowOff>
        </xdr:from>
        <xdr:to>
          <xdr:col>5</xdr:col>
          <xdr:colOff>152400</xdr:colOff>
          <xdr:row>24</xdr:row>
          <xdr:rowOff>28575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Plot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70597</xdr:colOff>
          <xdr:row>1</xdr:row>
          <xdr:rowOff>66675</xdr:rowOff>
        </xdr:from>
        <xdr:to>
          <xdr:col>5</xdr:col>
          <xdr:colOff>355787</xdr:colOff>
          <xdr:row>14</xdr:row>
          <xdr:rowOff>98612</xdr:rowOff>
        </xdr:to>
        <xdr:sp macro="" textlink="">
          <xdr:nvSpPr>
            <xdr:cNvPr id="11269" name="lboxLabels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absSizeAnchor xmlns:cdr="http://schemas.openxmlformats.org/drawingml/2006/chartDrawing">
    <cdr:from>
      <cdr:x>0.01456</cdr:x>
      <cdr:y>0.0251</cdr:y>
    </cdr:from>
    <cdr:ext cx="745236" cy="575945"/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35478" y="152530"/>
          <a:ext cx="745236" cy="575945"/>
        </a:xfrm>
        <a:prstGeom xmlns:a="http://schemas.openxmlformats.org/drawingml/2006/main" prst="rect">
          <a:avLst/>
        </a:prstGeom>
      </cdr:spPr>
    </cdr:pic>
  </cdr:absSizeAnchor>
</c:userShape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2HTheme">
  <a:themeElements>
    <a:clrScheme name="2HColorTheme">
      <a:dk1>
        <a:srgbClr val="000000"/>
      </a:dk1>
      <a:lt1>
        <a:sysClr val="window" lastClr="FFFFFF"/>
      </a:lt1>
      <a:dk2>
        <a:srgbClr val="003150"/>
      </a:dk2>
      <a:lt2>
        <a:srgbClr val="0088CE"/>
      </a:lt2>
      <a:accent1>
        <a:srgbClr val="FF0000"/>
      </a:accent1>
      <a:accent2>
        <a:srgbClr val="0000FF"/>
      </a:accent2>
      <a:accent3>
        <a:srgbClr val="339966"/>
      </a:accent3>
      <a:accent4>
        <a:srgbClr val="FF9933"/>
      </a:accent4>
      <a:accent5>
        <a:srgbClr val="993366"/>
      </a:accent5>
      <a:accent6>
        <a:srgbClr val="00FFFF"/>
      </a:accent6>
      <a:hlink>
        <a:srgbClr val="0000FF"/>
      </a:hlink>
      <a:folHlink>
        <a:srgbClr val="993366"/>
      </a:folHlink>
    </a:clrScheme>
    <a:fontScheme name="2H Heading">
      <a:majorFont>
        <a:latin typeface="Tahom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20000"/>
              </a:schemeClr>
            </a:gs>
            <a:gs pos="100000">
              <a:schemeClr val="phClr">
                <a:shade val="15000"/>
                <a:satMod val="320000"/>
              </a:schemeClr>
            </a:gs>
          </a:gsLst>
          <a:path path="circle">
            <a:fillToRect l="10000" t="110000" r="1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50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ver"/>
  <dimension ref="B2:O7"/>
  <sheetViews>
    <sheetView workbookViewId="0"/>
  </sheetViews>
  <sheetFormatPr defaultRowHeight="12.75" x14ac:dyDescent="0.2"/>
  <cols>
    <col min="2" max="2" width="31.140625" customWidth="1"/>
    <col min="3" max="3" width="30.28515625" customWidth="1"/>
  </cols>
  <sheetData>
    <row r="2" spans="2:15" x14ac:dyDescent="0.2">
      <c r="B2" s="2" t="s">
        <v>1</v>
      </c>
    </row>
    <row r="4" spans="2:15" x14ac:dyDescent="0.2">
      <c r="B4" t="s">
        <v>0</v>
      </c>
      <c r="C4" t="s">
        <v>33</v>
      </c>
      <c r="D4" t="s">
        <v>400</v>
      </c>
    </row>
    <row r="5" spans="2:15" x14ac:dyDescent="0.2">
      <c r="B5" t="s">
        <v>2</v>
      </c>
      <c r="C5">
        <v>0</v>
      </c>
    </row>
    <row r="6" spans="2:15" x14ac:dyDescent="0.2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5" x14ac:dyDescent="0.2"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686"/>
  <sheetViews>
    <sheetView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RowHeight="12.75" x14ac:dyDescent="0.2"/>
  <cols>
    <col min="1" max="1" width="25.7109375" style="12" customWidth="1"/>
    <col min="2" max="3" width="9.140625" style="12"/>
    <col min="4" max="4" width="9.140625" style="3"/>
    <col min="5" max="5" width="12.85546875" style="3" customWidth="1"/>
    <col min="6" max="7" width="9.140625" style="3"/>
    <col min="8" max="9" width="9.140625" style="13"/>
    <col min="10" max="11" width="9.140625" style="16"/>
    <col min="12" max="15" width="9.140625" style="3"/>
    <col min="16" max="16" width="9.140625" style="1"/>
    <col min="18" max="18" width="9.140625" style="3"/>
    <col min="19" max="19" width="9.140625" style="1"/>
    <col min="21" max="21" width="11" style="3" customWidth="1"/>
    <col min="28" max="28" width="10.140625" style="12" customWidth="1"/>
    <col min="29" max="29" width="9.140625" style="16"/>
    <col min="30" max="31" width="9.140625" style="3"/>
    <col min="32" max="32" width="9.140625" style="13"/>
    <col min="33" max="34" width="9.140625" style="3"/>
  </cols>
  <sheetData>
    <row r="1" spans="1:34" s="6" customFormat="1" x14ac:dyDescent="0.2">
      <c r="A1" s="10"/>
      <c r="B1" s="10" t="s">
        <v>34</v>
      </c>
      <c r="C1" s="10"/>
      <c r="D1" s="5"/>
      <c r="E1" s="5"/>
      <c r="F1" s="5"/>
      <c r="G1" s="5"/>
      <c r="H1" s="17"/>
      <c r="I1" s="17"/>
      <c r="J1" s="14"/>
      <c r="K1" s="14"/>
      <c r="L1" s="5"/>
      <c r="M1" s="5"/>
      <c r="N1" s="5"/>
      <c r="O1" s="5"/>
      <c r="P1" s="19"/>
      <c r="R1" s="5"/>
      <c r="S1" s="19"/>
      <c r="U1" s="5"/>
      <c r="AB1" s="10"/>
      <c r="AC1" s="14"/>
      <c r="AD1" s="5"/>
      <c r="AE1" s="5"/>
      <c r="AF1" s="17"/>
      <c r="AG1" s="5"/>
      <c r="AH1" s="5"/>
    </row>
    <row r="2" spans="1:34" s="6" customFormat="1" x14ac:dyDescent="0.2">
      <c r="A2" s="10"/>
      <c r="B2" s="10" t="s">
        <v>35</v>
      </c>
      <c r="C2" s="10"/>
      <c r="D2" s="5"/>
      <c r="E2" s="5"/>
      <c r="F2" s="5"/>
      <c r="G2" s="5"/>
      <c r="H2" s="17"/>
      <c r="I2" s="17"/>
      <c r="J2" s="14"/>
      <c r="K2" s="14"/>
      <c r="L2" s="5"/>
      <c r="M2" s="5"/>
      <c r="N2" s="5"/>
      <c r="O2" s="5"/>
      <c r="P2" s="19"/>
      <c r="R2" s="5"/>
      <c r="S2" s="19"/>
      <c r="U2" s="5"/>
      <c r="AB2" s="10"/>
      <c r="AC2" s="14"/>
      <c r="AD2" s="5"/>
      <c r="AE2" s="5"/>
      <c r="AF2" s="17"/>
      <c r="AG2" s="5"/>
      <c r="AH2" s="5"/>
    </row>
    <row r="3" spans="1:34" s="6" customFormat="1" x14ac:dyDescent="0.2">
      <c r="A3" s="10"/>
      <c r="B3" s="10" t="s">
        <v>36</v>
      </c>
      <c r="C3" s="10"/>
      <c r="D3" s="5"/>
      <c r="E3" s="5"/>
      <c r="F3" s="5"/>
      <c r="G3" s="5"/>
      <c r="H3" s="17"/>
      <c r="I3" s="17"/>
      <c r="J3" s="14"/>
      <c r="K3" s="14"/>
      <c r="L3" s="5"/>
      <c r="M3" s="5"/>
      <c r="N3" s="5"/>
      <c r="O3" s="5"/>
      <c r="P3" s="19"/>
      <c r="R3" s="5"/>
      <c r="S3" s="19"/>
      <c r="U3" s="5"/>
      <c r="AB3" s="10"/>
      <c r="AC3" s="14"/>
      <c r="AD3" s="5"/>
      <c r="AE3" s="5"/>
      <c r="AF3" s="17"/>
      <c r="AG3" s="5"/>
      <c r="AH3" s="5"/>
    </row>
    <row r="4" spans="1:34" s="8" customFormat="1" x14ac:dyDescent="0.2">
      <c r="A4" s="11"/>
      <c r="B4" s="11" t="s">
        <v>37</v>
      </c>
      <c r="C4" s="11"/>
      <c r="D4" s="7"/>
      <c r="E4" s="7"/>
      <c r="F4" s="7" t="s">
        <v>38</v>
      </c>
      <c r="G4" s="7"/>
      <c r="H4" s="18"/>
      <c r="I4" s="18"/>
      <c r="J4" s="15"/>
      <c r="K4" s="15"/>
      <c r="L4" s="7"/>
      <c r="M4" s="7"/>
      <c r="N4" s="7"/>
      <c r="O4" s="7"/>
      <c r="P4" s="20"/>
      <c r="R4" s="7"/>
      <c r="S4" s="20"/>
      <c r="U4" s="7"/>
      <c r="AB4" s="11"/>
      <c r="AC4" s="15"/>
      <c r="AD4" s="7"/>
      <c r="AE4" s="7"/>
      <c r="AF4" s="18"/>
      <c r="AG4" s="7"/>
      <c r="AH4" s="7"/>
    </row>
    <row r="5" spans="1:34" s="6" customFormat="1" x14ac:dyDescent="0.2">
      <c r="A5" s="10"/>
      <c r="B5" s="10"/>
      <c r="C5" s="10"/>
      <c r="D5" s="5"/>
      <c r="E5" s="5"/>
      <c r="F5" s="5" t="s">
        <v>39</v>
      </c>
      <c r="G5" s="5"/>
      <c r="H5" s="17"/>
      <c r="I5" s="17"/>
      <c r="J5" s="14"/>
      <c r="K5" s="14"/>
      <c r="L5" s="5"/>
      <c r="M5" s="5"/>
      <c r="N5" s="5"/>
      <c r="O5" s="5"/>
      <c r="P5" s="19"/>
      <c r="R5" s="5"/>
      <c r="S5" s="19"/>
      <c r="U5" s="5"/>
      <c r="AB5" s="10"/>
      <c r="AC5" s="14"/>
      <c r="AD5" s="5"/>
      <c r="AE5" s="5"/>
      <c r="AF5" s="17"/>
      <c r="AG5" s="5"/>
      <c r="AH5" s="5"/>
    </row>
    <row r="6" spans="1:34" s="6" customFormat="1" x14ac:dyDescent="0.2">
      <c r="A6" s="10" t="s">
        <v>4</v>
      </c>
      <c r="B6" s="10" t="s">
        <v>40</v>
      </c>
      <c r="C6" s="10"/>
      <c r="D6" s="5" t="s">
        <v>41</v>
      </c>
      <c r="E6" s="5" t="s">
        <v>42</v>
      </c>
      <c r="F6" s="5" t="s">
        <v>43</v>
      </c>
      <c r="G6" s="5" t="s">
        <v>44</v>
      </c>
      <c r="H6" s="17" t="s">
        <v>45</v>
      </c>
      <c r="I6" s="17" t="s">
        <v>45</v>
      </c>
      <c r="J6" s="14" t="s">
        <v>46</v>
      </c>
      <c r="K6" s="14" t="s">
        <v>47</v>
      </c>
      <c r="L6" s="5" t="s">
        <v>41</v>
      </c>
      <c r="M6" s="5" t="s">
        <v>48</v>
      </c>
      <c r="N6" s="5" t="s">
        <v>49</v>
      </c>
      <c r="O6" s="5"/>
      <c r="P6" s="19"/>
      <c r="Q6" s="6" t="s">
        <v>50</v>
      </c>
      <c r="R6" s="5"/>
      <c r="S6" s="19"/>
      <c r="U6" s="5"/>
      <c r="AB6" s="10"/>
      <c r="AC6" s="14"/>
      <c r="AD6" s="5"/>
      <c r="AE6" s="5"/>
      <c r="AF6" s="17"/>
      <c r="AG6" s="5"/>
      <c r="AH6" s="5"/>
    </row>
    <row r="7" spans="1:34" s="6" customFormat="1" x14ac:dyDescent="0.2">
      <c r="A7" s="10"/>
      <c r="B7" s="10" t="s">
        <v>51</v>
      </c>
      <c r="C7" s="10" t="s">
        <v>52</v>
      </c>
      <c r="D7" s="5" t="s">
        <v>53</v>
      </c>
      <c r="E7" s="5" t="s">
        <v>53</v>
      </c>
      <c r="F7" s="5" t="s">
        <v>53</v>
      </c>
      <c r="G7" s="5" t="s">
        <v>54</v>
      </c>
      <c r="H7" s="17" t="s">
        <v>55</v>
      </c>
      <c r="I7" s="17" t="s">
        <v>56</v>
      </c>
      <c r="J7" s="14" t="s">
        <v>57</v>
      </c>
      <c r="K7" s="14" t="s">
        <v>57</v>
      </c>
      <c r="L7" s="5" t="s">
        <v>58</v>
      </c>
      <c r="M7" s="5" t="s">
        <v>59</v>
      </c>
      <c r="N7" s="5" t="s">
        <v>60</v>
      </c>
      <c r="O7" s="5" t="s">
        <v>61</v>
      </c>
      <c r="P7" s="19" t="s">
        <v>62</v>
      </c>
      <c r="Q7" s="6" t="s">
        <v>60</v>
      </c>
      <c r="R7" s="5" t="s">
        <v>61</v>
      </c>
      <c r="S7" s="19" t="s">
        <v>62</v>
      </c>
      <c r="U7" s="5"/>
      <c r="AB7" s="10"/>
      <c r="AC7" s="14"/>
      <c r="AD7" s="5"/>
      <c r="AE7" s="5"/>
      <c r="AF7" s="17"/>
      <c r="AG7" s="5"/>
      <c r="AH7" s="5"/>
    </row>
    <row r="8" spans="1:34" s="6" customFormat="1" x14ac:dyDescent="0.2">
      <c r="A8" s="10"/>
      <c r="B8" s="10"/>
      <c r="C8" s="10"/>
      <c r="D8" s="5"/>
      <c r="E8" s="5"/>
      <c r="F8" s="5"/>
      <c r="G8" s="5" t="s">
        <v>63</v>
      </c>
      <c r="H8" s="17" t="s">
        <v>64</v>
      </c>
      <c r="I8" s="17" t="s">
        <v>64</v>
      </c>
      <c r="J8" s="14" t="s">
        <v>65</v>
      </c>
      <c r="K8" s="14" t="s">
        <v>65</v>
      </c>
      <c r="L8" s="5" t="s">
        <v>66</v>
      </c>
      <c r="M8" s="5" t="s">
        <v>63</v>
      </c>
      <c r="N8" s="5" t="s">
        <v>64</v>
      </c>
      <c r="O8" s="5" t="s">
        <v>67</v>
      </c>
      <c r="P8" s="19" t="s">
        <v>68</v>
      </c>
      <c r="Q8" s="6" t="s">
        <v>64</v>
      </c>
      <c r="R8" s="5" t="s">
        <v>67</v>
      </c>
      <c r="S8" s="19" t="s">
        <v>68</v>
      </c>
      <c r="U8" s="5"/>
      <c r="AB8" s="10"/>
      <c r="AC8" s="14"/>
      <c r="AD8" s="5"/>
      <c r="AE8" s="5"/>
      <c r="AF8" s="17"/>
      <c r="AG8" s="5"/>
      <c r="AH8" s="5"/>
    </row>
    <row r="9" spans="1:34" s="6" customFormat="1" x14ac:dyDescent="0.2">
      <c r="A9" s="10" t="s">
        <v>69</v>
      </c>
      <c r="B9" s="10" t="s">
        <v>70</v>
      </c>
      <c r="C9" s="10" t="s">
        <v>70</v>
      </c>
      <c r="D9" s="5">
        <v>1</v>
      </c>
      <c r="E9" s="5">
        <v>1</v>
      </c>
      <c r="F9" s="5">
        <v>1</v>
      </c>
      <c r="G9" s="5">
        <v>551.6</v>
      </c>
      <c r="H9" s="17">
        <v>0.91439999999999999</v>
      </c>
      <c r="I9" s="17">
        <v>0.81279999999999997</v>
      </c>
      <c r="J9" s="14">
        <v>0</v>
      </c>
      <c r="K9" s="14">
        <v>0</v>
      </c>
      <c r="L9" s="5">
        <v>0</v>
      </c>
      <c r="M9" s="5">
        <v>0</v>
      </c>
      <c r="N9" s="5">
        <v>990</v>
      </c>
      <c r="O9" s="5">
        <v>1025</v>
      </c>
      <c r="P9" s="19">
        <v>0</v>
      </c>
      <c r="Q9" s="6">
        <v>990</v>
      </c>
      <c r="R9" s="5">
        <v>1025</v>
      </c>
      <c r="S9" s="19">
        <v>0</v>
      </c>
      <c r="U9" s="5"/>
      <c r="AB9" s="10"/>
      <c r="AC9" s="14"/>
      <c r="AD9" s="5"/>
      <c r="AE9" s="5"/>
      <c r="AF9" s="17"/>
      <c r="AG9" s="5"/>
      <c r="AH9" s="5"/>
    </row>
    <row r="10" spans="1:34" s="6" customFormat="1" x14ac:dyDescent="0.2">
      <c r="A10" s="10" t="s">
        <v>71</v>
      </c>
      <c r="B10" s="10" t="s">
        <v>70</v>
      </c>
      <c r="C10" s="10" t="s">
        <v>70</v>
      </c>
      <c r="D10" s="5">
        <v>1</v>
      </c>
      <c r="E10" s="5">
        <v>1</v>
      </c>
      <c r="F10" s="5">
        <v>1</v>
      </c>
      <c r="G10" s="5">
        <v>551.6</v>
      </c>
      <c r="H10" s="17">
        <v>0.91439999999999999</v>
      </c>
      <c r="I10" s="17">
        <v>0.81279999999999997</v>
      </c>
      <c r="J10" s="14">
        <v>0</v>
      </c>
      <c r="K10" s="14">
        <v>0</v>
      </c>
      <c r="L10" s="5">
        <v>0</v>
      </c>
      <c r="M10" s="5">
        <v>0</v>
      </c>
      <c r="N10" s="5">
        <v>990</v>
      </c>
      <c r="O10" s="5">
        <v>1025</v>
      </c>
      <c r="P10" s="19">
        <v>0</v>
      </c>
      <c r="Q10" s="6">
        <v>990</v>
      </c>
      <c r="R10" s="5">
        <v>1025</v>
      </c>
      <c r="S10" s="19">
        <v>0</v>
      </c>
      <c r="U10" s="5"/>
      <c r="AB10" s="10"/>
      <c r="AC10" s="14"/>
      <c r="AD10" s="5"/>
      <c r="AE10" s="5"/>
      <c r="AF10" s="17"/>
      <c r="AG10" s="5"/>
      <c r="AH10" s="5"/>
    </row>
    <row r="11" spans="1:34" s="6" customFormat="1" x14ac:dyDescent="0.2">
      <c r="A11" s="10" t="s">
        <v>72</v>
      </c>
      <c r="B11" s="10" t="s">
        <v>70</v>
      </c>
      <c r="C11" s="10" t="s">
        <v>70</v>
      </c>
      <c r="D11" s="5">
        <v>1</v>
      </c>
      <c r="E11" s="5">
        <v>1</v>
      </c>
      <c r="F11" s="5">
        <v>1</v>
      </c>
      <c r="G11" s="5">
        <v>551.6</v>
      </c>
      <c r="H11" s="17">
        <v>0.91439999999999999</v>
      </c>
      <c r="I11" s="17">
        <v>0.83819999999999995</v>
      </c>
      <c r="J11" s="14">
        <v>0</v>
      </c>
      <c r="K11" s="14">
        <v>0</v>
      </c>
      <c r="L11" s="5">
        <v>0</v>
      </c>
      <c r="M11" s="5">
        <v>0</v>
      </c>
      <c r="N11" s="5">
        <v>990</v>
      </c>
      <c r="O11" s="5">
        <v>1025</v>
      </c>
      <c r="P11" s="19">
        <v>0</v>
      </c>
      <c r="Q11" s="6">
        <v>990</v>
      </c>
      <c r="R11" s="5">
        <v>1025</v>
      </c>
      <c r="S11" s="19">
        <v>0</v>
      </c>
      <c r="U11" s="5"/>
      <c r="AB11" s="10"/>
      <c r="AC11" s="14"/>
      <c r="AD11" s="5"/>
      <c r="AE11" s="5"/>
      <c r="AF11" s="17"/>
      <c r="AG11" s="5"/>
      <c r="AH11" s="5"/>
    </row>
    <row r="12" spans="1:34" s="6" customFormat="1" x14ac:dyDescent="0.2">
      <c r="A12" s="10" t="s">
        <v>73</v>
      </c>
      <c r="B12" s="10" t="s">
        <v>70</v>
      </c>
      <c r="C12" s="10" t="s">
        <v>70</v>
      </c>
      <c r="D12" s="5">
        <v>1</v>
      </c>
      <c r="E12" s="5">
        <v>1</v>
      </c>
      <c r="F12" s="5">
        <v>1</v>
      </c>
      <c r="G12" s="5">
        <v>551.6</v>
      </c>
      <c r="H12" s="17">
        <v>0.91439999999999999</v>
      </c>
      <c r="I12" s="17">
        <v>0.81279999999999997</v>
      </c>
      <c r="J12" s="14">
        <v>0</v>
      </c>
      <c r="K12" s="14">
        <v>0</v>
      </c>
      <c r="L12" s="5">
        <v>0</v>
      </c>
      <c r="M12" s="5">
        <v>0</v>
      </c>
      <c r="N12" s="5">
        <v>990</v>
      </c>
      <c r="O12" s="5">
        <v>1025</v>
      </c>
      <c r="P12" s="19">
        <v>0</v>
      </c>
      <c r="Q12" s="6">
        <v>990</v>
      </c>
      <c r="R12" s="5">
        <v>1025</v>
      </c>
      <c r="S12" s="19">
        <v>0</v>
      </c>
      <c r="U12" s="5"/>
      <c r="AB12" s="10"/>
      <c r="AC12" s="14"/>
      <c r="AD12" s="5"/>
      <c r="AE12" s="5"/>
      <c r="AF12" s="17"/>
      <c r="AG12" s="5"/>
      <c r="AH12" s="5"/>
    </row>
    <row r="13" spans="1:34" s="6" customFormat="1" x14ac:dyDescent="0.2">
      <c r="A13" s="10" t="s">
        <v>74</v>
      </c>
      <c r="B13" s="10" t="s">
        <v>70</v>
      </c>
      <c r="C13" s="10" t="s">
        <v>70</v>
      </c>
      <c r="D13" s="5">
        <v>1</v>
      </c>
      <c r="E13" s="5">
        <v>1</v>
      </c>
      <c r="F13" s="5">
        <v>1</v>
      </c>
      <c r="G13" s="5">
        <v>551.6</v>
      </c>
      <c r="H13" s="17">
        <v>0.91439999999999999</v>
      </c>
      <c r="I13" s="17">
        <v>0.83819999999999995</v>
      </c>
      <c r="J13" s="14">
        <v>0</v>
      </c>
      <c r="K13" s="14">
        <v>0</v>
      </c>
      <c r="L13" s="5">
        <v>0</v>
      </c>
      <c r="M13" s="5">
        <v>0</v>
      </c>
      <c r="N13" s="5">
        <v>990</v>
      </c>
      <c r="O13" s="5">
        <v>1025</v>
      </c>
      <c r="P13" s="19">
        <v>0</v>
      </c>
      <c r="Q13" s="6">
        <v>990</v>
      </c>
      <c r="R13" s="5">
        <v>1025</v>
      </c>
      <c r="S13" s="19">
        <v>0</v>
      </c>
      <c r="U13" s="5"/>
      <c r="AB13" s="10"/>
      <c r="AC13" s="14"/>
      <c r="AD13" s="5"/>
      <c r="AE13" s="5"/>
      <c r="AF13" s="17"/>
      <c r="AG13" s="5"/>
      <c r="AH13" s="5"/>
    </row>
    <row r="14" spans="1:34" s="6" customFormat="1" x14ac:dyDescent="0.2">
      <c r="A14" s="10" t="s">
        <v>75</v>
      </c>
      <c r="B14" s="10" t="s">
        <v>70</v>
      </c>
      <c r="C14" s="10" t="s">
        <v>70</v>
      </c>
      <c r="D14" s="5">
        <v>1</v>
      </c>
      <c r="E14" s="5">
        <v>1</v>
      </c>
      <c r="F14" s="5">
        <v>1</v>
      </c>
      <c r="G14" s="5">
        <v>551.6</v>
      </c>
      <c r="H14" s="17">
        <v>0.91439999999999999</v>
      </c>
      <c r="I14" s="17">
        <v>0.83819999999999995</v>
      </c>
      <c r="J14" s="14">
        <v>0</v>
      </c>
      <c r="K14" s="14">
        <v>0</v>
      </c>
      <c r="L14" s="5">
        <v>0</v>
      </c>
      <c r="M14" s="5">
        <v>0</v>
      </c>
      <c r="N14" s="5">
        <v>990</v>
      </c>
      <c r="O14" s="5">
        <v>1025</v>
      </c>
      <c r="P14" s="19">
        <v>0</v>
      </c>
      <c r="Q14" s="6">
        <v>990</v>
      </c>
      <c r="R14" s="5">
        <v>1025</v>
      </c>
      <c r="S14" s="19">
        <v>0</v>
      </c>
      <c r="U14" s="5"/>
      <c r="AB14" s="10"/>
      <c r="AC14" s="14"/>
      <c r="AD14" s="5"/>
      <c r="AE14" s="5"/>
      <c r="AF14" s="17"/>
      <c r="AG14" s="5"/>
      <c r="AH14" s="5"/>
    </row>
    <row r="15" spans="1:34" s="6" customFormat="1" x14ac:dyDescent="0.2">
      <c r="A15" s="10" t="s">
        <v>76</v>
      </c>
      <c r="B15" s="10" t="s">
        <v>70</v>
      </c>
      <c r="C15" s="10" t="s">
        <v>70</v>
      </c>
      <c r="D15" s="5">
        <v>1</v>
      </c>
      <c r="E15" s="5">
        <v>1</v>
      </c>
      <c r="F15" s="5">
        <v>1</v>
      </c>
      <c r="G15" s="5">
        <v>551.6</v>
      </c>
      <c r="H15" s="17">
        <v>0.91439999999999999</v>
      </c>
      <c r="I15" s="17">
        <v>0.83819999999999995</v>
      </c>
      <c r="J15" s="14">
        <v>0</v>
      </c>
      <c r="K15" s="14">
        <v>0</v>
      </c>
      <c r="L15" s="5">
        <v>0</v>
      </c>
      <c r="M15" s="5">
        <v>0</v>
      </c>
      <c r="N15" s="5">
        <v>990</v>
      </c>
      <c r="O15" s="5">
        <v>1025</v>
      </c>
      <c r="P15" s="19">
        <v>0</v>
      </c>
      <c r="Q15" s="6">
        <v>990</v>
      </c>
      <c r="R15" s="5">
        <v>1025</v>
      </c>
      <c r="S15" s="19">
        <v>0</v>
      </c>
      <c r="U15" s="5"/>
      <c r="AB15" s="10"/>
      <c r="AC15" s="14"/>
      <c r="AD15" s="5"/>
      <c r="AE15" s="5"/>
      <c r="AF15" s="17"/>
      <c r="AG15" s="5"/>
      <c r="AH15" s="5"/>
    </row>
    <row r="16" spans="1:34" s="6" customFormat="1" x14ac:dyDescent="0.2">
      <c r="A16" s="10" t="s">
        <v>77</v>
      </c>
      <c r="B16" s="10" t="s">
        <v>70</v>
      </c>
      <c r="C16" s="10" t="s">
        <v>70</v>
      </c>
      <c r="D16" s="5">
        <v>1</v>
      </c>
      <c r="E16" s="5">
        <v>1</v>
      </c>
      <c r="F16" s="5">
        <v>1</v>
      </c>
      <c r="G16" s="5">
        <v>551.6</v>
      </c>
      <c r="H16" s="17">
        <v>0.91439999999999999</v>
      </c>
      <c r="I16" s="17">
        <v>0.83819999999999995</v>
      </c>
      <c r="J16" s="14">
        <v>0</v>
      </c>
      <c r="K16" s="14">
        <v>0</v>
      </c>
      <c r="L16" s="5">
        <v>0</v>
      </c>
      <c r="M16" s="5">
        <v>0</v>
      </c>
      <c r="N16" s="5">
        <v>990</v>
      </c>
      <c r="O16" s="5">
        <v>1025</v>
      </c>
      <c r="P16" s="19">
        <v>0</v>
      </c>
      <c r="Q16" s="6">
        <v>990</v>
      </c>
      <c r="R16" s="5">
        <v>1025</v>
      </c>
      <c r="S16" s="19">
        <v>0</v>
      </c>
      <c r="U16" s="5"/>
      <c r="AB16" s="10"/>
      <c r="AC16" s="14"/>
      <c r="AD16" s="5"/>
      <c r="AE16" s="5"/>
      <c r="AF16" s="17"/>
      <c r="AG16" s="5"/>
      <c r="AH16" s="5"/>
    </row>
    <row r="17" spans="1:34" s="6" customFormat="1" x14ac:dyDescent="0.2">
      <c r="A17" s="10" t="s">
        <v>78</v>
      </c>
      <c r="B17" s="10" t="s">
        <v>70</v>
      </c>
      <c r="C17" s="10" t="s">
        <v>70</v>
      </c>
      <c r="D17" s="5">
        <v>1</v>
      </c>
      <c r="E17" s="5">
        <v>1</v>
      </c>
      <c r="F17" s="5">
        <v>1</v>
      </c>
      <c r="G17" s="5">
        <v>551.6</v>
      </c>
      <c r="H17" s="17">
        <v>0.91439999999999999</v>
      </c>
      <c r="I17" s="17">
        <v>0.83819999999999995</v>
      </c>
      <c r="J17" s="14">
        <v>0</v>
      </c>
      <c r="K17" s="14">
        <v>0</v>
      </c>
      <c r="L17" s="5">
        <v>0</v>
      </c>
      <c r="M17" s="5">
        <v>0</v>
      </c>
      <c r="N17" s="5">
        <v>990</v>
      </c>
      <c r="O17" s="5">
        <v>1025</v>
      </c>
      <c r="P17" s="19">
        <v>0</v>
      </c>
      <c r="Q17" s="6">
        <v>990</v>
      </c>
      <c r="R17" s="5">
        <v>1025</v>
      </c>
      <c r="S17" s="19">
        <v>0</v>
      </c>
      <c r="U17" s="5"/>
      <c r="AB17" s="10"/>
      <c r="AC17" s="14"/>
      <c r="AD17" s="5"/>
      <c r="AE17" s="5"/>
      <c r="AF17" s="17"/>
      <c r="AG17" s="5"/>
      <c r="AH17" s="5"/>
    </row>
    <row r="18" spans="1:34" s="6" customFormat="1" x14ac:dyDescent="0.2">
      <c r="A18" s="10" t="s">
        <v>79</v>
      </c>
      <c r="B18" s="10" t="s">
        <v>70</v>
      </c>
      <c r="C18" s="10" t="s">
        <v>70</v>
      </c>
      <c r="D18" s="5">
        <v>1</v>
      </c>
      <c r="E18" s="5">
        <v>1</v>
      </c>
      <c r="F18" s="5">
        <v>1</v>
      </c>
      <c r="G18" s="5">
        <v>551.6</v>
      </c>
      <c r="H18" s="17">
        <v>0.91439999999999999</v>
      </c>
      <c r="I18" s="17">
        <v>0.83819999999999995</v>
      </c>
      <c r="J18" s="14">
        <v>0</v>
      </c>
      <c r="K18" s="14">
        <v>0</v>
      </c>
      <c r="L18" s="5">
        <v>0</v>
      </c>
      <c r="M18" s="5">
        <v>0</v>
      </c>
      <c r="N18" s="5">
        <v>990</v>
      </c>
      <c r="O18" s="5">
        <v>1025</v>
      </c>
      <c r="P18" s="19">
        <v>0</v>
      </c>
      <c r="Q18" s="6">
        <v>990</v>
      </c>
      <c r="R18" s="5">
        <v>1025</v>
      </c>
      <c r="S18" s="19">
        <v>0</v>
      </c>
      <c r="U18" s="5"/>
      <c r="AB18" s="10"/>
      <c r="AC18" s="14"/>
      <c r="AD18" s="5"/>
      <c r="AE18" s="5"/>
      <c r="AF18" s="17"/>
      <c r="AG18" s="5"/>
      <c r="AH18" s="5"/>
    </row>
    <row r="19" spans="1:34" x14ac:dyDescent="0.2">
      <c r="A19" s="12" t="s">
        <v>80</v>
      </c>
      <c r="B19" s="12" t="s">
        <v>70</v>
      </c>
      <c r="C19" s="12" t="s">
        <v>70</v>
      </c>
      <c r="D19" s="3">
        <v>1</v>
      </c>
      <c r="E19" s="3">
        <v>1</v>
      </c>
      <c r="F19" s="3">
        <v>1</v>
      </c>
      <c r="G19" s="3">
        <v>551.6</v>
      </c>
      <c r="H19" s="13">
        <v>0.91439999999999999</v>
      </c>
      <c r="I19" s="13">
        <v>0.83819999999999995</v>
      </c>
      <c r="J19" s="16">
        <v>0</v>
      </c>
      <c r="K19" s="16">
        <v>0</v>
      </c>
      <c r="L19" s="3">
        <v>0</v>
      </c>
      <c r="M19" s="3">
        <v>0</v>
      </c>
      <c r="N19" s="3">
        <v>990</v>
      </c>
      <c r="O19" s="3">
        <v>1025</v>
      </c>
      <c r="P19" s="1">
        <v>0</v>
      </c>
      <c r="Q19">
        <v>990</v>
      </c>
      <c r="R19" s="3">
        <v>1025</v>
      </c>
      <c r="S19" s="1">
        <v>0</v>
      </c>
    </row>
    <row r="20" spans="1:34" x14ac:dyDescent="0.2">
      <c r="A20" s="12" t="s">
        <v>81</v>
      </c>
      <c r="B20" s="12" t="s">
        <v>70</v>
      </c>
      <c r="C20" s="12" t="s">
        <v>70</v>
      </c>
      <c r="D20" s="3">
        <v>1</v>
      </c>
      <c r="E20" s="3">
        <v>1</v>
      </c>
      <c r="F20" s="3">
        <v>1</v>
      </c>
      <c r="G20" s="3">
        <v>551.6</v>
      </c>
      <c r="H20" s="13">
        <v>0.91439999999999999</v>
      </c>
      <c r="I20" s="13">
        <v>0.83819999999999995</v>
      </c>
      <c r="J20" s="16">
        <v>0</v>
      </c>
      <c r="K20" s="16">
        <v>0</v>
      </c>
      <c r="L20" s="3">
        <v>0</v>
      </c>
      <c r="M20" s="3">
        <v>0</v>
      </c>
      <c r="N20" s="3">
        <v>990</v>
      </c>
      <c r="O20" s="3">
        <v>1025</v>
      </c>
      <c r="P20" s="1">
        <v>0</v>
      </c>
      <c r="Q20">
        <v>990</v>
      </c>
      <c r="R20" s="3">
        <v>1025</v>
      </c>
      <c r="S20" s="1">
        <v>0</v>
      </c>
    </row>
    <row r="21" spans="1:34" x14ac:dyDescent="0.2">
      <c r="A21" s="12" t="s">
        <v>82</v>
      </c>
      <c r="B21" s="12" t="s">
        <v>70</v>
      </c>
      <c r="C21" s="12" t="s">
        <v>70</v>
      </c>
      <c r="D21" s="3">
        <v>1</v>
      </c>
      <c r="E21" s="3">
        <v>1</v>
      </c>
      <c r="F21" s="3">
        <v>1</v>
      </c>
      <c r="G21" s="3">
        <v>551.6</v>
      </c>
      <c r="H21" s="13">
        <v>0.96519999999999995</v>
      </c>
      <c r="I21" s="13">
        <v>0.76200000000000001</v>
      </c>
      <c r="J21" s="16">
        <v>0</v>
      </c>
      <c r="K21" s="16">
        <v>0</v>
      </c>
      <c r="L21" s="3">
        <v>0</v>
      </c>
      <c r="M21" s="3">
        <v>0</v>
      </c>
      <c r="N21" s="3">
        <v>990</v>
      </c>
      <c r="O21" s="3">
        <v>1025</v>
      </c>
      <c r="P21" s="1">
        <v>0</v>
      </c>
      <c r="Q21">
        <v>990</v>
      </c>
      <c r="R21" s="3">
        <v>1025</v>
      </c>
      <c r="S21" s="1">
        <v>0</v>
      </c>
    </row>
    <row r="22" spans="1:34" x14ac:dyDescent="0.2">
      <c r="A22" s="12" t="s">
        <v>83</v>
      </c>
      <c r="B22" s="12" t="s">
        <v>70</v>
      </c>
      <c r="C22" s="12" t="s">
        <v>70</v>
      </c>
      <c r="D22" s="3">
        <v>1</v>
      </c>
      <c r="E22" s="3">
        <v>1</v>
      </c>
      <c r="F22" s="3">
        <v>1</v>
      </c>
      <c r="G22" s="3">
        <v>551.6</v>
      </c>
      <c r="H22" s="13">
        <v>0.96519999999999995</v>
      </c>
      <c r="I22" s="13">
        <v>0.76200000000000001</v>
      </c>
      <c r="J22" s="16">
        <v>0</v>
      </c>
      <c r="K22" s="16">
        <v>0</v>
      </c>
      <c r="L22" s="3">
        <v>0</v>
      </c>
      <c r="M22" s="3">
        <v>0</v>
      </c>
      <c r="N22" s="3">
        <v>990</v>
      </c>
      <c r="O22" s="3">
        <v>1025</v>
      </c>
      <c r="P22" s="1">
        <v>0</v>
      </c>
      <c r="Q22">
        <v>990</v>
      </c>
      <c r="R22" s="3">
        <v>1025</v>
      </c>
      <c r="S22" s="1">
        <v>0</v>
      </c>
    </row>
    <row r="23" spans="1:34" x14ac:dyDescent="0.2">
      <c r="A23" s="12" t="s">
        <v>84</v>
      </c>
      <c r="B23" s="12" t="s">
        <v>70</v>
      </c>
      <c r="C23" s="12" t="s">
        <v>70</v>
      </c>
      <c r="D23" s="3">
        <v>1</v>
      </c>
      <c r="E23" s="3">
        <v>1</v>
      </c>
      <c r="F23" s="3">
        <v>1</v>
      </c>
      <c r="G23" s="3">
        <v>551.6</v>
      </c>
      <c r="H23" s="13">
        <v>0.50800000000000001</v>
      </c>
      <c r="I23" s="13">
        <v>0.47570000000000001</v>
      </c>
      <c r="J23" s="16">
        <v>0</v>
      </c>
      <c r="K23" s="16">
        <v>0</v>
      </c>
      <c r="L23" s="3">
        <v>0</v>
      </c>
      <c r="M23" s="3">
        <v>0</v>
      </c>
      <c r="N23" s="3">
        <v>990</v>
      </c>
      <c r="O23" s="3">
        <v>1025</v>
      </c>
      <c r="P23" s="1">
        <v>0</v>
      </c>
      <c r="Q23">
        <v>1005</v>
      </c>
      <c r="R23" s="3">
        <v>1677.6</v>
      </c>
      <c r="S23" s="1">
        <v>0</v>
      </c>
    </row>
    <row r="24" spans="1:34" x14ac:dyDescent="0.2">
      <c r="A24" s="12" t="s">
        <v>85</v>
      </c>
      <c r="B24" s="12" t="s">
        <v>70</v>
      </c>
      <c r="C24" s="12" t="s">
        <v>70</v>
      </c>
      <c r="D24" s="3">
        <v>1</v>
      </c>
      <c r="E24" s="3">
        <v>1</v>
      </c>
      <c r="F24" s="3">
        <v>1</v>
      </c>
      <c r="G24" s="3">
        <v>551.6</v>
      </c>
      <c r="H24" s="13">
        <v>0.50800000000000001</v>
      </c>
      <c r="I24" s="13">
        <v>0.47570000000000001</v>
      </c>
      <c r="J24" s="16">
        <v>0</v>
      </c>
      <c r="K24" s="16">
        <v>0</v>
      </c>
      <c r="L24" s="3">
        <v>0</v>
      </c>
      <c r="M24" s="3">
        <v>0</v>
      </c>
      <c r="N24" s="3">
        <v>990</v>
      </c>
      <c r="O24" s="3">
        <v>1025</v>
      </c>
      <c r="P24" s="1">
        <v>0</v>
      </c>
      <c r="Q24">
        <v>1005</v>
      </c>
      <c r="R24" s="3">
        <v>1677.6</v>
      </c>
      <c r="S24" s="1">
        <v>0</v>
      </c>
    </row>
    <row r="25" spans="1:34" x14ac:dyDescent="0.2">
      <c r="A25" s="12" t="s">
        <v>86</v>
      </c>
      <c r="B25" s="12" t="s">
        <v>70</v>
      </c>
      <c r="C25" s="12" t="s">
        <v>70</v>
      </c>
      <c r="D25" s="3">
        <v>1</v>
      </c>
      <c r="E25" s="3">
        <v>1</v>
      </c>
      <c r="F25" s="3">
        <v>1</v>
      </c>
      <c r="G25" s="3">
        <v>551.6</v>
      </c>
      <c r="H25" s="13">
        <v>0.3397</v>
      </c>
      <c r="I25" s="13">
        <v>0.31359999999999999</v>
      </c>
      <c r="J25" s="16">
        <v>0</v>
      </c>
      <c r="K25" s="16">
        <v>0</v>
      </c>
      <c r="L25" s="3">
        <v>0</v>
      </c>
      <c r="M25" s="3">
        <v>0</v>
      </c>
      <c r="N25" s="3">
        <v>990</v>
      </c>
      <c r="O25" s="3">
        <v>1025</v>
      </c>
      <c r="P25" s="1">
        <v>0</v>
      </c>
      <c r="Q25">
        <v>1005</v>
      </c>
      <c r="R25" s="3">
        <v>1677.6</v>
      </c>
      <c r="S25" s="1">
        <v>0</v>
      </c>
    </row>
    <row r="26" spans="1:34" x14ac:dyDescent="0.2">
      <c r="A26" s="12" t="s">
        <v>87</v>
      </c>
      <c r="B26" s="12" t="s">
        <v>70</v>
      </c>
      <c r="C26" s="12" t="s">
        <v>70</v>
      </c>
      <c r="D26" s="3">
        <v>1</v>
      </c>
      <c r="E26" s="3">
        <v>1</v>
      </c>
      <c r="F26" s="3">
        <v>1</v>
      </c>
      <c r="G26" s="3">
        <v>551.6</v>
      </c>
      <c r="H26" s="13">
        <v>0.50800000000000001</v>
      </c>
      <c r="I26" s="13">
        <v>0.47570000000000001</v>
      </c>
      <c r="J26" s="16">
        <v>0</v>
      </c>
      <c r="K26" s="16">
        <v>0</v>
      </c>
      <c r="L26" s="3">
        <v>0</v>
      </c>
      <c r="M26" s="3">
        <v>0</v>
      </c>
      <c r="N26" s="3">
        <v>990</v>
      </c>
      <c r="O26" s="3">
        <v>1025</v>
      </c>
      <c r="P26" s="1">
        <v>0</v>
      </c>
      <c r="Q26">
        <v>1005</v>
      </c>
      <c r="R26" s="3">
        <v>1677.6</v>
      </c>
      <c r="S26" s="1">
        <v>0</v>
      </c>
    </row>
    <row r="27" spans="1:34" x14ac:dyDescent="0.2">
      <c r="A27" s="12" t="s">
        <v>88</v>
      </c>
      <c r="B27" s="12" t="s">
        <v>70</v>
      </c>
      <c r="C27" s="12" t="s">
        <v>70</v>
      </c>
      <c r="D27" s="3">
        <v>1</v>
      </c>
      <c r="E27" s="3">
        <v>1</v>
      </c>
      <c r="F27" s="3">
        <v>1</v>
      </c>
      <c r="G27" s="3">
        <v>551.6</v>
      </c>
      <c r="H27" s="13">
        <v>0.3397</v>
      </c>
      <c r="I27" s="13">
        <v>0.31359999999999999</v>
      </c>
      <c r="J27" s="16">
        <v>0</v>
      </c>
      <c r="K27" s="16">
        <v>0</v>
      </c>
      <c r="L27" s="3">
        <v>0</v>
      </c>
      <c r="M27" s="3">
        <v>0</v>
      </c>
      <c r="N27" s="3">
        <v>990</v>
      </c>
      <c r="O27" s="3">
        <v>1025</v>
      </c>
      <c r="P27" s="1">
        <v>0</v>
      </c>
      <c r="Q27">
        <v>1005</v>
      </c>
      <c r="R27" s="3">
        <v>1677.6</v>
      </c>
      <c r="S27" s="1">
        <v>0</v>
      </c>
    </row>
    <row r="28" spans="1:34" x14ac:dyDescent="0.2">
      <c r="A28" s="12" t="s">
        <v>89</v>
      </c>
      <c r="B28" s="12" t="s">
        <v>70</v>
      </c>
      <c r="C28" s="12" t="s">
        <v>70</v>
      </c>
      <c r="D28" s="3">
        <v>1</v>
      </c>
      <c r="E28" s="3">
        <v>1</v>
      </c>
      <c r="F28" s="3">
        <v>1</v>
      </c>
      <c r="G28" s="3">
        <v>551.6</v>
      </c>
      <c r="H28" s="13">
        <v>0.3397</v>
      </c>
      <c r="I28" s="13">
        <v>0.31359999999999999</v>
      </c>
      <c r="J28" s="16">
        <v>0</v>
      </c>
      <c r="K28" s="16">
        <v>0</v>
      </c>
      <c r="L28" s="3">
        <v>0</v>
      </c>
      <c r="M28" s="3">
        <v>0</v>
      </c>
      <c r="N28" s="3">
        <v>990</v>
      </c>
      <c r="O28" s="3">
        <v>1025</v>
      </c>
      <c r="P28" s="1">
        <v>0</v>
      </c>
      <c r="Q28">
        <v>1005</v>
      </c>
      <c r="R28" s="3">
        <v>1677.6</v>
      </c>
      <c r="S28" s="1">
        <v>0</v>
      </c>
    </row>
    <row r="29" spans="1:34" x14ac:dyDescent="0.2">
      <c r="A29" s="12" t="s">
        <v>90</v>
      </c>
      <c r="B29" s="12" t="s">
        <v>70</v>
      </c>
      <c r="C29" s="12" t="s">
        <v>70</v>
      </c>
      <c r="D29" s="3">
        <v>1</v>
      </c>
      <c r="E29" s="3">
        <v>1</v>
      </c>
      <c r="F29" s="3">
        <v>1</v>
      </c>
      <c r="G29" s="3">
        <v>551.6</v>
      </c>
      <c r="H29" s="13">
        <v>0.3397</v>
      </c>
      <c r="I29" s="13">
        <v>0.31359999999999999</v>
      </c>
      <c r="J29" s="16">
        <v>0</v>
      </c>
      <c r="K29" s="16">
        <v>0</v>
      </c>
      <c r="L29" s="3">
        <v>0</v>
      </c>
      <c r="M29" s="3">
        <v>0</v>
      </c>
      <c r="N29" s="3">
        <v>990</v>
      </c>
      <c r="O29" s="3">
        <v>1025</v>
      </c>
      <c r="P29" s="1">
        <v>0</v>
      </c>
      <c r="Q29">
        <v>1005</v>
      </c>
      <c r="R29" s="3">
        <v>1677.6</v>
      </c>
      <c r="S29" s="1">
        <v>0</v>
      </c>
    </row>
    <row r="30" spans="1:34" x14ac:dyDescent="0.2">
      <c r="A30" s="12" t="s">
        <v>91</v>
      </c>
      <c r="B30" s="12" t="s">
        <v>70</v>
      </c>
      <c r="C30" s="12" t="s">
        <v>70</v>
      </c>
      <c r="D30" s="3">
        <v>1</v>
      </c>
      <c r="E30" s="3">
        <v>1</v>
      </c>
      <c r="F30" s="3">
        <v>1</v>
      </c>
      <c r="G30" s="3">
        <v>551.6</v>
      </c>
      <c r="H30" s="13">
        <v>0.3397</v>
      </c>
      <c r="I30" s="13">
        <v>0.31359999999999999</v>
      </c>
      <c r="J30" s="16">
        <v>0</v>
      </c>
      <c r="K30" s="16">
        <v>0</v>
      </c>
      <c r="L30" s="3">
        <v>0</v>
      </c>
      <c r="M30" s="3">
        <v>0</v>
      </c>
      <c r="N30" s="3">
        <v>990</v>
      </c>
      <c r="O30" s="3">
        <v>1025</v>
      </c>
      <c r="P30" s="1">
        <v>0</v>
      </c>
      <c r="Q30">
        <v>1005</v>
      </c>
      <c r="R30" s="3">
        <v>1677.6</v>
      </c>
      <c r="S30" s="1">
        <v>0</v>
      </c>
    </row>
    <row r="31" spans="1:34" x14ac:dyDescent="0.2">
      <c r="A31" s="12" t="s">
        <v>92</v>
      </c>
      <c r="B31" s="12" t="s">
        <v>70</v>
      </c>
      <c r="C31" s="12" t="s">
        <v>70</v>
      </c>
      <c r="D31" s="3">
        <v>1</v>
      </c>
      <c r="E31" s="3">
        <v>1</v>
      </c>
      <c r="F31" s="3">
        <v>1</v>
      </c>
      <c r="G31" s="3">
        <v>551.6</v>
      </c>
      <c r="H31" s="13">
        <v>0.3397</v>
      </c>
      <c r="I31" s="13">
        <v>0.31359999999999999</v>
      </c>
      <c r="J31" s="16">
        <v>0</v>
      </c>
      <c r="K31" s="16">
        <v>0</v>
      </c>
      <c r="L31" s="3">
        <v>0</v>
      </c>
      <c r="M31" s="3">
        <v>0</v>
      </c>
      <c r="N31" s="3">
        <v>990</v>
      </c>
      <c r="O31" s="3">
        <v>1025</v>
      </c>
      <c r="P31" s="1">
        <v>0</v>
      </c>
      <c r="Q31">
        <v>1005</v>
      </c>
      <c r="R31" s="3">
        <v>1677.6</v>
      </c>
      <c r="S31" s="1">
        <v>0</v>
      </c>
    </row>
    <row r="32" spans="1:34" x14ac:dyDescent="0.2">
      <c r="A32" s="12" t="s">
        <v>93</v>
      </c>
      <c r="B32" s="12" t="s">
        <v>70</v>
      </c>
      <c r="C32" s="12" t="s">
        <v>70</v>
      </c>
      <c r="D32" s="3">
        <v>1</v>
      </c>
      <c r="E32" s="3">
        <v>1</v>
      </c>
      <c r="F32" s="3">
        <v>1</v>
      </c>
      <c r="G32" s="3">
        <v>551.6</v>
      </c>
      <c r="H32" s="13">
        <v>0.3397</v>
      </c>
      <c r="I32" s="13">
        <v>0.31359999999999999</v>
      </c>
      <c r="J32" s="16">
        <v>0</v>
      </c>
      <c r="K32" s="16">
        <v>0</v>
      </c>
      <c r="L32" s="3">
        <v>0</v>
      </c>
      <c r="M32" s="3">
        <v>0</v>
      </c>
      <c r="N32" s="3">
        <v>990</v>
      </c>
      <c r="O32" s="3">
        <v>1025</v>
      </c>
      <c r="P32" s="1">
        <v>0</v>
      </c>
      <c r="Q32">
        <v>1005</v>
      </c>
      <c r="R32" s="3">
        <v>1677.6</v>
      </c>
      <c r="S32" s="1">
        <v>0</v>
      </c>
    </row>
    <row r="33" spans="1:19" x14ac:dyDescent="0.2">
      <c r="A33" s="12" t="s">
        <v>94</v>
      </c>
      <c r="B33" s="12" t="s">
        <v>70</v>
      </c>
      <c r="C33" s="12" t="s">
        <v>70</v>
      </c>
      <c r="D33" s="3">
        <v>1</v>
      </c>
      <c r="E33" s="3">
        <v>1</v>
      </c>
      <c r="F33" s="3">
        <v>1</v>
      </c>
      <c r="G33" s="3">
        <v>551.6</v>
      </c>
      <c r="H33" s="13">
        <v>0.3397</v>
      </c>
      <c r="I33" s="13">
        <v>0.31359999999999999</v>
      </c>
      <c r="J33" s="16">
        <v>0</v>
      </c>
      <c r="K33" s="16">
        <v>0</v>
      </c>
      <c r="L33" s="3">
        <v>0</v>
      </c>
      <c r="M33" s="3">
        <v>0</v>
      </c>
      <c r="N33" s="3">
        <v>990</v>
      </c>
      <c r="O33" s="3">
        <v>1025</v>
      </c>
      <c r="P33" s="1">
        <v>0</v>
      </c>
      <c r="Q33">
        <v>1005</v>
      </c>
      <c r="R33" s="3">
        <v>1677.6</v>
      </c>
      <c r="S33" s="1">
        <v>0</v>
      </c>
    </row>
    <row r="34" spans="1:19" x14ac:dyDescent="0.2">
      <c r="A34" s="12" t="s">
        <v>95</v>
      </c>
      <c r="B34" s="12" t="s">
        <v>70</v>
      </c>
      <c r="C34" s="12" t="s">
        <v>70</v>
      </c>
      <c r="D34" s="3">
        <v>1</v>
      </c>
      <c r="E34" s="3">
        <v>1</v>
      </c>
      <c r="F34" s="3">
        <v>1</v>
      </c>
      <c r="G34" s="3">
        <v>551.6</v>
      </c>
      <c r="H34" s="13">
        <v>0.3397</v>
      </c>
      <c r="I34" s="13">
        <v>0.31359999999999999</v>
      </c>
      <c r="J34" s="16">
        <v>0</v>
      </c>
      <c r="K34" s="16">
        <v>0</v>
      </c>
      <c r="L34" s="3">
        <v>0</v>
      </c>
      <c r="M34" s="3">
        <v>0</v>
      </c>
      <c r="N34" s="3">
        <v>990</v>
      </c>
      <c r="O34" s="3">
        <v>1025</v>
      </c>
      <c r="P34" s="1">
        <v>0</v>
      </c>
      <c r="Q34">
        <v>1005</v>
      </c>
      <c r="R34" s="3">
        <v>1677.6</v>
      </c>
      <c r="S34" s="1">
        <v>0</v>
      </c>
    </row>
    <row r="35" spans="1:19" x14ac:dyDescent="0.2">
      <c r="A35" s="12" t="s">
        <v>96</v>
      </c>
      <c r="B35" s="12" t="s">
        <v>70</v>
      </c>
      <c r="C35" s="12" t="s">
        <v>70</v>
      </c>
      <c r="D35" s="3">
        <v>1</v>
      </c>
      <c r="E35" s="3">
        <v>1</v>
      </c>
      <c r="F35" s="3">
        <v>1</v>
      </c>
      <c r="G35" s="3">
        <v>551.6</v>
      </c>
      <c r="H35" s="13">
        <v>0.83819999999999995</v>
      </c>
      <c r="I35" s="13">
        <v>0.65529999999999999</v>
      </c>
      <c r="J35" s="16">
        <v>0</v>
      </c>
      <c r="K35" s="16">
        <v>0</v>
      </c>
      <c r="L35" s="3">
        <v>0</v>
      </c>
      <c r="M35" s="3">
        <v>0</v>
      </c>
      <c r="N35" s="3">
        <v>990</v>
      </c>
      <c r="O35" s="3">
        <v>1025</v>
      </c>
      <c r="P35" s="1">
        <v>0</v>
      </c>
      <c r="Q35">
        <v>1005</v>
      </c>
      <c r="R35" s="3">
        <v>1677.6</v>
      </c>
      <c r="S35" s="1">
        <v>0</v>
      </c>
    </row>
    <row r="36" spans="1:19" x14ac:dyDescent="0.2">
      <c r="A36" s="12" t="s">
        <v>97</v>
      </c>
      <c r="B36" s="12" t="s">
        <v>70</v>
      </c>
      <c r="C36" s="12" t="s">
        <v>70</v>
      </c>
      <c r="D36" s="3">
        <v>1</v>
      </c>
      <c r="E36" s="3">
        <v>1</v>
      </c>
      <c r="F36" s="3">
        <v>1</v>
      </c>
      <c r="G36" s="3">
        <v>551.6</v>
      </c>
      <c r="H36" s="13">
        <v>0.83819999999999995</v>
      </c>
      <c r="I36" s="13">
        <v>0.65529999999999999</v>
      </c>
      <c r="J36" s="16">
        <v>0</v>
      </c>
      <c r="K36" s="16">
        <v>0</v>
      </c>
      <c r="L36" s="3">
        <v>0</v>
      </c>
      <c r="M36" s="3">
        <v>0</v>
      </c>
      <c r="N36" s="3">
        <v>990</v>
      </c>
      <c r="O36" s="3">
        <v>1025</v>
      </c>
      <c r="P36" s="1">
        <v>0</v>
      </c>
      <c r="Q36">
        <v>1005</v>
      </c>
      <c r="R36" s="3">
        <v>1677.6</v>
      </c>
      <c r="S36" s="1">
        <v>0</v>
      </c>
    </row>
    <row r="37" spans="1:19" x14ac:dyDescent="0.2">
      <c r="A37" s="12" t="s">
        <v>98</v>
      </c>
      <c r="B37" s="12" t="s">
        <v>70</v>
      </c>
      <c r="C37" s="12" t="s">
        <v>70</v>
      </c>
      <c r="D37" s="3">
        <v>1</v>
      </c>
      <c r="E37" s="3">
        <v>1</v>
      </c>
      <c r="F37" s="3">
        <v>1</v>
      </c>
      <c r="G37" s="3">
        <v>551.6</v>
      </c>
      <c r="H37" s="13">
        <v>0.53339999999999999</v>
      </c>
      <c r="I37" s="13">
        <v>0.50170000000000003</v>
      </c>
      <c r="J37" s="16">
        <v>0</v>
      </c>
      <c r="K37" s="16">
        <v>0</v>
      </c>
      <c r="L37" s="3">
        <v>0</v>
      </c>
      <c r="M37" s="3">
        <v>0</v>
      </c>
      <c r="N37" s="3">
        <v>990</v>
      </c>
      <c r="O37" s="3">
        <v>1025</v>
      </c>
      <c r="P37" s="1">
        <v>0</v>
      </c>
      <c r="Q37">
        <v>1005</v>
      </c>
      <c r="R37" s="3">
        <v>1677.6</v>
      </c>
      <c r="S37" s="1">
        <v>0</v>
      </c>
    </row>
    <row r="38" spans="1:19" x14ac:dyDescent="0.2">
      <c r="A38" s="12" t="s">
        <v>99</v>
      </c>
      <c r="B38" s="12" t="s">
        <v>70</v>
      </c>
      <c r="C38" s="12" t="s">
        <v>70</v>
      </c>
      <c r="D38" s="3">
        <v>1</v>
      </c>
      <c r="E38" s="3">
        <v>1</v>
      </c>
      <c r="F38" s="3">
        <v>1</v>
      </c>
      <c r="G38" s="3">
        <v>551.6</v>
      </c>
      <c r="H38" s="13">
        <v>0.53339999999999999</v>
      </c>
      <c r="I38" s="13">
        <v>0.50170000000000003</v>
      </c>
      <c r="J38" s="16">
        <v>0</v>
      </c>
      <c r="K38" s="16">
        <v>0</v>
      </c>
      <c r="L38" s="3">
        <v>0</v>
      </c>
      <c r="M38" s="3">
        <v>0</v>
      </c>
      <c r="N38" s="3">
        <v>990</v>
      </c>
      <c r="O38" s="3">
        <v>1025</v>
      </c>
      <c r="P38" s="1">
        <v>0</v>
      </c>
      <c r="Q38">
        <v>1005</v>
      </c>
      <c r="R38" s="3">
        <v>1677.6</v>
      </c>
      <c r="S38" s="1">
        <v>0</v>
      </c>
    </row>
    <row r="39" spans="1:19" x14ac:dyDescent="0.2">
      <c r="A39" s="12" t="s">
        <v>100</v>
      </c>
      <c r="B39" s="12" t="s">
        <v>70</v>
      </c>
      <c r="C39" s="12" t="s">
        <v>70</v>
      </c>
      <c r="D39" s="3">
        <v>1</v>
      </c>
      <c r="E39" s="3">
        <v>1</v>
      </c>
      <c r="F39" s="3">
        <v>1</v>
      </c>
      <c r="G39" s="3">
        <v>551.6</v>
      </c>
      <c r="H39" s="13">
        <v>0.66039999999999999</v>
      </c>
      <c r="I39" s="13">
        <v>0.58420000000000005</v>
      </c>
      <c r="J39" s="16">
        <v>0</v>
      </c>
      <c r="K39" s="16">
        <v>0</v>
      </c>
      <c r="L39" s="3">
        <v>0</v>
      </c>
      <c r="M39" s="3">
        <v>0</v>
      </c>
      <c r="N39" s="3">
        <v>990</v>
      </c>
      <c r="O39" s="3">
        <v>1025</v>
      </c>
      <c r="P39" s="1">
        <v>0</v>
      </c>
      <c r="Q39">
        <v>1005</v>
      </c>
      <c r="R39" s="3">
        <v>1677.6</v>
      </c>
      <c r="S39" s="1">
        <v>0</v>
      </c>
    </row>
    <row r="40" spans="1:19" x14ac:dyDescent="0.2">
      <c r="A40" s="12" t="s">
        <v>101</v>
      </c>
      <c r="B40" s="12" t="s">
        <v>70</v>
      </c>
      <c r="C40" s="12" t="s">
        <v>70</v>
      </c>
      <c r="D40" s="3">
        <v>1</v>
      </c>
      <c r="E40" s="3">
        <v>1</v>
      </c>
      <c r="F40" s="3">
        <v>1</v>
      </c>
      <c r="G40" s="3">
        <v>551.6</v>
      </c>
      <c r="H40" s="13">
        <v>2E-3</v>
      </c>
      <c r="I40" s="13">
        <v>1E-3</v>
      </c>
      <c r="J40" s="16">
        <v>0</v>
      </c>
      <c r="K40" s="16">
        <v>0</v>
      </c>
      <c r="L40" s="3">
        <v>0</v>
      </c>
      <c r="M40" s="3">
        <v>0</v>
      </c>
      <c r="N40" s="3">
        <v>990</v>
      </c>
      <c r="O40" s="3">
        <v>1025</v>
      </c>
      <c r="P40" s="1">
        <v>0</v>
      </c>
      <c r="Q40">
        <v>1005</v>
      </c>
      <c r="R40" s="3">
        <v>1677.6</v>
      </c>
      <c r="S40" s="1">
        <v>0</v>
      </c>
    </row>
    <row r="41" spans="1:19" x14ac:dyDescent="0.2">
      <c r="A41" s="12" t="s">
        <v>102</v>
      </c>
      <c r="B41" s="12" t="s">
        <v>70</v>
      </c>
      <c r="C41" s="12" t="s">
        <v>70</v>
      </c>
      <c r="D41" s="3">
        <v>1</v>
      </c>
      <c r="E41" s="3">
        <v>1</v>
      </c>
      <c r="F41" s="3">
        <v>1</v>
      </c>
      <c r="G41" s="3">
        <v>551.6</v>
      </c>
      <c r="H41" s="13">
        <v>0.66039999999999999</v>
      </c>
      <c r="I41" s="13">
        <v>0.58420000000000005</v>
      </c>
      <c r="J41" s="16">
        <v>0</v>
      </c>
      <c r="K41" s="16">
        <v>0</v>
      </c>
      <c r="L41" s="3">
        <v>0</v>
      </c>
      <c r="M41" s="3">
        <v>0</v>
      </c>
      <c r="N41" s="3">
        <v>990</v>
      </c>
      <c r="O41" s="3">
        <v>1025</v>
      </c>
      <c r="P41" s="1">
        <v>0</v>
      </c>
      <c r="Q41">
        <v>1005</v>
      </c>
      <c r="R41" s="3">
        <v>1677.6</v>
      </c>
      <c r="S41" s="1">
        <v>0</v>
      </c>
    </row>
    <row r="42" spans="1:19" x14ac:dyDescent="0.2">
      <c r="A42" s="12" t="s">
        <v>103</v>
      </c>
      <c r="B42" s="12" t="s">
        <v>70</v>
      </c>
      <c r="C42" s="12" t="s">
        <v>70</v>
      </c>
      <c r="D42" s="3">
        <v>1</v>
      </c>
      <c r="E42" s="3">
        <v>1</v>
      </c>
      <c r="F42" s="3">
        <v>1</v>
      </c>
      <c r="G42" s="3">
        <v>551.6</v>
      </c>
      <c r="H42" s="13">
        <v>0.66039999999999999</v>
      </c>
      <c r="I42" s="13">
        <v>0.58420000000000005</v>
      </c>
      <c r="J42" s="16">
        <v>0</v>
      </c>
      <c r="K42" s="16">
        <v>0</v>
      </c>
      <c r="L42" s="3">
        <v>0</v>
      </c>
      <c r="M42" s="3">
        <v>0</v>
      </c>
      <c r="N42" s="3">
        <v>990</v>
      </c>
      <c r="O42" s="3">
        <v>1025</v>
      </c>
      <c r="P42" s="1">
        <v>0</v>
      </c>
      <c r="Q42">
        <v>1005</v>
      </c>
      <c r="R42" s="3">
        <v>1677.6</v>
      </c>
      <c r="S42" s="1">
        <v>0</v>
      </c>
    </row>
    <row r="43" spans="1:19" x14ac:dyDescent="0.2">
      <c r="A43" s="12" t="s">
        <v>104</v>
      </c>
      <c r="B43" s="12" t="s">
        <v>70</v>
      </c>
      <c r="C43" s="12" t="s">
        <v>70</v>
      </c>
      <c r="D43" s="3">
        <v>1</v>
      </c>
      <c r="E43" s="3">
        <v>1</v>
      </c>
      <c r="F43" s="3">
        <v>1</v>
      </c>
      <c r="G43" s="3">
        <v>551.6</v>
      </c>
      <c r="H43" s="13">
        <v>0.53339999999999999</v>
      </c>
      <c r="I43" s="13">
        <v>0.48259999999999997</v>
      </c>
      <c r="J43" s="16">
        <v>0</v>
      </c>
      <c r="K43" s="16">
        <v>0</v>
      </c>
      <c r="L43" s="3">
        <v>0</v>
      </c>
      <c r="M43" s="3">
        <v>0</v>
      </c>
      <c r="N43" s="3">
        <v>990</v>
      </c>
      <c r="O43" s="3">
        <v>1025</v>
      </c>
      <c r="P43" s="1">
        <v>0</v>
      </c>
      <c r="Q43">
        <v>1005</v>
      </c>
      <c r="R43" s="3">
        <v>1677.6</v>
      </c>
      <c r="S43" s="1">
        <v>0</v>
      </c>
    </row>
    <row r="44" spans="1:19" x14ac:dyDescent="0.2">
      <c r="A44" s="12" t="s">
        <v>105</v>
      </c>
      <c r="B44" s="12" t="s">
        <v>70</v>
      </c>
      <c r="C44" s="12" t="s">
        <v>70</v>
      </c>
      <c r="D44" s="3">
        <v>1</v>
      </c>
      <c r="E44" s="3">
        <v>1</v>
      </c>
      <c r="F44" s="3">
        <v>1</v>
      </c>
      <c r="G44" s="3">
        <v>551.6</v>
      </c>
      <c r="H44" s="13">
        <v>0.66039999999999999</v>
      </c>
      <c r="I44" s="13">
        <v>0.58420000000000005</v>
      </c>
      <c r="J44" s="16">
        <v>0</v>
      </c>
      <c r="K44" s="16">
        <v>0</v>
      </c>
      <c r="L44" s="3">
        <v>0</v>
      </c>
      <c r="M44" s="3">
        <v>0</v>
      </c>
      <c r="N44" s="3">
        <v>990</v>
      </c>
      <c r="O44" s="3">
        <v>1025</v>
      </c>
      <c r="P44" s="1">
        <v>0</v>
      </c>
      <c r="Q44">
        <v>1005</v>
      </c>
      <c r="R44" s="3">
        <v>1677.6</v>
      </c>
      <c r="S44" s="1">
        <v>0</v>
      </c>
    </row>
    <row r="45" spans="1:19" x14ac:dyDescent="0.2">
      <c r="A45" s="12" t="s">
        <v>106</v>
      </c>
      <c r="B45" s="12" t="s">
        <v>70</v>
      </c>
      <c r="C45" s="12" t="s">
        <v>70</v>
      </c>
      <c r="D45" s="3">
        <v>1</v>
      </c>
      <c r="E45" s="3">
        <v>1</v>
      </c>
      <c r="F45" s="3">
        <v>1</v>
      </c>
      <c r="G45" s="3">
        <v>551.6</v>
      </c>
      <c r="H45" s="13">
        <v>0.66039999999999999</v>
      </c>
      <c r="I45" s="13">
        <v>0.58420000000000005</v>
      </c>
      <c r="J45" s="16">
        <v>0</v>
      </c>
      <c r="K45" s="16">
        <v>0</v>
      </c>
      <c r="L45" s="3">
        <v>0</v>
      </c>
      <c r="M45" s="3">
        <v>0</v>
      </c>
      <c r="N45" s="3">
        <v>990</v>
      </c>
      <c r="O45" s="3">
        <v>1025</v>
      </c>
      <c r="P45" s="1">
        <v>0</v>
      </c>
      <c r="Q45">
        <v>1005</v>
      </c>
      <c r="R45" s="3">
        <v>1677.6</v>
      </c>
      <c r="S45" s="1">
        <v>0</v>
      </c>
    </row>
    <row r="46" spans="1:19" x14ac:dyDescent="0.2">
      <c r="A46" s="12" t="s">
        <v>107</v>
      </c>
      <c r="B46" s="12" t="s">
        <v>70</v>
      </c>
      <c r="C46" s="12" t="s">
        <v>70</v>
      </c>
      <c r="D46" s="3">
        <v>1</v>
      </c>
      <c r="E46" s="3">
        <v>1</v>
      </c>
      <c r="F46" s="3">
        <v>1</v>
      </c>
      <c r="G46" s="3">
        <v>551.6</v>
      </c>
      <c r="H46" s="13">
        <v>0.66039999999999999</v>
      </c>
      <c r="I46" s="13">
        <v>0.58420000000000005</v>
      </c>
      <c r="J46" s="16">
        <v>0</v>
      </c>
      <c r="K46" s="16">
        <v>0</v>
      </c>
      <c r="L46" s="3">
        <v>0</v>
      </c>
      <c r="M46" s="3">
        <v>0</v>
      </c>
      <c r="N46" s="3">
        <v>990</v>
      </c>
      <c r="O46" s="3">
        <v>1025</v>
      </c>
      <c r="P46" s="1">
        <v>0</v>
      </c>
      <c r="Q46">
        <v>1005</v>
      </c>
      <c r="R46" s="3">
        <v>1677.6</v>
      </c>
      <c r="S46" s="1">
        <v>0</v>
      </c>
    </row>
    <row r="47" spans="1:19" x14ac:dyDescent="0.2">
      <c r="A47" s="12" t="s">
        <v>108</v>
      </c>
      <c r="B47" s="12" t="s">
        <v>70</v>
      </c>
      <c r="C47" s="12" t="s">
        <v>70</v>
      </c>
      <c r="D47" s="3">
        <v>1</v>
      </c>
      <c r="E47" s="3">
        <v>1</v>
      </c>
      <c r="F47" s="3">
        <v>1</v>
      </c>
      <c r="G47" s="3">
        <v>551.6</v>
      </c>
      <c r="H47" s="13">
        <v>0.83819999999999995</v>
      </c>
      <c r="I47" s="13">
        <v>0.65529999999999999</v>
      </c>
      <c r="J47" s="16">
        <v>0</v>
      </c>
      <c r="K47" s="16">
        <v>0</v>
      </c>
      <c r="L47" s="3">
        <v>0</v>
      </c>
      <c r="M47" s="3">
        <v>0</v>
      </c>
      <c r="N47" s="3">
        <v>990</v>
      </c>
      <c r="O47" s="3">
        <v>1025</v>
      </c>
      <c r="P47" s="1">
        <v>0</v>
      </c>
      <c r="Q47">
        <v>1005</v>
      </c>
      <c r="R47" s="3">
        <v>1677.6</v>
      </c>
      <c r="S47" s="1">
        <v>0</v>
      </c>
    </row>
    <row r="48" spans="1:19" x14ac:dyDescent="0.2">
      <c r="A48" s="12" t="s">
        <v>109</v>
      </c>
      <c r="B48" s="12" t="s">
        <v>70</v>
      </c>
      <c r="C48" s="12" t="s">
        <v>70</v>
      </c>
      <c r="D48" s="3">
        <v>1</v>
      </c>
      <c r="E48" s="3">
        <v>1</v>
      </c>
      <c r="F48" s="3">
        <v>1</v>
      </c>
      <c r="G48" s="3">
        <v>551.6</v>
      </c>
      <c r="H48" s="13">
        <v>5</v>
      </c>
      <c r="I48" s="13">
        <v>0.46989999999999998</v>
      </c>
      <c r="J48" s="16">
        <v>0</v>
      </c>
      <c r="K48" s="16">
        <v>0</v>
      </c>
      <c r="L48" s="3">
        <v>0</v>
      </c>
      <c r="M48" s="3">
        <v>0</v>
      </c>
      <c r="N48" s="3">
        <v>990</v>
      </c>
      <c r="O48" s="3">
        <v>1025</v>
      </c>
      <c r="P48" s="1">
        <v>0</v>
      </c>
      <c r="Q48">
        <v>1005</v>
      </c>
      <c r="R48" s="3">
        <v>1677.6</v>
      </c>
      <c r="S48" s="1">
        <v>0</v>
      </c>
    </row>
    <row r="49" spans="1:19" x14ac:dyDescent="0.2">
      <c r="A49" s="12" t="s">
        <v>110</v>
      </c>
      <c r="B49" s="12" t="s">
        <v>70</v>
      </c>
      <c r="C49" s="12" t="s">
        <v>70</v>
      </c>
      <c r="D49" s="3">
        <v>1</v>
      </c>
      <c r="E49" s="3">
        <v>1</v>
      </c>
      <c r="F49" s="3">
        <v>1</v>
      </c>
      <c r="G49" s="3">
        <v>551.6</v>
      </c>
      <c r="H49" s="13">
        <v>0.83819999999999995</v>
      </c>
      <c r="I49" s="13">
        <v>0</v>
      </c>
      <c r="J49" s="16">
        <v>0</v>
      </c>
      <c r="K49" s="16">
        <v>0</v>
      </c>
      <c r="L49" s="3">
        <v>0</v>
      </c>
      <c r="M49" s="3">
        <v>0</v>
      </c>
      <c r="N49" s="3">
        <v>990</v>
      </c>
      <c r="O49" s="3">
        <v>1025</v>
      </c>
      <c r="P49" s="1">
        <v>0</v>
      </c>
      <c r="Q49">
        <v>1005</v>
      </c>
      <c r="R49" s="3">
        <v>1677.6</v>
      </c>
      <c r="S49" s="1">
        <v>0</v>
      </c>
    </row>
    <row r="50" spans="1:19" x14ac:dyDescent="0.2">
      <c r="A50" s="12" t="s">
        <v>111</v>
      </c>
      <c r="B50" s="12" t="s">
        <v>70</v>
      </c>
      <c r="C50" s="12" t="s">
        <v>70</v>
      </c>
      <c r="D50" s="3">
        <v>1</v>
      </c>
      <c r="E50" s="3">
        <v>1</v>
      </c>
      <c r="F50" s="3">
        <v>1</v>
      </c>
      <c r="G50" s="3">
        <v>551.6</v>
      </c>
      <c r="H50" s="13">
        <v>0.83819999999999995</v>
      </c>
      <c r="I50" s="13">
        <v>0.65529999999999999</v>
      </c>
      <c r="J50" s="16">
        <v>0</v>
      </c>
      <c r="K50" s="16">
        <v>0</v>
      </c>
      <c r="L50" s="3">
        <v>0</v>
      </c>
      <c r="M50" s="3">
        <v>0</v>
      </c>
      <c r="N50" s="3">
        <v>990</v>
      </c>
      <c r="O50" s="3">
        <v>1025</v>
      </c>
      <c r="P50" s="1">
        <v>0</v>
      </c>
      <c r="Q50">
        <v>1005</v>
      </c>
      <c r="R50" s="3">
        <v>1677.6</v>
      </c>
      <c r="S50" s="1">
        <v>0</v>
      </c>
    </row>
    <row r="51" spans="1:19" x14ac:dyDescent="0.2">
      <c r="A51" s="12" t="s">
        <v>112</v>
      </c>
      <c r="B51" s="12" t="s">
        <v>70</v>
      </c>
      <c r="C51" s="12" t="s">
        <v>70</v>
      </c>
      <c r="D51" s="3">
        <v>1</v>
      </c>
      <c r="E51" s="3">
        <v>1</v>
      </c>
      <c r="F51" s="3">
        <v>1</v>
      </c>
      <c r="G51" s="3">
        <v>551.6</v>
      </c>
      <c r="H51" s="13">
        <v>0.91439999999999999</v>
      </c>
      <c r="I51" s="13">
        <v>0.83819999999999995</v>
      </c>
      <c r="J51" s="16">
        <v>0</v>
      </c>
      <c r="K51" s="16">
        <v>0</v>
      </c>
      <c r="L51" s="3">
        <v>0</v>
      </c>
      <c r="M51" s="3">
        <v>0</v>
      </c>
      <c r="N51" s="3">
        <v>990</v>
      </c>
      <c r="O51" s="3">
        <v>1025</v>
      </c>
      <c r="P51" s="1">
        <v>0</v>
      </c>
      <c r="Q51">
        <v>990</v>
      </c>
      <c r="R51" s="3">
        <v>1025</v>
      </c>
      <c r="S51" s="1">
        <v>0</v>
      </c>
    </row>
    <row r="52" spans="1:19" x14ac:dyDescent="0.2">
      <c r="A52" s="12" t="s">
        <v>113</v>
      </c>
      <c r="B52" s="12" t="s">
        <v>70</v>
      </c>
      <c r="C52" s="12" t="s">
        <v>70</v>
      </c>
      <c r="D52" s="3">
        <v>1</v>
      </c>
      <c r="E52" s="3">
        <v>1</v>
      </c>
      <c r="F52" s="3">
        <v>1</v>
      </c>
      <c r="G52" s="3">
        <v>551.6</v>
      </c>
      <c r="H52" s="13">
        <v>0.91439999999999999</v>
      </c>
      <c r="I52" s="13">
        <v>0.81279999999999997</v>
      </c>
      <c r="J52" s="16">
        <v>0</v>
      </c>
      <c r="K52" s="16">
        <v>0</v>
      </c>
      <c r="L52" s="3">
        <v>0</v>
      </c>
      <c r="M52" s="3">
        <v>0</v>
      </c>
      <c r="N52" s="3">
        <v>990</v>
      </c>
      <c r="O52" s="3">
        <v>1025</v>
      </c>
      <c r="P52" s="1">
        <v>0</v>
      </c>
      <c r="Q52">
        <v>990</v>
      </c>
      <c r="R52" s="3">
        <v>1025</v>
      </c>
      <c r="S52" s="1">
        <v>0</v>
      </c>
    </row>
    <row r="53" spans="1:19" x14ac:dyDescent="0.2">
      <c r="A53" s="12" t="s">
        <v>114</v>
      </c>
      <c r="B53" s="12" t="s">
        <v>70</v>
      </c>
      <c r="C53" s="12" t="s">
        <v>70</v>
      </c>
      <c r="D53" s="3">
        <v>1</v>
      </c>
      <c r="E53" s="3">
        <v>1</v>
      </c>
      <c r="F53" s="3">
        <v>1</v>
      </c>
      <c r="G53" s="3">
        <v>551.6</v>
      </c>
      <c r="H53" s="13">
        <v>0.91439999999999999</v>
      </c>
      <c r="I53" s="13">
        <v>0.81279999999999997</v>
      </c>
      <c r="J53" s="16">
        <v>0</v>
      </c>
      <c r="K53" s="16">
        <v>0</v>
      </c>
      <c r="L53" s="3">
        <v>0</v>
      </c>
      <c r="M53" s="3">
        <v>0</v>
      </c>
      <c r="N53" s="3">
        <v>990</v>
      </c>
      <c r="O53" s="3">
        <v>1025</v>
      </c>
      <c r="P53" s="1">
        <v>0</v>
      </c>
      <c r="Q53">
        <v>990</v>
      </c>
      <c r="R53" s="3">
        <v>1025</v>
      </c>
      <c r="S53" s="1">
        <v>0</v>
      </c>
    </row>
    <row r="54" spans="1:19" x14ac:dyDescent="0.2">
      <c r="A54" s="12" t="s">
        <v>115</v>
      </c>
      <c r="B54" s="12" t="s">
        <v>70</v>
      </c>
      <c r="C54" s="12" t="s">
        <v>70</v>
      </c>
      <c r="D54" s="3">
        <v>1</v>
      </c>
      <c r="E54" s="3">
        <v>1</v>
      </c>
      <c r="F54" s="3">
        <v>1</v>
      </c>
      <c r="G54" s="3">
        <v>551.6</v>
      </c>
      <c r="H54" s="13">
        <v>0.96519999999999995</v>
      </c>
      <c r="I54" s="13">
        <v>0.76200000000000001</v>
      </c>
      <c r="J54" s="16">
        <v>0</v>
      </c>
      <c r="K54" s="16">
        <v>0</v>
      </c>
      <c r="L54" s="3">
        <v>0</v>
      </c>
      <c r="M54" s="3">
        <v>0</v>
      </c>
      <c r="N54" s="3">
        <v>990</v>
      </c>
      <c r="O54" s="3">
        <v>1025</v>
      </c>
      <c r="P54" s="1">
        <v>0</v>
      </c>
      <c r="Q54">
        <v>990</v>
      </c>
      <c r="R54" s="3">
        <v>1025</v>
      </c>
      <c r="S54" s="1">
        <v>0</v>
      </c>
    </row>
    <row r="55" spans="1:19" x14ac:dyDescent="0.2">
      <c r="A55" s="12" t="s">
        <v>116</v>
      </c>
      <c r="B55" s="12" t="s">
        <v>70</v>
      </c>
      <c r="C55" s="12" t="s">
        <v>70</v>
      </c>
      <c r="D55" s="3">
        <v>1</v>
      </c>
      <c r="E55" s="3">
        <v>1</v>
      </c>
      <c r="F55" s="3">
        <v>1</v>
      </c>
      <c r="G55" s="3">
        <v>551.6</v>
      </c>
      <c r="H55" s="13">
        <v>0.3397</v>
      </c>
      <c r="I55" s="13">
        <v>0.31359999999999999</v>
      </c>
      <c r="J55" s="16">
        <v>0</v>
      </c>
      <c r="K55" s="16">
        <v>0</v>
      </c>
      <c r="L55" s="3">
        <v>0</v>
      </c>
      <c r="M55" s="3">
        <v>0</v>
      </c>
      <c r="N55" s="3">
        <v>990</v>
      </c>
      <c r="O55" s="3">
        <v>1025</v>
      </c>
      <c r="P55" s="1">
        <v>0</v>
      </c>
      <c r="Q55">
        <v>1005</v>
      </c>
      <c r="R55" s="3">
        <v>1677.6</v>
      </c>
      <c r="S55" s="1">
        <v>0</v>
      </c>
    </row>
    <row r="56" spans="1:19" x14ac:dyDescent="0.2">
      <c r="A56" s="12" t="s">
        <v>117</v>
      </c>
      <c r="B56" s="12" t="s">
        <v>70</v>
      </c>
      <c r="C56" s="12" t="s">
        <v>70</v>
      </c>
      <c r="D56" s="3">
        <v>1</v>
      </c>
      <c r="E56" s="3">
        <v>1</v>
      </c>
      <c r="F56" s="3">
        <v>1</v>
      </c>
      <c r="G56" s="3">
        <v>551.6</v>
      </c>
      <c r="H56" s="13">
        <v>0.50800000000000001</v>
      </c>
      <c r="I56" s="13">
        <v>0.47570000000000001</v>
      </c>
      <c r="J56" s="16">
        <v>0</v>
      </c>
      <c r="K56" s="16">
        <v>0</v>
      </c>
      <c r="L56" s="3">
        <v>0</v>
      </c>
      <c r="M56" s="3">
        <v>0</v>
      </c>
      <c r="N56" s="3">
        <v>990</v>
      </c>
      <c r="O56" s="3">
        <v>1025</v>
      </c>
      <c r="P56" s="1">
        <v>0</v>
      </c>
      <c r="Q56">
        <v>1005</v>
      </c>
      <c r="R56" s="3">
        <v>1677.6</v>
      </c>
      <c r="S56" s="1">
        <v>0</v>
      </c>
    </row>
    <row r="57" spans="1:19" x14ac:dyDescent="0.2">
      <c r="A57" s="12" t="s">
        <v>118</v>
      </c>
      <c r="B57" s="12" t="s">
        <v>70</v>
      </c>
      <c r="C57" s="12" t="s">
        <v>70</v>
      </c>
      <c r="D57" s="3">
        <v>1</v>
      </c>
      <c r="E57" s="3">
        <v>1</v>
      </c>
      <c r="F57" s="3">
        <v>1</v>
      </c>
      <c r="G57" s="3">
        <v>551.6</v>
      </c>
      <c r="H57" s="13">
        <v>0.50800000000000001</v>
      </c>
      <c r="I57" s="13">
        <v>0.47570000000000001</v>
      </c>
      <c r="J57" s="16">
        <v>0</v>
      </c>
      <c r="K57" s="16">
        <v>0</v>
      </c>
      <c r="L57" s="3">
        <v>0</v>
      </c>
      <c r="M57" s="3">
        <v>0</v>
      </c>
      <c r="N57" s="3">
        <v>990</v>
      </c>
      <c r="O57" s="3">
        <v>1025</v>
      </c>
      <c r="P57" s="1">
        <v>0</v>
      </c>
      <c r="Q57">
        <v>1005</v>
      </c>
      <c r="R57" s="3">
        <v>1677.6</v>
      </c>
      <c r="S57" s="1">
        <v>0</v>
      </c>
    </row>
    <row r="58" spans="1:19" x14ac:dyDescent="0.2">
      <c r="A58" s="12" t="s">
        <v>119</v>
      </c>
      <c r="B58" s="12" t="s">
        <v>70</v>
      </c>
      <c r="C58" s="12" t="s">
        <v>70</v>
      </c>
      <c r="D58" s="3">
        <v>1</v>
      </c>
      <c r="E58" s="3">
        <v>1</v>
      </c>
      <c r="F58" s="3">
        <v>1</v>
      </c>
      <c r="G58" s="3">
        <v>551.6</v>
      </c>
      <c r="H58" s="13">
        <v>0.83819999999999995</v>
      </c>
      <c r="I58" s="13">
        <v>0.65529999999999999</v>
      </c>
      <c r="J58" s="16">
        <v>0</v>
      </c>
      <c r="K58" s="16">
        <v>0</v>
      </c>
      <c r="L58" s="3">
        <v>0</v>
      </c>
      <c r="M58" s="3">
        <v>0</v>
      </c>
      <c r="N58" s="3">
        <v>990</v>
      </c>
      <c r="O58" s="3">
        <v>1025</v>
      </c>
      <c r="P58" s="1">
        <v>0</v>
      </c>
      <c r="Q58">
        <v>1005</v>
      </c>
      <c r="R58" s="3">
        <v>1677.6</v>
      </c>
      <c r="S58" s="1">
        <v>0</v>
      </c>
    </row>
    <row r="59" spans="1:19" x14ac:dyDescent="0.2">
      <c r="A59" s="12" t="s">
        <v>120</v>
      </c>
      <c r="B59" s="12" t="s">
        <v>70</v>
      </c>
      <c r="C59" s="12" t="s">
        <v>70</v>
      </c>
      <c r="D59" s="3">
        <v>1</v>
      </c>
      <c r="E59" s="3">
        <v>1</v>
      </c>
      <c r="F59" s="3">
        <v>1</v>
      </c>
      <c r="G59" s="3">
        <v>551.6</v>
      </c>
      <c r="H59" s="13">
        <v>0.83819999999999995</v>
      </c>
      <c r="I59" s="13">
        <v>0</v>
      </c>
      <c r="J59" s="16">
        <v>0</v>
      </c>
      <c r="K59" s="16">
        <v>0</v>
      </c>
      <c r="L59" s="3">
        <v>0</v>
      </c>
      <c r="M59" s="3">
        <v>0</v>
      </c>
      <c r="N59" s="3">
        <v>990</v>
      </c>
      <c r="O59" s="3">
        <v>1025</v>
      </c>
      <c r="P59" s="1">
        <v>0</v>
      </c>
      <c r="Q59">
        <v>1005</v>
      </c>
      <c r="R59" s="3">
        <v>1677.6</v>
      </c>
      <c r="S59" s="1">
        <v>0</v>
      </c>
    </row>
    <row r="60" spans="1:19" x14ac:dyDescent="0.2">
      <c r="A60" s="12" t="s">
        <v>121</v>
      </c>
      <c r="B60" s="12" t="s">
        <v>70</v>
      </c>
      <c r="C60" s="12" t="s">
        <v>70</v>
      </c>
      <c r="D60" s="3">
        <v>1</v>
      </c>
      <c r="E60" s="3">
        <v>1</v>
      </c>
      <c r="F60" s="3">
        <v>1</v>
      </c>
      <c r="G60" s="3">
        <v>551.6</v>
      </c>
      <c r="H60" s="13">
        <v>0.83819999999999995</v>
      </c>
      <c r="I60" s="13">
        <v>0.65529999999999999</v>
      </c>
      <c r="J60" s="16">
        <v>0</v>
      </c>
      <c r="K60" s="16">
        <v>0</v>
      </c>
      <c r="L60" s="3">
        <v>0</v>
      </c>
      <c r="M60" s="3">
        <v>0</v>
      </c>
      <c r="N60" s="3">
        <v>990</v>
      </c>
      <c r="O60" s="3">
        <v>1025</v>
      </c>
      <c r="P60" s="1">
        <v>0</v>
      </c>
      <c r="Q60">
        <v>1005</v>
      </c>
      <c r="R60" s="3">
        <v>1677.6</v>
      </c>
      <c r="S60" s="1">
        <v>0</v>
      </c>
    </row>
    <row r="61" spans="1:19" x14ac:dyDescent="0.2">
      <c r="A61" s="12" t="s">
        <v>122</v>
      </c>
      <c r="B61" s="12" t="s">
        <v>70</v>
      </c>
      <c r="C61" s="12" t="s">
        <v>70</v>
      </c>
      <c r="D61" s="3">
        <v>1</v>
      </c>
      <c r="E61" s="3">
        <v>1</v>
      </c>
      <c r="F61" s="3">
        <v>1</v>
      </c>
      <c r="G61" s="3">
        <v>551.6</v>
      </c>
      <c r="H61" s="13">
        <v>5</v>
      </c>
      <c r="I61" s="13">
        <v>0.46989999999999998</v>
      </c>
      <c r="J61" s="16">
        <v>0</v>
      </c>
      <c r="K61" s="16">
        <v>0</v>
      </c>
      <c r="L61" s="3">
        <v>0</v>
      </c>
      <c r="M61" s="3">
        <v>0</v>
      </c>
      <c r="N61" s="3">
        <v>990</v>
      </c>
      <c r="O61" s="3">
        <v>1025</v>
      </c>
      <c r="P61" s="1">
        <v>0</v>
      </c>
      <c r="Q61">
        <v>1005</v>
      </c>
      <c r="R61" s="3">
        <v>1677.6</v>
      </c>
      <c r="S61" s="1">
        <v>0</v>
      </c>
    </row>
    <row r="62" spans="1:19" x14ac:dyDescent="0.2">
      <c r="A62" s="12" t="s">
        <v>123</v>
      </c>
      <c r="B62" s="12" t="s">
        <v>70</v>
      </c>
      <c r="C62" s="12" t="s">
        <v>70</v>
      </c>
      <c r="D62" s="3">
        <v>1</v>
      </c>
      <c r="E62" s="3">
        <v>1</v>
      </c>
      <c r="F62" s="3">
        <v>1</v>
      </c>
      <c r="G62" s="3">
        <v>551.6</v>
      </c>
      <c r="H62" s="13">
        <v>5</v>
      </c>
      <c r="I62" s="13">
        <v>0.46989999999999998</v>
      </c>
      <c r="J62" s="16">
        <v>0</v>
      </c>
      <c r="K62" s="16">
        <v>0</v>
      </c>
      <c r="L62" s="3">
        <v>0</v>
      </c>
      <c r="M62" s="3">
        <v>0</v>
      </c>
      <c r="N62" s="3">
        <v>990</v>
      </c>
      <c r="O62" s="3">
        <v>1025</v>
      </c>
      <c r="P62" s="1">
        <v>0</v>
      </c>
      <c r="Q62">
        <v>1005</v>
      </c>
      <c r="R62" s="3">
        <v>1677.6</v>
      </c>
      <c r="S62" s="1">
        <v>0</v>
      </c>
    </row>
    <row r="63" spans="1:19" x14ac:dyDescent="0.2">
      <c r="A63" s="12" t="s">
        <v>124</v>
      </c>
      <c r="B63" s="12" t="s">
        <v>70</v>
      </c>
      <c r="C63" s="12" t="s">
        <v>70</v>
      </c>
      <c r="D63" s="3">
        <v>1</v>
      </c>
      <c r="E63" s="3">
        <v>1</v>
      </c>
      <c r="F63" s="3">
        <v>1</v>
      </c>
      <c r="G63" s="3">
        <v>551.6</v>
      </c>
      <c r="H63" s="13">
        <v>2E-3</v>
      </c>
      <c r="I63" s="13">
        <v>0</v>
      </c>
      <c r="J63" s="16">
        <v>0</v>
      </c>
      <c r="K63" s="16">
        <v>0</v>
      </c>
      <c r="L63" s="3">
        <v>0</v>
      </c>
      <c r="M63" s="3">
        <v>0</v>
      </c>
      <c r="N63" s="3">
        <v>990</v>
      </c>
      <c r="O63" s="3">
        <v>1025</v>
      </c>
      <c r="P63" s="1">
        <v>0</v>
      </c>
      <c r="Q63">
        <v>1005</v>
      </c>
      <c r="R63" s="3">
        <v>1677.6</v>
      </c>
      <c r="S63" s="1">
        <v>0</v>
      </c>
    </row>
    <row r="64" spans="1:19" x14ac:dyDescent="0.2">
      <c r="A64" s="12" t="s">
        <v>125</v>
      </c>
      <c r="B64" s="12" t="s">
        <v>70</v>
      </c>
      <c r="C64" s="12" t="s">
        <v>70</v>
      </c>
      <c r="D64" s="3">
        <v>1</v>
      </c>
      <c r="E64" s="3">
        <v>1</v>
      </c>
      <c r="F64" s="3">
        <v>1</v>
      </c>
      <c r="G64" s="3">
        <v>551.6</v>
      </c>
      <c r="H64" s="13">
        <v>5</v>
      </c>
      <c r="I64" s="13">
        <v>0.46989999999999998</v>
      </c>
      <c r="J64" s="16">
        <v>0</v>
      </c>
      <c r="K64" s="16">
        <v>0</v>
      </c>
      <c r="L64" s="3">
        <v>0</v>
      </c>
      <c r="M64" s="3">
        <v>0</v>
      </c>
      <c r="N64" s="3">
        <v>990</v>
      </c>
      <c r="O64" s="3">
        <v>1025</v>
      </c>
      <c r="P64" s="1">
        <v>0</v>
      </c>
      <c r="Q64">
        <v>1005</v>
      </c>
      <c r="R64" s="3">
        <v>1677.6</v>
      </c>
      <c r="S64" s="1">
        <v>0</v>
      </c>
    </row>
    <row r="65" spans="1:19" x14ac:dyDescent="0.2">
      <c r="A65" s="12" t="s">
        <v>126</v>
      </c>
      <c r="B65" s="12" t="s">
        <v>70</v>
      </c>
      <c r="C65" s="12" t="s">
        <v>70</v>
      </c>
      <c r="D65" s="3">
        <v>1</v>
      </c>
      <c r="E65" s="3">
        <v>1</v>
      </c>
      <c r="F65" s="3">
        <v>1</v>
      </c>
      <c r="G65" s="3">
        <v>551.6</v>
      </c>
      <c r="H65" s="13">
        <v>0.53339999999999999</v>
      </c>
      <c r="I65" s="13">
        <v>0.48259999999999997</v>
      </c>
      <c r="J65" s="16">
        <v>0</v>
      </c>
      <c r="K65" s="16">
        <v>0</v>
      </c>
      <c r="L65" s="3">
        <v>0</v>
      </c>
      <c r="M65" s="3">
        <v>0</v>
      </c>
      <c r="N65" s="3">
        <v>990</v>
      </c>
      <c r="O65" s="3">
        <v>1025</v>
      </c>
      <c r="P65" s="1">
        <v>0</v>
      </c>
      <c r="Q65">
        <v>1005</v>
      </c>
      <c r="R65" s="3">
        <v>1677.6</v>
      </c>
      <c r="S65" s="1">
        <v>0</v>
      </c>
    </row>
    <row r="66" spans="1:19" x14ac:dyDescent="0.2">
      <c r="A66" s="12" t="s">
        <v>127</v>
      </c>
      <c r="B66" s="12" t="s">
        <v>70</v>
      </c>
      <c r="C66" s="12" t="s">
        <v>70</v>
      </c>
      <c r="D66" s="3">
        <v>1</v>
      </c>
      <c r="E66" s="3">
        <v>1</v>
      </c>
      <c r="F66" s="3">
        <v>1</v>
      </c>
      <c r="G66" s="3">
        <v>551.6</v>
      </c>
      <c r="H66" s="13">
        <v>0.53339999999999999</v>
      </c>
      <c r="I66" s="13">
        <v>0.48899999999999999</v>
      </c>
      <c r="J66" s="16">
        <v>0</v>
      </c>
      <c r="K66" s="16">
        <v>0</v>
      </c>
      <c r="L66" s="3">
        <v>0</v>
      </c>
      <c r="M66" s="3">
        <v>0</v>
      </c>
      <c r="N66" s="3">
        <v>990</v>
      </c>
      <c r="O66" s="3">
        <v>1025</v>
      </c>
      <c r="P66" s="1">
        <v>0</v>
      </c>
      <c r="Q66">
        <v>1005</v>
      </c>
      <c r="R66" s="3">
        <v>1677.6</v>
      </c>
      <c r="S66" s="1">
        <v>0</v>
      </c>
    </row>
    <row r="67" spans="1:19" x14ac:dyDescent="0.2">
      <c r="A67" s="12" t="s">
        <v>128</v>
      </c>
      <c r="B67" s="12" t="s">
        <v>70</v>
      </c>
      <c r="C67" s="12" t="s">
        <v>70</v>
      </c>
      <c r="D67" s="3">
        <v>1</v>
      </c>
      <c r="E67" s="3">
        <v>1</v>
      </c>
      <c r="F67" s="3">
        <v>1</v>
      </c>
      <c r="G67" s="3">
        <v>551.6</v>
      </c>
      <c r="H67" s="13">
        <v>0.53339999999999999</v>
      </c>
      <c r="I67" s="13">
        <v>0.48899999999999999</v>
      </c>
      <c r="J67" s="16">
        <v>0</v>
      </c>
      <c r="K67" s="16">
        <v>0</v>
      </c>
      <c r="L67" s="3">
        <v>0</v>
      </c>
      <c r="M67" s="3">
        <v>0</v>
      </c>
      <c r="N67" s="3">
        <v>990</v>
      </c>
      <c r="O67" s="3">
        <v>1025</v>
      </c>
      <c r="P67" s="1">
        <v>0</v>
      </c>
      <c r="Q67">
        <v>1005</v>
      </c>
      <c r="R67" s="3">
        <v>1677.6</v>
      </c>
      <c r="S67" s="1">
        <v>0</v>
      </c>
    </row>
    <row r="68" spans="1:19" x14ac:dyDescent="0.2">
      <c r="A68" s="12" t="s">
        <v>129</v>
      </c>
      <c r="B68" s="12" t="s">
        <v>70</v>
      </c>
      <c r="C68" s="12" t="s">
        <v>70</v>
      </c>
      <c r="D68" s="3">
        <v>1</v>
      </c>
      <c r="E68" s="3">
        <v>1</v>
      </c>
      <c r="F68" s="3">
        <v>1</v>
      </c>
      <c r="G68" s="3">
        <v>551.6</v>
      </c>
      <c r="H68" s="13">
        <v>0.53339999999999999</v>
      </c>
      <c r="I68" s="13">
        <v>0.48259999999999997</v>
      </c>
      <c r="J68" s="16">
        <v>0</v>
      </c>
      <c r="K68" s="16">
        <v>0</v>
      </c>
      <c r="L68" s="3">
        <v>0</v>
      </c>
      <c r="M68" s="3">
        <v>0</v>
      </c>
      <c r="N68" s="3">
        <v>990</v>
      </c>
      <c r="O68" s="3">
        <v>1025</v>
      </c>
      <c r="P68" s="1">
        <v>0</v>
      </c>
      <c r="Q68">
        <v>1005</v>
      </c>
      <c r="R68" s="3">
        <v>1677.6</v>
      </c>
      <c r="S68" s="1">
        <v>0</v>
      </c>
    </row>
    <row r="69" spans="1:19" x14ac:dyDescent="0.2">
      <c r="A69" s="12" t="s">
        <v>130</v>
      </c>
      <c r="B69" s="12" t="s">
        <v>70</v>
      </c>
      <c r="C69" s="12" t="s">
        <v>70</v>
      </c>
      <c r="D69" s="3">
        <v>1</v>
      </c>
      <c r="E69" s="3">
        <v>1</v>
      </c>
      <c r="F69" s="3">
        <v>1</v>
      </c>
      <c r="G69" s="3">
        <v>551.6</v>
      </c>
      <c r="H69" s="13">
        <v>0.53339999999999999</v>
      </c>
      <c r="I69" s="13">
        <v>0.48259999999999997</v>
      </c>
      <c r="J69" s="16">
        <v>0</v>
      </c>
      <c r="K69" s="16">
        <v>0</v>
      </c>
      <c r="L69" s="3">
        <v>0</v>
      </c>
      <c r="M69" s="3">
        <v>0</v>
      </c>
      <c r="N69" s="3">
        <v>990</v>
      </c>
      <c r="O69" s="3">
        <v>1025</v>
      </c>
      <c r="P69" s="1">
        <v>0</v>
      </c>
      <c r="Q69">
        <v>1005</v>
      </c>
      <c r="R69" s="3">
        <v>1677.6</v>
      </c>
      <c r="S69" s="1">
        <v>0</v>
      </c>
    </row>
    <row r="70" spans="1:19" x14ac:dyDescent="0.2">
      <c r="A70" s="12" t="s">
        <v>131</v>
      </c>
      <c r="B70" s="12" t="s">
        <v>70</v>
      </c>
      <c r="C70" s="12" t="s">
        <v>70</v>
      </c>
      <c r="D70" s="3">
        <v>1</v>
      </c>
      <c r="E70" s="3">
        <v>1</v>
      </c>
      <c r="F70" s="3">
        <v>1</v>
      </c>
      <c r="G70" s="3">
        <v>551.6</v>
      </c>
      <c r="H70" s="13">
        <v>0.66039999999999999</v>
      </c>
      <c r="I70" s="13">
        <v>0.58420000000000005</v>
      </c>
      <c r="J70" s="16">
        <v>0</v>
      </c>
      <c r="K70" s="16">
        <v>0</v>
      </c>
      <c r="L70" s="3">
        <v>0</v>
      </c>
      <c r="M70" s="3">
        <v>0</v>
      </c>
      <c r="N70" s="3">
        <v>990</v>
      </c>
      <c r="O70" s="3">
        <v>1025</v>
      </c>
      <c r="P70" s="1">
        <v>0</v>
      </c>
      <c r="Q70">
        <v>1005</v>
      </c>
      <c r="R70" s="3">
        <v>1677.6</v>
      </c>
      <c r="S70" s="1">
        <v>0</v>
      </c>
    </row>
    <row r="71" spans="1:19" x14ac:dyDescent="0.2">
      <c r="A71" s="12" t="s">
        <v>132</v>
      </c>
      <c r="B71" s="12" t="s">
        <v>70</v>
      </c>
      <c r="C71" s="12" t="s">
        <v>70</v>
      </c>
      <c r="D71" s="3">
        <v>1</v>
      </c>
      <c r="E71" s="3">
        <v>1</v>
      </c>
      <c r="F71" s="3">
        <v>1</v>
      </c>
      <c r="G71" s="3">
        <v>551.6</v>
      </c>
      <c r="H71" s="13">
        <v>0.66039999999999999</v>
      </c>
      <c r="I71" s="13">
        <v>0.58420000000000005</v>
      </c>
      <c r="J71" s="16">
        <v>0</v>
      </c>
      <c r="K71" s="16">
        <v>0</v>
      </c>
      <c r="L71" s="3">
        <v>0</v>
      </c>
      <c r="M71" s="3">
        <v>0</v>
      </c>
      <c r="N71" s="3">
        <v>990</v>
      </c>
      <c r="O71" s="3">
        <v>1025</v>
      </c>
      <c r="P71" s="1">
        <v>0</v>
      </c>
      <c r="Q71">
        <v>1005</v>
      </c>
      <c r="R71" s="3">
        <v>1677.6</v>
      </c>
      <c r="S71" s="1">
        <v>0</v>
      </c>
    </row>
    <row r="72" spans="1:19" x14ac:dyDescent="0.2">
      <c r="A72" s="12" t="s">
        <v>133</v>
      </c>
      <c r="B72" s="12" t="s">
        <v>70</v>
      </c>
      <c r="C72" s="12" t="s">
        <v>70</v>
      </c>
      <c r="D72" s="3">
        <v>1</v>
      </c>
      <c r="E72" s="3">
        <v>1</v>
      </c>
      <c r="F72" s="3">
        <v>1</v>
      </c>
      <c r="G72" s="3">
        <v>551.6</v>
      </c>
      <c r="H72" s="13">
        <v>0.66039999999999999</v>
      </c>
      <c r="I72" s="13">
        <v>0.58420000000000005</v>
      </c>
      <c r="J72" s="16">
        <v>0</v>
      </c>
      <c r="K72" s="16">
        <v>0</v>
      </c>
      <c r="L72" s="3">
        <v>0</v>
      </c>
      <c r="M72" s="3">
        <v>0</v>
      </c>
      <c r="N72" s="3">
        <v>990</v>
      </c>
      <c r="O72" s="3">
        <v>1025</v>
      </c>
      <c r="P72" s="1">
        <v>0</v>
      </c>
      <c r="Q72">
        <v>1005</v>
      </c>
      <c r="R72" s="3">
        <v>1677.6</v>
      </c>
      <c r="S72" s="1">
        <v>0</v>
      </c>
    </row>
    <row r="73" spans="1:19" x14ac:dyDescent="0.2">
      <c r="A73" s="12" t="s">
        <v>134</v>
      </c>
      <c r="B73" s="12" t="s">
        <v>70</v>
      </c>
      <c r="C73" s="12" t="s">
        <v>70</v>
      </c>
      <c r="D73" s="3">
        <v>1</v>
      </c>
      <c r="E73" s="3">
        <v>1</v>
      </c>
      <c r="F73" s="3">
        <v>1</v>
      </c>
      <c r="G73" s="3">
        <v>551.6</v>
      </c>
      <c r="H73" s="13">
        <v>2E-3</v>
      </c>
      <c r="I73" s="13">
        <v>1E-3</v>
      </c>
      <c r="J73" s="16">
        <v>0</v>
      </c>
      <c r="K73" s="16">
        <v>0</v>
      </c>
      <c r="L73" s="3">
        <v>0</v>
      </c>
      <c r="M73" s="3">
        <v>0</v>
      </c>
      <c r="N73" s="3">
        <v>990</v>
      </c>
      <c r="O73" s="3">
        <v>1025</v>
      </c>
      <c r="P73" s="1">
        <v>0</v>
      </c>
      <c r="Q73">
        <v>1005</v>
      </c>
      <c r="R73" s="3">
        <v>1677.6</v>
      </c>
      <c r="S73" s="1">
        <v>0</v>
      </c>
    </row>
    <row r="74" spans="1:19" x14ac:dyDescent="0.2">
      <c r="A74" s="12" t="s">
        <v>135</v>
      </c>
      <c r="B74" s="12" t="s">
        <v>70</v>
      </c>
      <c r="C74" s="12" t="s">
        <v>70</v>
      </c>
      <c r="D74" s="3">
        <v>1</v>
      </c>
      <c r="E74" s="3">
        <v>1</v>
      </c>
      <c r="F74" s="3">
        <v>1</v>
      </c>
      <c r="G74" s="3">
        <v>551.6</v>
      </c>
      <c r="H74" s="13">
        <v>0.53339999999999999</v>
      </c>
      <c r="I74" s="13">
        <v>0.50170000000000003</v>
      </c>
      <c r="J74" s="16">
        <v>0</v>
      </c>
      <c r="K74" s="16">
        <v>0</v>
      </c>
      <c r="L74" s="3">
        <v>0</v>
      </c>
      <c r="M74" s="3">
        <v>0</v>
      </c>
      <c r="N74" s="3">
        <v>990</v>
      </c>
      <c r="O74" s="3">
        <v>1025</v>
      </c>
      <c r="P74" s="1">
        <v>0</v>
      </c>
      <c r="Q74">
        <v>1005</v>
      </c>
      <c r="R74" s="3">
        <v>1677.6</v>
      </c>
      <c r="S74" s="1">
        <v>0</v>
      </c>
    </row>
    <row r="75" spans="1:19" x14ac:dyDescent="0.2">
      <c r="A75" s="12" t="s">
        <v>136</v>
      </c>
      <c r="B75" s="12" t="s">
        <v>70</v>
      </c>
      <c r="C75" s="12" t="s">
        <v>70</v>
      </c>
      <c r="D75" s="3">
        <v>1</v>
      </c>
      <c r="E75" s="3">
        <v>1</v>
      </c>
      <c r="F75" s="3">
        <v>1</v>
      </c>
      <c r="G75" s="3">
        <v>551.6</v>
      </c>
      <c r="H75" s="13">
        <v>0.53339999999999999</v>
      </c>
      <c r="I75" s="13">
        <v>0.50170000000000003</v>
      </c>
      <c r="J75" s="16">
        <v>0</v>
      </c>
      <c r="K75" s="16">
        <v>0</v>
      </c>
      <c r="L75" s="3">
        <v>0</v>
      </c>
      <c r="M75" s="3">
        <v>0</v>
      </c>
      <c r="N75" s="3">
        <v>990</v>
      </c>
      <c r="O75" s="3">
        <v>1025</v>
      </c>
      <c r="P75" s="1">
        <v>0</v>
      </c>
      <c r="Q75">
        <v>1005</v>
      </c>
      <c r="R75" s="3">
        <v>1677.6</v>
      </c>
      <c r="S75" s="1">
        <v>0</v>
      </c>
    </row>
    <row r="76" spans="1:19" x14ac:dyDescent="0.2">
      <c r="A76" s="12" t="s">
        <v>137</v>
      </c>
      <c r="B76" s="12" t="s">
        <v>70</v>
      </c>
      <c r="C76" s="12" t="s">
        <v>70</v>
      </c>
      <c r="D76" s="3">
        <v>1</v>
      </c>
      <c r="E76" s="3">
        <v>1</v>
      </c>
      <c r="F76" s="3">
        <v>1</v>
      </c>
      <c r="G76" s="3">
        <v>551.6</v>
      </c>
      <c r="H76" s="13">
        <v>2E-3</v>
      </c>
      <c r="I76" s="13">
        <v>0</v>
      </c>
      <c r="J76" s="16">
        <v>0</v>
      </c>
      <c r="K76" s="16">
        <v>0</v>
      </c>
      <c r="L76" s="3">
        <v>0</v>
      </c>
      <c r="M76" s="3">
        <v>0</v>
      </c>
      <c r="N76" s="3">
        <v>990</v>
      </c>
      <c r="O76" s="3">
        <v>1025</v>
      </c>
      <c r="P76" s="1">
        <v>0</v>
      </c>
      <c r="Q76">
        <v>1005</v>
      </c>
      <c r="R76" s="3">
        <v>1677.6</v>
      </c>
      <c r="S76" s="1">
        <v>0</v>
      </c>
    </row>
    <row r="77" spans="1:19" x14ac:dyDescent="0.2">
      <c r="A77" s="12" t="s">
        <v>138</v>
      </c>
      <c r="B77" s="12" t="s">
        <v>70</v>
      </c>
      <c r="C77" s="12" t="s">
        <v>70</v>
      </c>
      <c r="D77" s="3">
        <v>1</v>
      </c>
      <c r="E77" s="3">
        <v>1</v>
      </c>
      <c r="F77" s="3">
        <v>1</v>
      </c>
      <c r="G77" s="3">
        <v>551.6</v>
      </c>
      <c r="H77" s="13">
        <v>0.53339999999999999</v>
      </c>
      <c r="I77" s="13">
        <v>0.49209999999999998</v>
      </c>
      <c r="J77" s="16">
        <v>0</v>
      </c>
      <c r="K77" s="16">
        <v>0</v>
      </c>
      <c r="L77" s="3">
        <v>0</v>
      </c>
      <c r="M77" s="3">
        <v>0</v>
      </c>
      <c r="N77" s="3">
        <v>990</v>
      </c>
      <c r="O77" s="3">
        <v>1025</v>
      </c>
      <c r="P77" s="1">
        <v>0</v>
      </c>
      <c r="Q77">
        <v>1005</v>
      </c>
      <c r="R77" s="3">
        <v>1677.6</v>
      </c>
      <c r="S77" s="1">
        <v>0</v>
      </c>
    </row>
    <row r="78" spans="1:19" x14ac:dyDescent="0.2">
      <c r="A78" s="12" t="s">
        <v>139</v>
      </c>
      <c r="B78" s="12" t="s">
        <v>70</v>
      </c>
      <c r="C78" s="12" t="s">
        <v>70</v>
      </c>
      <c r="D78" s="3">
        <v>1</v>
      </c>
      <c r="E78" s="3">
        <v>1</v>
      </c>
      <c r="F78" s="3">
        <v>1</v>
      </c>
      <c r="G78" s="3">
        <v>551.6</v>
      </c>
      <c r="H78" s="13">
        <v>0.53339999999999999</v>
      </c>
      <c r="I78" s="13">
        <v>0.49209999999999998</v>
      </c>
      <c r="J78" s="16">
        <v>0</v>
      </c>
      <c r="K78" s="16">
        <v>0</v>
      </c>
      <c r="L78" s="3">
        <v>0</v>
      </c>
      <c r="M78" s="3">
        <v>0</v>
      </c>
      <c r="N78" s="3">
        <v>990</v>
      </c>
      <c r="O78" s="3">
        <v>1025</v>
      </c>
      <c r="P78" s="1">
        <v>0</v>
      </c>
      <c r="Q78">
        <v>1005</v>
      </c>
      <c r="R78" s="3">
        <v>1677.6</v>
      </c>
      <c r="S78" s="1">
        <v>0</v>
      </c>
    </row>
    <row r="79" spans="1:19" x14ac:dyDescent="0.2">
      <c r="A79" s="12" t="s">
        <v>140</v>
      </c>
      <c r="B79" s="12" t="s">
        <v>70</v>
      </c>
      <c r="C79" s="12" t="s">
        <v>70</v>
      </c>
      <c r="D79" s="3">
        <v>1</v>
      </c>
      <c r="E79" s="3">
        <v>1</v>
      </c>
      <c r="F79" s="3">
        <v>1</v>
      </c>
      <c r="G79" s="3">
        <v>551.6</v>
      </c>
      <c r="H79" s="13">
        <v>2E-3</v>
      </c>
      <c r="I79" s="13">
        <v>1E-3</v>
      </c>
      <c r="J79" s="16">
        <v>0</v>
      </c>
      <c r="K79" s="16">
        <v>0</v>
      </c>
      <c r="L79" s="3">
        <v>0</v>
      </c>
      <c r="M79" s="3">
        <v>0</v>
      </c>
      <c r="N79" s="3">
        <v>990</v>
      </c>
      <c r="O79" s="3">
        <v>1025</v>
      </c>
      <c r="P79" s="1">
        <v>0</v>
      </c>
      <c r="Q79">
        <v>1005</v>
      </c>
      <c r="R79" s="3">
        <v>0</v>
      </c>
      <c r="S79" s="1">
        <v>0</v>
      </c>
    </row>
    <row r="80" spans="1:19" x14ac:dyDescent="0.2">
      <c r="A80" s="12" t="s">
        <v>141</v>
      </c>
      <c r="B80" s="12" t="s">
        <v>70</v>
      </c>
      <c r="C80" s="12" t="s">
        <v>70</v>
      </c>
      <c r="D80" s="3">
        <v>1</v>
      </c>
      <c r="E80" s="3">
        <v>1</v>
      </c>
      <c r="F80" s="3">
        <v>1</v>
      </c>
      <c r="G80" s="3">
        <v>551.6</v>
      </c>
      <c r="H80" s="13">
        <v>2E-3</v>
      </c>
      <c r="I80" s="13">
        <v>1E-3</v>
      </c>
      <c r="J80" s="16">
        <v>0</v>
      </c>
      <c r="K80" s="16">
        <v>0</v>
      </c>
      <c r="L80" s="3">
        <v>0</v>
      </c>
      <c r="M80" s="3">
        <v>0</v>
      </c>
      <c r="N80" s="3">
        <v>990</v>
      </c>
      <c r="O80" s="3">
        <v>1025</v>
      </c>
      <c r="P80" s="1">
        <v>0</v>
      </c>
      <c r="Q80">
        <v>1005</v>
      </c>
      <c r="R80" s="3">
        <v>0</v>
      </c>
      <c r="S80" s="1">
        <v>0</v>
      </c>
    </row>
    <row r="81" spans="1:19" x14ac:dyDescent="0.2">
      <c r="A81" s="12" t="s">
        <v>142</v>
      </c>
      <c r="B81" s="12" t="s">
        <v>70</v>
      </c>
      <c r="C81" s="12" t="s">
        <v>70</v>
      </c>
      <c r="D81" s="3">
        <v>1</v>
      </c>
      <c r="E81" s="3">
        <v>1</v>
      </c>
      <c r="F81" s="3">
        <v>1</v>
      </c>
      <c r="G81" s="3">
        <v>551.6</v>
      </c>
      <c r="H81" s="13">
        <v>2E-3</v>
      </c>
      <c r="I81" s="13">
        <v>1E-3</v>
      </c>
      <c r="J81" s="16">
        <v>0</v>
      </c>
      <c r="K81" s="16">
        <v>0</v>
      </c>
      <c r="L81" s="3">
        <v>0</v>
      </c>
      <c r="M81" s="3">
        <v>0</v>
      </c>
      <c r="N81" s="3">
        <v>990</v>
      </c>
      <c r="O81" s="3">
        <v>1025</v>
      </c>
      <c r="P81" s="1">
        <v>0</v>
      </c>
      <c r="Q81">
        <v>1005</v>
      </c>
      <c r="R81" s="3">
        <v>0</v>
      </c>
      <c r="S81" s="1">
        <v>0</v>
      </c>
    </row>
    <row r="82" spans="1:19" x14ac:dyDescent="0.2">
      <c r="A82" s="12" t="s">
        <v>143</v>
      </c>
      <c r="B82" s="12" t="s">
        <v>70</v>
      </c>
      <c r="C82" s="12" t="s">
        <v>70</v>
      </c>
      <c r="D82" s="3">
        <v>1</v>
      </c>
      <c r="E82" s="3">
        <v>1</v>
      </c>
      <c r="F82" s="3">
        <v>1</v>
      </c>
      <c r="G82" s="3">
        <v>551.6</v>
      </c>
      <c r="H82" s="13">
        <v>2E-3</v>
      </c>
      <c r="I82" s="13">
        <v>1E-3</v>
      </c>
      <c r="J82" s="16">
        <v>0</v>
      </c>
      <c r="K82" s="16">
        <v>0</v>
      </c>
      <c r="L82" s="3">
        <v>0</v>
      </c>
      <c r="M82" s="3">
        <v>0</v>
      </c>
      <c r="N82" s="3">
        <v>990</v>
      </c>
      <c r="O82" s="3">
        <v>1025</v>
      </c>
      <c r="P82" s="1">
        <v>0</v>
      </c>
      <c r="Q82">
        <v>1005</v>
      </c>
      <c r="R82" s="3">
        <v>0</v>
      </c>
      <c r="S82" s="1">
        <v>0</v>
      </c>
    </row>
    <row r="83" spans="1:19" x14ac:dyDescent="0.2">
      <c r="A83" s="12" t="s">
        <v>144</v>
      </c>
      <c r="B83" s="12" t="s">
        <v>70</v>
      </c>
      <c r="C83" s="12" t="s">
        <v>70</v>
      </c>
      <c r="D83" s="3">
        <v>1</v>
      </c>
      <c r="E83" s="3">
        <v>1</v>
      </c>
      <c r="F83" s="3">
        <v>1</v>
      </c>
      <c r="G83" s="3">
        <v>551.6</v>
      </c>
      <c r="H83" s="13">
        <v>2E-3</v>
      </c>
      <c r="I83" s="13">
        <v>1E-3</v>
      </c>
      <c r="J83" s="16">
        <v>0</v>
      </c>
      <c r="K83" s="16">
        <v>0</v>
      </c>
      <c r="L83" s="3">
        <v>0</v>
      </c>
      <c r="M83" s="3">
        <v>0</v>
      </c>
      <c r="N83" s="3">
        <v>990</v>
      </c>
      <c r="O83" s="3">
        <v>1025</v>
      </c>
      <c r="P83" s="1">
        <v>0</v>
      </c>
      <c r="Q83">
        <v>1005</v>
      </c>
      <c r="R83" s="3">
        <v>0</v>
      </c>
      <c r="S83" s="1">
        <v>0</v>
      </c>
    </row>
    <row r="84" spans="1:19" x14ac:dyDescent="0.2">
      <c r="A84" s="12" t="s">
        <v>145</v>
      </c>
      <c r="B84" s="12" t="s">
        <v>70</v>
      </c>
      <c r="C84" s="12" t="s">
        <v>70</v>
      </c>
      <c r="D84" s="3">
        <v>1</v>
      </c>
      <c r="E84" s="3">
        <v>1</v>
      </c>
      <c r="F84" s="3">
        <v>1</v>
      </c>
      <c r="G84" s="3">
        <v>551.6</v>
      </c>
      <c r="H84" s="13">
        <v>2E-3</v>
      </c>
      <c r="I84" s="13">
        <v>1E-3</v>
      </c>
      <c r="J84" s="16">
        <v>0</v>
      </c>
      <c r="K84" s="16">
        <v>0</v>
      </c>
      <c r="L84" s="3">
        <v>0</v>
      </c>
      <c r="M84" s="3">
        <v>0</v>
      </c>
      <c r="N84" s="3">
        <v>990</v>
      </c>
      <c r="O84" s="3">
        <v>1025</v>
      </c>
      <c r="P84" s="1">
        <v>0</v>
      </c>
      <c r="Q84">
        <v>1005</v>
      </c>
      <c r="R84" s="3">
        <v>0</v>
      </c>
      <c r="S84" s="1">
        <v>0</v>
      </c>
    </row>
    <row r="85" spans="1:19" x14ac:dyDescent="0.2">
      <c r="A85" s="12" t="s">
        <v>146</v>
      </c>
      <c r="B85" s="12" t="s">
        <v>70</v>
      </c>
      <c r="C85" s="12" t="s">
        <v>70</v>
      </c>
      <c r="D85" s="3">
        <v>1</v>
      </c>
      <c r="E85" s="3">
        <v>1</v>
      </c>
      <c r="F85" s="3">
        <v>1</v>
      </c>
      <c r="G85" s="3">
        <v>551.6</v>
      </c>
      <c r="H85" s="13">
        <v>2E-3</v>
      </c>
      <c r="I85" s="13">
        <v>1E-3</v>
      </c>
      <c r="J85" s="16">
        <v>0</v>
      </c>
      <c r="K85" s="16">
        <v>0</v>
      </c>
      <c r="L85" s="3">
        <v>0</v>
      </c>
      <c r="M85" s="3">
        <v>0</v>
      </c>
      <c r="N85" s="3">
        <v>990</v>
      </c>
      <c r="O85" s="3">
        <v>1025</v>
      </c>
      <c r="P85" s="1">
        <v>0</v>
      </c>
      <c r="Q85">
        <v>1005</v>
      </c>
      <c r="R85" s="3">
        <v>0</v>
      </c>
      <c r="S85" s="1">
        <v>0</v>
      </c>
    </row>
    <row r="86" spans="1:19" x14ac:dyDescent="0.2">
      <c r="A86" s="12" t="s">
        <v>147</v>
      </c>
      <c r="B86" s="12" t="s">
        <v>70</v>
      </c>
      <c r="C86" s="12" t="s">
        <v>70</v>
      </c>
      <c r="D86" s="3">
        <v>1</v>
      </c>
      <c r="E86" s="3">
        <v>1</v>
      </c>
      <c r="F86" s="3">
        <v>1</v>
      </c>
      <c r="G86" s="3">
        <v>551.6</v>
      </c>
      <c r="H86" s="13">
        <v>2E-3</v>
      </c>
      <c r="I86" s="13">
        <v>1E-3</v>
      </c>
      <c r="J86" s="16">
        <v>0</v>
      </c>
      <c r="K86" s="16">
        <v>0</v>
      </c>
      <c r="L86" s="3">
        <v>0</v>
      </c>
      <c r="M86" s="3">
        <v>0</v>
      </c>
      <c r="N86" s="3">
        <v>990</v>
      </c>
      <c r="O86" s="3">
        <v>1025</v>
      </c>
      <c r="P86" s="1">
        <v>0</v>
      </c>
      <c r="Q86">
        <v>1005</v>
      </c>
      <c r="R86" s="3">
        <v>0</v>
      </c>
      <c r="S86" s="1">
        <v>0</v>
      </c>
    </row>
    <row r="87" spans="1:19" x14ac:dyDescent="0.2">
      <c r="A87" s="12" t="s">
        <v>148</v>
      </c>
      <c r="B87" s="12" t="s">
        <v>70</v>
      </c>
      <c r="C87" s="12" t="s">
        <v>70</v>
      </c>
      <c r="D87" s="3">
        <v>1</v>
      </c>
      <c r="E87" s="3">
        <v>1</v>
      </c>
      <c r="F87" s="3">
        <v>1</v>
      </c>
      <c r="G87" s="3">
        <v>551.6</v>
      </c>
      <c r="H87" s="13">
        <v>2E-3</v>
      </c>
      <c r="I87" s="13">
        <v>1E-3</v>
      </c>
      <c r="J87" s="16">
        <v>0</v>
      </c>
      <c r="K87" s="16">
        <v>0</v>
      </c>
      <c r="L87" s="3">
        <v>0</v>
      </c>
      <c r="M87" s="3">
        <v>0</v>
      </c>
      <c r="N87" s="3">
        <v>990</v>
      </c>
      <c r="O87" s="3">
        <v>1025</v>
      </c>
      <c r="P87" s="1">
        <v>0</v>
      </c>
      <c r="Q87">
        <v>1005</v>
      </c>
      <c r="R87" s="3">
        <v>0</v>
      </c>
      <c r="S87" s="1">
        <v>0</v>
      </c>
    </row>
    <row r="88" spans="1:19" x14ac:dyDescent="0.2">
      <c r="A88" s="12" t="s">
        <v>149</v>
      </c>
      <c r="B88" s="12" t="s">
        <v>70</v>
      </c>
      <c r="C88" s="12" t="s">
        <v>70</v>
      </c>
      <c r="D88" s="3">
        <v>1</v>
      </c>
      <c r="E88" s="3">
        <v>1</v>
      </c>
      <c r="F88" s="3">
        <v>1</v>
      </c>
      <c r="G88" s="3">
        <v>551.6</v>
      </c>
      <c r="H88" s="13">
        <v>2E-3</v>
      </c>
      <c r="I88" s="13">
        <v>1E-3</v>
      </c>
      <c r="J88" s="16">
        <v>0</v>
      </c>
      <c r="K88" s="16">
        <v>0</v>
      </c>
      <c r="L88" s="3">
        <v>0</v>
      </c>
      <c r="M88" s="3">
        <v>0</v>
      </c>
      <c r="N88" s="3">
        <v>990</v>
      </c>
      <c r="O88" s="3">
        <v>1025</v>
      </c>
      <c r="P88" s="1">
        <v>0</v>
      </c>
      <c r="Q88">
        <v>1005</v>
      </c>
      <c r="R88" s="3">
        <v>0</v>
      </c>
      <c r="S88" s="1">
        <v>0</v>
      </c>
    </row>
    <row r="89" spans="1:19" x14ac:dyDescent="0.2">
      <c r="A89" s="12" t="s">
        <v>150</v>
      </c>
      <c r="B89" s="12" t="s">
        <v>70</v>
      </c>
      <c r="C89" s="12" t="s">
        <v>70</v>
      </c>
      <c r="D89" s="3">
        <v>1</v>
      </c>
      <c r="E89" s="3">
        <v>1</v>
      </c>
      <c r="F89" s="3">
        <v>1</v>
      </c>
      <c r="G89" s="3">
        <v>551.6</v>
      </c>
      <c r="H89" s="13">
        <v>2E-3</v>
      </c>
      <c r="I89" s="13">
        <v>1E-3</v>
      </c>
      <c r="J89" s="16">
        <v>0</v>
      </c>
      <c r="K89" s="16">
        <v>0</v>
      </c>
      <c r="L89" s="3">
        <v>0</v>
      </c>
      <c r="M89" s="3">
        <v>0</v>
      </c>
      <c r="N89" s="3">
        <v>990</v>
      </c>
      <c r="O89" s="3">
        <v>1025</v>
      </c>
      <c r="P89" s="1">
        <v>0</v>
      </c>
      <c r="Q89">
        <v>1005</v>
      </c>
      <c r="R89" s="3">
        <v>0</v>
      </c>
      <c r="S89" s="1">
        <v>0</v>
      </c>
    </row>
    <row r="90" spans="1:19" x14ac:dyDescent="0.2">
      <c r="A90" s="12" t="s">
        <v>151</v>
      </c>
      <c r="B90" s="12" t="s">
        <v>70</v>
      </c>
      <c r="C90" s="12" t="s">
        <v>70</v>
      </c>
      <c r="D90" s="3">
        <v>1</v>
      </c>
      <c r="E90" s="3">
        <v>1</v>
      </c>
      <c r="F90" s="3">
        <v>1</v>
      </c>
      <c r="G90" s="3">
        <v>551.6</v>
      </c>
      <c r="H90" s="13">
        <v>2E-3</v>
      </c>
      <c r="I90" s="13">
        <v>1E-3</v>
      </c>
      <c r="J90" s="16">
        <v>0</v>
      </c>
      <c r="K90" s="16">
        <v>0</v>
      </c>
      <c r="L90" s="3">
        <v>0</v>
      </c>
      <c r="M90" s="3">
        <v>0</v>
      </c>
      <c r="N90" s="3">
        <v>990</v>
      </c>
      <c r="O90" s="3">
        <v>1025</v>
      </c>
      <c r="P90" s="1">
        <v>0</v>
      </c>
      <c r="Q90">
        <v>1005</v>
      </c>
      <c r="R90" s="3">
        <v>0</v>
      </c>
      <c r="S90" s="1">
        <v>0</v>
      </c>
    </row>
    <row r="91" spans="1:19" x14ac:dyDescent="0.2">
      <c r="A91" s="12" t="s">
        <v>152</v>
      </c>
      <c r="B91" s="12" t="s">
        <v>70</v>
      </c>
      <c r="C91" s="12" t="s">
        <v>70</v>
      </c>
      <c r="D91" s="3">
        <v>1</v>
      </c>
      <c r="E91" s="3">
        <v>1</v>
      </c>
      <c r="F91" s="3">
        <v>1</v>
      </c>
      <c r="G91" s="3">
        <v>551.6</v>
      </c>
      <c r="H91" s="13">
        <v>2E-3</v>
      </c>
      <c r="I91" s="13">
        <v>1E-3</v>
      </c>
      <c r="J91" s="16">
        <v>0</v>
      </c>
      <c r="K91" s="16">
        <v>0</v>
      </c>
      <c r="L91" s="3">
        <v>0</v>
      </c>
      <c r="M91" s="3">
        <v>0</v>
      </c>
      <c r="N91" s="3">
        <v>990</v>
      </c>
      <c r="O91" s="3">
        <v>1025</v>
      </c>
      <c r="P91" s="1">
        <v>0</v>
      </c>
      <c r="Q91">
        <v>1005</v>
      </c>
      <c r="R91" s="3">
        <v>0</v>
      </c>
      <c r="S91" s="1">
        <v>0</v>
      </c>
    </row>
    <row r="92" spans="1:19" x14ac:dyDescent="0.2">
      <c r="A92" s="12" t="s">
        <v>153</v>
      </c>
      <c r="B92" s="12" t="s">
        <v>70</v>
      </c>
      <c r="C92" s="12" t="s">
        <v>70</v>
      </c>
      <c r="D92" s="3">
        <v>1</v>
      </c>
      <c r="E92" s="3">
        <v>1</v>
      </c>
      <c r="F92" s="3">
        <v>1</v>
      </c>
      <c r="G92" s="3">
        <v>551.6</v>
      </c>
      <c r="H92" s="13">
        <v>2E-3</v>
      </c>
      <c r="I92" s="13">
        <v>1E-3</v>
      </c>
      <c r="J92" s="16">
        <v>0</v>
      </c>
      <c r="K92" s="16">
        <v>0</v>
      </c>
      <c r="L92" s="3">
        <v>0</v>
      </c>
      <c r="M92" s="3">
        <v>0</v>
      </c>
      <c r="N92" s="3">
        <v>990</v>
      </c>
      <c r="O92" s="3">
        <v>1025</v>
      </c>
      <c r="P92" s="1">
        <v>0</v>
      </c>
      <c r="Q92">
        <v>1005</v>
      </c>
      <c r="R92" s="3">
        <v>0</v>
      </c>
      <c r="S92" s="1">
        <v>0</v>
      </c>
    </row>
    <row r="93" spans="1:19" x14ac:dyDescent="0.2">
      <c r="A93" s="12" t="s">
        <v>154</v>
      </c>
      <c r="B93" s="12" t="s">
        <v>70</v>
      </c>
      <c r="C93" s="12" t="s">
        <v>70</v>
      </c>
      <c r="D93" s="3">
        <v>1</v>
      </c>
      <c r="E93" s="3">
        <v>1</v>
      </c>
      <c r="F93" s="3">
        <v>1</v>
      </c>
      <c r="G93" s="3">
        <v>551.6</v>
      </c>
      <c r="H93" s="13">
        <v>2E-3</v>
      </c>
      <c r="I93" s="13">
        <v>1E-3</v>
      </c>
      <c r="J93" s="16">
        <v>0</v>
      </c>
      <c r="K93" s="16">
        <v>0</v>
      </c>
      <c r="L93" s="3">
        <v>0</v>
      </c>
      <c r="M93" s="3">
        <v>0</v>
      </c>
      <c r="N93" s="3">
        <v>990</v>
      </c>
      <c r="O93" s="3">
        <v>1025</v>
      </c>
      <c r="P93" s="1">
        <v>0</v>
      </c>
      <c r="Q93">
        <v>1005</v>
      </c>
      <c r="R93" s="3">
        <v>0</v>
      </c>
      <c r="S93" s="1">
        <v>0</v>
      </c>
    </row>
    <row r="94" spans="1:19" x14ac:dyDescent="0.2">
      <c r="A94" s="12" t="s">
        <v>155</v>
      </c>
      <c r="B94" s="12" t="s">
        <v>70</v>
      </c>
      <c r="C94" s="12" t="s">
        <v>70</v>
      </c>
      <c r="D94" s="3">
        <v>1</v>
      </c>
      <c r="E94" s="3">
        <v>1</v>
      </c>
      <c r="F94" s="3">
        <v>1</v>
      </c>
      <c r="G94" s="3">
        <v>551.6</v>
      </c>
      <c r="H94" s="13">
        <v>2E-3</v>
      </c>
      <c r="I94" s="13">
        <v>1E-3</v>
      </c>
      <c r="J94" s="16">
        <v>0</v>
      </c>
      <c r="K94" s="16">
        <v>0</v>
      </c>
      <c r="L94" s="3">
        <v>0</v>
      </c>
      <c r="M94" s="3">
        <v>0</v>
      </c>
      <c r="N94" s="3">
        <v>990</v>
      </c>
      <c r="O94" s="3">
        <v>1025</v>
      </c>
      <c r="P94" s="1">
        <v>0</v>
      </c>
      <c r="Q94">
        <v>1005</v>
      </c>
      <c r="R94" s="3">
        <v>0</v>
      </c>
      <c r="S94" s="1">
        <v>0</v>
      </c>
    </row>
    <row r="95" spans="1:19" x14ac:dyDescent="0.2">
      <c r="A95" s="12" t="s">
        <v>156</v>
      </c>
      <c r="B95" s="12" t="s">
        <v>70</v>
      </c>
      <c r="C95" s="12" t="s">
        <v>70</v>
      </c>
      <c r="D95" s="3">
        <v>1</v>
      </c>
      <c r="E95" s="3">
        <v>1</v>
      </c>
      <c r="F95" s="3">
        <v>1</v>
      </c>
      <c r="G95" s="3">
        <v>551.6</v>
      </c>
      <c r="H95" s="13">
        <v>2E-3</v>
      </c>
      <c r="I95" s="13">
        <v>0</v>
      </c>
      <c r="J95" s="16">
        <v>0</v>
      </c>
      <c r="K95" s="16">
        <v>0</v>
      </c>
      <c r="L95" s="3">
        <v>0</v>
      </c>
      <c r="M95" s="3">
        <v>0</v>
      </c>
      <c r="N95" s="3">
        <v>990</v>
      </c>
      <c r="O95" s="3">
        <v>1025</v>
      </c>
      <c r="P95" s="1">
        <v>0</v>
      </c>
      <c r="Q95">
        <v>0</v>
      </c>
      <c r="R95" s="3">
        <v>0</v>
      </c>
      <c r="S95" s="1">
        <v>0</v>
      </c>
    </row>
    <row r="96" spans="1:19" x14ac:dyDescent="0.2">
      <c r="A96" s="12" t="s">
        <v>157</v>
      </c>
      <c r="B96" s="12" t="s">
        <v>70</v>
      </c>
      <c r="C96" s="12" t="s">
        <v>70</v>
      </c>
      <c r="D96" s="3">
        <v>1</v>
      </c>
      <c r="E96" s="3">
        <v>1</v>
      </c>
      <c r="F96" s="3">
        <v>1</v>
      </c>
      <c r="G96" s="3">
        <v>551.6</v>
      </c>
      <c r="H96" s="13">
        <v>2E-3</v>
      </c>
      <c r="I96" s="13">
        <v>0</v>
      </c>
      <c r="J96" s="16">
        <v>0</v>
      </c>
      <c r="K96" s="16">
        <v>0</v>
      </c>
      <c r="L96" s="3">
        <v>0</v>
      </c>
      <c r="M96" s="3">
        <v>0</v>
      </c>
      <c r="N96" s="3">
        <v>990</v>
      </c>
      <c r="O96" s="3">
        <v>1025</v>
      </c>
      <c r="P96" s="1">
        <v>0</v>
      </c>
      <c r="Q96">
        <v>0</v>
      </c>
      <c r="R96" s="3">
        <v>0</v>
      </c>
      <c r="S96" s="1">
        <v>0</v>
      </c>
    </row>
    <row r="97" spans="1:19" x14ac:dyDescent="0.2">
      <c r="A97" s="12" t="s">
        <v>158</v>
      </c>
      <c r="B97" s="12" t="s">
        <v>70</v>
      </c>
      <c r="C97" s="12" t="s">
        <v>70</v>
      </c>
      <c r="D97" s="3">
        <v>1</v>
      </c>
      <c r="E97" s="3">
        <v>1</v>
      </c>
      <c r="F97" s="3">
        <v>1</v>
      </c>
      <c r="G97" s="3">
        <v>551.6</v>
      </c>
      <c r="H97" s="13">
        <v>2E-3</v>
      </c>
      <c r="I97" s="13">
        <v>0</v>
      </c>
      <c r="J97" s="16">
        <v>0</v>
      </c>
      <c r="K97" s="16">
        <v>0</v>
      </c>
      <c r="L97" s="3">
        <v>0</v>
      </c>
      <c r="M97" s="3">
        <v>0</v>
      </c>
      <c r="N97" s="3">
        <v>990</v>
      </c>
      <c r="O97" s="3">
        <v>1025</v>
      </c>
      <c r="P97" s="1">
        <v>0</v>
      </c>
      <c r="Q97">
        <v>0</v>
      </c>
      <c r="R97" s="3">
        <v>0</v>
      </c>
      <c r="S97" s="1">
        <v>0</v>
      </c>
    </row>
    <row r="98" spans="1:19" x14ac:dyDescent="0.2">
      <c r="A98" s="12">
        <v>1</v>
      </c>
      <c r="B98" s="12">
        <v>1</v>
      </c>
      <c r="C98" s="12">
        <v>2</v>
      </c>
      <c r="D98" s="3">
        <v>1</v>
      </c>
      <c r="E98" s="3">
        <v>1</v>
      </c>
      <c r="F98" s="3">
        <v>1</v>
      </c>
      <c r="G98" s="3">
        <v>551.6</v>
      </c>
      <c r="H98" s="13">
        <v>0.91439999999999999</v>
      </c>
      <c r="I98" s="13">
        <v>0.83819999999999995</v>
      </c>
      <c r="J98" s="16">
        <v>0</v>
      </c>
      <c r="K98" s="16">
        <v>0</v>
      </c>
      <c r="L98" s="3">
        <v>0</v>
      </c>
      <c r="M98" s="3">
        <v>0</v>
      </c>
      <c r="N98" s="3">
        <v>990</v>
      </c>
      <c r="O98" s="3">
        <v>1025</v>
      </c>
      <c r="P98" s="1">
        <v>0</v>
      </c>
      <c r="Q98">
        <v>990</v>
      </c>
      <c r="R98" s="3">
        <v>1025</v>
      </c>
      <c r="S98" s="1">
        <v>0</v>
      </c>
    </row>
    <row r="99" spans="1:19" x14ac:dyDescent="0.2">
      <c r="A99" s="12">
        <v>2</v>
      </c>
      <c r="B99" s="12">
        <v>2</v>
      </c>
      <c r="C99" s="12">
        <v>3</v>
      </c>
      <c r="D99" s="3">
        <v>1</v>
      </c>
      <c r="E99" s="3">
        <v>1</v>
      </c>
      <c r="F99" s="3">
        <v>1</v>
      </c>
      <c r="G99" s="3">
        <v>551.6</v>
      </c>
      <c r="H99" s="13">
        <v>0.91439999999999999</v>
      </c>
      <c r="I99" s="13">
        <v>0.83819999999999995</v>
      </c>
      <c r="J99" s="16">
        <v>0</v>
      </c>
      <c r="K99" s="16">
        <v>0</v>
      </c>
      <c r="L99" s="3">
        <v>0</v>
      </c>
      <c r="M99" s="3">
        <v>0</v>
      </c>
      <c r="N99" s="3">
        <v>990</v>
      </c>
      <c r="O99" s="3">
        <v>1025</v>
      </c>
      <c r="P99" s="1">
        <v>0</v>
      </c>
      <c r="Q99">
        <v>990</v>
      </c>
      <c r="R99" s="3">
        <v>1025</v>
      </c>
      <c r="S99" s="1">
        <v>0</v>
      </c>
    </row>
    <row r="100" spans="1:19" x14ac:dyDescent="0.2">
      <c r="A100" s="12">
        <v>3</v>
      </c>
      <c r="B100" s="12">
        <v>3</v>
      </c>
      <c r="C100" s="12">
        <v>4</v>
      </c>
      <c r="D100" s="3">
        <v>1</v>
      </c>
      <c r="E100" s="3">
        <v>1</v>
      </c>
      <c r="F100" s="3">
        <v>1</v>
      </c>
      <c r="G100" s="3">
        <v>551.6</v>
      </c>
      <c r="H100" s="13">
        <v>0.91439999999999999</v>
      </c>
      <c r="I100" s="13">
        <v>0.83819999999999995</v>
      </c>
      <c r="J100" s="16">
        <v>0</v>
      </c>
      <c r="K100" s="16">
        <v>0</v>
      </c>
      <c r="L100" s="3">
        <v>0</v>
      </c>
      <c r="M100" s="3">
        <v>0</v>
      </c>
      <c r="N100" s="3">
        <v>990</v>
      </c>
      <c r="O100" s="3">
        <v>1025</v>
      </c>
      <c r="P100" s="1">
        <v>0</v>
      </c>
      <c r="Q100">
        <v>990</v>
      </c>
      <c r="R100" s="3">
        <v>1025</v>
      </c>
      <c r="S100" s="1">
        <v>0</v>
      </c>
    </row>
    <row r="101" spans="1:19" x14ac:dyDescent="0.2">
      <c r="A101" s="12">
        <v>4</v>
      </c>
      <c r="B101" s="12">
        <v>4</v>
      </c>
      <c r="C101" s="12">
        <v>5</v>
      </c>
      <c r="D101" s="3">
        <v>1</v>
      </c>
      <c r="E101" s="3">
        <v>1</v>
      </c>
      <c r="F101" s="3">
        <v>1</v>
      </c>
      <c r="G101" s="3">
        <v>551.6</v>
      </c>
      <c r="H101" s="13">
        <v>0.91439999999999999</v>
      </c>
      <c r="I101" s="13">
        <v>0.83819999999999995</v>
      </c>
      <c r="J101" s="16">
        <v>0</v>
      </c>
      <c r="K101" s="16">
        <v>0</v>
      </c>
      <c r="L101" s="3">
        <v>0</v>
      </c>
      <c r="M101" s="3">
        <v>0</v>
      </c>
      <c r="N101" s="3">
        <v>990</v>
      </c>
      <c r="O101" s="3">
        <v>1025</v>
      </c>
      <c r="P101" s="1">
        <v>0</v>
      </c>
      <c r="Q101">
        <v>990</v>
      </c>
      <c r="R101" s="3">
        <v>1025</v>
      </c>
      <c r="S101" s="1">
        <v>0</v>
      </c>
    </row>
    <row r="102" spans="1:19" x14ac:dyDescent="0.2">
      <c r="A102" s="12">
        <v>5</v>
      </c>
      <c r="B102" s="12">
        <v>5</v>
      </c>
      <c r="C102" s="12">
        <v>6</v>
      </c>
      <c r="D102" s="3">
        <v>1</v>
      </c>
      <c r="E102" s="3">
        <v>1</v>
      </c>
      <c r="F102" s="3">
        <v>1</v>
      </c>
      <c r="G102" s="3">
        <v>551.6</v>
      </c>
      <c r="H102" s="13">
        <v>0.91439999999999999</v>
      </c>
      <c r="I102" s="13">
        <v>0.83819999999999995</v>
      </c>
      <c r="J102" s="16">
        <v>0</v>
      </c>
      <c r="K102" s="16">
        <v>0</v>
      </c>
      <c r="L102" s="3">
        <v>0</v>
      </c>
      <c r="M102" s="3">
        <v>0</v>
      </c>
      <c r="N102" s="3">
        <v>990</v>
      </c>
      <c r="O102" s="3">
        <v>1025</v>
      </c>
      <c r="P102" s="1">
        <v>0</v>
      </c>
      <c r="Q102">
        <v>990</v>
      </c>
      <c r="R102" s="3">
        <v>1025</v>
      </c>
      <c r="S102" s="1">
        <v>0</v>
      </c>
    </row>
    <row r="103" spans="1:19" x14ac:dyDescent="0.2">
      <c r="A103" s="12">
        <v>6</v>
      </c>
      <c r="B103" s="12">
        <v>6</v>
      </c>
      <c r="C103" s="12">
        <v>7</v>
      </c>
      <c r="D103" s="3">
        <v>1</v>
      </c>
      <c r="E103" s="3">
        <v>1</v>
      </c>
      <c r="F103" s="3">
        <v>1</v>
      </c>
      <c r="G103" s="3">
        <v>551.6</v>
      </c>
      <c r="H103" s="13">
        <v>0.91439999999999999</v>
      </c>
      <c r="I103" s="13">
        <v>0.83819999999999995</v>
      </c>
      <c r="J103" s="16">
        <v>0</v>
      </c>
      <c r="K103" s="16">
        <v>0</v>
      </c>
      <c r="L103" s="3">
        <v>0</v>
      </c>
      <c r="M103" s="3">
        <v>0</v>
      </c>
      <c r="N103" s="3">
        <v>990</v>
      </c>
      <c r="O103" s="3">
        <v>1025</v>
      </c>
      <c r="P103" s="1">
        <v>0</v>
      </c>
      <c r="Q103">
        <v>990</v>
      </c>
      <c r="R103" s="3">
        <v>1025</v>
      </c>
      <c r="S103" s="1">
        <v>0</v>
      </c>
    </row>
    <row r="104" spans="1:19" x14ac:dyDescent="0.2">
      <c r="A104" s="12">
        <v>7</v>
      </c>
      <c r="B104" s="12">
        <v>7</v>
      </c>
      <c r="C104" s="12">
        <v>8</v>
      </c>
      <c r="D104" s="3">
        <v>1</v>
      </c>
      <c r="E104" s="3">
        <v>1</v>
      </c>
      <c r="F104" s="3">
        <v>1</v>
      </c>
      <c r="G104" s="3">
        <v>551.6</v>
      </c>
      <c r="H104" s="13">
        <v>0.91439999999999999</v>
      </c>
      <c r="I104" s="13">
        <v>0.83819999999999995</v>
      </c>
      <c r="J104" s="16">
        <v>0</v>
      </c>
      <c r="K104" s="16">
        <v>0</v>
      </c>
      <c r="L104" s="3">
        <v>0</v>
      </c>
      <c r="M104" s="3">
        <v>0</v>
      </c>
      <c r="N104" s="3">
        <v>990</v>
      </c>
      <c r="O104" s="3">
        <v>1025</v>
      </c>
      <c r="P104" s="1">
        <v>0</v>
      </c>
      <c r="Q104">
        <v>990</v>
      </c>
      <c r="R104" s="3">
        <v>1025</v>
      </c>
      <c r="S104" s="1">
        <v>0</v>
      </c>
    </row>
    <row r="105" spans="1:19" x14ac:dyDescent="0.2">
      <c r="A105" s="12">
        <v>8</v>
      </c>
      <c r="B105" s="12">
        <v>8</v>
      </c>
      <c r="C105" s="12">
        <v>9</v>
      </c>
      <c r="D105" s="3">
        <v>1</v>
      </c>
      <c r="E105" s="3">
        <v>1</v>
      </c>
      <c r="F105" s="3">
        <v>1</v>
      </c>
      <c r="G105" s="3">
        <v>551.6</v>
      </c>
      <c r="H105" s="13">
        <v>0.91439999999999999</v>
      </c>
      <c r="I105" s="13">
        <v>0.83819999999999995</v>
      </c>
      <c r="J105" s="16">
        <v>0</v>
      </c>
      <c r="K105" s="16">
        <v>0</v>
      </c>
      <c r="L105" s="3">
        <v>0</v>
      </c>
      <c r="M105" s="3">
        <v>0</v>
      </c>
      <c r="N105" s="3">
        <v>990</v>
      </c>
      <c r="O105" s="3">
        <v>1025</v>
      </c>
      <c r="P105" s="1">
        <v>0</v>
      </c>
      <c r="Q105">
        <v>990</v>
      </c>
      <c r="R105" s="3">
        <v>1025</v>
      </c>
      <c r="S105" s="1">
        <v>0</v>
      </c>
    </row>
    <row r="106" spans="1:19" x14ac:dyDescent="0.2">
      <c r="A106" s="12">
        <v>9</v>
      </c>
      <c r="B106" s="12">
        <v>9</v>
      </c>
      <c r="C106" s="12">
        <v>10</v>
      </c>
      <c r="D106" s="3">
        <v>1</v>
      </c>
      <c r="E106" s="3">
        <v>1</v>
      </c>
      <c r="F106" s="3">
        <v>1</v>
      </c>
      <c r="G106" s="3">
        <v>551.6</v>
      </c>
      <c r="H106" s="13">
        <v>0.91439999999999999</v>
      </c>
      <c r="I106" s="13">
        <v>0.83819999999999995</v>
      </c>
      <c r="J106" s="16">
        <v>0</v>
      </c>
      <c r="K106" s="16">
        <v>0</v>
      </c>
      <c r="L106" s="3">
        <v>0</v>
      </c>
      <c r="M106" s="3">
        <v>0</v>
      </c>
      <c r="N106" s="3">
        <v>990</v>
      </c>
      <c r="O106" s="3">
        <v>1025</v>
      </c>
      <c r="P106" s="1">
        <v>0</v>
      </c>
      <c r="Q106">
        <v>990</v>
      </c>
      <c r="R106" s="3">
        <v>1025</v>
      </c>
      <c r="S106" s="1">
        <v>0</v>
      </c>
    </row>
    <row r="107" spans="1:19" x14ac:dyDescent="0.2">
      <c r="A107" s="12">
        <v>10</v>
      </c>
      <c r="B107" s="12">
        <v>10</v>
      </c>
      <c r="C107" s="12">
        <v>11</v>
      </c>
      <c r="D107" s="3">
        <v>1</v>
      </c>
      <c r="E107" s="3">
        <v>1</v>
      </c>
      <c r="F107" s="3">
        <v>1</v>
      </c>
      <c r="G107" s="3">
        <v>551.6</v>
      </c>
      <c r="H107" s="13">
        <v>0.91439999999999999</v>
      </c>
      <c r="I107" s="13">
        <v>0.83819999999999995</v>
      </c>
      <c r="J107" s="16">
        <v>0</v>
      </c>
      <c r="K107" s="16">
        <v>0</v>
      </c>
      <c r="L107" s="3">
        <v>0</v>
      </c>
      <c r="M107" s="3">
        <v>0</v>
      </c>
      <c r="N107" s="3">
        <v>990</v>
      </c>
      <c r="O107" s="3">
        <v>1025</v>
      </c>
      <c r="P107" s="1">
        <v>0</v>
      </c>
      <c r="Q107">
        <v>990</v>
      </c>
      <c r="R107" s="3">
        <v>1025</v>
      </c>
      <c r="S107" s="1">
        <v>0</v>
      </c>
    </row>
    <row r="108" spans="1:19" x14ac:dyDescent="0.2">
      <c r="A108" s="12">
        <v>11</v>
      </c>
      <c r="B108" s="12">
        <v>11</v>
      </c>
      <c r="C108" s="12">
        <v>12</v>
      </c>
      <c r="D108" s="3">
        <v>1</v>
      </c>
      <c r="E108" s="3">
        <v>1</v>
      </c>
      <c r="F108" s="3">
        <v>1</v>
      </c>
      <c r="G108" s="3">
        <v>551.6</v>
      </c>
      <c r="H108" s="13">
        <v>0.91439999999999999</v>
      </c>
      <c r="I108" s="13">
        <v>0.83819999999999995</v>
      </c>
      <c r="J108" s="16">
        <v>0</v>
      </c>
      <c r="K108" s="16">
        <v>0</v>
      </c>
      <c r="L108" s="3">
        <v>0</v>
      </c>
      <c r="M108" s="3">
        <v>0</v>
      </c>
      <c r="N108" s="3">
        <v>990</v>
      </c>
      <c r="O108" s="3">
        <v>1025</v>
      </c>
      <c r="P108" s="1">
        <v>0</v>
      </c>
      <c r="Q108">
        <v>990</v>
      </c>
      <c r="R108" s="3">
        <v>1025</v>
      </c>
      <c r="S108" s="1">
        <v>0</v>
      </c>
    </row>
    <row r="109" spans="1:19" x14ac:dyDescent="0.2">
      <c r="A109" s="12">
        <v>12</v>
      </c>
      <c r="B109" s="12">
        <v>12</v>
      </c>
      <c r="C109" s="12">
        <v>13</v>
      </c>
      <c r="D109" s="3">
        <v>1</v>
      </c>
      <c r="E109" s="3">
        <v>1</v>
      </c>
      <c r="F109" s="3">
        <v>1</v>
      </c>
      <c r="G109" s="3">
        <v>551.6</v>
      </c>
      <c r="H109" s="13">
        <v>0.91439999999999999</v>
      </c>
      <c r="I109" s="13">
        <v>0.83819999999999995</v>
      </c>
      <c r="J109" s="16">
        <v>0</v>
      </c>
      <c r="K109" s="16">
        <v>0</v>
      </c>
      <c r="L109" s="3">
        <v>0</v>
      </c>
      <c r="M109" s="3">
        <v>0</v>
      </c>
      <c r="N109" s="3">
        <v>990</v>
      </c>
      <c r="O109" s="3">
        <v>1025</v>
      </c>
      <c r="P109" s="1">
        <v>0</v>
      </c>
      <c r="Q109">
        <v>990</v>
      </c>
      <c r="R109" s="3">
        <v>1025</v>
      </c>
      <c r="S109" s="1">
        <v>0</v>
      </c>
    </row>
    <row r="110" spans="1:19" x14ac:dyDescent="0.2">
      <c r="A110" s="12">
        <v>13</v>
      </c>
      <c r="B110" s="12">
        <v>13</v>
      </c>
      <c r="C110" s="12">
        <v>14</v>
      </c>
      <c r="D110" s="3">
        <v>1</v>
      </c>
      <c r="E110" s="3">
        <v>1</v>
      </c>
      <c r="F110" s="3">
        <v>1</v>
      </c>
      <c r="G110" s="3">
        <v>551.6</v>
      </c>
      <c r="H110" s="13">
        <v>0.91439999999999999</v>
      </c>
      <c r="I110" s="13">
        <v>0.83819999999999995</v>
      </c>
      <c r="J110" s="16">
        <v>0</v>
      </c>
      <c r="K110" s="16">
        <v>0</v>
      </c>
      <c r="L110" s="3">
        <v>0</v>
      </c>
      <c r="M110" s="3">
        <v>0</v>
      </c>
      <c r="N110" s="3">
        <v>990</v>
      </c>
      <c r="O110" s="3">
        <v>1025</v>
      </c>
      <c r="P110" s="1">
        <v>0</v>
      </c>
      <c r="Q110">
        <v>990</v>
      </c>
      <c r="R110" s="3">
        <v>1025</v>
      </c>
      <c r="S110" s="1">
        <v>0</v>
      </c>
    </row>
    <row r="111" spans="1:19" x14ac:dyDescent="0.2">
      <c r="A111" s="12">
        <v>14</v>
      </c>
      <c r="B111" s="12">
        <v>14</v>
      </c>
      <c r="C111" s="12">
        <v>15</v>
      </c>
      <c r="D111" s="3">
        <v>1</v>
      </c>
      <c r="E111" s="3">
        <v>1</v>
      </c>
      <c r="F111" s="3">
        <v>1</v>
      </c>
      <c r="G111" s="3">
        <v>551.6</v>
      </c>
      <c r="H111" s="13">
        <v>0.91439999999999999</v>
      </c>
      <c r="I111" s="13">
        <v>0.83819999999999995</v>
      </c>
      <c r="J111" s="16">
        <v>0</v>
      </c>
      <c r="K111" s="16">
        <v>0</v>
      </c>
      <c r="L111" s="3">
        <v>0</v>
      </c>
      <c r="M111" s="3">
        <v>0</v>
      </c>
      <c r="N111" s="3">
        <v>990</v>
      </c>
      <c r="O111" s="3">
        <v>1025</v>
      </c>
      <c r="P111" s="1">
        <v>0</v>
      </c>
      <c r="Q111">
        <v>990</v>
      </c>
      <c r="R111" s="3">
        <v>1025</v>
      </c>
      <c r="S111" s="1">
        <v>0</v>
      </c>
    </row>
    <row r="112" spans="1:19" x14ac:dyDescent="0.2">
      <c r="A112" s="12">
        <v>15</v>
      </c>
      <c r="B112" s="12">
        <v>15</v>
      </c>
      <c r="C112" s="12">
        <v>16</v>
      </c>
      <c r="D112" s="3">
        <v>1</v>
      </c>
      <c r="E112" s="3">
        <v>1</v>
      </c>
      <c r="F112" s="3">
        <v>1</v>
      </c>
      <c r="G112" s="3">
        <v>551.6</v>
      </c>
      <c r="H112" s="13">
        <v>0.91439999999999999</v>
      </c>
      <c r="I112" s="13">
        <v>0.83819999999999995</v>
      </c>
      <c r="J112" s="16">
        <v>0</v>
      </c>
      <c r="K112" s="16">
        <v>0</v>
      </c>
      <c r="L112" s="3">
        <v>0</v>
      </c>
      <c r="M112" s="3">
        <v>0</v>
      </c>
      <c r="N112" s="3">
        <v>990</v>
      </c>
      <c r="O112" s="3">
        <v>1025</v>
      </c>
      <c r="P112" s="1">
        <v>0</v>
      </c>
      <c r="Q112">
        <v>990</v>
      </c>
      <c r="R112" s="3">
        <v>1025</v>
      </c>
      <c r="S112" s="1">
        <v>0</v>
      </c>
    </row>
    <row r="113" spans="1:19" x14ac:dyDescent="0.2">
      <c r="A113" s="12">
        <v>16</v>
      </c>
      <c r="B113" s="12">
        <v>16</v>
      </c>
      <c r="C113" s="12">
        <v>17</v>
      </c>
      <c r="D113" s="3">
        <v>1</v>
      </c>
      <c r="E113" s="3">
        <v>1</v>
      </c>
      <c r="F113" s="3">
        <v>1</v>
      </c>
      <c r="G113" s="3">
        <v>551.6</v>
      </c>
      <c r="H113" s="13">
        <v>0.91439999999999999</v>
      </c>
      <c r="I113" s="13">
        <v>0.83819999999999995</v>
      </c>
      <c r="J113" s="16">
        <v>0</v>
      </c>
      <c r="K113" s="16">
        <v>0</v>
      </c>
      <c r="L113" s="3">
        <v>0</v>
      </c>
      <c r="M113" s="3">
        <v>0</v>
      </c>
      <c r="N113" s="3">
        <v>990</v>
      </c>
      <c r="O113" s="3">
        <v>1025</v>
      </c>
      <c r="P113" s="1">
        <v>0</v>
      </c>
      <c r="Q113">
        <v>990</v>
      </c>
      <c r="R113" s="3">
        <v>1025</v>
      </c>
      <c r="S113" s="1">
        <v>0</v>
      </c>
    </row>
    <row r="114" spans="1:19" x14ac:dyDescent="0.2">
      <c r="A114" s="12">
        <v>17</v>
      </c>
      <c r="B114" s="12">
        <v>17</v>
      </c>
      <c r="C114" s="12">
        <v>18</v>
      </c>
      <c r="D114" s="3">
        <v>1</v>
      </c>
      <c r="E114" s="3">
        <v>1</v>
      </c>
      <c r="F114" s="3">
        <v>1</v>
      </c>
      <c r="G114" s="3">
        <v>551.6</v>
      </c>
      <c r="H114" s="13">
        <v>0.91439999999999999</v>
      </c>
      <c r="I114" s="13">
        <v>0.83819999999999995</v>
      </c>
      <c r="J114" s="16">
        <v>0</v>
      </c>
      <c r="K114" s="16">
        <v>0</v>
      </c>
      <c r="L114" s="3">
        <v>0</v>
      </c>
      <c r="M114" s="3">
        <v>0</v>
      </c>
      <c r="N114" s="3">
        <v>990</v>
      </c>
      <c r="O114" s="3">
        <v>1025</v>
      </c>
      <c r="P114" s="1">
        <v>0</v>
      </c>
      <c r="Q114">
        <v>990</v>
      </c>
      <c r="R114" s="3">
        <v>1025</v>
      </c>
      <c r="S114" s="1">
        <v>0</v>
      </c>
    </row>
    <row r="115" spans="1:19" x14ac:dyDescent="0.2">
      <c r="A115" s="12">
        <v>18</v>
      </c>
      <c r="B115" s="12">
        <v>18</v>
      </c>
      <c r="C115" s="12">
        <v>19</v>
      </c>
      <c r="D115" s="3">
        <v>1</v>
      </c>
      <c r="E115" s="3">
        <v>1</v>
      </c>
      <c r="F115" s="3">
        <v>1</v>
      </c>
      <c r="G115" s="3">
        <v>551.6</v>
      </c>
      <c r="H115" s="13">
        <v>0.91439999999999999</v>
      </c>
      <c r="I115" s="13">
        <v>0.83819999999999995</v>
      </c>
      <c r="J115" s="16">
        <v>0</v>
      </c>
      <c r="K115" s="16">
        <v>0</v>
      </c>
      <c r="L115" s="3">
        <v>0</v>
      </c>
      <c r="M115" s="3">
        <v>0</v>
      </c>
      <c r="N115" s="3">
        <v>990</v>
      </c>
      <c r="O115" s="3">
        <v>1025</v>
      </c>
      <c r="P115" s="1">
        <v>0</v>
      </c>
      <c r="Q115">
        <v>990</v>
      </c>
      <c r="R115" s="3">
        <v>1025</v>
      </c>
      <c r="S115" s="1">
        <v>0</v>
      </c>
    </row>
    <row r="116" spans="1:19" x14ac:dyDescent="0.2">
      <c r="A116" s="12">
        <v>19</v>
      </c>
      <c r="B116" s="12">
        <v>19</v>
      </c>
      <c r="C116" s="12">
        <v>20</v>
      </c>
      <c r="D116" s="3">
        <v>1</v>
      </c>
      <c r="E116" s="3">
        <v>1</v>
      </c>
      <c r="F116" s="3">
        <v>1</v>
      </c>
      <c r="G116" s="3">
        <v>551.6</v>
      </c>
      <c r="H116" s="13">
        <v>0.91439999999999999</v>
      </c>
      <c r="I116" s="13">
        <v>0.83819999999999995</v>
      </c>
      <c r="J116" s="16">
        <v>0</v>
      </c>
      <c r="K116" s="16">
        <v>0</v>
      </c>
      <c r="L116" s="3">
        <v>0</v>
      </c>
      <c r="M116" s="3">
        <v>0</v>
      </c>
      <c r="N116" s="3">
        <v>990</v>
      </c>
      <c r="O116" s="3">
        <v>1025</v>
      </c>
      <c r="P116" s="1">
        <v>0</v>
      </c>
      <c r="Q116">
        <v>990</v>
      </c>
      <c r="R116" s="3">
        <v>1025</v>
      </c>
      <c r="S116" s="1">
        <v>0</v>
      </c>
    </row>
    <row r="117" spans="1:19" x14ac:dyDescent="0.2">
      <c r="A117" s="12">
        <v>20</v>
      </c>
      <c r="B117" s="12">
        <v>20</v>
      </c>
      <c r="C117" s="12">
        <v>21</v>
      </c>
      <c r="D117" s="3">
        <v>1</v>
      </c>
      <c r="E117" s="3">
        <v>1</v>
      </c>
      <c r="F117" s="3">
        <v>1</v>
      </c>
      <c r="G117" s="3">
        <v>551.6</v>
      </c>
      <c r="H117" s="13">
        <v>0.91439999999999999</v>
      </c>
      <c r="I117" s="13">
        <v>0.83819999999999995</v>
      </c>
      <c r="J117" s="16">
        <v>0</v>
      </c>
      <c r="K117" s="16">
        <v>0</v>
      </c>
      <c r="L117" s="3">
        <v>0</v>
      </c>
      <c r="M117" s="3">
        <v>0</v>
      </c>
      <c r="N117" s="3">
        <v>990</v>
      </c>
      <c r="O117" s="3">
        <v>1025</v>
      </c>
      <c r="P117" s="1">
        <v>0</v>
      </c>
      <c r="Q117">
        <v>990</v>
      </c>
      <c r="R117" s="3">
        <v>1025</v>
      </c>
      <c r="S117" s="1">
        <v>0</v>
      </c>
    </row>
    <row r="118" spans="1:19" x14ac:dyDescent="0.2">
      <c r="A118" s="12">
        <v>21</v>
      </c>
      <c r="B118" s="12">
        <v>21</v>
      </c>
      <c r="C118" s="12">
        <v>22</v>
      </c>
      <c r="D118" s="3">
        <v>1</v>
      </c>
      <c r="E118" s="3">
        <v>1</v>
      </c>
      <c r="F118" s="3">
        <v>1</v>
      </c>
      <c r="G118" s="3">
        <v>551.6</v>
      </c>
      <c r="H118" s="13">
        <v>0.91439999999999999</v>
      </c>
      <c r="I118" s="13">
        <v>0.83819999999999995</v>
      </c>
      <c r="J118" s="16">
        <v>0</v>
      </c>
      <c r="K118" s="16">
        <v>0</v>
      </c>
      <c r="L118" s="3">
        <v>0</v>
      </c>
      <c r="M118" s="3">
        <v>0</v>
      </c>
      <c r="N118" s="3">
        <v>990</v>
      </c>
      <c r="O118" s="3">
        <v>1025</v>
      </c>
      <c r="P118" s="1">
        <v>0</v>
      </c>
      <c r="Q118">
        <v>990</v>
      </c>
      <c r="R118" s="3">
        <v>1025</v>
      </c>
      <c r="S118" s="1">
        <v>0</v>
      </c>
    </row>
    <row r="119" spans="1:19" x14ac:dyDescent="0.2">
      <c r="A119" s="12">
        <v>22</v>
      </c>
      <c r="B119" s="12">
        <v>22</v>
      </c>
      <c r="C119" s="12">
        <v>23</v>
      </c>
      <c r="D119" s="3">
        <v>1</v>
      </c>
      <c r="E119" s="3">
        <v>1</v>
      </c>
      <c r="F119" s="3">
        <v>1</v>
      </c>
      <c r="G119" s="3">
        <v>551.6</v>
      </c>
      <c r="H119" s="13">
        <v>0.91439999999999999</v>
      </c>
      <c r="I119" s="13">
        <v>0.83819999999999995</v>
      </c>
      <c r="J119" s="16">
        <v>0</v>
      </c>
      <c r="K119" s="16">
        <v>0</v>
      </c>
      <c r="L119" s="3">
        <v>0</v>
      </c>
      <c r="M119" s="3">
        <v>0</v>
      </c>
      <c r="N119" s="3">
        <v>990</v>
      </c>
      <c r="O119" s="3">
        <v>1025</v>
      </c>
      <c r="P119" s="1">
        <v>0</v>
      </c>
      <c r="Q119">
        <v>990</v>
      </c>
      <c r="R119" s="3">
        <v>1025</v>
      </c>
      <c r="S119" s="1">
        <v>0</v>
      </c>
    </row>
    <row r="120" spans="1:19" x14ac:dyDescent="0.2">
      <c r="A120" s="12">
        <v>23</v>
      </c>
      <c r="B120" s="12">
        <v>23</v>
      </c>
      <c r="C120" s="12">
        <v>24</v>
      </c>
      <c r="D120" s="3">
        <v>1</v>
      </c>
      <c r="E120" s="3">
        <v>1</v>
      </c>
      <c r="F120" s="3">
        <v>1</v>
      </c>
      <c r="G120" s="3">
        <v>551.6</v>
      </c>
      <c r="H120" s="13">
        <v>0.91439999999999999</v>
      </c>
      <c r="I120" s="13">
        <v>0.83819999999999995</v>
      </c>
      <c r="J120" s="16">
        <v>0</v>
      </c>
      <c r="K120" s="16">
        <v>0</v>
      </c>
      <c r="L120" s="3">
        <v>0</v>
      </c>
      <c r="M120" s="3">
        <v>0</v>
      </c>
      <c r="N120" s="3">
        <v>990</v>
      </c>
      <c r="O120" s="3">
        <v>1025</v>
      </c>
      <c r="P120" s="1">
        <v>0</v>
      </c>
      <c r="Q120">
        <v>990</v>
      </c>
      <c r="R120" s="3">
        <v>1025</v>
      </c>
      <c r="S120" s="1">
        <v>0</v>
      </c>
    </row>
    <row r="121" spans="1:19" x14ac:dyDescent="0.2">
      <c r="A121" s="12">
        <v>24</v>
      </c>
      <c r="B121" s="12">
        <v>24</v>
      </c>
      <c r="C121" s="12">
        <v>25</v>
      </c>
      <c r="D121" s="3">
        <v>1</v>
      </c>
      <c r="E121" s="3">
        <v>1</v>
      </c>
      <c r="F121" s="3">
        <v>1</v>
      </c>
      <c r="G121" s="3">
        <v>551.6</v>
      </c>
      <c r="H121" s="13">
        <v>0.91439999999999999</v>
      </c>
      <c r="I121" s="13">
        <v>0.83819999999999995</v>
      </c>
      <c r="J121" s="16">
        <v>0</v>
      </c>
      <c r="K121" s="16">
        <v>0</v>
      </c>
      <c r="L121" s="3">
        <v>0</v>
      </c>
      <c r="M121" s="3">
        <v>0</v>
      </c>
      <c r="N121" s="3">
        <v>990</v>
      </c>
      <c r="O121" s="3">
        <v>1025</v>
      </c>
      <c r="P121" s="1">
        <v>0</v>
      </c>
      <c r="Q121">
        <v>990</v>
      </c>
      <c r="R121" s="3">
        <v>1025</v>
      </c>
      <c r="S121" s="1">
        <v>0</v>
      </c>
    </row>
    <row r="122" spans="1:19" x14ac:dyDescent="0.2">
      <c r="A122" s="12">
        <v>25</v>
      </c>
      <c r="B122" s="12">
        <v>25</v>
      </c>
      <c r="C122" s="12">
        <v>26</v>
      </c>
      <c r="D122" s="3">
        <v>1</v>
      </c>
      <c r="E122" s="3">
        <v>1</v>
      </c>
      <c r="F122" s="3">
        <v>1</v>
      </c>
      <c r="G122" s="3">
        <v>551.6</v>
      </c>
      <c r="H122" s="13">
        <v>0.91439999999999999</v>
      </c>
      <c r="I122" s="13">
        <v>0.83819999999999995</v>
      </c>
      <c r="J122" s="16">
        <v>0</v>
      </c>
      <c r="K122" s="16">
        <v>0</v>
      </c>
      <c r="L122" s="3">
        <v>0</v>
      </c>
      <c r="M122" s="3">
        <v>0</v>
      </c>
      <c r="N122" s="3">
        <v>990</v>
      </c>
      <c r="O122" s="3">
        <v>1025</v>
      </c>
      <c r="P122" s="1">
        <v>0</v>
      </c>
      <c r="Q122">
        <v>990</v>
      </c>
      <c r="R122" s="3">
        <v>1025</v>
      </c>
      <c r="S122" s="1">
        <v>0</v>
      </c>
    </row>
    <row r="123" spans="1:19" x14ac:dyDescent="0.2">
      <c r="A123" s="12">
        <v>26</v>
      </c>
      <c r="B123" s="12">
        <v>26</v>
      </c>
      <c r="C123" s="12">
        <v>27</v>
      </c>
      <c r="D123" s="3">
        <v>1</v>
      </c>
      <c r="E123" s="3">
        <v>1</v>
      </c>
      <c r="F123" s="3">
        <v>1</v>
      </c>
      <c r="G123" s="3">
        <v>551.6</v>
      </c>
      <c r="H123" s="13">
        <v>0.91439999999999999</v>
      </c>
      <c r="I123" s="13">
        <v>0.83819999999999995</v>
      </c>
      <c r="J123" s="16">
        <v>0</v>
      </c>
      <c r="K123" s="16">
        <v>0</v>
      </c>
      <c r="L123" s="3">
        <v>0</v>
      </c>
      <c r="M123" s="3">
        <v>0</v>
      </c>
      <c r="N123" s="3">
        <v>990</v>
      </c>
      <c r="O123" s="3">
        <v>1025</v>
      </c>
      <c r="P123" s="1">
        <v>0</v>
      </c>
      <c r="Q123">
        <v>990</v>
      </c>
      <c r="R123" s="3">
        <v>1025</v>
      </c>
      <c r="S123" s="1">
        <v>0</v>
      </c>
    </row>
    <row r="124" spans="1:19" x14ac:dyDescent="0.2">
      <c r="A124" s="12">
        <v>27</v>
      </c>
      <c r="B124" s="12">
        <v>27</v>
      </c>
      <c r="C124" s="12">
        <v>28</v>
      </c>
      <c r="D124" s="3">
        <v>1</v>
      </c>
      <c r="E124" s="3">
        <v>1</v>
      </c>
      <c r="F124" s="3">
        <v>1</v>
      </c>
      <c r="G124" s="3">
        <v>551.6</v>
      </c>
      <c r="H124" s="13">
        <v>0.91439999999999999</v>
      </c>
      <c r="I124" s="13">
        <v>0.83819999999999995</v>
      </c>
      <c r="J124" s="16">
        <v>0</v>
      </c>
      <c r="K124" s="16">
        <v>0</v>
      </c>
      <c r="L124" s="3">
        <v>0</v>
      </c>
      <c r="M124" s="3">
        <v>0</v>
      </c>
      <c r="N124" s="3">
        <v>990</v>
      </c>
      <c r="O124" s="3">
        <v>1025</v>
      </c>
      <c r="P124" s="1">
        <v>0</v>
      </c>
      <c r="Q124">
        <v>990</v>
      </c>
      <c r="R124" s="3">
        <v>1025</v>
      </c>
      <c r="S124" s="1">
        <v>0</v>
      </c>
    </row>
    <row r="125" spans="1:19" x14ac:dyDescent="0.2">
      <c r="A125" s="12">
        <v>28</v>
      </c>
      <c r="B125" s="12">
        <v>28</v>
      </c>
      <c r="C125" s="12">
        <v>29</v>
      </c>
      <c r="D125" s="3">
        <v>1</v>
      </c>
      <c r="E125" s="3">
        <v>1</v>
      </c>
      <c r="F125" s="3">
        <v>1</v>
      </c>
      <c r="G125" s="3">
        <v>551.6</v>
      </c>
      <c r="H125" s="13">
        <v>0.91439999999999999</v>
      </c>
      <c r="I125" s="13">
        <v>0.83819999999999995</v>
      </c>
      <c r="J125" s="16">
        <v>0</v>
      </c>
      <c r="K125" s="16">
        <v>0</v>
      </c>
      <c r="L125" s="3">
        <v>0</v>
      </c>
      <c r="M125" s="3">
        <v>0</v>
      </c>
      <c r="N125" s="3">
        <v>990</v>
      </c>
      <c r="O125" s="3">
        <v>1025</v>
      </c>
      <c r="P125" s="1">
        <v>0</v>
      </c>
      <c r="Q125">
        <v>990</v>
      </c>
      <c r="R125" s="3">
        <v>1025</v>
      </c>
      <c r="S125" s="1">
        <v>0</v>
      </c>
    </row>
    <row r="126" spans="1:19" x14ac:dyDescent="0.2">
      <c r="A126" s="12">
        <v>29</v>
      </c>
      <c r="B126" s="12">
        <v>29</v>
      </c>
      <c r="C126" s="12">
        <v>30</v>
      </c>
      <c r="D126" s="3">
        <v>1</v>
      </c>
      <c r="E126" s="3">
        <v>1</v>
      </c>
      <c r="F126" s="3">
        <v>1</v>
      </c>
      <c r="G126" s="3">
        <v>551.6</v>
      </c>
      <c r="H126" s="13">
        <v>0.91439999999999999</v>
      </c>
      <c r="I126" s="13">
        <v>0.83819999999999995</v>
      </c>
      <c r="J126" s="16">
        <v>0</v>
      </c>
      <c r="K126" s="16">
        <v>0</v>
      </c>
      <c r="L126" s="3">
        <v>0</v>
      </c>
      <c r="M126" s="3">
        <v>0</v>
      </c>
      <c r="N126" s="3">
        <v>990</v>
      </c>
      <c r="O126" s="3">
        <v>1025</v>
      </c>
      <c r="P126" s="1">
        <v>0</v>
      </c>
      <c r="Q126">
        <v>990</v>
      </c>
      <c r="R126" s="3">
        <v>1025</v>
      </c>
      <c r="S126" s="1">
        <v>0</v>
      </c>
    </row>
    <row r="127" spans="1:19" x14ac:dyDescent="0.2">
      <c r="A127" s="12">
        <v>30</v>
      </c>
      <c r="B127" s="12">
        <v>30</v>
      </c>
      <c r="C127" s="12">
        <v>31</v>
      </c>
      <c r="D127" s="3">
        <v>1</v>
      </c>
      <c r="E127" s="3">
        <v>1</v>
      </c>
      <c r="F127" s="3">
        <v>1</v>
      </c>
      <c r="G127" s="3">
        <v>551.6</v>
      </c>
      <c r="H127" s="13">
        <v>0.91439999999999999</v>
      </c>
      <c r="I127" s="13">
        <v>0.83819999999999995</v>
      </c>
      <c r="J127" s="16">
        <v>0</v>
      </c>
      <c r="K127" s="16">
        <v>0</v>
      </c>
      <c r="L127" s="3">
        <v>0</v>
      </c>
      <c r="M127" s="3">
        <v>0</v>
      </c>
      <c r="N127" s="3">
        <v>990</v>
      </c>
      <c r="O127" s="3">
        <v>1025</v>
      </c>
      <c r="P127" s="1">
        <v>0</v>
      </c>
      <c r="Q127">
        <v>990</v>
      </c>
      <c r="R127" s="3">
        <v>1025</v>
      </c>
      <c r="S127" s="1">
        <v>0</v>
      </c>
    </row>
    <row r="128" spans="1:19" x14ac:dyDescent="0.2">
      <c r="A128" s="12">
        <v>31</v>
      </c>
      <c r="B128" s="12">
        <v>31</v>
      </c>
      <c r="C128" s="12">
        <v>32</v>
      </c>
      <c r="D128" s="3">
        <v>1</v>
      </c>
      <c r="E128" s="3">
        <v>1</v>
      </c>
      <c r="F128" s="3">
        <v>1</v>
      </c>
      <c r="G128" s="3">
        <v>551.6</v>
      </c>
      <c r="H128" s="13">
        <v>0.91439999999999999</v>
      </c>
      <c r="I128" s="13">
        <v>0.83819999999999995</v>
      </c>
      <c r="J128" s="16">
        <v>0</v>
      </c>
      <c r="K128" s="16">
        <v>0</v>
      </c>
      <c r="L128" s="3">
        <v>0</v>
      </c>
      <c r="M128" s="3">
        <v>0</v>
      </c>
      <c r="N128" s="3">
        <v>990</v>
      </c>
      <c r="O128" s="3">
        <v>1025</v>
      </c>
      <c r="P128" s="1">
        <v>0</v>
      </c>
      <c r="Q128">
        <v>990</v>
      </c>
      <c r="R128" s="3">
        <v>1025</v>
      </c>
      <c r="S128" s="1">
        <v>0</v>
      </c>
    </row>
    <row r="129" spans="1:19" x14ac:dyDescent="0.2">
      <c r="A129" s="12">
        <v>32</v>
      </c>
      <c r="B129" s="12">
        <v>32</v>
      </c>
      <c r="C129" s="12">
        <v>33</v>
      </c>
      <c r="D129" s="3">
        <v>1</v>
      </c>
      <c r="E129" s="3">
        <v>1</v>
      </c>
      <c r="F129" s="3">
        <v>1</v>
      </c>
      <c r="G129" s="3">
        <v>551.6</v>
      </c>
      <c r="H129" s="13">
        <v>0.91439999999999999</v>
      </c>
      <c r="I129" s="13">
        <v>0.83819999999999995</v>
      </c>
      <c r="J129" s="16">
        <v>0</v>
      </c>
      <c r="K129" s="16">
        <v>0</v>
      </c>
      <c r="L129" s="3">
        <v>0</v>
      </c>
      <c r="M129" s="3">
        <v>0</v>
      </c>
      <c r="N129" s="3">
        <v>990</v>
      </c>
      <c r="O129" s="3">
        <v>1025</v>
      </c>
      <c r="P129" s="1">
        <v>0</v>
      </c>
      <c r="Q129">
        <v>990</v>
      </c>
      <c r="R129" s="3">
        <v>1025</v>
      </c>
      <c r="S129" s="1">
        <v>0</v>
      </c>
    </row>
    <row r="130" spans="1:19" x14ac:dyDescent="0.2">
      <c r="A130" s="12">
        <v>33</v>
      </c>
      <c r="B130" s="12">
        <v>33</v>
      </c>
      <c r="C130" s="12">
        <v>34</v>
      </c>
      <c r="D130" s="3">
        <v>1</v>
      </c>
      <c r="E130" s="3">
        <v>1</v>
      </c>
      <c r="F130" s="3">
        <v>1</v>
      </c>
      <c r="G130" s="3">
        <v>551.6</v>
      </c>
      <c r="H130" s="13">
        <v>0.91439999999999999</v>
      </c>
      <c r="I130" s="13">
        <v>0.83819999999999995</v>
      </c>
      <c r="J130" s="16">
        <v>0</v>
      </c>
      <c r="K130" s="16">
        <v>0</v>
      </c>
      <c r="L130" s="3">
        <v>0</v>
      </c>
      <c r="M130" s="3">
        <v>0</v>
      </c>
      <c r="N130" s="3">
        <v>990</v>
      </c>
      <c r="O130" s="3">
        <v>1025</v>
      </c>
      <c r="P130" s="1">
        <v>0</v>
      </c>
      <c r="Q130">
        <v>990</v>
      </c>
      <c r="R130" s="3">
        <v>1025</v>
      </c>
      <c r="S130" s="1">
        <v>0</v>
      </c>
    </row>
    <row r="131" spans="1:19" x14ac:dyDescent="0.2">
      <c r="A131" s="12">
        <v>34</v>
      </c>
      <c r="B131" s="12">
        <v>34</v>
      </c>
      <c r="C131" s="12">
        <v>35</v>
      </c>
      <c r="D131" s="3">
        <v>1</v>
      </c>
      <c r="E131" s="3">
        <v>1</v>
      </c>
      <c r="F131" s="3">
        <v>1</v>
      </c>
      <c r="G131" s="3">
        <v>551.6</v>
      </c>
      <c r="H131" s="13">
        <v>0.91439999999999999</v>
      </c>
      <c r="I131" s="13">
        <v>0.83819999999999995</v>
      </c>
      <c r="J131" s="16">
        <v>0</v>
      </c>
      <c r="K131" s="16">
        <v>0</v>
      </c>
      <c r="L131" s="3">
        <v>0</v>
      </c>
      <c r="M131" s="3">
        <v>0</v>
      </c>
      <c r="N131" s="3">
        <v>990</v>
      </c>
      <c r="O131" s="3">
        <v>1025</v>
      </c>
      <c r="P131" s="1">
        <v>0</v>
      </c>
      <c r="Q131">
        <v>990</v>
      </c>
      <c r="R131" s="3">
        <v>1025</v>
      </c>
      <c r="S131" s="1">
        <v>0</v>
      </c>
    </row>
    <row r="132" spans="1:19" x14ac:dyDescent="0.2">
      <c r="A132" s="12">
        <v>35</v>
      </c>
      <c r="B132" s="12">
        <v>35</v>
      </c>
      <c r="C132" s="12">
        <v>36</v>
      </c>
      <c r="D132" s="3">
        <v>1</v>
      </c>
      <c r="E132" s="3">
        <v>1</v>
      </c>
      <c r="F132" s="3">
        <v>1</v>
      </c>
      <c r="G132" s="3">
        <v>551.6</v>
      </c>
      <c r="H132" s="13">
        <v>0.91439999999999999</v>
      </c>
      <c r="I132" s="13">
        <v>0.83819999999999995</v>
      </c>
      <c r="J132" s="16">
        <v>0</v>
      </c>
      <c r="K132" s="16">
        <v>0</v>
      </c>
      <c r="L132" s="3">
        <v>0</v>
      </c>
      <c r="M132" s="3">
        <v>0</v>
      </c>
      <c r="N132" s="3">
        <v>990</v>
      </c>
      <c r="O132" s="3">
        <v>1025</v>
      </c>
      <c r="P132" s="1">
        <v>0</v>
      </c>
      <c r="Q132">
        <v>990</v>
      </c>
      <c r="R132" s="3">
        <v>1025</v>
      </c>
      <c r="S132" s="1">
        <v>0</v>
      </c>
    </row>
    <row r="133" spans="1:19" x14ac:dyDescent="0.2">
      <c r="A133" s="12">
        <v>36</v>
      </c>
      <c r="B133" s="12">
        <v>36</v>
      </c>
      <c r="C133" s="12">
        <v>37</v>
      </c>
      <c r="D133" s="3">
        <v>1</v>
      </c>
      <c r="E133" s="3">
        <v>1</v>
      </c>
      <c r="F133" s="3">
        <v>1</v>
      </c>
      <c r="G133" s="3">
        <v>551.6</v>
      </c>
      <c r="H133" s="13">
        <v>0.91439999999999999</v>
      </c>
      <c r="I133" s="13">
        <v>0.83819999999999995</v>
      </c>
      <c r="J133" s="16">
        <v>0</v>
      </c>
      <c r="K133" s="16">
        <v>0</v>
      </c>
      <c r="L133" s="3">
        <v>0</v>
      </c>
      <c r="M133" s="3">
        <v>0</v>
      </c>
      <c r="N133" s="3">
        <v>990</v>
      </c>
      <c r="O133" s="3">
        <v>1025</v>
      </c>
      <c r="P133" s="1">
        <v>0</v>
      </c>
      <c r="Q133">
        <v>990</v>
      </c>
      <c r="R133" s="3">
        <v>1025</v>
      </c>
      <c r="S133" s="1">
        <v>0</v>
      </c>
    </row>
    <row r="134" spans="1:19" x14ac:dyDescent="0.2">
      <c r="A134" s="12">
        <v>37</v>
      </c>
      <c r="B134" s="12">
        <v>37</v>
      </c>
      <c r="C134" s="12">
        <v>38</v>
      </c>
      <c r="D134" s="3">
        <v>1</v>
      </c>
      <c r="E134" s="3">
        <v>1</v>
      </c>
      <c r="F134" s="3">
        <v>1</v>
      </c>
      <c r="G134" s="3">
        <v>551.6</v>
      </c>
      <c r="H134" s="13">
        <v>0.91439999999999999</v>
      </c>
      <c r="I134" s="13">
        <v>0.83819999999999995</v>
      </c>
      <c r="J134" s="16">
        <v>0</v>
      </c>
      <c r="K134" s="16">
        <v>0</v>
      </c>
      <c r="L134" s="3">
        <v>0</v>
      </c>
      <c r="M134" s="3">
        <v>0</v>
      </c>
      <c r="N134" s="3">
        <v>990</v>
      </c>
      <c r="O134" s="3">
        <v>1025</v>
      </c>
      <c r="P134" s="1">
        <v>0</v>
      </c>
      <c r="Q134">
        <v>990</v>
      </c>
      <c r="R134" s="3">
        <v>1025</v>
      </c>
      <c r="S134" s="1">
        <v>0</v>
      </c>
    </row>
    <row r="135" spans="1:19" x14ac:dyDescent="0.2">
      <c r="A135" s="12">
        <v>38</v>
      </c>
      <c r="B135" s="12">
        <v>38</v>
      </c>
      <c r="C135" s="12">
        <v>39</v>
      </c>
      <c r="D135" s="3">
        <v>1</v>
      </c>
      <c r="E135" s="3">
        <v>1</v>
      </c>
      <c r="F135" s="3">
        <v>1</v>
      </c>
      <c r="G135" s="3">
        <v>551.6</v>
      </c>
      <c r="H135" s="13">
        <v>0.91439999999999999</v>
      </c>
      <c r="I135" s="13">
        <v>0.83819999999999995</v>
      </c>
      <c r="J135" s="16">
        <v>0</v>
      </c>
      <c r="K135" s="16">
        <v>0</v>
      </c>
      <c r="L135" s="3">
        <v>0</v>
      </c>
      <c r="M135" s="3">
        <v>0</v>
      </c>
      <c r="N135" s="3">
        <v>990</v>
      </c>
      <c r="O135" s="3">
        <v>1025</v>
      </c>
      <c r="P135" s="1">
        <v>0</v>
      </c>
      <c r="Q135">
        <v>990</v>
      </c>
      <c r="R135" s="3">
        <v>1025</v>
      </c>
      <c r="S135" s="1">
        <v>0</v>
      </c>
    </row>
    <row r="136" spans="1:19" x14ac:dyDescent="0.2">
      <c r="A136" s="12">
        <v>39</v>
      </c>
      <c r="B136" s="12">
        <v>39</v>
      </c>
      <c r="C136" s="12">
        <v>40</v>
      </c>
      <c r="D136" s="3">
        <v>1</v>
      </c>
      <c r="E136" s="3">
        <v>1</v>
      </c>
      <c r="F136" s="3">
        <v>1</v>
      </c>
      <c r="G136" s="3">
        <v>551.6</v>
      </c>
      <c r="H136" s="13">
        <v>0.91439999999999999</v>
      </c>
      <c r="I136" s="13">
        <v>0.83819999999999995</v>
      </c>
      <c r="J136" s="16">
        <v>0</v>
      </c>
      <c r="K136" s="16">
        <v>0</v>
      </c>
      <c r="L136" s="3">
        <v>0</v>
      </c>
      <c r="M136" s="3">
        <v>0</v>
      </c>
      <c r="N136" s="3">
        <v>990</v>
      </c>
      <c r="O136" s="3">
        <v>1025</v>
      </c>
      <c r="P136" s="1">
        <v>0</v>
      </c>
      <c r="Q136">
        <v>990</v>
      </c>
      <c r="R136" s="3">
        <v>1025</v>
      </c>
      <c r="S136" s="1">
        <v>0</v>
      </c>
    </row>
    <row r="137" spans="1:19" x14ac:dyDescent="0.2">
      <c r="A137" s="12">
        <v>40</v>
      </c>
      <c r="B137" s="12">
        <v>40</v>
      </c>
      <c r="C137" s="12">
        <v>41</v>
      </c>
      <c r="D137" s="3">
        <v>1</v>
      </c>
      <c r="E137" s="3">
        <v>1</v>
      </c>
      <c r="F137" s="3">
        <v>1</v>
      </c>
      <c r="G137" s="3">
        <v>551.6</v>
      </c>
      <c r="H137" s="13">
        <v>0.91439999999999999</v>
      </c>
      <c r="I137" s="13">
        <v>0.83819999999999995</v>
      </c>
      <c r="J137" s="16">
        <v>0</v>
      </c>
      <c r="K137" s="16">
        <v>0</v>
      </c>
      <c r="L137" s="3">
        <v>0</v>
      </c>
      <c r="M137" s="3">
        <v>0</v>
      </c>
      <c r="N137" s="3">
        <v>990</v>
      </c>
      <c r="O137" s="3">
        <v>1025</v>
      </c>
      <c r="P137" s="1">
        <v>0</v>
      </c>
      <c r="Q137">
        <v>990</v>
      </c>
      <c r="R137" s="3">
        <v>1025</v>
      </c>
      <c r="S137" s="1">
        <v>0</v>
      </c>
    </row>
    <row r="138" spans="1:19" x14ac:dyDescent="0.2">
      <c r="A138" s="12">
        <v>41</v>
      </c>
      <c r="B138" s="12">
        <v>41</v>
      </c>
      <c r="C138" s="12">
        <v>42</v>
      </c>
      <c r="D138" s="3">
        <v>1</v>
      </c>
      <c r="E138" s="3">
        <v>1</v>
      </c>
      <c r="F138" s="3">
        <v>1</v>
      </c>
      <c r="G138" s="3">
        <v>551.6</v>
      </c>
      <c r="H138" s="13">
        <v>0.91439999999999999</v>
      </c>
      <c r="I138" s="13">
        <v>0.83819999999999995</v>
      </c>
      <c r="J138" s="16">
        <v>0</v>
      </c>
      <c r="K138" s="16">
        <v>0</v>
      </c>
      <c r="L138" s="3">
        <v>0</v>
      </c>
      <c r="M138" s="3">
        <v>0</v>
      </c>
      <c r="N138" s="3">
        <v>990</v>
      </c>
      <c r="O138" s="3">
        <v>1025</v>
      </c>
      <c r="P138" s="1">
        <v>0</v>
      </c>
      <c r="Q138">
        <v>990</v>
      </c>
      <c r="R138" s="3">
        <v>1025</v>
      </c>
      <c r="S138" s="1">
        <v>0</v>
      </c>
    </row>
    <row r="139" spans="1:19" x14ac:dyDescent="0.2">
      <c r="A139" s="12">
        <v>42</v>
      </c>
      <c r="B139" s="12">
        <v>42</v>
      </c>
      <c r="C139" s="12">
        <v>43</v>
      </c>
      <c r="D139" s="3">
        <v>1</v>
      </c>
      <c r="E139" s="3">
        <v>1</v>
      </c>
      <c r="F139" s="3">
        <v>1</v>
      </c>
      <c r="G139" s="3">
        <v>551.6</v>
      </c>
      <c r="H139" s="13">
        <v>0.91439999999999999</v>
      </c>
      <c r="I139" s="13">
        <v>0.83819999999999995</v>
      </c>
      <c r="J139" s="16">
        <v>0</v>
      </c>
      <c r="K139" s="16">
        <v>0</v>
      </c>
      <c r="L139" s="3">
        <v>0</v>
      </c>
      <c r="M139" s="3">
        <v>0</v>
      </c>
      <c r="N139" s="3">
        <v>990</v>
      </c>
      <c r="O139" s="3">
        <v>1025</v>
      </c>
      <c r="P139" s="1">
        <v>0</v>
      </c>
      <c r="Q139">
        <v>990</v>
      </c>
      <c r="R139" s="3">
        <v>1025</v>
      </c>
      <c r="S139" s="1">
        <v>0</v>
      </c>
    </row>
    <row r="140" spans="1:19" x14ac:dyDescent="0.2">
      <c r="A140" s="12">
        <v>43</v>
      </c>
      <c r="B140" s="12">
        <v>43</v>
      </c>
      <c r="C140" s="12">
        <v>44</v>
      </c>
      <c r="D140" s="3">
        <v>1</v>
      </c>
      <c r="E140" s="3">
        <v>1</v>
      </c>
      <c r="F140" s="3">
        <v>1</v>
      </c>
      <c r="G140" s="3">
        <v>551.6</v>
      </c>
      <c r="H140" s="13">
        <v>0.91439999999999999</v>
      </c>
      <c r="I140" s="13">
        <v>0.83819999999999995</v>
      </c>
      <c r="J140" s="16">
        <v>0</v>
      </c>
      <c r="K140" s="16">
        <v>0</v>
      </c>
      <c r="L140" s="3">
        <v>0</v>
      </c>
      <c r="M140" s="3">
        <v>0</v>
      </c>
      <c r="N140" s="3">
        <v>990</v>
      </c>
      <c r="O140" s="3">
        <v>1025</v>
      </c>
      <c r="P140" s="1">
        <v>0</v>
      </c>
      <c r="Q140">
        <v>990</v>
      </c>
      <c r="R140" s="3">
        <v>1025</v>
      </c>
      <c r="S140" s="1">
        <v>0</v>
      </c>
    </row>
    <row r="141" spans="1:19" x14ac:dyDescent="0.2">
      <c r="A141" s="12">
        <v>44</v>
      </c>
      <c r="B141" s="12">
        <v>44</v>
      </c>
      <c r="C141" s="12">
        <v>45</v>
      </c>
      <c r="D141" s="3">
        <v>1</v>
      </c>
      <c r="E141" s="3">
        <v>1</v>
      </c>
      <c r="F141" s="3">
        <v>1</v>
      </c>
      <c r="G141" s="3">
        <v>551.6</v>
      </c>
      <c r="H141" s="13">
        <v>0.91439999999999999</v>
      </c>
      <c r="I141" s="13">
        <v>0.83819999999999995</v>
      </c>
      <c r="J141" s="16">
        <v>0</v>
      </c>
      <c r="K141" s="16">
        <v>0</v>
      </c>
      <c r="L141" s="3">
        <v>0</v>
      </c>
      <c r="M141" s="3">
        <v>0</v>
      </c>
      <c r="N141" s="3">
        <v>990</v>
      </c>
      <c r="O141" s="3">
        <v>1025</v>
      </c>
      <c r="P141" s="1">
        <v>0</v>
      </c>
      <c r="Q141">
        <v>990</v>
      </c>
      <c r="R141" s="3">
        <v>1025</v>
      </c>
      <c r="S141" s="1">
        <v>0</v>
      </c>
    </row>
    <row r="142" spans="1:19" x14ac:dyDescent="0.2">
      <c r="A142" s="12">
        <v>45</v>
      </c>
      <c r="B142" s="12">
        <v>45</v>
      </c>
      <c r="C142" s="12">
        <v>46</v>
      </c>
      <c r="D142" s="3">
        <v>1</v>
      </c>
      <c r="E142" s="3">
        <v>1</v>
      </c>
      <c r="F142" s="3">
        <v>1</v>
      </c>
      <c r="G142" s="3">
        <v>551.6</v>
      </c>
      <c r="H142" s="13">
        <v>0.91439999999999999</v>
      </c>
      <c r="I142" s="13">
        <v>0.83819999999999995</v>
      </c>
      <c r="J142" s="16">
        <v>0</v>
      </c>
      <c r="K142" s="16">
        <v>0</v>
      </c>
      <c r="L142" s="3">
        <v>0</v>
      </c>
      <c r="M142" s="3">
        <v>0</v>
      </c>
      <c r="N142" s="3">
        <v>990</v>
      </c>
      <c r="O142" s="3">
        <v>1025</v>
      </c>
      <c r="P142" s="1">
        <v>0</v>
      </c>
      <c r="Q142">
        <v>990</v>
      </c>
      <c r="R142" s="3">
        <v>1025</v>
      </c>
      <c r="S142" s="1">
        <v>0</v>
      </c>
    </row>
    <row r="143" spans="1:19" x14ac:dyDescent="0.2">
      <c r="A143" s="12">
        <v>46</v>
      </c>
      <c r="B143" s="12">
        <v>46</v>
      </c>
      <c r="C143" s="12">
        <v>47</v>
      </c>
      <c r="D143" s="3">
        <v>1</v>
      </c>
      <c r="E143" s="3">
        <v>1</v>
      </c>
      <c r="F143" s="3">
        <v>1</v>
      </c>
      <c r="G143" s="3">
        <v>551.6</v>
      </c>
      <c r="H143" s="13">
        <v>0.91439999999999999</v>
      </c>
      <c r="I143" s="13">
        <v>0.83819999999999995</v>
      </c>
      <c r="J143" s="16">
        <v>0</v>
      </c>
      <c r="K143" s="16">
        <v>0</v>
      </c>
      <c r="L143" s="3">
        <v>0</v>
      </c>
      <c r="M143" s="3">
        <v>0</v>
      </c>
      <c r="N143" s="3">
        <v>990</v>
      </c>
      <c r="O143" s="3">
        <v>1025</v>
      </c>
      <c r="P143" s="1">
        <v>0</v>
      </c>
      <c r="Q143">
        <v>990</v>
      </c>
      <c r="R143" s="3">
        <v>1025</v>
      </c>
      <c r="S143" s="1">
        <v>0</v>
      </c>
    </row>
    <row r="144" spans="1:19" x14ac:dyDescent="0.2">
      <c r="A144" s="12">
        <v>47</v>
      </c>
      <c r="B144" s="12">
        <v>47</v>
      </c>
      <c r="C144" s="12">
        <v>48</v>
      </c>
      <c r="D144" s="3">
        <v>1</v>
      </c>
      <c r="E144" s="3">
        <v>1</v>
      </c>
      <c r="F144" s="3">
        <v>1</v>
      </c>
      <c r="G144" s="3">
        <v>551.6</v>
      </c>
      <c r="H144" s="13">
        <v>0.91439999999999999</v>
      </c>
      <c r="I144" s="13">
        <v>0.83819999999999995</v>
      </c>
      <c r="J144" s="16">
        <v>0</v>
      </c>
      <c r="K144" s="16">
        <v>0</v>
      </c>
      <c r="L144" s="3">
        <v>0</v>
      </c>
      <c r="M144" s="3">
        <v>0</v>
      </c>
      <c r="N144" s="3">
        <v>990</v>
      </c>
      <c r="O144" s="3">
        <v>1025</v>
      </c>
      <c r="P144" s="1">
        <v>0</v>
      </c>
      <c r="Q144">
        <v>990</v>
      </c>
      <c r="R144" s="3">
        <v>1025</v>
      </c>
      <c r="S144" s="1">
        <v>0</v>
      </c>
    </row>
    <row r="145" spans="1:19" x14ac:dyDescent="0.2">
      <c r="A145" s="12">
        <v>48</v>
      </c>
      <c r="B145" s="12">
        <v>48</v>
      </c>
      <c r="C145" s="12">
        <v>49</v>
      </c>
      <c r="D145" s="3">
        <v>1</v>
      </c>
      <c r="E145" s="3">
        <v>1</v>
      </c>
      <c r="F145" s="3">
        <v>1</v>
      </c>
      <c r="G145" s="3">
        <v>551.6</v>
      </c>
      <c r="H145" s="13">
        <v>0.91439999999999999</v>
      </c>
      <c r="I145" s="13">
        <v>0.83819999999999995</v>
      </c>
      <c r="J145" s="16">
        <v>0</v>
      </c>
      <c r="K145" s="16">
        <v>0</v>
      </c>
      <c r="L145" s="3">
        <v>0</v>
      </c>
      <c r="M145" s="3">
        <v>0</v>
      </c>
      <c r="N145" s="3">
        <v>990</v>
      </c>
      <c r="O145" s="3">
        <v>1025</v>
      </c>
      <c r="P145" s="1">
        <v>0</v>
      </c>
      <c r="Q145">
        <v>990</v>
      </c>
      <c r="R145" s="3">
        <v>1025</v>
      </c>
      <c r="S145" s="1">
        <v>0</v>
      </c>
    </row>
    <row r="146" spans="1:19" x14ac:dyDescent="0.2">
      <c r="A146" s="12">
        <v>49</v>
      </c>
      <c r="B146" s="12">
        <v>49</v>
      </c>
      <c r="C146" s="12">
        <v>50</v>
      </c>
      <c r="D146" s="3">
        <v>1</v>
      </c>
      <c r="E146" s="3">
        <v>1</v>
      </c>
      <c r="F146" s="3">
        <v>1</v>
      </c>
      <c r="G146" s="3">
        <v>551.6</v>
      </c>
      <c r="H146" s="13">
        <v>0.91439999999999999</v>
      </c>
      <c r="I146" s="13">
        <v>0.83819999999999995</v>
      </c>
      <c r="J146" s="16">
        <v>0</v>
      </c>
      <c r="K146" s="16">
        <v>0</v>
      </c>
      <c r="L146" s="3">
        <v>0</v>
      </c>
      <c r="M146" s="3">
        <v>0</v>
      </c>
      <c r="N146" s="3">
        <v>990</v>
      </c>
      <c r="O146" s="3">
        <v>1025</v>
      </c>
      <c r="P146" s="1">
        <v>0</v>
      </c>
      <c r="Q146">
        <v>990</v>
      </c>
      <c r="R146" s="3">
        <v>1025</v>
      </c>
      <c r="S146" s="1">
        <v>0</v>
      </c>
    </row>
    <row r="147" spans="1:19" x14ac:dyDescent="0.2">
      <c r="A147" s="12">
        <v>50</v>
      </c>
      <c r="B147" s="12">
        <v>50</v>
      </c>
      <c r="C147" s="12">
        <v>51</v>
      </c>
      <c r="D147" s="3">
        <v>1</v>
      </c>
      <c r="E147" s="3">
        <v>1</v>
      </c>
      <c r="F147" s="3">
        <v>1</v>
      </c>
      <c r="G147" s="3">
        <v>551.6</v>
      </c>
      <c r="H147" s="13">
        <v>0.91439999999999999</v>
      </c>
      <c r="I147" s="13">
        <v>0.83819999999999995</v>
      </c>
      <c r="J147" s="16">
        <v>0</v>
      </c>
      <c r="K147" s="16">
        <v>0</v>
      </c>
      <c r="L147" s="3">
        <v>0</v>
      </c>
      <c r="M147" s="3">
        <v>0</v>
      </c>
      <c r="N147" s="3">
        <v>990</v>
      </c>
      <c r="O147" s="3">
        <v>1025</v>
      </c>
      <c r="P147" s="1">
        <v>0</v>
      </c>
      <c r="Q147">
        <v>990</v>
      </c>
      <c r="R147" s="3">
        <v>1025</v>
      </c>
      <c r="S147" s="1">
        <v>0</v>
      </c>
    </row>
    <row r="148" spans="1:19" x14ac:dyDescent="0.2">
      <c r="A148" s="12">
        <v>51</v>
      </c>
      <c r="B148" s="12">
        <v>51</v>
      </c>
      <c r="C148" s="12">
        <v>52</v>
      </c>
      <c r="D148" s="3">
        <v>1</v>
      </c>
      <c r="E148" s="3">
        <v>1</v>
      </c>
      <c r="F148" s="3">
        <v>1</v>
      </c>
      <c r="G148" s="3">
        <v>551.6</v>
      </c>
      <c r="H148" s="13">
        <v>0.91439999999999999</v>
      </c>
      <c r="I148" s="13">
        <v>0.83819999999999995</v>
      </c>
      <c r="J148" s="16">
        <v>0</v>
      </c>
      <c r="K148" s="16">
        <v>0</v>
      </c>
      <c r="L148" s="3">
        <v>0</v>
      </c>
      <c r="M148" s="3">
        <v>0</v>
      </c>
      <c r="N148" s="3">
        <v>990</v>
      </c>
      <c r="O148" s="3">
        <v>1025</v>
      </c>
      <c r="P148" s="1">
        <v>0</v>
      </c>
      <c r="Q148">
        <v>990</v>
      </c>
      <c r="R148" s="3">
        <v>1025</v>
      </c>
      <c r="S148" s="1">
        <v>0</v>
      </c>
    </row>
    <row r="149" spans="1:19" x14ac:dyDescent="0.2">
      <c r="A149" s="12">
        <v>52</v>
      </c>
      <c r="B149" s="12">
        <v>52</v>
      </c>
      <c r="C149" s="12">
        <v>53</v>
      </c>
      <c r="D149" s="3">
        <v>1</v>
      </c>
      <c r="E149" s="3">
        <v>1</v>
      </c>
      <c r="F149" s="3">
        <v>1</v>
      </c>
      <c r="G149" s="3">
        <v>551.6</v>
      </c>
      <c r="H149" s="13">
        <v>0.91439999999999999</v>
      </c>
      <c r="I149" s="13">
        <v>0.83819999999999995</v>
      </c>
      <c r="J149" s="16">
        <v>0</v>
      </c>
      <c r="K149" s="16">
        <v>0</v>
      </c>
      <c r="L149" s="3">
        <v>0</v>
      </c>
      <c r="M149" s="3">
        <v>0</v>
      </c>
      <c r="N149" s="3">
        <v>990</v>
      </c>
      <c r="O149" s="3">
        <v>1025</v>
      </c>
      <c r="P149" s="1">
        <v>0</v>
      </c>
      <c r="Q149">
        <v>990</v>
      </c>
      <c r="R149" s="3">
        <v>1025</v>
      </c>
      <c r="S149" s="1">
        <v>0</v>
      </c>
    </row>
    <row r="150" spans="1:19" x14ac:dyDescent="0.2">
      <c r="A150" s="12">
        <v>53</v>
      </c>
      <c r="B150" s="12">
        <v>53</v>
      </c>
      <c r="C150" s="12">
        <v>54</v>
      </c>
      <c r="D150" s="3">
        <v>1</v>
      </c>
      <c r="E150" s="3">
        <v>1</v>
      </c>
      <c r="F150" s="3">
        <v>1</v>
      </c>
      <c r="G150" s="3">
        <v>551.6</v>
      </c>
      <c r="H150" s="13">
        <v>0.91439999999999999</v>
      </c>
      <c r="I150" s="13">
        <v>0.83819999999999995</v>
      </c>
      <c r="J150" s="16">
        <v>0</v>
      </c>
      <c r="K150" s="16">
        <v>0</v>
      </c>
      <c r="L150" s="3">
        <v>0</v>
      </c>
      <c r="M150" s="3">
        <v>0</v>
      </c>
      <c r="N150" s="3">
        <v>990</v>
      </c>
      <c r="O150" s="3">
        <v>1025</v>
      </c>
      <c r="P150" s="1">
        <v>0</v>
      </c>
      <c r="Q150">
        <v>990</v>
      </c>
      <c r="R150" s="3">
        <v>1025</v>
      </c>
      <c r="S150" s="1">
        <v>0</v>
      </c>
    </row>
    <row r="151" spans="1:19" x14ac:dyDescent="0.2">
      <c r="A151" s="12">
        <v>54</v>
      </c>
      <c r="B151" s="12">
        <v>54</v>
      </c>
      <c r="C151" s="12">
        <v>55</v>
      </c>
      <c r="D151" s="3">
        <v>1</v>
      </c>
      <c r="E151" s="3">
        <v>1</v>
      </c>
      <c r="F151" s="3">
        <v>1</v>
      </c>
      <c r="G151" s="3">
        <v>551.6</v>
      </c>
      <c r="H151" s="13">
        <v>0.91439999999999999</v>
      </c>
      <c r="I151" s="13">
        <v>0.83819999999999995</v>
      </c>
      <c r="J151" s="16">
        <v>0</v>
      </c>
      <c r="K151" s="16">
        <v>0</v>
      </c>
      <c r="L151" s="3">
        <v>0</v>
      </c>
      <c r="M151" s="3">
        <v>0</v>
      </c>
      <c r="N151" s="3">
        <v>990</v>
      </c>
      <c r="O151" s="3">
        <v>1025</v>
      </c>
      <c r="P151" s="1">
        <v>0</v>
      </c>
      <c r="Q151">
        <v>990</v>
      </c>
      <c r="R151" s="3">
        <v>1025</v>
      </c>
      <c r="S151" s="1">
        <v>0</v>
      </c>
    </row>
    <row r="152" spans="1:19" x14ac:dyDescent="0.2">
      <c r="A152" s="12">
        <v>55</v>
      </c>
      <c r="B152" s="12">
        <v>55</v>
      </c>
      <c r="C152" s="12">
        <v>56</v>
      </c>
      <c r="D152" s="3">
        <v>1</v>
      </c>
      <c r="E152" s="3">
        <v>1</v>
      </c>
      <c r="F152" s="3">
        <v>1</v>
      </c>
      <c r="G152" s="3">
        <v>551.6</v>
      </c>
      <c r="H152" s="13">
        <v>0.91439999999999999</v>
      </c>
      <c r="I152" s="13">
        <v>0.83819999999999995</v>
      </c>
      <c r="J152" s="16">
        <v>0</v>
      </c>
      <c r="K152" s="16">
        <v>0</v>
      </c>
      <c r="L152" s="3">
        <v>0</v>
      </c>
      <c r="M152" s="3">
        <v>0</v>
      </c>
      <c r="N152" s="3">
        <v>990</v>
      </c>
      <c r="O152" s="3">
        <v>1025</v>
      </c>
      <c r="P152" s="1">
        <v>0</v>
      </c>
      <c r="Q152">
        <v>990</v>
      </c>
      <c r="R152" s="3">
        <v>1025</v>
      </c>
      <c r="S152" s="1">
        <v>0</v>
      </c>
    </row>
    <row r="153" spans="1:19" x14ac:dyDescent="0.2">
      <c r="A153" s="12">
        <v>56</v>
      </c>
      <c r="B153" s="12">
        <v>56</v>
      </c>
      <c r="C153" s="12">
        <v>57</v>
      </c>
      <c r="D153" s="3">
        <v>1</v>
      </c>
      <c r="E153" s="3">
        <v>1</v>
      </c>
      <c r="F153" s="3">
        <v>1</v>
      </c>
      <c r="G153" s="3">
        <v>551.6</v>
      </c>
      <c r="H153" s="13">
        <v>0.91439999999999999</v>
      </c>
      <c r="I153" s="13">
        <v>0.83819999999999995</v>
      </c>
      <c r="J153" s="16">
        <v>0</v>
      </c>
      <c r="K153" s="16">
        <v>0</v>
      </c>
      <c r="L153" s="3">
        <v>0</v>
      </c>
      <c r="M153" s="3">
        <v>0</v>
      </c>
      <c r="N153" s="3">
        <v>990</v>
      </c>
      <c r="O153" s="3">
        <v>1025</v>
      </c>
      <c r="P153" s="1">
        <v>0</v>
      </c>
      <c r="Q153">
        <v>990</v>
      </c>
      <c r="R153" s="3">
        <v>1025</v>
      </c>
      <c r="S153" s="1">
        <v>0</v>
      </c>
    </row>
    <row r="154" spans="1:19" x14ac:dyDescent="0.2">
      <c r="A154" s="12">
        <v>57</v>
      </c>
      <c r="B154" s="12">
        <v>57</v>
      </c>
      <c r="C154" s="12">
        <v>58</v>
      </c>
      <c r="D154" s="3">
        <v>1</v>
      </c>
      <c r="E154" s="3">
        <v>1</v>
      </c>
      <c r="F154" s="3">
        <v>1</v>
      </c>
      <c r="G154" s="3">
        <v>551.6</v>
      </c>
      <c r="H154" s="13">
        <v>0.91439999999999999</v>
      </c>
      <c r="I154" s="13">
        <v>0.83819999999999995</v>
      </c>
      <c r="J154" s="16">
        <v>0</v>
      </c>
      <c r="K154" s="16">
        <v>0</v>
      </c>
      <c r="L154" s="3">
        <v>0</v>
      </c>
      <c r="M154" s="3">
        <v>0</v>
      </c>
      <c r="N154" s="3">
        <v>990</v>
      </c>
      <c r="O154" s="3">
        <v>1025</v>
      </c>
      <c r="P154" s="1">
        <v>0</v>
      </c>
      <c r="Q154">
        <v>990</v>
      </c>
      <c r="R154" s="3">
        <v>1025</v>
      </c>
      <c r="S154" s="1">
        <v>0</v>
      </c>
    </row>
    <row r="155" spans="1:19" x14ac:dyDescent="0.2">
      <c r="A155" s="12">
        <v>58</v>
      </c>
      <c r="B155" s="12">
        <v>58</v>
      </c>
      <c r="C155" s="12">
        <v>59</v>
      </c>
      <c r="D155" s="3">
        <v>1</v>
      </c>
      <c r="E155" s="3">
        <v>1</v>
      </c>
      <c r="F155" s="3">
        <v>1</v>
      </c>
      <c r="G155" s="3">
        <v>551.6</v>
      </c>
      <c r="H155" s="13">
        <v>0.91439999999999999</v>
      </c>
      <c r="I155" s="13">
        <v>0.83819999999999995</v>
      </c>
      <c r="J155" s="16">
        <v>0</v>
      </c>
      <c r="K155" s="16">
        <v>0</v>
      </c>
      <c r="L155" s="3">
        <v>0</v>
      </c>
      <c r="M155" s="3">
        <v>0</v>
      </c>
      <c r="N155" s="3">
        <v>990</v>
      </c>
      <c r="O155" s="3">
        <v>1025</v>
      </c>
      <c r="P155" s="1">
        <v>0</v>
      </c>
      <c r="Q155">
        <v>990</v>
      </c>
      <c r="R155" s="3">
        <v>1025</v>
      </c>
      <c r="S155" s="1">
        <v>0</v>
      </c>
    </row>
    <row r="156" spans="1:19" x14ac:dyDescent="0.2">
      <c r="A156" s="12">
        <v>59</v>
      </c>
      <c r="B156" s="12">
        <v>59</v>
      </c>
      <c r="C156" s="12">
        <v>60</v>
      </c>
      <c r="D156" s="3">
        <v>1</v>
      </c>
      <c r="E156" s="3">
        <v>1</v>
      </c>
      <c r="F156" s="3">
        <v>1</v>
      </c>
      <c r="G156" s="3">
        <v>551.6</v>
      </c>
      <c r="H156" s="13">
        <v>0.91439999999999999</v>
      </c>
      <c r="I156" s="13">
        <v>0.83819999999999995</v>
      </c>
      <c r="J156" s="16">
        <v>0</v>
      </c>
      <c r="K156" s="16">
        <v>0</v>
      </c>
      <c r="L156" s="3">
        <v>0</v>
      </c>
      <c r="M156" s="3">
        <v>0</v>
      </c>
      <c r="N156" s="3">
        <v>990</v>
      </c>
      <c r="O156" s="3">
        <v>1025</v>
      </c>
      <c r="P156" s="1">
        <v>0</v>
      </c>
      <c r="Q156">
        <v>990</v>
      </c>
      <c r="R156" s="3">
        <v>1025</v>
      </c>
      <c r="S156" s="1">
        <v>0</v>
      </c>
    </row>
    <row r="157" spans="1:19" x14ac:dyDescent="0.2">
      <c r="A157" s="12">
        <v>60</v>
      </c>
      <c r="B157" s="12">
        <v>60</v>
      </c>
      <c r="C157" s="12">
        <v>61</v>
      </c>
      <c r="D157" s="3">
        <v>1</v>
      </c>
      <c r="E157" s="3">
        <v>1</v>
      </c>
      <c r="F157" s="3">
        <v>1</v>
      </c>
      <c r="G157" s="3">
        <v>551.6</v>
      </c>
      <c r="H157" s="13">
        <v>0.91439999999999999</v>
      </c>
      <c r="I157" s="13">
        <v>0.83819999999999995</v>
      </c>
      <c r="J157" s="16">
        <v>0</v>
      </c>
      <c r="K157" s="16">
        <v>0</v>
      </c>
      <c r="L157" s="3">
        <v>0</v>
      </c>
      <c r="M157" s="3">
        <v>0</v>
      </c>
      <c r="N157" s="3">
        <v>990</v>
      </c>
      <c r="O157" s="3">
        <v>1025</v>
      </c>
      <c r="P157" s="1">
        <v>0</v>
      </c>
      <c r="Q157">
        <v>990</v>
      </c>
      <c r="R157" s="3">
        <v>1025</v>
      </c>
      <c r="S157" s="1">
        <v>0</v>
      </c>
    </row>
    <row r="158" spans="1:19" x14ac:dyDescent="0.2">
      <c r="A158" s="12">
        <v>61</v>
      </c>
      <c r="B158" s="12">
        <v>61</v>
      </c>
      <c r="C158" s="12">
        <v>62</v>
      </c>
      <c r="D158" s="3">
        <v>1</v>
      </c>
      <c r="E158" s="3">
        <v>1</v>
      </c>
      <c r="F158" s="3">
        <v>1</v>
      </c>
      <c r="G158" s="3">
        <v>551.6</v>
      </c>
      <c r="H158" s="13">
        <v>0.91439999999999999</v>
      </c>
      <c r="I158" s="13">
        <v>0.83819999999999995</v>
      </c>
      <c r="J158" s="16">
        <v>0</v>
      </c>
      <c r="K158" s="16">
        <v>0</v>
      </c>
      <c r="L158" s="3">
        <v>0</v>
      </c>
      <c r="M158" s="3">
        <v>0</v>
      </c>
      <c r="N158" s="3">
        <v>990</v>
      </c>
      <c r="O158" s="3">
        <v>1025</v>
      </c>
      <c r="P158" s="1">
        <v>0</v>
      </c>
      <c r="Q158">
        <v>990</v>
      </c>
      <c r="R158" s="3">
        <v>1025</v>
      </c>
      <c r="S158" s="1">
        <v>0</v>
      </c>
    </row>
    <row r="159" spans="1:19" x14ac:dyDescent="0.2">
      <c r="A159" s="12">
        <v>62</v>
      </c>
      <c r="B159" s="12">
        <v>62</v>
      </c>
      <c r="C159" s="12">
        <v>63</v>
      </c>
      <c r="D159" s="3">
        <v>1</v>
      </c>
      <c r="E159" s="3">
        <v>1</v>
      </c>
      <c r="F159" s="3">
        <v>1</v>
      </c>
      <c r="G159" s="3">
        <v>551.6</v>
      </c>
      <c r="H159" s="13">
        <v>0.91439999999999999</v>
      </c>
      <c r="I159" s="13">
        <v>0.83819999999999995</v>
      </c>
      <c r="J159" s="16">
        <v>0</v>
      </c>
      <c r="K159" s="16">
        <v>0</v>
      </c>
      <c r="L159" s="3">
        <v>0</v>
      </c>
      <c r="M159" s="3">
        <v>0</v>
      </c>
      <c r="N159" s="3">
        <v>990</v>
      </c>
      <c r="O159" s="3">
        <v>1025</v>
      </c>
      <c r="P159" s="1">
        <v>0</v>
      </c>
      <c r="Q159">
        <v>990</v>
      </c>
      <c r="R159" s="3">
        <v>1025</v>
      </c>
      <c r="S159" s="1">
        <v>0</v>
      </c>
    </row>
    <row r="160" spans="1:19" x14ac:dyDescent="0.2">
      <c r="A160" s="12">
        <v>63</v>
      </c>
      <c r="B160" s="12">
        <v>63</v>
      </c>
      <c r="C160" s="12">
        <v>64</v>
      </c>
      <c r="D160" s="3">
        <v>1</v>
      </c>
      <c r="E160" s="3">
        <v>1</v>
      </c>
      <c r="F160" s="3">
        <v>1</v>
      </c>
      <c r="G160" s="3">
        <v>551.6</v>
      </c>
      <c r="H160" s="13">
        <v>0.91439999999999999</v>
      </c>
      <c r="I160" s="13">
        <v>0.83819999999999995</v>
      </c>
      <c r="J160" s="16">
        <v>0</v>
      </c>
      <c r="K160" s="16">
        <v>0</v>
      </c>
      <c r="L160" s="3">
        <v>0</v>
      </c>
      <c r="M160" s="3">
        <v>0</v>
      </c>
      <c r="N160" s="3">
        <v>990</v>
      </c>
      <c r="O160" s="3">
        <v>1025</v>
      </c>
      <c r="P160" s="1">
        <v>0</v>
      </c>
      <c r="Q160">
        <v>990</v>
      </c>
      <c r="R160" s="3">
        <v>1025</v>
      </c>
      <c r="S160" s="1">
        <v>0</v>
      </c>
    </row>
    <row r="161" spans="1:19" x14ac:dyDescent="0.2">
      <c r="A161" s="12">
        <v>64</v>
      </c>
      <c r="B161" s="12">
        <v>64</v>
      </c>
      <c r="C161" s="12">
        <v>65</v>
      </c>
      <c r="D161" s="3">
        <v>1</v>
      </c>
      <c r="E161" s="3">
        <v>1</v>
      </c>
      <c r="F161" s="3">
        <v>1</v>
      </c>
      <c r="G161" s="3">
        <v>551.6</v>
      </c>
      <c r="H161" s="13">
        <v>0.91439999999999999</v>
      </c>
      <c r="I161" s="13">
        <v>0.83819999999999995</v>
      </c>
      <c r="J161" s="16">
        <v>0</v>
      </c>
      <c r="K161" s="16">
        <v>0</v>
      </c>
      <c r="L161" s="3">
        <v>0</v>
      </c>
      <c r="M161" s="3">
        <v>0</v>
      </c>
      <c r="N161" s="3">
        <v>990</v>
      </c>
      <c r="O161" s="3">
        <v>1025</v>
      </c>
      <c r="P161" s="1">
        <v>0</v>
      </c>
      <c r="Q161">
        <v>990</v>
      </c>
      <c r="R161" s="3">
        <v>1025</v>
      </c>
      <c r="S161" s="1">
        <v>0</v>
      </c>
    </row>
    <row r="162" spans="1:19" x14ac:dyDescent="0.2">
      <c r="A162" s="12">
        <v>65</v>
      </c>
      <c r="B162" s="12">
        <v>65</v>
      </c>
      <c r="C162" s="12">
        <v>66</v>
      </c>
      <c r="D162" s="3">
        <v>1</v>
      </c>
      <c r="E162" s="3">
        <v>1</v>
      </c>
      <c r="F162" s="3">
        <v>1</v>
      </c>
      <c r="G162" s="3">
        <v>551.6</v>
      </c>
      <c r="H162" s="13">
        <v>0.91439999999999999</v>
      </c>
      <c r="I162" s="13">
        <v>0.83819999999999995</v>
      </c>
      <c r="J162" s="16">
        <v>0</v>
      </c>
      <c r="K162" s="16">
        <v>0</v>
      </c>
      <c r="L162" s="3">
        <v>0</v>
      </c>
      <c r="M162" s="3">
        <v>0</v>
      </c>
      <c r="N162" s="3">
        <v>990</v>
      </c>
      <c r="O162" s="3">
        <v>1025</v>
      </c>
      <c r="P162" s="1">
        <v>0</v>
      </c>
      <c r="Q162">
        <v>990</v>
      </c>
      <c r="R162" s="3">
        <v>1025</v>
      </c>
      <c r="S162" s="1">
        <v>0</v>
      </c>
    </row>
    <row r="163" spans="1:19" x14ac:dyDescent="0.2">
      <c r="A163" s="12">
        <v>66</v>
      </c>
      <c r="B163" s="12">
        <v>66</v>
      </c>
      <c r="C163" s="12">
        <v>67</v>
      </c>
      <c r="D163" s="3">
        <v>1</v>
      </c>
      <c r="E163" s="3">
        <v>1</v>
      </c>
      <c r="F163" s="3">
        <v>1</v>
      </c>
      <c r="G163" s="3">
        <v>551.6</v>
      </c>
      <c r="H163" s="13">
        <v>0.91439999999999999</v>
      </c>
      <c r="I163" s="13">
        <v>0.83819999999999995</v>
      </c>
      <c r="J163" s="16">
        <v>0</v>
      </c>
      <c r="K163" s="16">
        <v>0</v>
      </c>
      <c r="L163" s="3">
        <v>0</v>
      </c>
      <c r="M163" s="3">
        <v>0</v>
      </c>
      <c r="N163" s="3">
        <v>990</v>
      </c>
      <c r="O163" s="3">
        <v>1025</v>
      </c>
      <c r="P163" s="1">
        <v>0</v>
      </c>
      <c r="Q163">
        <v>990</v>
      </c>
      <c r="R163" s="3">
        <v>1025</v>
      </c>
      <c r="S163" s="1">
        <v>0</v>
      </c>
    </row>
    <row r="164" spans="1:19" x14ac:dyDescent="0.2">
      <c r="A164" s="12">
        <v>67</v>
      </c>
      <c r="B164" s="12">
        <v>67</v>
      </c>
      <c r="C164" s="12">
        <v>68</v>
      </c>
      <c r="D164" s="3">
        <v>1</v>
      </c>
      <c r="E164" s="3">
        <v>1</v>
      </c>
      <c r="F164" s="3">
        <v>1</v>
      </c>
      <c r="G164" s="3">
        <v>551.6</v>
      </c>
      <c r="H164" s="13">
        <v>0.91439999999999999</v>
      </c>
      <c r="I164" s="13">
        <v>0.83819999999999995</v>
      </c>
      <c r="J164" s="16">
        <v>0</v>
      </c>
      <c r="K164" s="16">
        <v>0</v>
      </c>
      <c r="L164" s="3">
        <v>0</v>
      </c>
      <c r="M164" s="3">
        <v>0</v>
      </c>
      <c r="N164" s="3">
        <v>990</v>
      </c>
      <c r="O164" s="3">
        <v>1025</v>
      </c>
      <c r="P164" s="1">
        <v>0</v>
      </c>
      <c r="Q164">
        <v>990</v>
      </c>
      <c r="R164" s="3">
        <v>1025</v>
      </c>
      <c r="S164" s="1">
        <v>0</v>
      </c>
    </row>
    <row r="165" spans="1:19" x14ac:dyDescent="0.2">
      <c r="A165" s="12">
        <v>68</v>
      </c>
      <c r="B165" s="12">
        <v>68</v>
      </c>
      <c r="C165" s="12">
        <v>69</v>
      </c>
      <c r="D165" s="3">
        <v>1</v>
      </c>
      <c r="E165" s="3">
        <v>1</v>
      </c>
      <c r="F165" s="3">
        <v>1</v>
      </c>
      <c r="G165" s="3">
        <v>551.6</v>
      </c>
      <c r="H165" s="13">
        <v>0.91439999999999999</v>
      </c>
      <c r="I165" s="13">
        <v>0.83819999999999995</v>
      </c>
      <c r="J165" s="16">
        <v>0</v>
      </c>
      <c r="K165" s="16">
        <v>0</v>
      </c>
      <c r="L165" s="3">
        <v>0</v>
      </c>
      <c r="M165" s="3">
        <v>0</v>
      </c>
      <c r="N165" s="3">
        <v>990</v>
      </c>
      <c r="O165" s="3">
        <v>1025</v>
      </c>
      <c r="P165" s="1">
        <v>0</v>
      </c>
      <c r="Q165">
        <v>990</v>
      </c>
      <c r="R165" s="3">
        <v>1025</v>
      </c>
      <c r="S165" s="1">
        <v>0</v>
      </c>
    </row>
    <row r="166" spans="1:19" x14ac:dyDescent="0.2">
      <c r="A166" s="12">
        <v>69</v>
      </c>
      <c r="B166" s="12">
        <v>69</v>
      </c>
      <c r="C166" s="12">
        <v>70</v>
      </c>
      <c r="D166" s="3">
        <v>1</v>
      </c>
      <c r="E166" s="3">
        <v>1</v>
      </c>
      <c r="F166" s="3">
        <v>1</v>
      </c>
      <c r="G166" s="3">
        <v>551.6</v>
      </c>
      <c r="H166" s="13">
        <v>0.91439999999999999</v>
      </c>
      <c r="I166" s="13">
        <v>0.83819999999999995</v>
      </c>
      <c r="J166" s="16">
        <v>0</v>
      </c>
      <c r="K166" s="16">
        <v>0</v>
      </c>
      <c r="L166" s="3">
        <v>0</v>
      </c>
      <c r="M166" s="3">
        <v>0</v>
      </c>
      <c r="N166" s="3">
        <v>990</v>
      </c>
      <c r="O166" s="3">
        <v>1025</v>
      </c>
      <c r="P166" s="1">
        <v>0</v>
      </c>
      <c r="Q166">
        <v>990</v>
      </c>
      <c r="R166" s="3">
        <v>1025</v>
      </c>
      <c r="S166" s="1">
        <v>0</v>
      </c>
    </row>
    <row r="167" spans="1:19" x14ac:dyDescent="0.2">
      <c r="A167" s="12">
        <v>70</v>
      </c>
      <c r="B167" s="12">
        <v>70</v>
      </c>
      <c r="C167" s="12">
        <v>71</v>
      </c>
      <c r="D167" s="3">
        <v>1</v>
      </c>
      <c r="E167" s="3">
        <v>1</v>
      </c>
      <c r="F167" s="3">
        <v>1</v>
      </c>
      <c r="G167" s="3">
        <v>551.6</v>
      </c>
      <c r="H167" s="13">
        <v>0.91439999999999999</v>
      </c>
      <c r="I167" s="13">
        <v>0.83819999999999995</v>
      </c>
      <c r="J167" s="16">
        <v>0</v>
      </c>
      <c r="K167" s="16">
        <v>0</v>
      </c>
      <c r="L167" s="3">
        <v>0</v>
      </c>
      <c r="M167" s="3">
        <v>0</v>
      </c>
      <c r="N167" s="3">
        <v>990</v>
      </c>
      <c r="O167" s="3">
        <v>1025</v>
      </c>
      <c r="P167" s="1">
        <v>0</v>
      </c>
      <c r="Q167">
        <v>990</v>
      </c>
      <c r="R167" s="3">
        <v>1025</v>
      </c>
      <c r="S167" s="1">
        <v>0</v>
      </c>
    </row>
    <row r="168" spans="1:19" x14ac:dyDescent="0.2">
      <c r="A168" s="12">
        <v>71</v>
      </c>
      <c r="B168" s="12">
        <v>71</v>
      </c>
      <c r="C168" s="12">
        <v>72</v>
      </c>
      <c r="D168" s="3">
        <v>1</v>
      </c>
      <c r="E168" s="3">
        <v>1</v>
      </c>
      <c r="F168" s="3">
        <v>1</v>
      </c>
      <c r="G168" s="3">
        <v>551.6</v>
      </c>
      <c r="H168" s="13">
        <v>0.91439999999999999</v>
      </c>
      <c r="I168" s="13">
        <v>0.83819999999999995</v>
      </c>
      <c r="J168" s="16">
        <v>0</v>
      </c>
      <c r="K168" s="16">
        <v>0</v>
      </c>
      <c r="L168" s="3">
        <v>0</v>
      </c>
      <c r="M168" s="3">
        <v>0</v>
      </c>
      <c r="N168" s="3">
        <v>990</v>
      </c>
      <c r="O168" s="3">
        <v>1025</v>
      </c>
      <c r="P168" s="1">
        <v>0</v>
      </c>
      <c r="Q168">
        <v>990</v>
      </c>
      <c r="R168" s="3">
        <v>1025</v>
      </c>
      <c r="S168" s="1">
        <v>0</v>
      </c>
    </row>
    <row r="169" spans="1:19" x14ac:dyDescent="0.2">
      <c r="A169" s="12">
        <v>72</v>
      </c>
      <c r="B169" s="12">
        <v>72</v>
      </c>
      <c r="C169" s="12">
        <v>73</v>
      </c>
      <c r="D169" s="3">
        <v>1</v>
      </c>
      <c r="E169" s="3">
        <v>1</v>
      </c>
      <c r="F169" s="3">
        <v>1</v>
      </c>
      <c r="G169" s="3">
        <v>551.6</v>
      </c>
      <c r="H169" s="13">
        <v>0.91439999999999999</v>
      </c>
      <c r="I169" s="13">
        <v>0.83819999999999995</v>
      </c>
      <c r="J169" s="16">
        <v>0</v>
      </c>
      <c r="K169" s="16">
        <v>0</v>
      </c>
      <c r="L169" s="3">
        <v>0</v>
      </c>
      <c r="M169" s="3">
        <v>0</v>
      </c>
      <c r="N169" s="3">
        <v>990</v>
      </c>
      <c r="O169" s="3">
        <v>1025</v>
      </c>
      <c r="P169" s="1">
        <v>0</v>
      </c>
      <c r="Q169">
        <v>990</v>
      </c>
      <c r="R169" s="3">
        <v>1025</v>
      </c>
      <c r="S169" s="1">
        <v>0</v>
      </c>
    </row>
    <row r="170" spans="1:19" x14ac:dyDescent="0.2">
      <c r="A170" s="12">
        <v>73</v>
      </c>
      <c r="B170" s="12">
        <v>73</v>
      </c>
      <c r="C170" s="12">
        <v>74</v>
      </c>
      <c r="D170" s="3">
        <v>1</v>
      </c>
      <c r="E170" s="3">
        <v>1</v>
      </c>
      <c r="F170" s="3">
        <v>1</v>
      </c>
      <c r="G170" s="3">
        <v>551.6</v>
      </c>
      <c r="H170" s="13">
        <v>0.91439999999999999</v>
      </c>
      <c r="I170" s="13">
        <v>0.83819999999999995</v>
      </c>
      <c r="J170" s="16">
        <v>0</v>
      </c>
      <c r="K170" s="16">
        <v>0</v>
      </c>
      <c r="L170" s="3">
        <v>0</v>
      </c>
      <c r="M170" s="3">
        <v>0</v>
      </c>
      <c r="N170" s="3">
        <v>990</v>
      </c>
      <c r="O170" s="3">
        <v>1025</v>
      </c>
      <c r="P170" s="1">
        <v>0</v>
      </c>
      <c r="Q170">
        <v>990</v>
      </c>
      <c r="R170" s="3">
        <v>1025</v>
      </c>
      <c r="S170" s="1">
        <v>0</v>
      </c>
    </row>
    <row r="171" spans="1:19" x14ac:dyDescent="0.2">
      <c r="A171" s="12">
        <v>74</v>
      </c>
      <c r="B171" s="12">
        <v>74</v>
      </c>
      <c r="C171" s="12">
        <v>75</v>
      </c>
      <c r="D171" s="3">
        <v>1</v>
      </c>
      <c r="E171" s="3">
        <v>1</v>
      </c>
      <c r="F171" s="3">
        <v>1</v>
      </c>
      <c r="G171" s="3">
        <v>551.6</v>
      </c>
      <c r="H171" s="13">
        <v>0.91439999999999999</v>
      </c>
      <c r="I171" s="13">
        <v>0.83819999999999995</v>
      </c>
      <c r="J171" s="16">
        <v>0</v>
      </c>
      <c r="K171" s="16">
        <v>0</v>
      </c>
      <c r="L171" s="3">
        <v>0</v>
      </c>
      <c r="M171" s="3">
        <v>0</v>
      </c>
      <c r="N171" s="3">
        <v>990</v>
      </c>
      <c r="O171" s="3">
        <v>1025</v>
      </c>
      <c r="P171" s="1">
        <v>0</v>
      </c>
      <c r="Q171">
        <v>990</v>
      </c>
      <c r="R171" s="3">
        <v>1025</v>
      </c>
      <c r="S171" s="1">
        <v>0</v>
      </c>
    </row>
    <row r="172" spans="1:19" x14ac:dyDescent="0.2">
      <c r="A172" s="12">
        <v>75</v>
      </c>
      <c r="B172" s="12">
        <v>75</v>
      </c>
      <c r="C172" s="12">
        <v>76</v>
      </c>
      <c r="D172" s="3">
        <v>1</v>
      </c>
      <c r="E172" s="3">
        <v>1</v>
      </c>
      <c r="F172" s="3">
        <v>1</v>
      </c>
      <c r="G172" s="3">
        <v>551.6</v>
      </c>
      <c r="H172" s="13">
        <v>0.91439999999999999</v>
      </c>
      <c r="I172" s="13">
        <v>0.83819999999999995</v>
      </c>
      <c r="J172" s="16">
        <v>0</v>
      </c>
      <c r="K172" s="16">
        <v>0</v>
      </c>
      <c r="L172" s="3">
        <v>0</v>
      </c>
      <c r="M172" s="3">
        <v>0</v>
      </c>
      <c r="N172" s="3">
        <v>990</v>
      </c>
      <c r="O172" s="3">
        <v>1025</v>
      </c>
      <c r="P172" s="1">
        <v>0</v>
      </c>
      <c r="Q172">
        <v>990</v>
      </c>
      <c r="R172" s="3">
        <v>1025</v>
      </c>
      <c r="S172" s="1">
        <v>0</v>
      </c>
    </row>
    <row r="173" spans="1:19" x14ac:dyDescent="0.2">
      <c r="A173" s="12">
        <v>76</v>
      </c>
      <c r="B173" s="12">
        <v>76</v>
      </c>
      <c r="C173" s="12">
        <v>77</v>
      </c>
      <c r="D173" s="3">
        <v>1</v>
      </c>
      <c r="E173" s="3">
        <v>1</v>
      </c>
      <c r="F173" s="3">
        <v>1</v>
      </c>
      <c r="G173" s="3">
        <v>551.6</v>
      </c>
      <c r="H173" s="13">
        <v>0.91439999999999999</v>
      </c>
      <c r="I173" s="13">
        <v>0.83819999999999995</v>
      </c>
      <c r="J173" s="16">
        <v>0</v>
      </c>
      <c r="K173" s="16">
        <v>0</v>
      </c>
      <c r="L173" s="3">
        <v>0</v>
      </c>
      <c r="M173" s="3">
        <v>0</v>
      </c>
      <c r="N173" s="3">
        <v>990</v>
      </c>
      <c r="O173" s="3">
        <v>1025</v>
      </c>
      <c r="P173" s="1">
        <v>0</v>
      </c>
      <c r="Q173">
        <v>990</v>
      </c>
      <c r="R173" s="3">
        <v>1025</v>
      </c>
      <c r="S173" s="1">
        <v>0</v>
      </c>
    </row>
    <row r="174" spans="1:19" x14ac:dyDescent="0.2">
      <c r="A174" s="12">
        <v>77</v>
      </c>
      <c r="B174" s="12">
        <v>77</v>
      </c>
      <c r="C174" s="12">
        <v>78</v>
      </c>
      <c r="D174" s="3">
        <v>1</v>
      </c>
      <c r="E174" s="3">
        <v>1</v>
      </c>
      <c r="F174" s="3">
        <v>1</v>
      </c>
      <c r="G174" s="3">
        <v>551.6</v>
      </c>
      <c r="H174" s="13">
        <v>0.91439999999999999</v>
      </c>
      <c r="I174" s="13">
        <v>0.83819999999999995</v>
      </c>
      <c r="J174" s="16">
        <v>0</v>
      </c>
      <c r="K174" s="16">
        <v>0</v>
      </c>
      <c r="L174" s="3">
        <v>0</v>
      </c>
      <c r="M174" s="3">
        <v>0</v>
      </c>
      <c r="N174" s="3">
        <v>990</v>
      </c>
      <c r="O174" s="3">
        <v>1025</v>
      </c>
      <c r="P174" s="1">
        <v>0</v>
      </c>
      <c r="Q174">
        <v>990</v>
      </c>
      <c r="R174" s="3">
        <v>1025</v>
      </c>
      <c r="S174" s="1">
        <v>0</v>
      </c>
    </row>
    <row r="175" spans="1:19" x14ac:dyDescent="0.2">
      <c r="A175" s="12">
        <v>78</v>
      </c>
      <c r="B175" s="12">
        <v>78</v>
      </c>
      <c r="C175" s="12">
        <v>79</v>
      </c>
      <c r="D175" s="3">
        <v>1</v>
      </c>
      <c r="E175" s="3">
        <v>1</v>
      </c>
      <c r="F175" s="3">
        <v>1</v>
      </c>
      <c r="G175" s="3">
        <v>551.6</v>
      </c>
      <c r="H175" s="13">
        <v>0.91439999999999999</v>
      </c>
      <c r="I175" s="13">
        <v>0.83819999999999995</v>
      </c>
      <c r="J175" s="16">
        <v>0</v>
      </c>
      <c r="K175" s="16">
        <v>0</v>
      </c>
      <c r="L175" s="3">
        <v>0</v>
      </c>
      <c r="M175" s="3">
        <v>0</v>
      </c>
      <c r="N175" s="3">
        <v>990</v>
      </c>
      <c r="O175" s="3">
        <v>1025</v>
      </c>
      <c r="P175" s="1">
        <v>0</v>
      </c>
      <c r="Q175">
        <v>990</v>
      </c>
      <c r="R175" s="3">
        <v>1025</v>
      </c>
      <c r="S175" s="1">
        <v>0</v>
      </c>
    </row>
    <row r="176" spans="1:19" x14ac:dyDescent="0.2">
      <c r="A176" s="12">
        <v>79</v>
      </c>
      <c r="B176" s="12">
        <v>79</v>
      </c>
      <c r="C176" s="12">
        <v>80</v>
      </c>
      <c r="D176" s="3">
        <v>1</v>
      </c>
      <c r="E176" s="3">
        <v>1</v>
      </c>
      <c r="F176" s="3">
        <v>1</v>
      </c>
      <c r="G176" s="3">
        <v>551.6</v>
      </c>
      <c r="H176" s="13">
        <v>0.91439999999999999</v>
      </c>
      <c r="I176" s="13">
        <v>0.83819999999999995</v>
      </c>
      <c r="J176" s="16">
        <v>0</v>
      </c>
      <c r="K176" s="16">
        <v>0</v>
      </c>
      <c r="L176" s="3">
        <v>0</v>
      </c>
      <c r="M176" s="3">
        <v>0</v>
      </c>
      <c r="N176" s="3">
        <v>990</v>
      </c>
      <c r="O176" s="3">
        <v>1025</v>
      </c>
      <c r="P176" s="1">
        <v>0</v>
      </c>
      <c r="Q176">
        <v>990</v>
      </c>
      <c r="R176" s="3">
        <v>1025</v>
      </c>
      <c r="S176" s="1">
        <v>0</v>
      </c>
    </row>
    <row r="177" spans="1:19" x14ac:dyDescent="0.2">
      <c r="A177" s="12">
        <v>80</v>
      </c>
      <c r="B177" s="12">
        <v>80</v>
      </c>
      <c r="C177" s="12">
        <v>81</v>
      </c>
      <c r="D177" s="3">
        <v>1</v>
      </c>
      <c r="E177" s="3">
        <v>1</v>
      </c>
      <c r="F177" s="3">
        <v>1</v>
      </c>
      <c r="G177" s="3">
        <v>551.6</v>
      </c>
      <c r="H177" s="13">
        <v>0.91439999999999999</v>
      </c>
      <c r="I177" s="13">
        <v>0.83819999999999995</v>
      </c>
      <c r="J177" s="16">
        <v>0</v>
      </c>
      <c r="K177" s="16">
        <v>0</v>
      </c>
      <c r="L177" s="3">
        <v>0</v>
      </c>
      <c r="M177" s="3">
        <v>0</v>
      </c>
      <c r="N177" s="3">
        <v>990</v>
      </c>
      <c r="O177" s="3">
        <v>1025</v>
      </c>
      <c r="P177" s="1">
        <v>0</v>
      </c>
      <c r="Q177">
        <v>990</v>
      </c>
      <c r="R177" s="3">
        <v>1025</v>
      </c>
      <c r="S177" s="1">
        <v>0</v>
      </c>
    </row>
    <row r="178" spans="1:19" x14ac:dyDescent="0.2">
      <c r="A178" s="12">
        <v>81</v>
      </c>
      <c r="B178" s="12">
        <v>81</v>
      </c>
      <c r="C178" s="12">
        <v>82</v>
      </c>
      <c r="D178" s="3">
        <v>1</v>
      </c>
      <c r="E178" s="3">
        <v>1</v>
      </c>
      <c r="F178" s="3">
        <v>1</v>
      </c>
      <c r="G178" s="3">
        <v>551.6</v>
      </c>
      <c r="H178" s="13">
        <v>0.91439999999999999</v>
      </c>
      <c r="I178" s="13">
        <v>0.83819999999999995</v>
      </c>
      <c r="J178" s="16">
        <v>0</v>
      </c>
      <c r="K178" s="16">
        <v>0</v>
      </c>
      <c r="L178" s="3">
        <v>0</v>
      </c>
      <c r="M178" s="3">
        <v>0</v>
      </c>
      <c r="N178" s="3">
        <v>990</v>
      </c>
      <c r="O178" s="3">
        <v>1025</v>
      </c>
      <c r="P178" s="1">
        <v>0</v>
      </c>
      <c r="Q178">
        <v>990</v>
      </c>
      <c r="R178" s="3">
        <v>1025</v>
      </c>
      <c r="S178" s="1">
        <v>0</v>
      </c>
    </row>
    <row r="179" spans="1:19" x14ac:dyDescent="0.2">
      <c r="A179" s="12">
        <v>82</v>
      </c>
      <c r="B179" s="12">
        <v>82</v>
      </c>
      <c r="C179" s="12">
        <v>83</v>
      </c>
      <c r="D179" s="3">
        <v>1</v>
      </c>
      <c r="E179" s="3">
        <v>1</v>
      </c>
      <c r="F179" s="3">
        <v>1</v>
      </c>
      <c r="G179" s="3">
        <v>551.6</v>
      </c>
      <c r="H179" s="13">
        <v>0.91439999999999999</v>
      </c>
      <c r="I179" s="13">
        <v>0.83819999999999995</v>
      </c>
      <c r="J179" s="16">
        <v>0</v>
      </c>
      <c r="K179" s="16">
        <v>0</v>
      </c>
      <c r="L179" s="3">
        <v>0</v>
      </c>
      <c r="M179" s="3">
        <v>0</v>
      </c>
      <c r="N179" s="3">
        <v>990</v>
      </c>
      <c r="O179" s="3">
        <v>1025</v>
      </c>
      <c r="P179" s="1">
        <v>0</v>
      </c>
      <c r="Q179">
        <v>990</v>
      </c>
      <c r="R179" s="3">
        <v>1025</v>
      </c>
      <c r="S179" s="1">
        <v>0</v>
      </c>
    </row>
    <row r="180" spans="1:19" x14ac:dyDescent="0.2">
      <c r="A180" s="12">
        <v>83</v>
      </c>
      <c r="B180" s="12">
        <v>83</v>
      </c>
      <c r="C180" s="12">
        <v>84</v>
      </c>
      <c r="D180" s="3">
        <v>1</v>
      </c>
      <c r="E180" s="3">
        <v>1</v>
      </c>
      <c r="F180" s="3">
        <v>1</v>
      </c>
      <c r="G180" s="3">
        <v>551.6</v>
      </c>
      <c r="H180" s="13">
        <v>0.91439999999999999</v>
      </c>
      <c r="I180" s="13">
        <v>0.83819999999999995</v>
      </c>
      <c r="J180" s="16">
        <v>0</v>
      </c>
      <c r="K180" s="16">
        <v>0</v>
      </c>
      <c r="L180" s="3">
        <v>0</v>
      </c>
      <c r="M180" s="3">
        <v>0</v>
      </c>
      <c r="N180" s="3">
        <v>990</v>
      </c>
      <c r="O180" s="3">
        <v>1025</v>
      </c>
      <c r="P180" s="1">
        <v>0</v>
      </c>
      <c r="Q180">
        <v>990</v>
      </c>
      <c r="R180" s="3">
        <v>1025</v>
      </c>
      <c r="S180" s="1">
        <v>0</v>
      </c>
    </row>
    <row r="181" spans="1:19" x14ac:dyDescent="0.2">
      <c r="A181" s="12">
        <v>84</v>
      </c>
      <c r="B181" s="12">
        <v>84</v>
      </c>
      <c r="C181" s="12">
        <v>85</v>
      </c>
      <c r="D181" s="3">
        <v>1</v>
      </c>
      <c r="E181" s="3">
        <v>1</v>
      </c>
      <c r="F181" s="3">
        <v>1</v>
      </c>
      <c r="G181" s="3">
        <v>551.6</v>
      </c>
      <c r="H181" s="13">
        <v>0.91439999999999999</v>
      </c>
      <c r="I181" s="13">
        <v>0.81279999999999997</v>
      </c>
      <c r="J181" s="16">
        <v>0</v>
      </c>
      <c r="K181" s="16">
        <v>0</v>
      </c>
      <c r="L181" s="3">
        <v>0</v>
      </c>
      <c r="M181" s="3">
        <v>0</v>
      </c>
      <c r="N181" s="3">
        <v>990</v>
      </c>
      <c r="O181" s="3">
        <v>1025</v>
      </c>
      <c r="P181" s="1">
        <v>0</v>
      </c>
      <c r="Q181">
        <v>990</v>
      </c>
      <c r="R181" s="3">
        <v>1025</v>
      </c>
      <c r="S181" s="1">
        <v>0</v>
      </c>
    </row>
    <row r="182" spans="1:19" x14ac:dyDescent="0.2">
      <c r="A182" s="12">
        <v>85</v>
      </c>
      <c r="B182" s="12">
        <v>85</v>
      </c>
      <c r="C182" s="12">
        <v>86</v>
      </c>
      <c r="D182" s="3">
        <v>1</v>
      </c>
      <c r="E182" s="3">
        <v>1</v>
      </c>
      <c r="F182" s="3">
        <v>1</v>
      </c>
      <c r="G182" s="3">
        <v>551.6</v>
      </c>
      <c r="H182" s="13">
        <v>0.91439999999999999</v>
      </c>
      <c r="I182" s="13">
        <v>0.81279999999999997</v>
      </c>
      <c r="J182" s="16">
        <v>0</v>
      </c>
      <c r="K182" s="16">
        <v>0</v>
      </c>
      <c r="L182" s="3">
        <v>0</v>
      </c>
      <c r="M182" s="3">
        <v>0</v>
      </c>
      <c r="N182" s="3">
        <v>990</v>
      </c>
      <c r="O182" s="3">
        <v>1025</v>
      </c>
      <c r="P182" s="1">
        <v>0</v>
      </c>
      <c r="Q182">
        <v>990</v>
      </c>
      <c r="R182" s="3">
        <v>1025</v>
      </c>
      <c r="S182" s="1">
        <v>0</v>
      </c>
    </row>
    <row r="183" spans="1:19" x14ac:dyDescent="0.2">
      <c r="A183" s="12">
        <v>86</v>
      </c>
      <c r="B183" s="12">
        <v>86</v>
      </c>
      <c r="C183" s="12">
        <v>87</v>
      </c>
      <c r="D183" s="3">
        <v>1</v>
      </c>
      <c r="E183" s="3">
        <v>1</v>
      </c>
      <c r="F183" s="3">
        <v>1</v>
      </c>
      <c r="G183" s="3">
        <v>551.6</v>
      </c>
      <c r="H183" s="13">
        <v>0.91439999999999999</v>
      </c>
      <c r="I183" s="13">
        <v>0.81279999999999997</v>
      </c>
      <c r="J183" s="16">
        <v>0</v>
      </c>
      <c r="K183" s="16">
        <v>0</v>
      </c>
      <c r="L183" s="3">
        <v>0</v>
      </c>
      <c r="M183" s="3">
        <v>0</v>
      </c>
      <c r="N183" s="3">
        <v>990</v>
      </c>
      <c r="O183" s="3">
        <v>1025</v>
      </c>
      <c r="P183" s="1">
        <v>0</v>
      </c>
      <c r="Q183">
        <v>990</v>
      </c>
      <c r="R183" s="3">
        <v>1025</v>
      </c>
      <c r="S183" s="1">
        <v>0</v>
      </c>
    </row>
    <row r="184" spans="1:19" x14ac:dyDescent="0.2">
      <c r="A184" s="12">
        <v>87</v>
      </c>
      <c r="B184" s="12">
        <v>87</v>
      </c>
      <c r="C184" s="12">
        <v>88</v>
      </c>
      <c r="D184" s="3">
        <v>1</v>
      </c>
      <c r="E184" s="3">
        <v>1</v>
      </c>
      <c r="F184" s="3">
        <v>1</v>
      </c>
      <c r="G184" s="3">
        <v>551.6</v>
      </c>
      <c r="H184" s="13">
        <v>0.91439999999999999</v>
      </c>
      <c r="I184" s="13">
        <v>0.81279999999999997</v>
      </c>
      <c r="J184" s="16">
        <v>0</v>
      </c>
      <c r="K184" s="16">
        <v>0</v>
      </c>
      <c r="L184" s="3">
        <v>0</v>
      </c>
      <c r="M184" s="3">
        <v>0</v>
      </c>
      <c r="N184" s="3">
        <v>990</v>
      </c>
      <c r="O184" s="3">
        <v>1025</v>
      </c>
      <c r="P184" s="1">
        <v>0</v>
      </c>
      <c r="Q184">
        <v>990</v>
      </c>
      <c r="R184" s="3">
        <v>1025</v>
      </c>
      <c r="S184" s="1">
        <v>0</v>
      </c>
    </row>
    <row r="185" spans="1:19" x14ac:dyDescent="0.2">
      <c r="A185" s="12">
        <v>88</v>
      </c>
      <c r="B185" s="12">
        <v>88</v>
      </c>
      <c r="C185" s="12">
        <v>89</v>
      </c>
      <c r="D185" s="3">
        <v>1</v>
      </c>
      <c r="E185" s="3">
        <v>1</v>
      </c>
      <c r="F185" s="3">
        <v>1</v>
      </c>
      <c r="G185" s="3">
        <v>551.6</v>
      </c>
      <c r="H185" s="13">
        <v>0.91439999999999999</v>
      </c>
      <c r="I185" s="13">
        <v>0.81279999999999997</v>
      </c>
      <c r="J185" s="16">
        <v>0</v>
      </c>
      <c r="K185" s="16">
        <v>0</v>
      </c>
      <c r="L185" s="3">
        <v>0</v>
      </c>
      <c r="M185" s="3">
        <v>0</v>
      </c>
      <c r="N185" s="3">
        <v>990</v>
      </c>
      <c r="O185" s="3">
        <v>1025</v>
      </c>
      <c r="P185" s="1">
        <v>0</v>
      </c>
      <c r="Q185">
        <v>990</v>
      </c>
      <c r="R185" s="3">
        <v>1025</v>
      </c>
      <c r="S185" s="1">
        <v>0</v>
      </c>
    </row>
    <row r="186" spans="1:19" x14ac:dyDescent="0.2">
      <c r="A186" s="12">
        <v>89</v>
      </c>
      <c r="B186" s="12">
        <v>89</v>
      </c>
      <c r="C186" s="12">
        <v>90</v>
      </c>
      <c r="D186" s="3">
        <v>1</v>
      </c>
      <c r="E186" s="3">
        <v>1</v>
      </c>
      <c r="F186" s="3">
        <v>1</v>
      </c>
      <c r="G186" s="3">
        <v>551.6</v>
      </c>
      <c r="H186" s="13">
        <v>0.91439999999999999</v>
      </c>
      <c r="I186" s="13">
        <v>0.81279999999999997</v>
      </c>
      <c r="J186" s="16">
        <v>0</v>
      </c>
      <c r="K186" s="16">
        <v>0</v>
      </c>
      <c r="L186" s="3">
        <v>0</v>
      </c>
      <c r="M186" s="3">
        <v>0</v>
      </c>
      <c r="N186" s="3">
        <v>990</v>
      </c>
      <c r="O186" s="3">
        <v>1025</v>
      </c>
      <c r="P186" s="1">
        <v>0</v>
      </c>
      <c r="Q186">
        <v>990</v>
      </c>
      <c r="R186" s="3">
        <v>1025</v>
      </c>
      <c r="S186" s="1">
        <v>0</v>
      </c>
    </row>
    <row r="187" spans="1:19" x14ac:dyDescent="0.2">
      <c r="A187" s="12">
        <v>90</v>
      </c>
      <c r="B187" s="12">
        <v>90</v>
      </c>
      <c r="C187" s="12">
        <v>91</v>
      </c>
      <c r="D187" s="3">
        <v>1</v>
      </c>
      <c r="E187" s="3">
        <v>1</v>
      </c>
      <c r="F187" s="3">
        <v>1</v>
      </c>
      <c r="G187" s="3">
        <v>551.6</v>
      </c>
      <c r="H187" s="13">
        <v>0.91439999999999999</v>
      </c>
      <c r="I187" s="13">
        <v>0.81279999999999997</v>
      </c>
      <c r="J187" s="16">
        <v>0</v>
      </c>
      <c r="K187" s="16">
        <v>0</v>
      </c>
      <c r="L187" s="3">
        <v>0</v>
      </c>
      <c r="M187" s="3">
        <v>0</v>
      </c>
      <c r="N187" s="3">
        <v>990</v>
      </c>
      <c r="O187" s="3">
        <v>1025</v>
      </c>
      <c r="P187" s="1">
        <v>0</v>
      </c>
      <c r="Q187">
        <v>990</v>
      </c>
      <c r="R187" s="3">
        <v>1025</v>
      </c>
      <c r="S187" s="1">
        <v>0</v>
      </c>
    </row>
    <row r="188" spans="1:19" x14ac:dyDescent="0.2">
      <c r="A188" s="12">
        <v>91</v>
      </c>
      <c r="B188" s="12">
        <v>91</v>
      </c>
      <c r="C188" s="12">
        <v>92</v>
      </c>
      <c r="D188" s="3">
        <v>1</v>
      </c>
      <c r="E188" s="3">
        <v>1</v>
      </c>
      <c r="F188" s="3">
        <v>1</v>
      </c>
      <c r="G188" s="3">
        <v>551.6</v>
      </c>
      <c r="H188" s="13">
        <v>0.91439999999999999</v>
      </c>
      <c r="I188" s="13">
        <v>0.81279999999999997</v>
      </c>
      <c r="J188" s="16">
        <v>0</v>
      </c>
      <c r="K188" s="16">
        <v>0</v>
      </c>
      <c r="L188" s="3">
        <v>0</v>
      </c>
      <c r="M188" s="3">
        <v>0</v>
      </c>
      <c r="N188" s="3">
        <v>990</v>
      </c>
      <c r="O188" s="3">
        <v>1025</v>
      </c>
      <c r="P188" s="1">
        <v>0</v>
      </c>
      <c r="Q188">
        <v>990</v>
      </c>
      <c r="R188" s="3">
        <v>1025</v>
      </c>
      <c r="S188" s="1">
        <v>0</v>
      </c>
    </row>
    <row r="189" spans="1:19" x14ac:dyDescent="0.2">
      <c r="A189" s="12">
        <v>92</v>
      </c>
      <c r="B189" s="12">
        <v>92</v>
      </c>
      <c r="C189" s="12">
        <v>93</v>
      </c>
      <c r="D189" s="3">
        <v>1</v>
      </c>
      <c r="E189" s="3">
        <v>1</v>
      </c>
      <c r="F189" s="3">
        <v>1</v>
      </c>
      <c r="G189" s="3">
        <v>551.6</v>
      </c>
      <c r="H189" s="13">
        <v>0.91439999999999999</v>
      </c>
      <c r="I189" s="13">
        <v>0.81279999999999997</v>
      </c>
      <c r="J189" s="16">
        <v>0</v>
      </c>
      <c r="K189" s="16">
        <v>0</v>
      </c>
      <c r="L189" s="3">
        <v>0</v>
      </c>
      <c r="M189" s="3">
        <v>0</v>
      </c>
      <c r="N189" s="3">
        <v>990</v>
      </c>
      <c r="O189" s="3">
        <v>1025</v>
      </c>
      <c r="P189" s="1">
        <v>0</v>
      </c>
      <c r="Q189">
        <v>990</v>
      </c>
      <c r="R189" s="3">
        <v>1025</v>
      </c>
      <c r="S189" s="1">
        <v>0</v>
      </c>
    </row>
    <row r="190" spans="1:19" x14ac:dyDescent="0.2">
      <c r="A190" s="12">
        <v>93</v>
      </c>
      <c r="B190" s="12">
        <v>93</v>
      </c>
      <c r="C190" s="12">
        <v>94</v>
      </c>
      <c r="D190" s="3">
        <v>1</v>
      </c>
      <c r="E190" s="3">
        <v>1</v>
      </c>
      <c r="F190" s="3">
        <v>1</v>
      </c>
      <c r="G190" s="3">
        <v>551.6</v>
      </c>
      <c r="H190" s="13">
        <v>0.91439999999999999</v>
      </c>
      <c r="I190" s="13">
        <v>0.81279999999999997</v>
      </c>
      <c r="J190" s="16">
        <v>0</v>
      </c>
      <c r="K190" s="16">
        <v>0</v>
      </c>
      <c r="L190" s="3">
        <v>0</v>
      </c>
      <c r="M190" s="3">
        <v>0</v>
      </c>
      <c r="N190" s="3">
        <v>990</v>
      </c>
      <c r="O190" s="3">
        <v>1025</v>
      </c>
      <c r="P190" s="1">
        <v>0</v>
      </c>
      <c r="Q190">
        <v>990</v>
      </c>
      <c r="R190" s="3">
        <v>1025</v>
      </c>
      <c r="S190" s="1">
        <v>0</v>
      </c>
    </row>
    <row r="191" spans="1:19" x14ac:dyDescent="0.2">
      <c r="A191" s="12">
        <v>94</v>
      </c>
      <c r="B191" s="12">
        <v>94</v>
      </c>
      <c r="C191" s="12">
        <v>95</v>
      </c>
      <c r="D191" s="3">
        <v>1</v>
      </c>
      <c r="E191" s="3">
        <v>1</v>
      </c>
      <c r="F191" s="3">
        <v>1</v>
      </c>
      <c r="G191" s="3">
        <v>551.6</v>
      </c>
      <c r="H191" s="13">
        <v>0.91439999999999999</v>
      </c>
      <c r="I191" s="13">
        <v>0.81279999999999997</v>
      </c>
      <c r="J191" s="16">
        <v>0</v>
      </c>
      <c r="K191" s="16">
        <v>0</v>
      </c>
      <c r="L191" s="3">
        <v>0</v>
      </c>
      <c r="M191" s="3">
        <v>0</v>
      </c>
      <c r="N191" s="3">
        <v>990</v>
      </c>
      <c r="O191" s="3">
        <v>1025</v>
      </c>
      <c r="P191" s="1">
        <v>0</v>
      </c>
      <c r="Q191">
        <v>990</v>
      </c>
      <c r="R191" s="3">
        <v>1025</v>
      </c>
      <c r="S191" s="1">
        <v>0</v>
      </c>
    </row>
    <row r="192" spans="1:19" x14ac:dyDescent="0.2">
      <c r="A192" s="12">
        <v>95</v>
      </c>
      <c r="B192" s="12">
        <v>95</v>
      </c>
      <c r="C192" s="12">
        <v>96</v>
      </c>
      <c r="D192" s="3">
        <v>1</v>
      </c>
      <c r="E192" s="3">
        <v>1</v>
      </c>
      <c r="F192" s="3">
        <v>1</v>
      </c>
      <c r="G192" s="3">
        <v>551.6</v>
      </c>
      <c r="H192" s="13">
        <v>0.91439999999999999</v>
      </c>
      <c r="I192" s="13">
        <v>0.81279999999999997</v>
      </c>
      <c r="J192" s="16">
        <v>0</v>
      </c>
      <c r="K192" s="16">
        <v>0</v>
      </c>
      <c r="L192" s="3">
        <v>0</v>
      </c>
      <c r="M192" s="3">
        <v>0</v>
      </c>
      <c r="N192" s="3">
        <v>990</v>
      </c>
      <c r="O192" s="3">
        <v>1025</v>
      </c>
      <c r="P192" s="1">
        <v>0</v>
      </c>
      <c r="Q192">
        <v>990</v>
      </c>
      <c r="R192" s="3">
        <v>1025</v>
      </c>
      <c r="S192" s="1">
        <v>0</v>
      </c>
    </row>
    <row r="193" spans="1:19" x14ac:dyDescent="0.2">
      <c r="A193" s="12">
        <v>96</v>
      </c>
      <c r="B193" s="12">
        <v>96</v>
      </c>
      <c r="C193" s="12">
        <v>97</v>
      </c>
      <c r="D193" s="3">
        <v>1</v>
      </c>
      <c r="E193" s="3">
        <v>1</v>
      </c>
      <c r="F193" s="3">
        <v>1</v>
      </c>
      <c r="G193" s="3">
        <v>551.6</v>
      </c>
      <c r="H193" s="13">
        <v>0.91439999999999999</v>
      </c>
      <c r="I193" s="13">
        <v>0.81279999999999997</v>
      </c>
      <c r="J193" s="16">
        <v>0</v>
      </c>
      <c r="K193" s="16">
        <v>0</v>
      </c>
      <c r="L193" s="3">
        <v>0</v>
      </c>
      <c r="M193" s="3">
        <v>0</v>
      </c>
      <c r="N193" s="3">
        <v>990</v>
      </c>
      <c r="O193" s="3">
        <v>1025</v>
      </c>
      <c r="P193" s="1">
        <v>0</v>
      </c>
      <c r="Q193">
        <v>990</v>
      </c>
      <c r="R193" s="3">
        <v>1025</v>
      </c>
      <c r="S193" s="1">
        <v>0</v>
      </c>
    </row>
    <row r="194" spans="1:19" x14ac:dyDescent="0.2">
      <c r="A194" s="12">
        <v>97</v>
      </c>
      <c r="B194" s="12">
        <v>97</v>
      </c>
      <c r="C194" s="12">
        <v>98</v>
      </c>
      <c r="D194" s="3">
        <v>1</v>
      </c>
      <c r="E194" s="3">
        <v>1</v>
      </c>
      <c r="F194" s="3">
        <v>1</v>
      </c>
      <c r="G194" s="3">
        <v>551.6</v>
      </c>
      <c r="H194" s="13">
        <v>0.91439999999999999</v>
      </c>
      <c r="I194" s="13">
        <v>0.81279999999999997</v>
      </c>
      <c r="J194" s="16">
        <v>0</v>
      </c>
      <c r="K194" s="16">
        <v>0</v>
      </c>
      <c r="L194" s="3">
        <v>0</v>
      </c>
      <c r="M194" s="3">
        <v>0</v>
      </c>
      <c r="N194" s="3">
        <v>990</v>
      </c>
      <c r="O194" s="3">
        <v>1025</v>
      </c>
      <c r="P194" s="1">
        <v>0</v>
      </c>
      <c r="Q194">
        <v>990</v>
      </c>
      <c r="R194" s="3">
        <v>1025</v>
      </c>
      <c r="S194" s="1">
        <v>0</v>
      </c>
    </row>
    <row r="195" spans="1:19" x14ac:dyDescent="0.2">
      <c r="A195" s="12">
        <v>98</v>
      </c>
      <c r="B195" s="12">
        <v>98</v>
      </c>
      <c r="C195" s="12">
        <v>99</v>
      </c>
      <c r="D195" s="3">
        <v>1</v>
      </c>
      <c r="E195" s="3">
        <v>1</v>
      </c>
      <c r="F195" s="3">
        <v>1</v>
      </c>
      <c r="G195" s="3">
        <v>551.6</v>
      </c>
      <c r="H195" s="13">
        <v>0.91439999999999999</v>
      </c>
      <c r="I195" s="13">
        <v>0.81279999999999997</v>
      </c>
      <c r="J195" s="16">
        <v>0</v>
      </c>
      <c r="K195" s="16">
        <v>0</v>
      </c>
      <c r="L195" s="3">
        <v>0</v>
      </c>
      <c r="M195" s="3">
        <v>0</v>
      </c>
      <c r="N195" s="3">
        <v>990</v>
      </c>
      <c r="O195" s="3">
        <v>1025</v>
      </c>
      <c r="P195" s="1">
        <v>0</v>
      </c>
      <c r="Q195">
        <v>990</v>
      </c>
      <c r="R195" s="3">
        <v>1025</v>
      </c>
      <c r="S195" s="1">
        <v>0</v>
      </c>
    </row>
    <row r="196" spans="1:19" x14ac:dyDescent="0.2">
      <c r="A196" s="12">
        <v>99</v>
      </c>
      <c r="B196" s="12">
        <v>99</v>
      </c>
      <c r="C196" s="12">
        <v>100</v>
      </c>
      <c r="D196" s="3">
        <v>1</v>
      </c>
      <c r="E196" s="3">
        <v>1</v>
      </c>
      <c r="F196" s="3">
        <v>1</v>
      </c>
      <c r="G196" s="3">
        <v>551.6</v>
      </c>
      <c r="H196" s="13">
        <v>0.91439999999999999</v>
      </c>
      <c r="I196" s="13">
        <v>0.81279999999999997</v>
      </c>
      <c r="J196" s="16">
        <v>0</v>
      </c>
      <c r="K196" s="16">
        <v>0</v>
      </c>
      <c r="L196" s="3">
        <v>0</v>
      </c>
      <c r="M196" s="3">
        <v>0</v>
      </c>
      <c r="N196" s="3">
        <v>990</v>
      </c>
      <c r="O196" s="3">
        <v>1025</v>
      </c>
      <c r="P196" s="1">
        <v>0</v>
      </c>
      <c r="Q196">
        <v>990</v>
      </c>
      <c r="R196" s="3">
        <v>1025</v>
      </c>
      <c r="S196" s="1">
        <v>0</v>
      </c>
    </row>
    <row r="197" spans="1:19" x14ac:dyDescent="0.2">
      <c r="A197" s="12">
        <v>100</v>
      </c>
      <c r="B197" s="12">
        <v>100</v>
      </c>
      <c r="C197" s="12">
        <v>101</v>
      </c>
      <c r="D197" s="3">
        <v>1</v>
      </c>
      <c r="E197" s="3">
        <v>1</v>
      </c>
      <c r="F197" s="3">
        <v>1</v>
      </c>
      <c r="G197" s="3">
        <v>551.6</v>
      </c>
      <c r="H197" s="13">
        <v>0.91439999999999999</v>
      </c>
      <c r="I197" s="13">
        <v>0.81279999999999997</v>
      </c>
      <c r="J197" s="16">
        <v>0</v>
      </c>
      <c r="K197" s="16">
        <v>0</v>
      </c>
      <c r="L197" s="3">
        <v>0</v>
      </c>
      <c r="M197" s="3">
        <v>0</v>
      </c>
      <c r="N197" s="3">
        <v>990</v>
      </c>
      <c r="O197" s="3">
        <v>1025</v>
      </c>
      <c r="P197" s="1">
        <v>0</v>
      </c>
      <c r="Q197">
        <v>990</v>
      </c>
      <c r="R197" s="3">
        <v>1025</v>
      </c>
      <c r="S197" s="1">
        <v>0</v>
      </c>
    </row>
    <row r="198" spans="1:19" x14ac:dyDescent="0.2">
      <c r="A198" s="12">
        <v>101</v>
      </c>
      <c r="B198" s="12">
        <v>101</v>
      </c>
      <c r="C198" s="12">
        <v>102</v>
      </c>
      <c r="D198" s="3">
        <v>1</v>
      </c>
      <c r="E198" s="3">
        <v>1</v>
      </c>
      <c r="F198" s="3">
        <v>1</v>
      </c>
      <c r="G198" s="3">
        <v>551.6</v>
      </c>
      <c r="H198" s="13">
        <v>0.91439999999999999</v>
      </c>
      <c r="I198" s="13">
        <v>0.81279999999999997</v>
      </c>
      <c r="J198" s="16">
        <v>0</v>
      </c>
      <c r="K198" s="16">
        <v>0</v>
      </c>
      <c r="L198" s="3">
        <v>0</v>
      </c>
      <c r="M198" s="3">
        <v>0</v>
      </c>
      <c r="N198" s="3">
        <v>990</v>
      </c>
      <c r="O198" s="3">
        <v>1025</v>
      </c>
      <c r="P198" s="1">
        <v>0</v>
      </c>
      <c r="Q198">
        <v>990</v>
      </c>
      <c r="R198" s="3">
        <v>1025</v>
      </c>
      <c r="S198" s="1">
        <v>0</v>
      </c>
    </row>
    <row r="199" spans="1:19" x14ac:dyDescent="0.2">
      <c r="A199" s="12">
        <v>102</v>
      </c>
      <c r="B199" s="12">
        <v>102</v>
      </c>
      <c r="C199" s="12">
        <v>103</v>
      </c>
      <c r="D199" s="3">
        <v>1</v>
      </c>
      <c r="E199" s="3">
        <v>1</v>
      </c>
      <c r="F199" s="3">
        <v>1</v>
      </c>
      <c r="G199" s="3">
        <v>551.6</v>
      </c>
      <c r="H199" s="13">
        <v>0.91439999999999999</v>
      </c>
      <c r="I199" s="13">
        <v>0.81279999999999997</v>
      </c>
      <c r="J199" s="16">
        <v>0</v>
      </c>
      <c r="K199" s="16">
        <v>0</v>
      </c>
      <c r="L199" s="3">
        <v>0</v>
      </c>
      <c r="M199" s="3">
        <v>0</v>
      </c>
      <c r="N199" s="3">
        <v>990</v>
      </c>
      <c r="O199" s="3">
        <v>1025</v>
      </c>
      <c r="P199" s="1">
        <v>0</v>
      </c>
      <c r="Q199">
        <v>990</v>
      </c>
      <c r="R199" s="3">
        <v>1025</v>
      </c>
      <c r="S199" s="1">
        <v>0</v>
      </c>
    </row>
    <row r="200" spans="1:19" x14ac:dyDescent="0.2">
      <c r="A200" s="12">
        <v>103</v>
      </c>
      <c r="B200" s="12">
        <v>103</v>
      </c>
      <c r="C200" s="12">
        <v>104</v>
      </c>
      <c r="D200" s="3">
        <v>1</v>
      </c>
      <c r="E200" s="3">
        <v>1</v>
      </c>
      <c r="F200" s="3">
        <v>1</v>
      </c>
      <c r="G200" s="3">
        <v>551.6</v>
      </c>
      <c r="H200" s="13">
        <v>0.91439999999999999</v>
      </c>
      <c r="I200" s="13">
        <v>0.81279999999999997</v>
      </c>
      <c r="J200" s="16">
        <v>0</v>
      </c>
      <c r="K200" s="16">
        <v>0</v>
      </c>
      <c r="L200" s="3">
        <v>0</v>
      </c>
      <c r="M200" s="3">
        <v>0</v>
      </c>
      <c r="N200" s="3">
        <v>990</v>
      </c>
      <c r="O200" s="3">
        <v>1025</v>
      </c>
      <c r="P200" s="1">
        <v>0</v>
      </c>
      <c r="Q200">
        <v>990</v>
      </c>
      <c r="R200" s="3">
        <v>1025</v>
      </c>
      <c r="S200" s="1">
        <v>0</v>
      </c>
    </row>
    <row r="201" spans="1:19" x14ac:dyDescent="0.2">
      <c r="A201" s="12">
        <v>104</v>
      </c>
      <c r="B201" s="12">
        <v>104</v>
      </c>
      <c r="C201" s="12">
        <v>105</v>
      </c>
      <c r="D201" s="3">
        <v>1</v>
      </c>
      <c r="E201" s="3">
        <v>1</v>
      </c>
      <c r="F201" s="3">
        <v>1</v>
      </c>
      <c r="G201" s="3">
        <v>551.6</v>
      </c>
      <c r="H201" s="13">
        <v>0.91439999999999999</v>
      </c>
      <c r="I201" s="13">
        <v>0.81279999999999997</v>
      </c>
      <c r="J201" s="16">
        <v>0</v>
      </c>
      <c r="K201" s="16">
        <v>0</v>
      </c>
      <c r="L201" s="3">
        <v>0</v>
      </c>
      <c r="M201" s="3">
        <v>0</v>
      </c>
      <c r="N201" s="3">
        <v>990</v>
      </c>
      <c r="O201" s="3">
        <v>1025</v>
      </c>
      <c r="P201" s="1">
        <v>0</v>
      </c>
      <c r="Q201">
        <v>990</v>
      </c>
      <c r="R201" s="3">
        <v>1025</v>
      </c>
      <c r="S201" s="1">
        <v>0</v>
      </c>
    </row>
    <row r="202" spans="1:19" x14ac:dyDescent="0.2">
      <c r="A202" s="12">
        <v>105</v>
      </c>
      <c r="B202" s="12">
        <v>105</v>
      </c>
      <c r="C202" s="12">
        <v>106</v>
      </c>
      <c r="D202" s="3">
        <v>1</v>
      </c>
      <c r="E202" s="3">
        <v>1</v>
      </c>
      <c r="F202" s="3">
        <v>1</v>
      </c>
      <c r="G202" s="3">
        <v>551.6</v>
      </c>
      <c r="H202" s="13">
        <v>0.91439999999999999</v>
      </c>
      <c r="I202" s="13">
        <v>0.81279999999999997</v>
      </c>
      <c r="J202" s="16">
        <v>0</v>
      </c>
      <c r="K202" s="16">
        <v>0</v>
      </c>
      <c r="L202" s="3">
        <v>0</v>
      </c>
      <c r="M202" s="3">
        <v>0</v>
      </c>
      <c r="N202" s="3">
        <v>990</v>
      </c>
      <c r="O202" s="3">
        <v>1025</v>
      </c>
      <c r="P202" s="1">
        <v>0</v>
      </c>
      <c r="Q202">
        <v>990</v>
      </c>
      <c r="R202" s="3">
        <v>1025</v>
      </c>
      <c r="S202" s="1">
        <v>0</v>
      </c>
    </row>
    <row r="203" spans="1:19" x14ac:dyDescent="0.2">
      <c r="A203" s="12">
        <v>106</v>
      </c>
      <c r="B203" s="12">
        <v>106</v>
      </c>
      <c r="C203" s="12">
        <v>107</v>
      </c>
      <c r="D203" s="3">
        <v>1</v>
      </c>
      <c r="E203" s="3">
        <v>1</v>
      </c>
      <c r="F203" s="3">
        <v>1</v>
      </c>
      <c r="G203" s="3">
        <v>551.6</v>
      </c>
      <c r="H203" s="13">
        <v>0.91439999999999999</v>
      </c>
      <c r="I203" s="13">
        <v>0.81279999999999997</v>
      </c>
      <c r="J203" s="16">
        <v>0</v>
      </c>
      <c r="K203" s="16">
        <v>0</v>
      </c>
      <c r="L203" s="3">
        <v>0</v>
      </c>
      <c r="M203" s="3">
        <v>0</v>
      </c>
      <c r="N203" s="3">
        <v>990</v>
      </c>
      <c r="O203" s="3">
        <v>1025</v>
      </c>
      <c r="P203" s="1">
        <v>0</v>
      </c>
      <c r="Q203">
        <v>990</v>
      </c>
      <c r="R203" s="3">
        <v>1025</v>
      </c>
      <c r="S203" s="1">
        <v>0</v>
      </c>
    </row>
    <row r="204" spans="1:19" x14ac:dyDescent="0.2">
      <c r="A204" s="12">
        <v>107</v>
      </c>
      <c r="B204" s="12">
        <v>107</v>
      </c>
      <c r="C204" s="12">
        <v>108</v>
      </c>
      <c r="D204" s="3">
        <v>1</v>
      </c>
      <c r="E204" s="3">
        <v>1</v>
      </c>
      <c r="F204" s="3">
        <v>1</v>
      </c>
      <c r="G204" s="3">
        <v>551.6</v>
      </c>
      <c r="H204" s="13">
        <v>0.91439999999999999</v>
      </c>
      <c r="I204" s="13">
        <v>0.81279999999999997</v>
      </c>
      <c r="J204" s="16">
        <v>0</v>
      </c>
      <c r="K204" s="16">
        <v>0</v>
      </c>
      <c r="L204" s="3">
        <v>0</v>
      </c>
      <c r="M204" s="3">
        <v>0</v>
      </c>
      <c r="N204" s="3">
        <v>990</v>
      </c>
      <c r="O204" s="3">
        <v>1025</v>
      </c>
      <c r="P204" s="1">
        <v>0</v>
      </c>
      <c r="Q204">
        <v>990</v>
      </c>
      <c r="R204" s="3">
        <v>1025</v>
      </c>
      <c r="S204" s="1">
        <v>0</v>
      </c>
    </row>
    <row r="205" spans="1:19" x14ac:dyDescent="0.2">
      <c r="A205" s="12">
        <v>108</v>
      </c>
      <c r="B205" s="12">
        <v>108</v>
      </c>
      <c r="C205" s="12">
        <v>109</v>
      </c>
      <c r="D205" s="3">
        <v>1</v>
      </c>
      <c r="E205" s="3">
        <v>1</v>
      </c>
      <c r="F205" s="3">
        <v>1</v>
      </c>
      <c r="G205" s="3">
        <v>551.6</v>
      </c>
      <c r="H205" s="13">
        <v>0.91439999999999999</v>
      </c>
      <c r="I205" s="13">
        <v>0.81279999999999997</v>
      </c>
      <c r="J205" s="16">
        <v>0</v>
      </c>
      <c r="K205" s="16">
        <v>0</v>
      </c>
      <c r="L205" s="3">
        <v>0</v>
      </c>
      <c r="M205" s="3">
        <v>0</v>
      </c>
      <c r="N205" s="3">
        <v>990</v>
      </c>
      <c r="O205" s="3">
        <v>1025</v>
      </c>
      <c r="P205" s="1">
        <v>0</v>
      </c>
      <c r="Q205">
        <v>990</v>
      </c>
      <c r="R205" s="3">
        <v>1025</v>
      </c>
      <c r="S205" s="1">
        <v>0</v>
      </c>
    </row>
    <row r="206" spans="1:19" x14ac:dyDescent="0.2">
      <c r="A206" s="12">
        <v>109</v>
      </c>
      <c r="B206" s="12">
        <v>109</v>
      </c>
      <c r="C206" s="12">
        <v>110</v>
      </c>
      <c r="D206" s="3">
        <v>1</v>
      </c>
      <c r="E206" s="3">
        <v>1</v>
      </c>
      <c r="F206" s="3">
        <v>1</v>
      </c>
      <c r="G206" s="3">
        <v>551.6</v>
      </c>
      <c r="H206" s="13">
        <v>0.91439999999999999</v>
      </c>
      <c r="I206" s="13">
        <v>0.81279999999999997</v>
      </c>
      <c r="J206" s="16">
        <v>0</v>
      </c>
      <c r="K206" s="16">
        <v>0</v>
      </c>
      <c r="L206" s="3">
        <v>0</v>
      </c>
      <c r="M206" s="3">
        <v>0</v>
      </c>
      <c r="N206" s="3">
        <v>990</v>
      </c>
      <c r="O206" s="3">
        <v>1025</v>
      </c>
      <c r="P206" s="1">
        <v>0</v>
      </c>
      <c r="Q206">
        <v>990</v>
      </c>
      <c r="R206" s="3">
        <v>1025</v>
      </c>
      <c r="S206" s="1">
        <v>0</v>
      </c>
    </row>
    <row r="207" spans="1:19" x14ac:dyDescent="0.2">
      <c r="A207" s="12">
        <v>110</v>
      </c>
      <c r="B207" s="12">
        <v>110</v>
      </c>
      <c r="C207" s="12">
        <v>112</v>
      </c>
      <c r="D207" s="3">
        <v>1</v>
      </c>
      <c r="E207" s="3">
        <v>1</v>
      </c>
      <c r="F207" s="3">
        <v>1</v>
      </c>
      <c r="G207" s="3">
        <v>551.6</v>
      </c>
      <c r="H207" s="13">
        <v>0.91439999999999999</v>
      </c>
      <c r="I207" s="13">
        <v>0.81279999999999997</v>
      </c>
      <c r="J207" s="16">
        <v>0</v>
      </c>
      <c r="K207" s="16">
        <v>0</v>
      </c>
      <c r="L207" s="3">
        <v>0</v>
      </c>
      <c r="M207" s="3">
        <v>0</v>
      </c>
      <c r="N207" s="3">
        <v>990</v>
      </c>
      <c r="O207" s="3">
        <v>1025</v>
      </c>
      <c r="P207" s="1">
        <v>0</v>
      </c>
      <c r="Q207">
        <v>990</v>
      </c>
      <c r="R207" s="3">
        <v>1025</v>
      </c>
      <c r="S207" s="1">
        <v>0</v>
      </c>
    </row>
    <row r="208" spans="1:19" x14ac:dyDescent="0.2">
      <c r="A208" s="12">
        <v>111</v>
      </c>
      <c r="B208" s="12">
        <v>112</v>
      </c>
      <c r="C208" s="12">
        <v>113</v>
      </c>
      <c r="D208" s="3">
        <v>1</v>
      </c>
      <c r="E208" s="3">
        <v>1</v>
      </c>
      <c r="F208" s="3">
        <v>1</v>
      </c>
      <c r="G208" s="3">
        <v>551.6</v>
      </c>
      <c r="H208" s="13">
        <v>0.91439999999999999</v>
      </c>
      <c r="I208" s="13">
        <v>0.81279999999999997</v>
      </c>
      <c r="J208" s="16">
        <v>0</v>
      </c>
      <c r="K208" s="16">
        <v>0</v>
      </c>
      <c r="L208" s="3">
        <v>0</v>
      </c>
      <c r="M208" s="3">
        <v>0</v>
      </c>
      <c r="N208" s="3">
        <v>990</v>
      </c>
      <c r="O208" s="3">
        <v>1025</v>
      </c>
      <c r="P208" s="1">
        <v>0</v>
      </c>
      <c r="Q208">
        <v>990</v>
      </c>
      <c r="R208" s="3">
        <v>1025</v>
      </c>
      <c r="S208" s="1">
        <v>0</v>
      </c>
    </row>
    <row r="209" spans="1:19" x14ac:dyDescent="0.2">
      <c r="A209" s="12">
        <v>112</v>
      </c>
      <c r="B209" s="12">
        <v>113</v>
      </c>
      <c r="C209" s="12">
        <v>114</v>
      </c>
      <c r="D209" s="3">
        <v>1</v>
      </c>
      <c r="E209" s="3">
        <v>1</v>
      </c>
      <c r="F209" s="3">
        <v>1</v>
      </c>
      <c r="G209" s="3">
        <v>551.6</v>
      </c>
      <c r="H209" s="13">
        <v>0.91439999999999999</v>
      </c>
      <c r="I209" s="13">
        <v>0.81279999999999997</v>
      </c>
      <c r="J209" s="16">
        <v>0</v>
      </c>
      <c r="K209" s="16">
        <v>0</v>
      </c>
      <c r="L209" s="3">
        <v>0</v>
      </c>
      <c r="M209" s="3">
        <v>0</v>
      </c>
      <c r="N209" s="3">
        <v>990</v>
      </c>
      <c r="O209" s="3">
        <v>1025</v>
      </c>
      <c r="P209" s="1">
        <v>0</v>
      </c>
      <c r="Q209">
        <v>990</v>
      </c>
      <c r="R209" s="3">
        <v>1025</v>
      </c>
      <c r="S209" s="1">
        <v>0</v>
      </c>
    </row>
    <row r="210" spans="1:19" x14ac:dyDescent="0.2">
      <c r="A210" s="12">
        <v>113</v>
      </c>
      <c r="B210" s="12">
        <v>114</v>
      </c>
      <c r="C210" s="12">
        <v>115</v>
      </c>
      <c r="D210" s="3">
        <v>1</v>
      </c>
      <c r="E210" s="3">
        <v>1</v>
      </c>
      <c r="F210" s="3">
        <v>1</v>
      </c>
      <c r="G210" s="3">
        <v>551.6</v>
      </c>
      <c r="H210" s="13">
        <v>0.91439999999999999</v>
      </c>
      <c r="I210" s="13">
        <v>0.81279999999999997</v>
      </c>
      <c r="J210" s="16">
        <v>0</v>
      </c>
      <c r="K210" s="16">
        <v>0</v>
      </c>
      <c r="L210" s="3">
        <v>0</v>
      </c>
      <c r="M210" s="3">
        <v>0</v>
      </c>
      <c r="N210" s="3">
        <v>990</v>
      </c>
      <c r="O210" s="3">
        <v>1025</v>
      </c>
      <c r="P210" s="1">
        <v>0</v>
      </c>
      <c r="Q210">
        <v>990</v>
      </c>
      <c r="R210" s="3">
        <v>1025</v>
      </c>
      <c r="S210" s="1">
        <v>0</v>
      </c>
    </row>
    <row r="211" spans="1:19" x14ac:dyDescent="0.2">
      <c r="A211" s="12">
        <v>114</v>
      </c>
      <c r="B211" s="12">
        <v>115</v>
      </c>
      <c r="C211" s="12">
        <v>116</v>
      </c>
      <c r="D211" s="3">
        <v>1</v>
      </c>
      <c r="E211" s="3">
        <v>1</v>
      </c>
      <c r="F211" s="3">
        <v>1</v>
      </c>
      <c r="G211" s="3">
        <v>551.6</v>
      </c>
      <c r="H211" s="13">
        <v>0.91439999999999999</v>
      </c>
      <c r="I211" s="13">
        <v>0.81279999999999997</v>
      </c>
      <c r="J211" s="16">
        <v>0</v>
      </c>
      <c r="K211" s="16">
        <v>0</v>
      </c>
      <c r="L211" s="3">
        <v>0</v>
      </c>
      <c r="M211" s="3">
        <v>0</v>
      </c>
      <c r="N211" s="3">
        <v>990</v>
      </c>
      <c r="O211" s="3">
        <v>1025</v>
      </c>
      <c r="P211" s="1">
        <v>0</v>
      </c>
      <c r="Q211">
        <v>990</v>
      </c>
      <c r="R211" s="3">
        <v>1025</v>
      </c>
      <c r="S211" s="1">
        <v>0</v>
      </c>
    </row>
    <row r="212" spans="1:19" x14ac:dyDescent="0.2">
      <c r="A212" s="12">
        <v>115</v>
      </c>
      <c r="B212" s="12">
        <v>116</v>
      </c>
      <c r="C212" s="12">
        <v>117</v>
      </c>
      <c r="D212" s="3">
        <v>1</v>
      </c>
      <c r="E212" s="3">
        <v>1</v>
      </c>
      <c r="F212" s="3">
        <v>1</v>
      </c>
      <c r="G212" s="3">
        <v>551.6</v>
      </c>
      <c r="H212" s="13">
        <v>0.91439999999999999</v>
      </c>
      <c r="I212" s="13">
        <v>0.81279999999999997</v>
      </c>
      <c r="J212" s="16">
        <v>0</v>
      </c>
      <c r="K212" s="16">
        <v>0</v>
      </c>
      <c r="L212" s="3">
        <v>0</v>
      </c>
      <c r="M212" s="3">
        <v>0</v>
      </c>
      <c r="N212" s="3">
        <v>990</v>
      </c>
      <c r="O212" s="3">
        <v>1025</v>
      </c>
      <c r="P212" s="1">
        <v>0</v>
      </c>
      <c r="Q212">
        <v>990</v>
      </c>
      <c r="R212" s="3">
        <v>1025</v>
      </c>
      <c r="S212" s="1">
        <v>0</v>
      </c>
    </row>
    <row r="213" spans="1:19" x14ac:dyDescent="0.2">
      <c r="A213" s="12">
        <v>116</v>
      </c>
      <c r="B213" s="12">
        <v>117</v>
      </c>
      <c r="C213" s="12">
        <v>118</v>
      </c>
      <c r="D213" s="3">
        <v>1</v>
      </c>
      <c r="E213" s="3">
        <v>1</v>
      </c>
      <c r="F213" s="3">
        <v>1</v>
      </c>
      <c r="G213" s="3">
        <v>551.6</v>
      </c>
      <c r="H213" s="13">
        <v>0.91439999999999999</v>
      </c>
      <c r="I213" s="13">
        <v>0.81279999999999997</v>
      </c>
      <c r="J213" s="16">
        <v>0</v>
      </c>
      <c r="K213" s="16">
        <v>0</v>
      </c>
      <c r="L213" s="3">
        <v>0</v>
      </c>
      <c r="M213" s="3">
        <v>0</v>
      </c>
      <c r="N213" s="3">
        <v>990</v>
      </c>
      <c r="O213" s="3">
        <v>1025</v>
      </c>
      <c r="P213" s="1">
        <v>0</v>
      </c>
      <c r="Q213">
        <v>990</v>
      </c>
      <c r="R213" s="3">
        <v>1025</v>
      </c>
      <c r="S213" s="1">
        <v>0</v>
      </c>
    </row>
    <row r="214" spans="1:19" x14ac:dyDescent="0.2">
      <c r="A214" s="12">
        <v>117</v>
      </c>
      <c r="B214" s="12">
        <v>118</v>
      </c>
      <c r="C214" s="12">
        <v>119</v>
      </c>
      <c r="D214" s="3">
        <v>1</v>
      </c>
      <c r="E214" s="3">
        <v>1</v>
      </c>
      <c r="F214" s="3">
        <v>1</v>
      </c>
      <c r="G214" s="3">
        <v>551.6</v>
      </c>
      <c r="H214" s="13">
        <v>0.91439999999999999</v>
      </c>
      <c r="I214" s="13">
        <v>0.81279999999999997</v>
      </c>
      <c r="J214" s="16">
        <v>0</v>
      </c>
      <c r="K214" s="16">
        <v>0</v>
      </c>
      <c r="L214" s="3">
        <v>0</v>
      </c>
      <c r="M214" s="3">
        <v>0</v>
      </c>
      <c r="N214" s="3">
        <v>990</v>
      </c>
      <c r="O214" s="3">
        <v>1025</v>
      </c>
      <c r="P214" s="1">
        <v>0</v>
      </c>
      <c r="Q214">
        <v>990</v>
      </c>
      <c r="R214" s="3">
        <v>1025</v>
      </c>
      <c r="S214" s="1">
        <v>0</v>
      </c>
    </row>
    <row r="215" spans="1:19" x14ac:dyDescent="0.2">
      <c r="A215" s="12">
        <v>118</v>
      </c>
      <c r="B215" s="12">
        <v>119</v>
      </c>
      <c r="C215" s="12">
        <v>246</v>
      </c>
      <c r="D215" s="3">
        <v>1</v>
      </c>
      <c r="E215" s="3">
        <v>1</v>
      </c>
      <c r="F215" s="3">
        <v>1</v>
      </c>
      <c r="G215" s="3">
        <v>551.6</v>
      </c>
      <c r="H215" s="13">
        <v>0.96519999999999995</v>
      </c>
      <c r="I215" s="13">
        <v>0.76200000000000001</v>
      </c>
      <c r="J215" s="16">
        <v>0</v>
      </c>
      <c r="K215" s="16">
        <v>0</v>
      </c>
      <c r="L215" s="3">
        <v>0</v>
      </c>
      <c r="M215" s="3">
        <v>0</v>
      </c>
      <c r="N215" s="3">
        <v>990</v>
      </c>
      <c r="O215" s="3">
        <v>1025</v>
      </c>
      <c r="P215" s="1">
        <v>0</v>
      </c>
      <c r="Q215">
        <v>990</v>
      </c>
      <c r="R215" s="3">
        <v>1025</v>
      </c>
      <c r="S215" s="1">
        <v>0</v>
      </c>
    </row>
    <row r="216" spans="1:19" x14ac:dyDescent="0.2">
      <c r="A216" s="12">
        <v>119</v>
      </c>
      <c r="B216" s="12">
        <v>246</v>
      </c>
      <c r="C216" s="12">
        <v>121</v>
      </c>
      <c r="D216" s="3">
        <v>1</v>
      </c>
      <c r="E216" s="3">
        <v>1</v>
      </c>
      <c r="F216" s="3">
        <v>1</v>
      </c>
      <c r="G216" s="3">
        <v>551.6</v>
      </c>
      <c r="H216" s="13">
        <v>0.96519999999999995</v>
      </c>
      <c r="I216" s="13">
        <v>0.76200000000000001</v>
      </c>
      <c r="J216" s="16">
        <v>0</v>
      </c>
      <c r="K216" s="16">
        <v>0</v>
      </c>
      <c r="L216" s="3">
        <v>0</v>
      </c>
      <c r="M216" s="3">
        <v>0</v>
      </c>
      <c r="N216" s="3">
        <v>990</v>
      </c>
      <c r="O216" s="3">
        <v>1025</v>
      </c>
      <c r="P216" s="1">
        <v>0</v>
      </c>
      <c r="Q216">
        <v>990</v>
      </c>
      <c r="R216" s="3">
        <v>1025</v>
      </c>
      <c r="S216" s="1">
        <v>0</v>
      </c>
    </row>
    <row r="217" spans="1:19" x14ac:dyDescent="0.2">
      <c r="A217" s="12">
        <v>120</v>
      </c>
      <c r="B217" s="12">
        <v>121</v>
      </c>
      <c r="C217" s="12">
        <v>122</v>
      </c>
      <c r="D217" s="3">
        <v>1</v>
      </c>
      <c r="E217" s="3">
        <v>1</v>
      </c>
      <c r="F217" s="3">
        <v>1</v>
      </c>
      <c r="G217" s="3">
        <v>551.6</v>
      </c>
      <c r="H217" s="13">
        <v>0.96519999999999995</v>
      </c>
      <c r="I217" s="13">
        <v>0.76200000000000001</v>
      </c>
      <c r="J217" s="16">
        <v>0</v>
      </c>
      <c r="K217" s="16">
        <v>0</v>
      </c>
      <c r="L217" s="3">
        <v>0</v>
      </c>
      <c r="M217" s="3">
        <v>0</v>
      </c>
      <c r="N217" s="3">
        <v>990</v>
      </c>
      <c r="O217" s="3">
        <v>1025</v>
      </c>
      <c r="P217" s="1">
        <v>0</v>
      </c>
      <c r="Q217">
        <v>990</v>
      </c>
      <c r="R217" s="3">
        <v>1025</v>
      </c>
      <c r="S217" s="1">
        <v>0</v>
      </c>
    </row>
    <row r="218" spans="1:19" x14ac:dyDescent="0.2">
      <c r="A218" s="12">
        <v>121</v>
      </c>
      <c r="B218" s="12">
        <v>122</v>
      </c>
      <c r="C218" s="12">
        <v>123</v>
      </c>
      <c r="D218" s="3">
        <v>1</v>
      </c>
      <c r="E218" s="3">
        <v>1</v>
      </c>
      <c r="F218" s="3">
        <v>1</v>
      </c>
      <c r="G218" s="3">
        <v>551.6</v>
      </c>
      <c r="H218" s="13">
        <v>0.96519999999999995</v>
      </c>
      <c r="I218" s="13">
        <v>0.76200000000000001</v>
      </c>
      <c r="J218" s="16">
        <v>0</v>
      </c>
      <c r="K218" s="16">
        <v>0</v>
      </c>
      <c r="L218" s="3">
        <v>0</v>
      </c>
      <c r="M218" s="3">
        <v>0</v>
      </c>
      <c r="N218" s="3">
        <v>990</v>
      </c>
      <c r="O218" s="3">
        <v>1025</v>
      </c>
      <c r="P218" s="1">
        <v>0</v>
      </c>
      <c r="Q218">
        <v>990</v>
      </c>
      <c r="R218" s="3">
        <v>1025</v>
      </c>
      <c r="S218" s="1">
        <v>0</v>
      </c>
    </row>
    <row r="219" spans="1:19" x14ac:dyDescent="0.2">
      <c r="A219" s="12">
        <v>122</v>
      </c>
      <c r="B219" s="12">
        <v>123</v>
      </c>
      <c r="C219" s="12">
        <v>124</v>
      </c>
      <c r="D219" s="3">
        <v>1</v>
      </c>
      <c r="E219" s="3">
        <v>1</v>
      </c>
      <c r="F219" s="3">
        <v>1</v>
      </c>
      <c r="G219" s="3">
        <v>551.6</v>
      </c>
      <c r="H219" s="13">
        <v>0.96519999999999995</v>
      </c>
      <c r="I219" s="13">
        <v>0.76200000000000001</v>
      </c>
      <c r="J219" s="16">
        <v>0</v>
      </c>
      <c r="K219" s="16">
        <v>0</v>
      </c>
      <c r="L219" s="3">
        <v>0</v>
      </c>
      <c r="M219" s="3">
        <v>0</v>
      </c>
      <c r="N219" s="3">
        <v>990</v>
      </c>
      <c r="O219" s="3">
        <v>1025</v>
      </c>
      <c r="P219" s="1">
        <v>0</v>
      </c>
      <c r="Q219">
        <v>990</v>
      </c>
      <c r="R219" s="3">
        <v>1025</v>
      </c>
      <c r="S219" s="1">
        <v>0</v>
      </c>
    </row>
    <row r="220" spans="1:19" x14ac:dyDescent="0.2">
      <c r="A220" s="12">
        <v>123</v>
      </c>
      <c r="B220" s="12">
        <v>124</v>
      </c>
      <c r="C220" s="12">
        <v>253</v>
      </c>
      <c r="D220" s="3">
        <v>1</v>
      </c>
      <c r="E220" s="3">
        <v>1</v>
      </c>
      <c r="F220" s="3">
        <v>1</v>
      </c>
      <c r="G220" s="3">
        <v>551.6</v>
      </c>
      <c r="H220" s="13">
        <v>0.96519999999999995</v>
      </c>
      <c r="I220" s="13">
        <v>0.76200000000000001</v>
      </c>
      <c r="J220" s="16">
        <v>0</v>
      </c>
      <c r="K220" s="16">
        <v>0</v>
      </c>
      <c r="L220" s="3">
        <v>0</v>
      </c>
      <c r="M220" s="3">
        <v>0</v>
      </c>
      <c r="N220" s="3">
        <v>990</v>
      </c>
      <c r="O220" s="3">
        <v>1025</v>
      </c>
      <c r="P220" s="1">
        <v>0</v>
      </c>
      <c r="Q220">
        <v>990</v>
      </c>
      <c r="R220" s="3">
        <v>1025</v>
      </c>
      <c r="S220" s="1">
        <v>0</v>
      </c>
    </row>
    <row r="221" spans="1:19" x14ac:dyDescent="0.2">
      <c r="A221" s="12">
        <v>124</v>
      </c>
      <c r="B221" s="12">
        <v>126</v>
      </c>
      <c r="C221" s="12">
        <v>127</v>
      </c>
      <c r="D221" s="3">
        <v>1</v>
      </c>
      <c r="E221" s="3">
        <v>1</v>
      </c>
      <c r="F221" s="3">
        <v>1</v>
      </c>
      <c r="G221" s="3">
        <v>551.6</v>
      </c>
      <c r="H221" s="13">
        <v>0.3397</v>
      </c>
      <c r="I221" s="13">
        <v>0.31359999999999999</v>
      </c>
      <c r="J221" s="16">
        <v>0</v>
      </c>
      <c r="K221" s="16">
        <v>0</v>
      </c>
      <c r="L221" s="3">
        <v>0</v>
      </c>
      <c r="M221" s="3">
        <v>0</v>
      </c>
      <c r="N221" s="3">
        <v>990</v>
      </c>
      <c r="O221" s="3">
        <v>1025</v>
      </c>
      <c r="P221" s="1">
        <v>0</v>
      </c>
      <c r="Q221">
        <v>1005</v>
      </c>
      <c r="R221" s="3">
        <v>1677.6</v>
      </c>
      <c r="S221" s="1">
        <v>0</v>
      </c>
    </row>
    <row r="222" spans="1:19" x14ac:dyDescent="0.2">
      <c r="A222" s="12">
        <v>125</v>
      </c>
      <c r="B222" s="12">
        <v>127</v>
      </c>
      <c r="C222" s="12">
        <v>128</v>
      </c>
      <c r="D222" s="3">
        <v>1</v>
      </c>
      <c r="E222" s="3">
        <v>1</v>
      </c>
      <c r="F222" s="3">
        <v>1</v>
      </c>
      <c r="G222" s="3">
        <v>551.6</v>
      </c>
      <c r="H222" s="13">
        <v>0.3397</v>
      </c>
      <c r="I222" s="13">
        <v>0.31359999999999999</v>
      </c>
      <c r="J222" s="16">
        <v>0</v>
      </c>
      <c r="K222" s="16">
        <v>0</v>
      </c>
      <c r="L222" s="3">
        <v>0</v>
      </c>
      <c r="M222" s="3">
        <v>0</v>
      </c>
      <c r="N222" s="3">
        <v>990</v>
      </c>
      <c r="O222" s="3">
        <v>1025</v>
      </c>
      <c r="P222" s="1">
        <v>0</v>
      </c>
      <c r="Q222">
        <v>1005</v>
      </c>
      <c r="R222" s="3">
        <v>1677.6</v>
      </c>
      <c r="S222" s="1">
        <v>0</v>
      </c>
    </row>
    <row r="223" spans="1:19" x14ac:dyDescent="0.2">
      <c r="A223" s="12">
        <v>126</v>
      </c>
      <c r="B223" s="12">
        <v>128</v>
      </c>
      <c r="C223" s="12">
        <v>129</v>
      </c>
      <c r="D223" s="3">
        <v>1</v>
      </c>
      <c r="E223" s="3">
        <v>1</v>
      </c>
      <c r="F223" s="3">
        <v>1</v>
      </c>
      <c r="G223" s="3">
        <v>551.6</v>
      </c>
      <c r="H223" s="13">
        <v>0.3397</v>
      </c>
      <c r="I223" s="13">
        <v>0.31359999999999999</v>
      </c>
      <c r="J223" s="16">
        <v>0</v>
      </c>
      <c r="K223" s="16">
        <v>0</v>
      </c>
      <c r="L223" s="3">
        <v>0</v>
      </c>
      <c r="M223" s="3">
        <v>0</v>
      </c>
      <c r="N223" s="3">
        <v>990</v>
      </c>
      <c r="O223" s="3">
        <v>1025</v>
      </c>
      <c r="P223" s="1">
        <v>0</v>
      </c>
      <c r="Q223">
        <v>1005</v>
      </c>
      <c r="R223" s="3">
        <v>1677.6</v>
      </c>
      <c r="S223" s="1">
        <v>0</v>
      </c>
    </row>
    <row r="224" spans="1:19" x14ac:dyDescent="0.2">
      <c r="A224" s="12">
        <v>127</v>
      </c>
      <c r="B224" s="12">
        <v>129</v>
      </c>
      <c r="C224" s="12">
        <v>130</v>
      </c>
      <c r="D224" s="3">
        <v>1</v>
      </c>
      <c r="E224" s="3">
        <v>1</v>
      </c>
      <c r="F224" s="3">
        <v>1</v>
      </c>
      <c r="G224" s="3">
        <v>551.6</v>
      </c>
      <c r="H224" s="13">
        <v>0.3397</v>
      </c>
      <c r="I224" s="13">
        <v>0.31359999999999999</v>
      </c>
      <c r="J224" s="16">
        <v>0</v>
      </c>
      <c r="K224" s="16">
        <v>0</v>
      </c>
      <c r="L224" s="3">
        <v>0</v>
      </c>
      <c r="M224" s="3">
        <v>0</v>
      </c>
      <c r="N224" s="3">
        <v>990</v>
      </c>
      <c r="O224" s="3">
        <v>1025</v>
      </c>
      <c r="P224" s="1">
        <v>0</v>
      </c>
      <c r="Q224">
        <v>1005</v>
      </c>
      <c r="R224" s="3">
        <v>1677.6</v>
      </c>
      <c r="S224" s="1">
        <v>0</v>
      </c>
    </row>
    <row r="225" spans="1:19" x14ac:dyDescent="0.2">
      <c r="A225" s="12">
        <v>128</v>
      </c>
      <c r="B225" s="12">
        <v>130</v>
      </c>
      <c r="C225" s="12">
        <v>131</v>
      </c>
      <c r="D225" s="3">
        <v>1</v>
      </c>
      <c r="E225" s="3">
        <v>1</v>
      </c>
      <c r="F225" s="3">
        <v>1</v>
      </c>
      <c r="G225" s="3">
        <v>551.6</v>
      </c>
      <c r="H225" s="13">
        <v>0.3397</v>
      </c>
      <c r="I225" s="13">
        <v>0.31359999999999999</v>
      </c>
      <c r="J225" s="16">
        <v>0</v>
      </c>
      <c r="K225" s="16">
        <v>0</v>
      </c>
      <c r="L225" s="3">
        <v>0</v>
      </c>
      <c r="M225" s="3">
        <v>0</v>
      </c>
      <c r="N225" s="3">
        <v>990</v>
      </c>
      <c r="O225" s="3">
        <v>1025</v>
      </c>
      <c r="P225" s="1">
        <v>0</v>
      </c>
      <c r="Q225">
        <v>1005</v>
      </c>
      <c r="R225" s="3">
        <v>1677.6</v>
      </c>
      <c r="S225" s="1">
        <v>0</v>
      </c>
    </row>
    <row r="226" spans="1:19" x14ac:dyDescent="0.2">
      <c r="A226" s="12">
        <v>129</v>
      </c>
      <c r="B226" s="12">
        <v>131</v>
      </c>
      <c r="C226" s="12">
        <v>132</v>
      </c>
      <c r="D226" s="3">
        <v>1</v>
      </c>
      <c r="E226" s="3">
        <v>1</v>
      </c>
      <c r="F226" s="3">
        <v>1</v>
      </c>
      <c r="G226" s="3">
        <v>551.6</v>
      </c>
      <c r="H226" s="13">
        <v>0.3397</v>
      </c>
      <c r="I226" s="13">
        <v>0.31359999999999999</v>
      </c>
      <c r="J226" s="16">
        <v>0</v>
      </c>
      <c r="K226" s="16">
        <v>0</v>
      </c>
      <c r="L226" s="3">
        <v>0</v>
      </c>
      <c r="M226" s="3">
        <v>0</v>
      </c>
      <c r="N226" s="3">
        <v>990</v>
      </c>
      <c r="O226" s="3">
        <v>1025</v>
      </c>
      <c r="P226" s="1">
        <v>0</v>
      </c>
      <c r="Q226">
        <v>1005</v>
      </c>
      <c r="R226" s="3">
        <v>1677.6</v>
      </c>
      <c r="S226" s="1">
        <v>0</v>
      </c>
    </row>
    <row r="227" spans="1:19" x14ac:dyDescent="0.2">
      <c r="A227" s="12">
        <v>130</v>
      </c>
      <c r="B227" s="12">
        <v>132</v>
      </c>
      <c r="C227" s="12">
        <v>133</v>
      </c>
      <c r="D227" s="3">
        <v>1</v>
      </c>
      <c r="E227" s="3">
        <v>1</v>
      </c>
      <c r="F227" s="3">
        <v>1</v>
      </c>
      <c r="G227" s="3">
        <v>551.6</v>
      </c>
      <c r="H227" s="13">
        <v>0.3397</v>
      </c>
      <c r="I227" s="13">
        <v>0.31359999999999999</v>
      </c>
      <c r="J227" s="16">
        <v>0</v>
      </c>
      <c r="K227" s="16">
        <v>0</v>
      </c>
      <c r="L227" s="3">
        <v>0</v>
      </c>
      <c r="M227" s="3">
        <v>0</v>
      </c>
      <c r="N227" s="3">
        <v>990</v>
      </c>
      <c r="O227" s="3">
        <v>1025</v>
      </c>
      <c r="P227" s="1">
        <v>0</v>
      </c>
      <c r="Q227">
        <v>1005</v>
      </c>
      <c r="R227" s="3">
        <v>1677.6</v>
      </c>
      <c r="S227" s="1">
        <v>0</v>
      </c>
    </row>
    <row r="228" spans="1:19" x14ac:dyDescent="0.2">
      <c r="A228" s="12">
        <v>131</v>
      </c>
      <c r="B228" s="12">
        <v>133</v>
      </c>
      <c r="C228" s="12">
        <v>134</v>
      </c>
      <c r="D228" s="3">
        <v>1</v>
      </c>
      <c r="E228" s="3">
        <v>1</v>
      </c>
      <c r="F228" s="3">
        <v>1</v>
      </c>
      <c r="G228" s="3">
        <v>551.6</v>
      </c>
      <c r="H228" s="13">
        <v>0.3397</v>
      </c>
      <c r="I228" s="13">
        <v>0.31359999999999999</v>
      </c>
      <c r="J228" s="16">
        <v>0</v>
      </c>
      <c r="K228" s="16">
        <v>0</v>
      </c>
      <c r="L228" s="3">
        <v>0</v>
      </c>
      <c r="M228" s="3">
        <v>0</v>
      </c>
      <c r="N228" s="3">
        <v>990</v>
      </c>
      <c r="O228" s="3">
        <v>1025</v>
      </c>
      <c r="P228" s="1">
        <v>0</v>
      </c>
      <c r="Q228">
        <v>1005</v>
      </c>
      <c r="R228" s="3">
        <v>1677.6</v>
      </c>
      <c r="S228" s="1">
        <v>0</v>
      </c>
    </row>
    <row r="229" spans="1:19" x14ac:dyDescent="0.2">
      <c r="A229" s="12">
        <v>132</v>
      </c>
      <c r="B229" s="12">
        <v>134</v>
      </c>
      <c r="C229" s="12">
        <v>135</v>
      </c>
      <c r="D229" s="3">
        <v>1</v>
      </c>
      <c r="E229" s="3">
        <v>1</v>
      </c>
      <c r="F229" s="3">
        <v>1</v>
      </c>
      <c r="G229" s="3">
        <v>551.6</v>
      </c>
      <c r="H229" s="13">
        <v>0.3397</v>
      </c>
      <c r="I229" s="13">
        <v>0.31359999999999999</v>
      </c>
      <c r="J229" s="16">
        <v>0</v>
      </c>
      <c r="K229" s="16">
        <v>0</v>
      </c>
      <c r="L229" s="3">
        <v>0</v>
      </c>
      <c r="M229" s="3">
        <v>0</v>
      </c>
      <c r="N229" s="3">
        <v>990</v>
      </c>
      <c r="O229" s="3">
        <v>1025</v>
      </c>
      <c r="P229" s="1">
        <v>0</v>
      </c>
      <c r="Q229">
        <v>1005</v>
      </c>
      <c r="R229" s="3">
        <v>1677.6</v>
      </c>
      <c r="S229" s="1">
        <v>0</v>
      </c>
    </row>
    <row r="230" spans="1:19" x14ac:dyDescent="0.2">
      <c r="A230" s="12">
        <v>133</v>
      </c>
      <c r="B230" s="12">
        <v>135</v>
      </c>
      <c r="C230" s="12">
        <v>136</v>
      </c>
      <c r="D230" s="3">
        <v>1</v>
      </c>
      <c r="E230" s="3">
        <v>1</v>
      </c>
      <c r="F230" s="3">
        <v>1</v>
      </c>
      <c r="G230" s="3">
        <v>551.6</v>
      </c>
      <c r="H230" s="13">
        <v>0.3397</v>
      </c>
      <c r="I230" s="13">
        <v>0.31359999999999999</v>
      </c>
      <c r="J230" s="16">
        <v>0</v>
      </c>
      <c r="K230" s="16">
        <v>0</v>
      </c>
      <c r="L230" s="3">
        <v>0</v>
      </c>
      <c r="M230" s="3">
        <v>0</v>
      </c>
      <c r="N230" s="3">
        <v>990</v>
      </c>
      <c r="O230" s="3">
        <v>1025</v>
      </c>
      <c r="P230" s="1">
        <v>0</v>
      </c>
      <c r="Q230">
        <v>1005</v>
      </c>
      <c r="R230" s="3">
        <v>1677.6</v>
      </c>
      <c r="S230" s="1">
        <v>0</v>
      </c>
    </row>
    <row r="231" spans="1:19" x14ac:dyDescent="0.2">
      <c r="A231" s="12">
        <v>134</v>
      </c>
      <c r="B231" s="12">
        <v>136</v>
      </c>
      <c r="C231" s="12">
        <v>137</v>
      </c>
      <c r="D231" s="3">
        <v>1</v>
      </c>
      <c r="E231" s="3">
        <v>1</v>
      </c>
      <c r="F231" s="3">
        <v>1</v>
      </c>
      <c r="G231" s="3">
        <v>551.6</v>
      </c>
      <c r="H231" s="13">
        <v>0.3397</v>
      </c>
      <c r="I231" s="13">
        <v>0.31359999999999999</v>
      </c>
      <c r="J231" s="16">
        <v>0</v>
      </c>
      <c r="K231" s="16">
        <v>0</v>
      </c>
      <c r="L231" s="3">
        <v>0</v>
      </c>
      <c r="M231" s="3">
        <v>0</v>
      </c>
      <c r="N231" s="3">
        <v>990</v>
      </c>
      <c r="O231" s="3">
        <v>1025</v>
      </c>
      <c r="P231" s="1">
        <v>0</v>
      </c>
      <c r="Q231">
        <v>1005</v>
      </c>
      <c r="R231" s="3">
        <v>1677.6</v>
      </c>
      <c r="S231" s="1">
        <v>0</v>
      </c>
    </row>
    <row r="232" spans="1:19" x14ac:dyDescent="0.2">
      <c r="A232" s="12">
        <v>135</v>
      </c>
      <c r="B232" s="12">
        <v>137</v>
      </c>
      <c r="C232" s="12">
        <v>138</v>
      </c>
      <c r="D232" s="3">
        <v>1</v>
      </c>
      <c r="E232" s="3">
        <v>1</v>
      </c>
      <c r="F232" s="3">
        <v>1</v>
      </c>
      <c r="G232" s="3">
        <v>551.6</v>
      </c>
      <c r="H232" s="13">
        <v>0.3397</v>
      </c>
      <c r="I232" s="13">
        <v>0.31359999999999999</v>
      </c>
      <c r="J232" s="16">
        <v>0</v>
      </c>
      <c r="K232" s="16">
        <v>0</v>
      </c>
      <c r="L232" s="3">
        <v>0</v>
      </c>
      <c r="M232" s="3">
        <v>0</v>
      </c>
      <c r="N232" s="3">
        <v>990</v>
      </c>
      <c r="O232" s="3">
        <v>1025</v>
      </c>
      <c r="P232" s="1">
        <v>0</v>
      </c>
      <c r="Q232">
        <v>1005</v>
      </c>
      <c r="R232" s="3">
        <v>1677.6</v>
      </c>
      <c r="S232" s="1">
        <v>0</v>
      </c>
    </row>
    <row r="233" spans="1:19" x14ac:dyDescent="0.2">
      <c r="A233" s="12">
        <v>136</v>
      </c>
      <c r="B233" s="12">
        <v>138</v>
      </c>
      <c r="C233" s="12">
        <v>139</v>
      </c>
      <c r="D233" s="3">
        <v>1</v>
      </c>
      <c r="E233" s="3">
        <v>1</v>
      </c>
      <c r="F233" s="3">
        <v>1</v>
      </c>
      <c r="G233" s="3">
        <v>551.6</v>
      </c>
      <c r="H233" s="13">
        <v>0.3397</v>
      </c>
      <c r="I233" s="13">
        <v>0.31359999999999999</v>
      </c>
      <c r="J233" s="16">
        <v>0</v>
      </c>
      <c r="K233" s="16">
        <v>0</v>
      </c>
      <c r="L233" s="3">
        <v>0</v>
      </c>
      <c r="M233" s="3">
        <v>0</v>
      </c>
      <c r="N233" s="3">
        <v>990</v>
      </c>
      <c r="O233" s="3">
        <v>1025</v>
      </c>
      <c r="P233" s="1">
        <v>0</v>
      </c>
      <c r="Q233">
        <v>1005</v>
      </c>
      <c r="R233" s="3">
        <v>1677.6</v>
      </c>
      <c r="S233" s="1">
        <v>0</v>
      </c>
    </row>
    <row r="234" spans="1:19" x14ac:dyDescent="0.2">
      <c r="A234" s="12">
        <v>137</v>
      </c>
      <c r="B234" s="12">
        <v>139</v>
      </c>
      <c r="C234" s="12">
        <v>140</v>
      </c>
      <c r="D234" s="3">
        <v>1</v>
      </c>
      <c r="E234" s="3">
        <v>1</v>
      </c>
      <c r="F234" s="3">
        <v>1</v>
      </c>
      <c r="G234" s="3">
        <v>551.6</v>
      </c>
      <c r="H234" s="13">
        <v>0.3397</v>
      </c>
      <c r="I234" s="13">
        <v>0.31359999999999999</v>
      </c>
      <c r="J234" s="16">
        <v>0</v>
      </c>
      <c r="K234" s="16">
        <v>0</v>
      </c>
      <c r="L234" s="3">
        <v>0</v>
      </c>
      <c r="M234" s="3">
        <v>0</v>
      </c>
      <c r="N234" s="3">
        <v>990</v>
      </c>
      <c r="O234" s="3">
        <v>1025</v>
      </c>
      <c r="P234" s="1">
        <v>0</v>
      </c>
      <c r="Q234">
        <v>1005</v>
      </c>
      <c r="R234" s="3">
        <v>1677.6</v>
      </c>
      <c r="S234" s="1">
        <v>0</v>
      </c>
    </row>
    <row r="235" spans="1:19" x14ac:dyDescent="0.2">
      <c r="A235" s="12">
        <v>138</v>
      </c>
      <c r="B235" s="12">
        <v>140</v>
      </c>
      <c r="C235" s="12">
        <v>141</v>
      </c>
      <c r="D235" s="3">
        <v>1</v>
      </c>
      <c r="E235" s="3">
        <v>1</v>
      </c>
      <c r="F235" s="3">
        <v>1</v>
      </c>
      <c r="G235" s="3">
        <v>551.6</v>
      </c>
      <c r="H235" s="13">
        <v>0.3397</v>
      </c>
      <c r="I235" s="13">
        <v>0.31359999999999999</v>
      </c>
      <c r="J235" s="16">
        <v>0</v>
      </c>
      <c r="K235" s="16">
        <v>0</v>
      </c>
      <c r="L235" s="3">
        <v>0</v>
      </c>
      <c r="M235" s="3">
        <v>0</v>
      </c>
      <c r="N235" s="3">
        <v>990</v>
      </c>
      <c r="O235" s="3">
        <v>1025</v>
      </c>
      <c r="P235" s="1">
        <v>0</v>
      </c>
      <c r="Q235">
        <v>1005</v>
      </c>
      <c r="R235" s="3">
        <v>1677.6</v>
      </c>
      <c r="S235" s="1">
        <v>0</v>
      </c>
    </row>
    <row r="236" spans="1:19" x14ac:dyDescent="0.2">
      <c r="A236" s="12">
        <v>139</v>
      </c>
      <c r="B236" s="12">
        <v>141</v>
      </c>
      <c r="C236" s="12">
        <v>142</v>
      </c>
      <c r="D236" s="3">
        <v>1</v>
      </c>
      <c r="E236" s="3">
        <v>1</v>
      </c>
      <c r="F236" s="3">
        <v>1</v>
      </c>
      <c r="G236" s="3">
        <v>551.6</v>
      </c>
      <c r="H236" s="13">
        <v>0.3397</v>
      </c>
      <c r="I236" s="13">
        <v>0.31359999999999999</v>
      </c>
      <c r="J236" s="16">
        <v>0</v>
      </c>
      <c r="K236" s="16">
        <v>0</v>
      </c>
      <c r="L236" s="3">
        <v>0</v>
      </c>
      <c r="M236" s="3">
        <v>0</v>
      </c>
      <c r="N236" s="3">
        <v>990</v>
      </c>
      <c r="O236" s="3">
        <v>1025</v>
      </c>
      <c r="P236" s="1">
        <v>0</v>
      </c>
      <c r="Q236">
        <v>1005</v>
      </c>
      <c r="R236" s="3">
        <v>1677.6</v>
      </c>
      <c r="S236" s="1">
        <v>0</v>
      </c>
    </row>
    <row r="237" spans="1:19" x14ac:dyDescent="0.2">
      <c r="A237" s="12">
        <v>140</v>
      </c>
      <c r="B237" s="12">
        <v>142</v>
      </c>
      <c r="C237" s="12">
        <v>143</v>
      </c>
      <c r="D237" s="3">
        <v>1</v>
      </c>
      <c r="E237" s="3">
        <v>1</v>
      </c>
      <c r="F237" s="3">
        <v>1</v>
      </c>
      <c r="G237" s="3">
        <v>551.6</v>
      </c>
      <c r="H237" s="13">
        <v>0.3397</v>
      </c>
      <c r="I237" s="13">
        <v>0.31359999999999999</v>
      </c>
      <c r="J237" s="16">
        <v>0</v>
      </c>
      <c r="K237" s="16">
        <v>0</v>
      </c>
      <c r="L237" s="3">
        <v>0</v>
      </c>
      <c r="M237" s="3">
        <v>0</v>
      </c>
      <c r="N237" s="3">
        <v>990</v>
      </c>
      <c r="O237" s="3">
        <v>1025</v>
      </c>
      <c r="P237" s="1">
        <v>0</v>
      </c>
      <c r="Q237">
        <v>1005</v>
      </c>
      <c r="R237" s="3">
        <v>1677.6</v>
      </c>
      <c r="S237" s="1">
        <v>0</v>
      </c>
    </row>
    <row r="238" spans="1:19" x14ac:dyDescent="0.2">
      <c r="A238" s="12">
        <v>141</v>
      </c>
      <c r="B238" s="12">
        <v>143</v>
      </c>
      <c r="C238" s="12">
        <v>144</v>
      </c>
      <c r="D238" s="3">
        <v>1</v>
      </c>
      <c r="E238" s="3">
        <v>1</v>
      </c>
      <c r="F238" s="3">
        <v>1</v>
      </c>
      <c r="G238" s="3">
        <v>551.6</v>
      </c>
      <c r="H238" s="13">
        <v>0.3397</v>
      </c>
      <c r="I238" s="13">
        <v>0.31359999999999999</v>
      </c>
      <c r="J238" s="16">
        <v>0</v>
      </c>
      <c r="K238" s="16">
        <v>0</v>
      </c>
      <c r="L238" s="3">
        <v>0</v>
      </c>
      <c r="M238" s="3">
        <v>0</v>
      </c>
      <c r="N238" s="3">
        <v>990</v>
      </c>
      <c r="O238" s="3">
        <v>1025</v>
      </c>
      <c r="P238" s="1">
        <v>0</v>
      </c>
      <c r="Q238">
        <v>1005</v>
      </c>
      <c r="R238" s="3">
        <v>1677.6</v>
      </c>
      <c r="S238" s="1">
        <v>0</v>
      </c>
    </row>
    <row r="239" spans="1:19" x14ac:dyDescent="0.2">
      <c r="A239" s="12">
        <v>142</v>
      </c>
      <c r="B239" s="12">
        <v>144</v>
      </c>
      <c r="C239" s="12">
        <v>145</v>
      </c>
      <c r="D239" s="3">
        <v>1</v>
      </c>
      <c r="E239" s="3">
        <v>1</v>
      </c>
      <c r="F239" s="3">
        <v>1</v>
      </c>
      <c r="G239" s="3">
        <v>551.6</v>
      </c>
      <c r="H239" s="13">
        <v>0.3397</v>
      </c>
      <c r="I239" s="13">
        <v>0.31359999999999999</v>
      </c>
      <c r="J239" s="16">
        <v>0</v>
      </c>
      <c r="K239" s="16">
        <v>0</v>
      </c>
      <c r="L239" s="3">
        <v>0</v>
      </c>
      <c r="M239" s="3">
        <v>0</v>
      </c>
      <c r="N239" s="3">
        <v>990</v>
      </c>
      <c r="O239" s="3">
        <v>1025</v>
      </c>
      <c r="P239" s="1">
        <v>0</v>
      </c>
      <c r="Q239">
        <v>1005</v>
      </c>
      <c r="R239" s="3">
        <v>1677.6</v>
      </c>
      <c r="S239" s="1">
        <v>0</v>
      </c>
    </row>
    <row r="240" spans="1:19" x14ac:dyDescent="0.2">
      <c r="A240" s="12">
        <v>143</v>
      </c>
      <c r="B240" s="12">
        <v>145</v>
      </c>
      <c r="C240" s="12">
        <v>146</v>
      </c>
      <c r="D240" s="3">
        <v>1</v>
      </c>
      <c r="E240" s="3">
        <v>1</v>
      </c>
      <c r="F240" s="3">
        <v>1</v>
      </c>
      <c r="G240" s="3">
        <v>551.6</v>
      </c>
      <c r="H240" s="13">
        <v>0.3397</v>
      </c>
      <c r="I240" s="13">
        <v>0.31359999999999999</v>
      </c>
      <c r="J240" s="16">
        <v>0</v>
      </c>
      <c r="K240" s="16">
        <v>0</v>
      </c>
      <c r="L240" s="3">
        <v>0</v>
      </c>
      <c r="M240" s="3">
        <v>0</v>
      </c>
      <c r="N240" s="3">
        <v>990</v>
      </c>
      <c r="O240" s="3">
        <v>1025</v>
      </c>
      <c r="P240" s="1">
        <v>0</v>
      </c>
      <c r="Q240">
        <v>1005</v>
      </c>
      <c r="R240" s="3">
        <v>1677.6</v>
      </c>
      <c r="S240" s="1">
        <v>0</v>
      </c>
    </row>
    <row r="241" spans="1:19" x14ac:dyDescent="0.2">
      <c r="A241" s="12">
        <v>144</v>
      </c>
      <c r="B241" s="12">
        <v>146</v>
      </c>
      <c r="C241" s="12">
        <v>147</v>
      </c>
      <c r="D241" s="3">
        <v>1</v>
      </c>
      <c r="E241" s="3">
        <v>1</v>
      </c>
      <c r="F241" s="3">
        <v>1</v>
      </c>
      <c r="G241" s="3">
        <v>551.6</v>
      </c>
      <c r="H241" s="13">
        <v>0.3397</v>
      </c>
      <c r="I241" s="13">
        <v>0.31359999999999999</v>
      </c>
      <c r="J241" s="16">
        <v>0</v>
      </c>
      <c r="K241" s="16">
        <v>0</v>
      </c>
      <c r="L241" s="3">
        <v>0</v>
      </c>
      <c r="M241" s="3">
        <v>0</v>
      </c>
      <c r="N241" s="3">
        <v>990</v>
      </c>
      <c r="O241" s="3">
        <v>1025</v>
      </c>
      <c r="P241" s="1">
        <v>0</v>
      </c>
      <c r="Q241">
        <v>1005</v>
      </c>
      <c r="R241" s="3">
        <v>1677.6</v>
      </c>
      <c r="S241" s="1">
        <v>0</v>
      </c>
    </row>
    <row r="242" spans="1:19" x14ac:dyDescent="0.2">
      <c r="A242" s="12">
        <v>145</v>
      </c>
      <c r="B242" s="12">
        <v>147</v>
      </c>
      <c r="C242" s="12">
        <v>148</v>
      </c>
      <c r="D242" s="3">
        <v>1</v>
      </c>
      <c r="E242" s="3">
        <v>1</v>
      </c>
      <c r="F242" s="3">
        <v>1</v>
      </c>
      <c r="G242" s="3">
        <v>551.6</v>
      </c>
      <c r="H242" s="13">
        <v>0.3397</v>
      </c>
      <c r="I242" s="13">
        <v>0.31359999999999999</v>
      </c>
      <c r="J242" s="16">
        <v>0</v>
      </c>
      <c r="K242" s="16">
        <v>0</v>
      </c>
      <c r="L242" s="3">
        <v>0</v>
      </c>
      <c r="M242" s="3">
        <v>0</v>
      </c>
      <c r="N242" s="3">
        <v>990</v>
      </c>
      <c r="O242" s="3">
        <v>1025</v>
      </c>
      <c r="P242" s="1">
        <v>0</v>
      </c>
      <c r="Q242">
        <v>1005</v>
      </c>
      <c r="R242" s="3">
        <v>1677.6</v>
      </c>
      <c r="S242" s="1">
        <v>0</v>
      </c>
    </row>
    <row r="243" spans="1:19" x14ac:dyDescent="0.2">
      <c r="A243" s="12">
        <v>146</v>
      </c>
      <c r="B243" s="12">
        <v>148</v>
      </c>
      <c r="C243" s="12">
        <v>149</v>
      </c>
      <c r="D243" s="3">
        <v>1</v>
      </c>
      <c r="E243" s="3">
        <v>1</v>
      </c>
      <c r="F243" s="3">
        <v>1</v>
      </c>
      <c r="G243" s="3">
        <v>551.6</v>
      </c>
      <c r="H243" s="13">
        <v>0.3397</v>
      </c>
      <c r="I243" s="13">
        <v>0.31359999999999999</v>
      </c>
      <c r="J243" s="16">
        <v>0</v>
      </c>
      <c r="K243" s="16">
        <v>0</v>
      </c>
      <c r="L243" s="3">
        <v>0</v>
      </c>
      <c r="M243" s="3">
        <v>0</v>
      </c>
      <c r="N243" s="3">
        <v>990</v>
      </c>
      <c r="O243" s="3">
        <v>1025</v>
      </c>
      <c r="P243" s="1">
        <v>0</v>
      </c>
      <c r="Q243">
        <v>1005</v>
      </c>
      <c r="R243" s="3">
        <v>1677.6</v>
      </c>
      <c r="S243" s="1">
        <v>0</v>
      </c>
    </row>
    <row r="244" spans="1:19" x14ac:dyDescent="0.2">
      <c r="A244" s="12">
        <v>147</v>
      </c>
      <c r="B244" s="12">
        <v>149</v>
      </c>
      <c r="C244" s="12">
        <v>150</v>
      </c>
      <c r="D244" s="3">
        <v>1</v>
      </c>
      <c r="E244" s="3">
        <v>1</v>
      </c>
      <c r="F244" s="3">
        <v>1</v>
      </c>
      <c r="G244" s="3">
        <v>551.6</v>
      </c>
      <c r="H244" s="13">
        <v>0.3397</v>
      </c>
      <c r="I244" s="13">
        <v>0.31359999999999999</v>
      </c>
      <c r="J244" s="16">
        <v>0</v>
      </c>
      <c r="K244" s="16">
        <v>0</v>
      </c>
      <c r="L244" s="3">
        <v>0</v>
      </c>
      <c r="M244" s="3">
        <v>0</v>
      </c>
      <c r="N244" s="3">
        <v>990</v>
      </c>
      <c r="O244" s="3">
        <v>1025</v>
      </c>
      <c r="P244" s="1">
        <v>0</v>
      </c>
      <c r="Q244">
        <v>1005</v>
      </c>
      <c r="R244" s="3">
        <v>1677.6</v>
      </c>
      <c r="S244" s="1">
        <v>0</v>
      </c>
    </row>
    <row r="245" spans="1:19" x14ac:dyDescent="0.2">
      <c r="A245" s="12">
        <v>148</v>
      </c>
      <c r="B245" s="12">
        <v>150</v>
      </c>
      <c r="C245" s="12">
        <v>151</v>
      </c>
      <c r="D245" s="3">
        <v>1</v>
      </c>
      <c r="E245" s="3">
        <v>1</v>
      </c>
      <c r="F245" s="3">
        <v>1</v>
      </c>
      <c r="G245" s="3">
        <v>551.6</v>
      </c>
      <c r="H245" s="13">
        <v>0.3397</v>
      </c>
      <c r="I245" s="13">
        <v>0.31359999999999999</v>
      </c>
      <c r="J245" s="16">
        <v>0</v>
      </c>
      <c r="K245" s="16">
        <v>0</v>
      </c>
      <c r="L245" s="3">
        <v>0</v>
      </c>
      <c r="M245" s="3">
        <v>0</v>
      </c>
      <c r="N245" s="3">
        <v>990</v>
      </c>
      <c r="O245" s="3">
        <v>1025</v>
      </c>
      <c r="P245" s="1">
        <v>0</v>
      </c>
      <c r="Q245">
        <v>1005</v>
      </c>
      <c r="R245" s="3">
        <v>1677.6</v>
      </c>
      <c r="S245" s="1">
        <v>0</v>
      </c>
    </row>
    <row r="246" spans="1:19" x14ac:dyDescent="0.2">
      <c r="A246" s="12">
        <v>149</v>
      </c>
      <c r="B246" s="12">
        <v>151</v>
      </c>
      <c r="C246" s="12">
        <v>152</v>
      </c>
      <c r="D246" s="3">
        <v>1</v>
      </c>
      <c r="E246" s="3">
        <v>1</v>
      </c>
      <c r="F246" s="3">
        <v>1</v>
      </c>
      <c r="G246" s="3">
        <v>551.6</v>
      </c>
      <c r="H246" s="13">
        <v>0.3397</v>
      </c>
      <c r="I246" s="13">
        <v>0.31359999999999999</v>
      </c>
      <c r="J246" s="16">
        <v>0</v>
      </c>
      <c r="K246" s="16">
        <v>0</v>
      </c>
      <c r="L246" s="3">
        <v>0</v>
      </c>
      <c r="M246" s="3">
        <v>0</v>
      </c>
      <c r="N246" s="3">
        <v>990</v>
      </c>
      <c r="O246" s="3">
        <v>1025</v>
      </c>
      <c r="P246" s="1">
        <v>0</v>
      </c>
      <c r="Q246">
        <v>1005</v>
      </c>
      <c r="R246" s="3">
        <v>1677.6</v>
      </c>
      <c r="S246" s="1">
        <v>0</v>
      </c>
    </row>
    <row r="247" spans="1:19" x14ac:dyDescent="0.2">
      <c r="A247" s="12">
        <v>150</v>
      </c>
      <c r="B247" s="12">
        <v>152</v>
      </c>
      <c r="C247" s="12">
        <v>153</v>
      </c>
      <c r="D247" s="3">
        <v>1</v>
      </c>
      <c r="E247" s="3">
        <v>1</v>
      </c>
      <c r="F247" s="3">
        <v>1</v>
      </c>
      <c r="G247" s="3">
        <v>551.6</v>
      </c>
      <c r="H247" s="13">
        <v>0.3397</v>
      </c>
      <c r="I247" s="13">
        <v>0.31359999999999999</v>
      </c>
      <c r="J247" s="16">
        <v>0</v>
      </c>
      <c r="K247" s="16">
        <v>0</v>
      </c>
      <c r="L247" s="3">
        <v>0</v>
      </c>
      <c r="M247" s="3">
        <v>0</v>
      </c>
      <c r="N247" s="3">
        <v>990</v>
      </c>
      <c r="O247" s="3">
        <v>1025</v>
      </c>
      <c r="P247" s="1">
        <v>0</v>
      </c>
      <c r="Q247">
        <v>1005</v>
      </c>
      <c r="R247" s="3">
        <v>1677.6</v>
      </c>
      <c r="S247" s="1">
        <v>0</v>
      </c>
    </row>
    <row r="248" spans="1:19" x14ac:dyDescent="0.2">
      <c r="A248" s="12">
        <v>151</v>
      </c>
      <c r="B248" s="12">
        <v>153</v>
      </c>
      <c r="C248" s="12">
        <v>154</v>
      </c>
      <c r="D248" s="3">
        <v>1</v>
      </c>
      <c r="E248" s="3">
        <v>1</v>
      </c>
      <c r="F248" s="3">
        <v>1</v>
      </c>
      <c r="G248" s="3">
        <v>551.6</v>
      </c>
      <c r="H248" s="13">
        <v>0.3397</v>
      </c>
      <c r="I248" s="13">
        <v>0.31359999999999999</v>
      </c>
      <c r="J248" s="16">
        <v>0</v>
      </c>
      <c r="K248" s="16">
        <v>0</v>
      </c>
      <c r="L248" s="3">
        <v>0</v>
      </c>
      <c r="M248" s="3">
        <v>0</v>
      </c>
      <c r="N248" s="3">
        <v>990</v>
      </c>
      <c r="O248" s="3">
        <v>1025</v>
      </c>
      <c r="P248" s="1">
        <v>0</v>
      </c>
      <c r="Q248">
        <v>1005</v>
      </c>
      <c r="R248" s="3">
        <v>1677.6</v>
      </c>
      <c r="S248" s="1">
        <v>0</v>
      </c>
    </row>
    <row r="249" spans="1:19" x14ac:dyDescent="0.2">
      <c r="A249" s="12">
        <v>152</v>
      </c>
      <c r="B249" s="12">
        <v>154</v>
      </c>
      <c r="C249" s="12">
        <v>155</v>
      </c>
      <c r="D249" s="3">
        <v>1</v>
      </c>
      <c r="E249" s="3">
        <v>1</v>
      </c>
      <c r="F249" s="3">
        <v>1</v>
      </c>
      <c r="G249" s="3">
        <v>551.6</v>
      </c>
      <c r="H249" s="13">
        <v>0.3397</v>
      </c>
      <c r="I249" s="13">
        <v>0.31359999999999999</v>
      </c>
      <c r="J249" s="16">
        <v>0</v>
      </c>
      <c r="K249" s="16">
        <v>0</v>
      </c>
      <c r="L249" s="3">
        <v>0</v>
      </c>
      <c r="M249" s="3">
        <v>0</v>
      </c>
      <c r="N249" s="3">
        <v>990</v>
      </c>
      <c r="O249" s="3">
        <v>1025</v>
      </c>
      <c r="P249" s="1">
        <v>0</v>
      </c>
      <c r="Q249">
        <v>1005</v>
      </c>
      <c r="R249" s="3">
        <v>1677.6</v>
      </c>
      <c r="S249" s="1">
        <v>0</v>
      </c>
    </row>
    <row r="250" spans="1:19" x14ac:dyDescent="0.2">
      <c r="A250" s="12">
        <v>153</v>
      </c>
      <c r="B250" s="12">
        <v>155</v>
      </c>
      <c r="C250" s="12">
        <v>156</v>
      </c>
      <c r="D250" s="3">
        <v>1</v>
      </c>
      <c r="E250" s="3">
        <v>1</v>
      </c>
      <c r="F250" s="3">
        <v>1</v>
      </c>
      <c r="G250" s="3">
        <v>551.6</v>
      </c>
      <c r="H250" s="13">
        <v>0.3397</v>
      </c>
      <c r="I250" s="13">
        <v>0.31359999999999999</v>
      </c>
      <c r="J250" s="16">
        <v>0</v>
      </c>
      <c r="K250" s="16">
        <v>0</v>
      </c>
      <c r="L250" s="3">
        <v>0</v>
      </c>
      <c r="M250" s="3">
        <v>0</v>
      </c>
      <c r="N250" s="3">
        <v>990</v>
      </c>
      <c r="O250" s="3">
        <v>1025</v>
      </c>
      <c r="P250" s="1">
        <v>0</v>
      </c>
      <c r="Q250">
        <v>1005</v>
      </c>
      <c r="R250" s="3">
        <v>1677.6</v>
      </c>
      <c r="S250" s="1">
        <v>0</v>
      </c>
    </row>
    <row r="251" spans="1:19" x14ac:dyDescent="0.2">
      <c r="A251" s="12">
        <v>154</v>
      </c>
      <c r="B251" s="12">
        <v>156</v>
      </c>
      <c r="C251" s="12">
        <v>157</v>
      </c>
      <c r="D251" s="3">
        <v>1</v>
      </c>
      <c r="E251" s="3">
        <v>1</v>
      </c>
      <c r="F251" s="3">
        <v>1</v>
      </c>
      <c r="G251" s="3">
        <v>551.6</v>
      </c>
      <c r="H251" s="13">
        <v>0.3397</v>
      </c>
      <c r="I251" s="13">
        <v>0.31359999999999999</v>
      </c>
      <c r="J251" s="16">
        <v>0</v>
      </c>
      <c r="K251" s="16">
        <v>0</v>
      </c>
      <c r="L251" s="3">
        <v>0</v>
      </c>
      <c r="M251" s="3">
        <v>0</v>
      </c>
      <c r="N251" s="3">
        <v>990</v>
      </c>
      <c r="O251" s="3">
        <v>1025</v>
      </c>
      <c r="P251" s="1">
        <v>0</v>
      </c>
      <c r="Q251">
        <v>1005</v>
      </c>
      <c r="R251" s="3">
        <v>1677.6</v>
      </c>
      <c r="S251" s="1">
        <v>0</v>
      </c>
    </row>
    <row r="252" spans="1:19" x14ac:dyDescent="0.2">
      <c r="A252" s="12">
        <v>155</v>
      </c>
      <c r="B252" s="12">
        <v>157</v>
      </c>
      <c r="C252" s="12">
        <v>158</v>
      </c>
      <c r="D252" s="3">
        <v>1</v>
      </c>
      <c r="E252" s="3">
        <v>1</v>
      </c>
      <c r="F252" s="3">
        <v>1</v>
      </c>
      <c r="G252" s="3">
        <v>551.6</v>
      </c>
      <c r="H252" s="13">
        <v>0.3397</v>
      </c>
      <c r="I252" s="13">
        <v>0.31359999999999999</v>
      </c>
      <c r="J252" s="16">
        <v>0</v>
      </c>
      <c r="K252" s="16">
        <v>0</v>
      </c>
      <c r="L252" s="3">
        <v>0</v>
      </c>
      <c r="M252" s="3">
        <v>0</v>
      </c>
      <c r="N252" s="3">
        <v>990</v>
      </c>
      <c r="O252" s="3">
        <v>1025</v>
      </c>
      <c r="P252" s="1">
        <v>0</v>
      </c>
      <c r="Q252">
        <v>1005</v>
      </c>
      <c r="R252" s="3">
        <v>1677.6</v>
      </c>
      <c r="S252" s="1">
        <v>0</v>
      </c>
    </row>
    <row r="253" spans="1:19" x14ac:dyDescent="0.2">
      <c r="A253" s="12">
        <v>156</v>
      </c>
      <c r="B253" s="12">
        <v>158</v>
      </c>
      <c r="C253" s="12">
        <v>159</v>
      </c>
      <c r="D253" s="3">
        <v>1</v>
      </c>
      <c r="E253" s="3">
        <v>1</v>
      </c>
      <c r="F253" s="3">
        <v>1</v>
      </c>
      <c r="G253" s="3">
        <v>551.6</v>
      </c>
      <c r="H253" s="13">
        <v>0.3397</v>
      </c>
      <c r="I253" s="13">
        <v>0.31359999999999999</v>
      </c>
      <c r="J253" s="16">
        <v>0</v>
      </c>
      <c r="K253" s="16">
        <v>0</v>
      </c>
      <c r="L253" s="3">
        <v>0</v>
      </c>
      <c r="M253" s="3">
        <v>0</v>
      </c>
      <c r="N253" s="3">
        <v>990</v>
      </c>
      <c r="O253" s="3">
        <v>1025</v>
      </c>
      <c r="P253" s="1">
        <v>0</v>
      </c>
      <c r="Q253">
        <v>1005</v>
      </c>
      <c r="R253" s="3">
        <v>1677.6</v>
      </c>
      <c r="S253" s="1">
        <v>0</v>
      </c>
    </row>
    <row r="254" spans="1:19" x14ac:dyDescent="0.2">
      <c r="A254" s="12">
        <v>157</v>
      </c>
      <c r="B254" s="12">
        <v>159</v>
      </c>
      <c r="C254" s="12">
        <v>160</v>
      </c>
      <c r="D254" s="3">
        <v>1</v>
      </c>
      <c r="E254" s="3">
        <v>1</v>
      </c>
      <c r="F254" s="3">
        <v>1</v>
      </c>
      <c r="G254" s="3">
        <v>551.6</v>
      </c>
      <c r="H254" s="13">
        <v>0.3397</v>
      </c>
      <c r="I254" s="13">
        <v>0.31359999999999999</v>
      </c>
      <c r="J254" s="16">
        <v>0</v>
      </c>
      <c r="K254" s="16">
        <v>0</v>
      </c>
      <c r="L254" s="3">
        <v>0</v>
      </c>
      <c r="M254" s="3">
        <v>0</v>
      </c>
      <c r="N254" s="3">
        <v>990</v>
      </c>
      <c r="O254" s="3">
        <v>1025</v>
      </c>
      <c r="P254" s="1">
        <v>0</v>
      </c>
      <c r="Q254">
        <v>1005</v>
      </c>
      <c r="R254" s="3">
        <v>1677.6</v>
      </c>
      <c r="S254" s="1">
        <v>0</v>
      </c>
    </row>
    <row r="255" spans="1:19" x14ac:dyDescent="0.2">
      <c r="A255" s="12">
        <v>158</v>
      </c>
      <c r="B255" s="12">
        <v>160</v>
      </c>
      <c r="C255" s="12">
        <v>161</v>
      </c>
      <c r="D255" s="3">
        <v>1</v>
      </c>
      <c r="E255" s="3">
        <v>1</v>
      </c>
      <c r="F255" s="3">
        <v>1</v>
      </c>
      <c r="G255" s="3">
        <v>551.6</v>
      </c>
      <c r="H255" s="13">
        <v>0.3397</v>
      </c>
      <c r="I255" s="13">
        <v>0.31359999999999999</v>
      </c>
      <c r="J255" s="16">
        <v>0</v>
      </c>
      <c r="K255" s="16">
        <v>0</v>
      </c>
      <c r="L255" s="3">
        <v>0</v>
      </c>
      <c r="M255" s="3">
        <v>0</v>
      </c>
      <c r="N255" s="3">
        <v>990</v>
      </c>
      <c r="O255" s="3">
        <v>1025</v>
      </c>
      <c r="P255" s="1">
        <v>0</v>
      </c>
      <c r="Q255">
        <v>1005</v>
      </c>
      <c r="R255" s="3">
        <v>1677.6</v>
      </c>
      <c r="S255" s="1">
        <v>0</v>
      </c>
    </row>
    <row r="256" spans="1:19" x14ac:dyDescent="0.2">
      <c r="A256" s="12">
        <v>159</v>
      </c>
      <c r="B256" s="12">
        <v>161</v>
      </c>
      <c r="C256" s="12">
        <v>162</v>
      </c>
      <c r="D256" s="3">
        <v>1</v>
      </c>
      <c r="E256" s="3">
        <v>1</v>
      </c>
      <c r="F256" s="3">
        <v>1</v>
      </c>
      <c r="G256" s="3">
        <v>551.6</v>
      </c>
      <c r="H256" s="13">
        <v>0.3397</v>
      </c>
      <c r="I256" s="13">
        <v>0.31359999999999999</v>
      </c>
      <c r="J256" s="16">
        <v>0</v>
      </c>
      <c r="K256" s="16">
        <v>0</v>
      </c>
      <c r="L256" s="3">
        <v>0</v>
      </c>
      <c r="M256" s="3">
        <v>0</v>
      </c>
      <c r="N256" s="3">
        <v>990</v>
      </c>
      <c r="O256" s="3">
        <v>1025</v>
      </c>
      <c r="P256" s="1">
        <v>0</v>
      </c>
      <c r="Q256">
        <v>1005</v>
      </c>
      <c r="R256" s="3">
        <v>1677.6</v>
      </c>
      <c r="S256" s="1">
        <v>0</v>
      </c>
    </row>
    <row r="257" spans="1:19" x14ac:dyDescent="0.2">
      <c r="A257" s="12">
        <v>160</v>
      </c>
      <c r="B257" s="12">
        <v>162</v>
      </c>
      <c r="C257" s="12">
        <v>163</v>
      </c>
      <c r="D257" s="3">
        <v>1</v>
      </c>
      <c r="E257" s="3">
        <v>1</v>
      </c>
      <c r="F257" s="3">
        <v>1</v>
      </c>
      <c r="G257" s="3">
        <v>551.6</v>
      </c>
      <c r="H257" s="13">
        <v>0.3397</v>
      </c>
      <c r="I257" s="13">
        <v>0.31359999999999999</v>
      </c>
      <c r="J257" s="16">
        <v>0</v>
      </c>
      <c r="K257" s="16">
        <v>0</v>
      </c>
      <c r="L257" s="3">
        <v>0</v>
      </c>
      <c r="M257" s="3">
        <v>0</v>
      </c>
      <c r="N257" s="3">
        <v>990</v>
      </c>
      <c r="O257" s="3">
        <v>1025</v>
      </c>
      <c r="P257" s="1">
        <v>0</v>
      </c>
      <c r="Q257">
        <v>1005</v>
      </c>
      <c r="R257" s="3">
        <v>1677.6</v>
      </c>
      <c r="S257" s="1">
        <v>0</v>
      </c>
    </row>
    <row r="258" spans="1:19" x14ac:dyDescent="0.2">
      <c r="A258" s="12">
        <v>161</v>
      </c>
      <c r="B258" s="12">
        <v>163</v>
      </c>
      <c r="C258" s="12">
        <v>164</v>
      </c>
      <c r="D258" s="3">
        <v>1</v>
      </c>
      <c r="E258" s="3">
        <v>1</v>
      </c>
      <c r="F258" s="3">
        <v>1</v>
      </c>
      <c r="G258" s="3">
        <v>551.6</v>
      </c>
      <c r="H258" s="13">
        <v>0.3397</v>
      </c>
      <c r="I258" s="13">
        <v>0.31359999999999999</v>
      </c>
      <c r="J258" s="16">
        <v>0</v>
      </c>
      <c r="K258" s="16">
        <v>0</v>
      </c>
      <c r="L258" s="3">
        <v>0</v>
      </c>
      <c r="M258" s="3">
        <v>0</v>
      </c>
      <c r="N258" s="3">
        <v>990</v>
      </c>
      <c r="O258" s="3">
        <v>1025</v>
      </c>
      <c r="P258" s="1">
        <v>0</v>
      </c>
      <c r="Q258">
        <v>1005</v>
      </c>
      <c r="R258" s="3">
        <v>1677.6</v>
      </c>
      <c r="S258" s="1">
        <v>0</v>
      </c>
    </row>
    <row r="259" spans="1:19" x14ac:dyDescent="0.2">
      <c r="A259" s="12">
        <v>162</v>
      </c>
      <c r="B259" s="12">
        <v>164</v>
      </c>
      <c r="C259" s="12">
        <v>165</v>
      </c>
      <c r="D259" s="3">
        <v>1</v>
      </c>
      <c r="E259" s="3">
        <v>1</v>
      </c>
      <c r="F259" s="3">
        <v>1</v>
      </c>
      <c r="G259" s="3">
        <v>551.6</v>
      </c>
      <c r="H259" s="13">
        <v>0.3397</v>
      </c>
      <c r="I259" s="13">
        <v>0.31359999999999999</v>
      </c>
      <c r="J259" s="16">
        <v>0</v>
      </c>
      <c r="K259" s="16">
        <v>0</v>
      </c>
      <c r="L259" s="3">
        <v>0</v>
      </c>
      <c r="M259" s="3">
        <v>0</v>
      </c>
      <c r="N259" s="3">
        <v>990</v>
      </c>
      <c r="O259" s="3">
        <v>1025</v>
      </c>
      <c r="P259" s="1">
        <v>0</v>
      </c>
      <c r="Q259">
        <v>1005</v>
      </c>
      <c r="R259" s="3">
        <v>1677.6</v>
      </c>
      <c r="S259" s="1">
        <v>0</v>
      </c>
    </row>
    <row r="260" spans="1:19" x14ac:dyDescent="0.2">
      <c r="A260" s="12">
        <v>163</v>
      </c>
      <c r="B260" s="12">
        <v>165</v>
      </c>
      <c r="C260" s="12">
        <v>166</v>
      </c>
      <c r="D260" s="3">
        <v>1</v>
      </c>
      <c r="E260" s="3">
        <v>1</v>
      </c>
      <c r="F260" s="3">
        <v>1</v>
      </c>
      <c r="G260" s="3">
        <v>551.6</v>
      </c>
      <c r="H260" s="13">
        <v>0.3397</v>
      </c>
      <c r="I260" s="13">
        <v>0.31359999999999999</v>
      </c>
      <c r="J260" s="16">
        <v>0</v>
      </c>
      <c r="K260" s="16">
        <v>0</v>
      </c>
      <c r="L260" s="3">
        <v>0</v>
      </c>
      <c r="M260" s="3">
        <v>0</v>
      </c>
      <c r="N260" s="3">
        <v>990</v>
      </c>
      <c r="O260" s="3">
        <v>1025</v>
      </c>
      <c r="P260" s="1">
        <v>0</v>
      </c>
      <c r="Q260">
        <v>1005</v>
      </c>
      <c r="R260" s="3">
        <v>1677.6</v>
      </c>
      <c r="S260" s="1">
        <v>0</v>
      </c>
    </row>
    <row r="261" spans="1:19" x14ac:dyDescent="0.2">
      <c r="A261" s="12">
        <v>164</v>
      </c>
      <c r="B261" s="12">
        <v>166</v>
      </c>
      <c r="C261" s="12">
        <v>167</v>
      </c>
      <c r="D261" s="3">
        <v>1</v>
      </c>
      <c r="E261" s="3">
        <v>1</v>
      </c>
      <c r="F261" s="3">
        <v>1</v>
      </c>
      <c r="G261" s="3">
        <v>551.6</v>
      </c>
      <c r="H261" s="13">
        <v>0.3397</v>
      </c>
      <c r="I261" s="13">
        <v>0.31359999999999999</v>
      </c>
      <c r="J261" s="16">
        <v>0</v>
      </c>
      <c r="K261" s="16">
        <v>0</v>
      </c>
      <c r="L261" s="3">
        <v>0</v>
      </c>
      <c r="M261" s="3">
        <v>0</v>
      </c>
      <c r="N261" s="3">
        <v>990</v>
      </c>
      <c r="O261" s="3">
        <v>1025</v>
      </c>
      <c r="P261" s="1">
        <v>0</v>
      </c>
      <c r="Q261">
        <v>1005</v>
      </c>
      <c r="R261" s="3">
        <v>1677.6</v>
      </c>
      <c r="S261" s="1">
        <v>0</v>
      </c>
    </row>
    <row r="262" spans="1:19" x14ac:dyDescent="0.2">
      <c r="A262" s="12">
        <v>165</v>
      </c>
      <c r="B262" s="12">
        <v>167</v>
      </c>
      <c r="C262" s="12">
        <v>168</v>
      </c>
      <c r="D262" s="3">
        <v>1</v>
      </c>
      <c r="E262" s="3">
        <v>1</v>
      </c>
      <c r="F262" s="3">
        <v>1</v>
      </c>
      <c r="G262" s="3">
        <v>551.6</v>
      </c>
      <c r="H262" s="13">
        <v>0.3397</v>
      </c>
      <c r="I262" s="13">
        <v>0.31359999999999999</v>
      </c>
      <c r="J262" s="16">
        <v>0</v>
      </c>
      <c r="K262" s="16">
        <v>0</v>
      </c>
      <c r="L262" s="3">
        <v>0</v>
      </c>
      <c r="M262" s="3">
        <v>0</v>
      </c>
      <c r="N262" s="3">
        <v>990</v>
      </c>
      <c r="O262" s="3">
        <v>1025</v>
      </c>
      <c r="P262" s="1">
        <v>0</v>
      </c>
      <c r="Q262">
        <v>1005</v>
      </c>
      <c r="R262" s="3">
        <v>1677.6</v>
      </c>
      <c r="S262" s="1">
        <v>0</v>
      </c>
    </row>
    <row r="263" spans="1:19" x14ac:dyDescent="0.2">
      <c r="A263" s="12">
        <v>166</v>
      </c>
      <c r="B263" s="12">
        <v>168</v>
      </c>
      <c r="C263" s="12">
        <v>169</v>
      </c>
      <c r="D263" s="3">
        <v>1</v>
      </c>
      <c r="E263" s="3">
        <v>1</v>
      </c>
      <c r="F263" s="3">
        <v>1</v>
      </c>
      <c r="G263" s="3">
        <v>551.6</v>
      </c>
      <c r="H263" s="13">
        <v>0.3397</v>
      </c>
      <c r="I263" s="13">
        <v>0.31359999999999999</v>
      </c>
      <c r="J263" s="16">
        <v>0</v>
      </c>
      <c r="K263" s="16">
        <v>0</v>
      </c>
      <c r="L263" s="3">
        <v>0</v>
      </c>
      <c r="M263" s="3">
        <v>0</v>
      </c>
      <c r="N263" s="3">
        <v>990</v>
      </c>
      <c r="O263" s="3">
        <v>1025</v>
      </c>
      <c r="P263" s="1">
        <v>0</v>
      </c>
      <c r="Q263">
        <v>1005</v>
      </c>
      <c r="R263" s="3">
        <v>1677.6</v>
      </c>
      <c r="S263" s="1">
        <v>0</v>
      </c>
    </row>
    <row r="264" spans="1:19" x14ac:dyDescent="0.2">
      <c r="A264" s="12">
        <v>167</v>
      </c>
      <c r="B264" s="12">
        <v>169</v>
      </c>
      <c r="C264" s="12">
        <v>170</v>
      </c>
      <c r="D264" s="3">
        <v>1</v>
      </c>
      <c r="E264" s="3">
        <v>1</v>
      </c>
      <c r="F264" s="3">
        <v>1</v>
      </c>
      <c r="G264" s="3">
        <v>551.6</v>
      </c>
      <c r="H264" s="13">
        <v>0.3397</v>
      </c>
      <c r="I264" s="13">
        <v>0.31359999999999999</v>
      </c>
      <c r="J264" s="16">
        <v>0</v>
      </c>
      <c r="K264" s="16">
        <v>0</v>
      </c>
      <c r="L264" s="3">
        <v>0</v>
      </c>
      <c r="M264" s="3">
        <v>0</v>
      </c>
      <c r="N264" s="3">
        <v>990</v>
      </c>
      <c r="O264" s="3">
        <v>1025</v>
      </c>
      <c r="P264" s="1">
        <v>0</v>
      </c>
      <c r="Q264">
        <v>1005</v>
      </c>
      <c r="R264" s="3">
        <v>1677.6</v>
      </c>
      <c r="S264" s="1">
        <v>0</v>
      </c>
    </row>
    <row r="265" spans="1:19" x14ac:dyDescent="0.2">
      <c r="A265" s="12">
        <v>168</v>
      </c>
      <c r="B265" s="12">
        <v>170</v>
      </c>
      <c r="C265" s="12">
        <v>171</v>
      </c>
      <c r="D265" s="3">
        <v>1</v>
      </c>
      <c r="E265" s="3">
        <v>1</v>
      </c>
      <c r="F265" s="3">
        <v>1</v>
      </c>
      <c r="G265" s="3">
        <v>551.6</v>
      </c>
      <c r="H265" s="13">
        <v>0.3397</v>
      </c>
      <c r="I265" s="13">
        <v>0.31359999999999999</v>
      </c>
      <c r="J265" s="16">
        <v>0</v>
      </c>
      <c r="K265" s="16">
        <v>0</v>
      </c>
      <c r="L265" s="3">
        <v>0</v>
      </c>
      <c r="M265" s="3">
        <v>0</v>
      </c>
      <c r="N265" s="3">
        <v>990</v>
      </c>
      <c r="O265" s="3">
        <v>1025</v>
      </c>
      <c r="P265" s="1">
        <v>0</v>
      </c>
      <c r="Q265">
        <v>1005</v>
      </c>
      <c r="R265" s="3">
        <v>1677.6</v>
      </c>
      <c r="S265" s="1">
        <v>0</v>
      </c>
    </row>
    <row r="266" spans="1:19" x14ac:dyDescent="0.2">
      <c r="A266" s="12">
        <v>169</v>
      </c>
      <c r="B266" s="12">
        <v>171</v>
      </c>
      <c r="C266" s="12">
        <v>172</v>
      </c>
      <c r="D266" s="3">
        <v>1</v>
      </c>
      <c r="E266" s="3">
        <v>1</v>
      </c>
      <c r="F266" s="3">
        <v>1</v>
      </c>
      <c r="G266" s="3">
        <v>551.6</v>
      </c>
      <c r="H266" s="13">
        <v>0.3397</v>
      </c>
      <c r="I266" s="13">
        <v>0.31359999999999999</v>
      </c>
      <c r="J266" s="16">
        <v>0</v>
      </c>
      <c r="K266" s="16">
        <v>0</v>
      </c>
      <c r="L266" s="3">
        <v>0</v>
      </c>
      <c r="M266" s="3">
        <v>0</v>
      </c>
      <c r="N266" s="3">
        <v>990</v>
      </c>
      <c r="O266" s="3">
        <v>1025</v>
      </c>
      <c r="P266" s="1">
        <v>0</v>
      </c>
      <c r="Q266">
        <v>1005</v>
      </c>
      <c r="R266" s="3">
        <v>1677.6</v>
      </c>
      <c r="S266" s="1">
        <v>0</v>
      </c>
    </row>
    <row r="267" spans="1:19" x14ac:dyDescent="0.2">
      <c r="A267" s="12">
        <v>170</v>
      </c>
      <c r="B267" s="12">
        <v>172</v>
      </c>
      <c r="C267" s="12">
        <v>173</v>
      </c>
      <c r="D267" s="3">
        <v>1</v>
      </c>
      <c r="E267" s="3">
        <v>1</v>
      </c>
      <c r="F267" s="3">
        <v>1</v>
      </c>
      <c r="G267" s="3">
        <v>551.6</v>
      </c>
      <c r="H267" s="13">
        <v>0.3397</v>
      </c>
      <c r="I267" s="13">
        <v>0.31359999999999999</v>
      </c>
      <c r="J267" s="16">
        <v>0</v>
      </c>
      <c r="K267" s="16">
        <v>0</v>
      </c>
      <c r="L267" s="3">
        <v>0</v>
      </c>
      <c r="M267" s="3">
        <v>0</v>
      </c>
      <c r="N267" s="3">
        <v>990</v>
      </c>
      <c r="O267" s="3">
        <v>1025</v>
      </c>
      <c r="P267" s="1">
        <v>0</v>
      </c>
      <c r="Q267">
        <v>1005</v>
      </c>
      <c r="R267" s="3">
        <v>1677.6</v>
      </c>
      <c r="S267" s="1">
        <v>0</v>
      </c>
    </row>
    <row r="268" spans="1:19" x14ac:dyDescent="0.2">
      <c r="A268" s="12">
        <v>171</v>
      </c>
      <c r="B268" s="12">
        <v>173</v>
      </c>
      <c r="C268" s="12">
        <v>174</v>
      </c>
      <c r="D268" s="3">
        <v>1</v>
      </c>
      <c r="E268" s="3">
        <v>1</v>
      </c>
      <c r="F268" s="3">
        <v>1</v>
      </c>
      <c r="G268" s="3">
        <v>551.6</v>
      </c>
      <c r="H268" s="13">
        <v>0.3397</v>
      </c>
      <c r="I268" s="13">
        <v>0.31359999999999999</v>
      </c>
      <c r="J268" s="16">
        <v>0</v>
      </c>
      <c r="K268" s="16">
        <v>0</v>
      </c>
      <c r="L268" s="3">
        <v>0</v>
      </c>
      <c r="M268" s="3">
        <v>0</v>
      </c>
      <c r="N268" s="3">
        <v>990</v>
      </c>
      <c r="O268" s="3">
        <v>1025</v>
      </c>
      <c r="P268" s="1">
        <v>0</v>
      </c>
      <c r="Q268">
        <v>1005</v>
      </c>
      <c r="R268" s="3">
        <v>1677.6</v>
      </c>
      <c r="S268" s="1">
        <v>0</v>
      </c>
    </row>
    <row r="269" spans="1:19" x14ac:dyDescent="0.2">
      <c r="A269" s="12">
        <v>172</v>
      </c>
      <c r="B269" s="12">
        <v>174</v>
      </c>
      <c r="C269" s="12">
        <v>175</v>
      </c>
      <c r="D269" s="3">
        <v>1</v>
      </c>
      <c r="E269" s="3">
        <v>1</v>
      </c>
      <c r="F269" s="3">
        <v>1</v>
      </c>
      <c r="G269" s="3">
        <v>551.6</v>
      </c>
      <c r="H269" s="13">
        <v>0.3397</v>
      </c>
      <c r="I269" s="13">
        <v>0.31359999999999999</v>
      </c>
      <c r="J269" s="16">
        <v>0</v>
      </c>
      <c r="K269" s="16">
        <v>0</v>
      </c>
      <c r="L269" s="3">
        <v>0</v>
      </c>
      <c r="M269" s="3">
        <v>0</v>
      </c>
      <c r="N269" s="3">
        <v>990</v>
      </c>
      <c r="O269" s="3">
        <v>1025</v>
      </c>
      <c r="P269" s="1">
        <v>0</v>
      </c>
      <c r="Q269">
        <v>1005</v>
      </c>
      <c r="R269" s="3">
        <v>1677.6</v>
      </c>
      <c r="S269" s="1">
        <v>0</v>
      </c>
    </row>
    <row r="270" spans="1:19" x14ac:dyDescent="0.2">
      <c r="A270" s="12">
        <v>173</v>
      </c>
      <c r="B270" s="12">
        <v>175</v>
      </c>
      <c r="C270" s="12">
        <v>176</v>
      </c>
      <c r="D270" s="3">
        <v>1</v>
      </c>
      <c r="E270" s="3">
        <v>1</v>
      </c>
      <c r="F270" s="3">
        <v>1</v>
      </c>
      <c r="G270" s="3">
        <v>551.6</v>
      </c>
      <c r="H270" s="13">
        <v>0.3397</v>
      </c>
      <c r="I270" s="13">
        <v>0.31359999999999999</v>
      </c>
      <c r="J270" s="16">
        <v>0</v>
      </c>
      <c r="K270" s="16">
        <v>0</v>
      </c>
      <c r="L270" s="3">
        <v>0</v>
      </c>
      <c r="M270" s="3">
        <v>0</v>
      </c>
      <c r="N270" s="3">
        <v>990</v>
      </c>
      <c r="O270" s="3">
        <v>1025</v>
      </c>
      <c r="P270" s="1">
        <v>0</v>
      </c>
      <c r="Q270">
        <v>1005</v>
      </c>
      <c r="R270" s="3">
        <v>1677.6</v>
      </c>
      <c r="S270" s="1">
        <v>0</v>
      </c>
    </row>
    <row r="271" spans="1:19" x14ac:dyDescent="0.2">
      <c r="A271" s="12">
        <v>174</v>
      </c>
      <c r="B271" s="12">
        <v>176</v>
      </c>
      <c r="C271" s="12">
        <v>177</v>
      </c>
      <c r="D271" s="3">
        <v>1</v>
      </c>
      <c r="E271" s="3">
        <v>1</v>
      </c>
      <c r="F271" s="3">
        <v>1</v>
      </c>
      <c r="G271" s="3">
        <v>551.6</v>
      </c>
      <c r="H271" s="13">
        <v>0.3397</v>
      </c>
      <c r="I271" s="13">
        <v>0.31359999999999999</v>
      </c>
      <c r="J271" s="16">
        <v>0</v>
      </c>
      <c r="K271" s="16">
        <v>0</v>
      </c>
      <c r="L271" s="3">
        <v>0</v>
      </c>
      <c r="M271" s="3">
        <v>0</v>
      </c>
      <c r="N271" s="3">
        <v>990</v>
      </c>
      <c r="O271" s="3">
        <v>1025</v>
      </c>
      <c r="P271" s="1">
        <v>0</v>
      </c>
      <c r="Q271">
        <v>1005</v>
      </c>
      <c r="R271" s="3">
        <v>1677.6</v>
      </c>
      <c r="S271" s="1">
        <v>0</v>
      </c>
    </row>
    <row r="272" spans="1:19" x14ac:dyDescent="0.2">
      <c r="A272" s="12">
        <v>175</v>
      </c>
      <c r="B272" s="12">
        <v>177</v>
      </c>
      <c r="C272" s="12">
        <v>178</v>
      </c>
      <c r="D272" s="3">
        <v>1</v>
      </c>
      <c r="E272" s="3">
        <v>1</v>
      </c>
      <c r="F272" s="3">
        <v>1</v>
      </c>
      <c r="G272" s="3">
        <v>551.6</v>
      </c>
      <c r="H272" s="13">
        <v>0.3397</v>
      </c>
      <c r="I272" s="13">
        <v>0.31359999999999999</v>
      </c>
      <c r="J272" s="16">
        <v>0</v>
      </c>
      <c r="K272" s="16">
        <v>0</v>
      </c>
      <c r="L272" s="3">
        <v>0</v>
      </c>
      <c r="M272" s="3">
        <v>0</v>
      </c>
      <c r="N272" s="3">
        <v>990</v>
      </c>
      <c r="O272" s="3">
        <v>1025</v>
      </c>
      <c r="P272" s="1">
        <v>0</v>
      </c>
      <c r="Q272">
        <v>1005</v>
      </c>
      <c r="R272" s="3">
        <v>1677.6</v>
      </c>
      <c r="S272" s="1">
        <v>0</v>
      </c>
    </row>
    <row r="273" spans="1:19" x14ac:dyDescent="0.2">
      <c r="A273" s="12">
        <v>176</v>
      </c>
      <c r="B273" s="12">
        <v>178</v>
      </c>
      <c r="C273" s="12">
        <v>179</v>
      </c>
      <c r="D273" s="3">
        <v>1</v>
      </c>
      <c r="E273" s="3">
        <v>1</v>
      </c>
      <c r="F273" s="3">
        <v>1</v>
      </c>
      <c r="G273" s="3">
        <v>551.6</v>
      </c>
      <c r="H273" s="13">
        <v>0.3397</v>
      </c>
      <c r="I273" s="13">
        <v>0.31359999999999999</v>
      </c>
      <c r="J273" s="16">
        <v>0</v>
      </c>
      <c r="K273" s="16">
        <v>0</v>
      </c>
      <c r="L273" s="3">
        <v>0</v>
      </c>
      <c r="M273" s="3">
        <v>0</v>
      </c>
      <c r="N273" s="3">
        <v>990</v>
      </c>
      <c r="O273" s="3">
        <v>1025</v>
      </c>
      <c r="P273" s="1">
        <v>0</v>
      </c>
      <c r="Q273">
        <v>1005</v>
      </c>
      <c r="R273" s="3">
        <v>1677.6</v>
      </c>
      <c r="S273" s="1">
        <v>0</v>
      </c>
    </row>
    <row r="274" spans="1:19" x14ac:dyDescent="0.2">
      <c r="A274" s="12">
        <v>177</v>
      </c>
      <c r="B274" s="12">
        <v>179</v>
      </c>
      <c r="C274" s="12">
        <v>180</v>
      </c>
      <c r="D274" s="3">
        <v>1</v>
      </c>
      <c r="E274" s="3">
        <v>1</v>
      </c>
      <c r="F274" s="3">
        <v>1</v>
      </c>
      <c r="G274" s="3">
        <v>551.6</v>
      </c>
      <c r="H274" s="13">
        <v>0.3397</v>
      </c>
      <c r="I274" s="13">
        <v>0.31359999999999999</v>
      </c>
      <c r="J274" s="16">
        <v>0</v>
      </c>
      <c r="K274" s="16">
        <v>0</v>
      </c>
      <c r="L274" s="3">
        <v>0</v>
      </c>
      <c r="M274" s="3">
        <v>0</v>
      </c>
      <c r="N274" s="3">
        <v>990</v>
      </c>
      <c r="O274" s="3">
        <v>1025</v>
      </c>
      <c r="P274" s="1">
        <v>0</v>
      </c>
      <c r="Q274">
        <v>1005</v>
      </c>
      <c r="R274" s="3">
        <v>1677.6</v>
      </c>
      <c r="S274" s="1">
        <v>0</v>
      </c>
    </row>
    <row r="275" spans="1:19" x14ac:dyDescent="0.2">
      <c r="A275" s="12">
        <v>178</v>
      </c>
      <c r="B275" s="12">
        <v>180</v>
      </c>
      <c r="C275" s="12">
        <v>181</v>
      </c>
      <c r="D275" s="3">
        <v>1</v>
      </c>
      <c r="E275" s="3">
        <v>1</v>
      </c>
      <c r="F275" s="3">
        <v>1</v>
      </c>
      <c r="G275" s="3">
        <v>551.6</v>
      </c>
      <c r="H275" s="13">
        <v>0.3397</v>
      </c>
      <c r="I275" s="13">
        <v>0.31359999999999999</v>
      </c>
      <c r="J275" s="16">
        <v>0</v>
      </c>
      <c r="K275" s="16">
        <v>0</v>
      </c>
      <c r="L275" s="3">
        <v>0</v>
      </c>
      <c r="M275" s="3">
        <v>0</v>
      </c>
      <c r="N275" s="3">
        <v>990</v>
      </c>
      <c r="O275" s="3">
        <v>1025</v>
      </c>
      <c r="P275" s="1">
        <v>0</v>
      </c>
      <c r="Q275">
        <v>1005</v>
      </c>
      <c r="R275" s="3">
        <v>1677.6</v>
      </c>
      <c r="S275" s="1">
        <v>0</v>
      </c>
    </row>
    <row r="276" spans="1:19" x14ac:dyDescent="0.2">
      <c r="A276" s="12">
        <v>179</v>
      </c>
      <c r="B276" s="12">
        <v>181</v>
      </c>
      <c r="C276" s="12">
        <v>182</v>
      </c>
      <c r="D276" s="3">
        <v>1</v>
      </c>
      <c r="E276" s="3">
        <v>1</v>
      </c>
      <c r="F276" s="3">
        <v>1</v>
      </c>
      <c r="G276" s="3">
        <v>551.6</v>
      </c>
      <c r="H276" s="13">
        <v>0.3397</v>
      </c>
      <c r="I276" s="13">
        <v>0.31359999999999999</v>
      </c>
      <c r="J276" s="16">
        <v>0</v>
      </c>
      <c r="K276" s="16">
        <v>0</v>
      </c>
      <c r="L276" s="3">
        <v>0</v>
      </c>
      <c r="M276" s="3">
        <v>0</v>
      </c>
      <c r="N276" s="3">
        <v>990</v>
      </c>
      <c r="O276" s="3">
        <v>1025</v>
      </c>
      <c r="P276" s="1">
        <v>0</v>
      </c>
      <c r="Q276">
        <v>1005</v>
      </c>
      <c r="R276" s="3">
        <v>1677.6</v>
      </c>
      <c r="S276" s="1">
        <v>0</v>
      </c>
    </row>
    <row r="277" spans="1:19" x14ac:dyDescent="0.2">
      <c r="A277" s="12">
        <v>180</v>
      </c>
      <c r="B277" s="12">
        <v>182</v>
      </c>
      <c r="C277" s="12">
        <v>183</v>
      </c>
      <c r="D277" s="3">
        <v>1</v>
      </c>
      <c r="E277" s="3">
        <v>1</v>
      </c>
      <c r="F277" s="3">
        <v>1</v>
      </c>
      <c r="G277" s="3">
        <v>551.6</v>
      </c>
      <c r="H277" s="13">
        <v>0.3397</v>
      </c>
      <c r="I277" s="13">
        <v>0.31359999999999999</v>
      </c>
      <c r="J277" s="16">
        <v>0</v>
      </c>
      <c r="K277" s="16">
        <v>0</v>
      </c>
      <c r="L277" s="3">
        <v>0</v>
      </c>
      <c r="M277" s="3">
        <v>0</v>
      </c>
      <c r="N277" s="3">
        <v>990</v>
      </c>
      <c r="O277" s="3">
        <v>1025</v>
      </c>
      <c r="P277" s="1">
        <v>0</v>
      </c>
      <c r="Q277">
        <v>1005</v>
      </c>
      <c r="R277" s="3">
        <v>1677.6</v>
      </c>
      <c r="S277" s="1">
        <v>0</v>
      </c>
    </row>
    <row r="278" spans="1:19" x14ac:dyDescent="0.2">
      <c r="A278" s="12">
        <v>181</v>
      </c>
      <c r="B278" s="12">
        <v>183</v>
      </c>
      <c r="C278" s="12">
        <v>184</v>
      </c>
      <c r="D278" s="3">
        <v>1</v>
      </c>
      <c r="E278" s="3">
        <v>1</v>
      </c>
      <c r="F278" s="3">
        <v>1</v>
      </c>
      <c r="G278" s="3">
        <v>551.6</v>
      </c>
      <c r="H278" s="13">
        <v>0.3397</v>
      </c>
      <c r="I278" s="13">
        <v>0.31359999999999999</v>
      </c>
      <c r="J278" s="16">
        <v>0</v>
      </c>
      <c r="K278" s="16">
        <v>0</v>
      </c>
      <c r="L278" s="3">
        <v>0</v>
      </c>
      <c r="M278" s="3">
        <v>0</v>
      </c>
      <c r="N278" s="3">
        <v>990</v>
      </c>
      <c r="O278" s="3">
        <v>1025</v>
      </c>
      <c r="P278" s="1">
        <v>0</v>
      </c>
      <c r="Q278">
        <v>1005</v>
      </c>
      <c r="R278" s="3">
        <v>1677.6</v>
      </c>
      <c r="S278" s="1">
        <v>0</v>
      </c>
    </row>
    <row r="279" spans="1:19" x14ac:dyDescent="0.2">
      <c r="A279" s="12">
        <v>182</v>
      </c>
      <c r="B279" s="12">
        <v>184</v>
      </c>
      <c r="C279" s="12">
        <v>185</v>
      </c>
      <c r="D279" s="3">
        <v>1</v>
      </c>
      <c r="E279" s="3">
        <v>1</v>
      </c>
      <c r="F279" s="3">
        <v>1</v>
      </c>
      <c r="G279" s="3">
        <v>551.6</v>
      </c>
      <c r="H279" s="13">
        <v>0.3397</v>
      </c>
      <c r="I279" s="13">
        <v>0.31359999999999999</v>
      </c>
      <c r="J279" s="16">
        <v>0</v>
      </c>
      <c r="K279" s="16">
        <v>0</v>
      </c>
      <c r="L279" s="3">
        <v>0</v>
      </c>
      <c r="M279" s="3">
        <v>0</v>
      </c>
      <c r="N279" s="3">
        <v>990</v>
      </c>
      <c r="O279" s="3">
        <v>1025</v>
      </c>
      <c r="P279" s="1">
        <v>0</v>
      </c>
      <c r="Q279">
        <v>1005</v>
      </c>
      <c r="R279" s="3">
        <v>1677.6</v>
      </c>
      <c r="S279" s="1">
        <v>0</v>
      </c>
    </row>
    <row r="280" spans="1:19" x14ac:dyDescent="0.2">
      <c r="A280" s="12">
        <v>183</v>
      </c>
      <c r="B280" s="12">
        <v>185</v>
      </c>
      <c r="C280" s="12">
        <v>186</v>
      </c>
      <c r="D280" s="3">
        <v>1</v>
      </c>
      <c r="E280" s="3">
        <v>1</v>
      </c>
      <c r="F280" s="3">
        <v>1</v>
      </c>
      <c r="G280" s="3">
        <v>551.6</v>
      </c>
      <c r="H280" s="13">
        <v>0.3397</v>
      </c>
      <c r="I280" s="13">
        <v>0.31359999999999999</v>
      </c>
      <c r="J280" s="16">
        <v>0</v>
      </c>
      <c r="K280" s="16">
        <v>0</v>
      </c>
      <c r="L280" s="3">
        <v>0</v>
      </c>
      <c r="M280" s="3">
        <v>0</v>
      </c>
      <c r="N280" s="3">
        <v>990</v>
      </c>
      <c r="O280" s="3">
        <v>1025</v>
      </c>
      <c r="P280" s="1">
        <v>0</v>
      </c>
      <c r="Q280">
        <v>1005</v>
      </c>
      <c r="R280" s="3">
        <v>1677.6</v>
      </c>
      <c r="S280" s="1">
        <v>0</v>
      </c>
    </row>
    <row r="281" spans="1:19" x14ac:dyDescent="0.2">
      <c r="A281" s="12">
        <v>184</v>
      </c>
      <c r="B281" s="12">
        <v>186</v>
      </c>
      <c r="C281" s="12">
        <v>187</v>
      </c>
      <c r="D281" s="3">
        <v>1</v>
      </c>
      <c r="E281" s="3">
        <v>1</v>
      </c>
      <c r="F281" s="3">
        <v>1</v>
      </c>
      <c r="G281" s="3">
        <v>551.6</v>
      </c>
      <c r="H281" s="13">
        <v>0.3397</v>
      </c>
      <c r="I281" s="13">
        <v>0.31359999999999999</v>
      </c>
      <c r="J281" s="16">
        <v>0</v>
      </c>
      <c r="K281" s="16">
        <v>0</v>
      </c>
      <c r="L281" s="3">
        <v>0</v>
      </c>
      <c r="M281" s="3">
        <v>0</v>
      </c>
      <c r="N281" s="3">
        <v>990</v>
      </c>
      <c r="O281" s="3">
        <v>1025</v>
      </c>
      <c r="P281" s="1">
        <v>0</v>
      </c>
      <c r="Q281">
        <v>1005</v>
      </c>
      <c r="R281" s="3">
        <v>1677.6</v>
      </c>
      <c r="S281" s="1">
        <v>0</v>
      </c>
    </row>
    <row r="282" spans="1:19" x14ac:dyDescent="0.2">
      <c r="A282" s="12">
        <v>185</v>
      </c>
      <c r="B282" s="12">
        <v>187</v>
      </c>
      <c r="C282" s="12">
        <v>188</v>
      </c>
      <c r="D282" s="3">
        <v>1</v>
      </c>
      <c r="E282" s="3">
        <v>1</v>
      </c>
      <c r="F282" s="3">
        <v>1</v>
      </c>
      <c r="G282" s="3">
        <v>551.6</v>
      </c>
      <c r="H282" s="13">
        <v>0.3397</v>
      </c>
      <c r="I282" s="13">
        <v>0.31359999999999999</v>
      </c>
      <c r="J282" s="16">
        <v>0</v>
      </c>
      <c r="K282" s="16">
        <v>0</v>
      </c>
      <c r="L282" s="3">
        <v>0</v>
      </c>
      <c r="M282" s="3">
        <v>0</v>
      </c>
      <c r="N282" s="3">
        <v>990</v>
      </c>
      <c r="O282" s="3">
        <v>1025</v>
      </c>
      <c r="P282" s="1">
        <v>0</v>
      </c>
      <c r="Q282">
        <v>1005</v>
      </c>
      <c r="R282" s="3">
        <v>1677.6</v>
      </c>
      <c r="S282" s="1">
        <v>0</v>
      </c>
    </row>
    <row r="283" spans="1:19" x14ac:dyDescent="0.2">
      <c r="A283" s="12">
        <v>186</v>
      </c>
      <c r="B283" s="12">
        <v>188</v>
      </c>
      <c r="C283" s="12">
        <v>189</v>
      </c>
      <c r="D283" s="3">
        <v>1</v>
      </c>
      <c r="E283" s="3">
        <v>1</v>
      </c>
      <c r="F283" s="3">
        <v>1</v>
      </c>
      <c r="G283" s="3">
        <v>551.6</v>
      </c>
      <c r="H283" s="13">
        <v>0.3397</v>
      </c>
      <c r="I283" s="13">
        <v>0.31359999999999999</v>
      </c>
      <c r="J283" s="16">
        <v>0</v>
      </c>
      <c r="K283" s="16">
        <v>0</v>
      </c>
      <c r="L283" s="3">
        <v>0</v>
      </c>
      <c r="M283" s="3">
        <v>0</v>
      </c>
      <c r="N283" s="3">
        <v>990</v>
      </c>
      <c r="O283" s="3">
        <v>1025</v>
      </c>
      <c r="P283" s="1">
        <v>0</v>
      </c>
      <c r="Q283">
        <v>1005</v>
      </c>
      <c r="R283" s="3">
        <v>1677.6</v>
      </c>
      <c r="S283" s="1">
        <v>0</v>
      </c>
    </row>
    <row r="284" spans="1:19" x14ac:dyDescent="0.2">
      <c r="A284" s="12">
        <v>187</v>
      </c>
      <c r="B284" s="12">
        <v>189</v>
      </c>
      <c r="C284" s="12">
        <v>190</v>
      </c>
      <c r="D284" s="3">
        <v>1</v>
      </c>
      <c r="E284" s="3">
        <v>1</v>
      </c>
      <c r="F284" s="3">
        <v>1</v>
      </c>
      <c r="G284" s="3">
        <v>551.6</v>
      </c>
      <c r="H284" s="13">
        <v>0.3397</v>
      </c>
      <c r="I284" s="13">
        <v>0.31359999999999999</v>
      </c>
      <c r="J284" s="16">
        <v>0</v>
      </c>
      <c r="K284" s="16">
        <v>0</v>
      </c>
      <c r="L284" s="3">
        <v>0</v>
      </c>
      <c r="M284" s="3">
        <v>0</v>
      </c>
      <c r="N284" s="3">
        <v>990</v>
      </c>
      <c r="O284" s="3">
        <v>1025</v>
      </c>
      <c r="P284" s="1">
        <v>0</v>
      </c>
      <c r="Q284">
        <v>1005</v>
      </c>
      <c r="R284" s="3">
        <v>1677.6</v>
      </c>
      <c r="S284" s="1">
        <v>0</v>
      </c>
    </row>
    <row r="285" spans="1:19" x14ac:dyDescent="0.2">
      <c r="A285" s="12">
        <v>188</v>
      </c>
      <c r="B285" s="12">
        <v>190</v>
      </c>
      <c r="C285" s="12">
        <v>191</v>
      </c>
      <c r="D285" s="3">
        <v>1</v>
      </c>
      <c r="E285" s="3">
        <v>1</v>
      </c>
      <c r="F285" s="3">
        <v>1</v>
      </c>
      <c r="G285" s="3">
        <v>551.6</v>
      </c>
      <c r="H285" s="13">
        <v>0.3397</v>
      </c>
      <c r="I285" s="13">
        <v>0.31359999999999999</v>
      </c>
      <c r="J285" s="16">
        <v>0</v>
      </c>
      <c r="K285" s="16">
        <v>0</v>
      </c>
      <c r="L285" s="3">
        <v>0</v>
      </c>
      <c r="M285" s="3">
        <v>0</v>
      </c>
      <c r="N285" s="3">
        <v>990</v>
      </c>
      <c r="O285" s="3">
        <v>1025</v>
      </c>
      <c r="P285" s="1">
        <v>0</v>
      </c>
      <c r="Q285">
        <v>1005</v>
      </c>
      <c r="R285" s="3">
        <v>1677.6</v>
      </c>
      <c r="S285" s="1">
        <v>0</v>
      </c>
    </row>
    <row r="286" spans="1:19" x14ac:dyDescent="0.2">
      <c r="A286" s="12">
        <v>189</v>
      </c>
      <c r="B286" s="12">
        <v>191</v>
      </c>
      <c r="C286" s="12">
        <v>192</v>
      </c>
      <c r="D286" s="3">
        <v>1</v>
      </c>
      <c r="E286" s="3">
        <v>1</v>
      </c>
      <c r="F286" s="3">
        <v>1</v>
      </c>
      <c r="G286" s="3">
        <v>551.6</v>
      </c>
      <c r="H286" s="13">
        <v>0.3397</v>
      </c>
      <c r="I286" s="13">
        <v>0.31359999999999999</v>
      </c>
      <c r="J286" s="16">
        <v>0</v>
      </c>
      <c r="K286" s="16">
        <v>0</v>
      </c>
      <c r="L286" s="3">
        <v>0</v>
      </c>
      <c r="M286" s="3">
        <v>0</v>
      </c>
      <c r="N286" s="3">
        <v>990</v>
      </c>
      <c r="O286" s="3">
        <v>1025</v>
      </c>
      <c r="P286" s="1">
        <v>0</v>
      </c>
      <c r="Q286">
        <v>1005</v>
      </c>
      <c r="R286" s="3">
        <v>1677.6</v>
      </c>
      <c r="S286" s="1">
        <v>0</v>
      </c>
    </row>
    <row r="287" spans="1:19" x14ac:dyDescent="0.2">
      <c r="A287" s="12">
        <v>190</v>
      </c>
      <c r="B287" s="12">
        <v>192</v>
      </c>
      <c r="C287" s="12">
        <v>193</v>
      </c>
      <c r="D287" s="3">
        <v>1</v>
      </c>
      <c r="E287" s="3">
        <v>1</v>
      </c>
      <c r="F287" s="3">
        <v>1</v>
      </c>
      <c r="G287" s="3">
        <v>551.6</v>
      </c>
      <c r="H287" s="13">
        <v>0.3397</v>
      </c>
      <c r="I287" s="13">
        <v>0.31359999999999999</v>
      </c>
      <c r="J287" s="16">
        <v>0</v>
      </c>
      <c r="K287" s="16">
        <v>0</v>
      </c>
      <c r="L287" s="3">
        <v>0</v>
      </c>
      <c r="M287" s="3">
        <v>0</v>
      </c>
      <c r="N287" s="3">
        <v>990</v>
      </c>
      <c r="O287" s="3">
        <v>1025</v>
      </c>
      <c r="P287" s="1">
        <v>0</v>
      </c>
      <c r="Q287">
        <v>1005</v>
      </c>
      <c r="R287" s="3">
        <v>1677.6</v>
      </c>
      <c r="S287" s="1">
        <v>0</v>
      </c>
    </row>
    <row r="288" spans="1:19" x14ac:dyDescent="0.2">
      <c r="A288" s="12">
        <v>191</v>
      </c>
      <c r="B288" s="12">
        <v>193</v>
      </c>
      <c r="C288" s="12">
        <v>194</v>
      </c>
      <c r="D288" s="3">
        <v>1</v>
      </c>
      <c r="E288" s="3">
        <v>1</v>
      </c>
      <c r="F288" s="3">
        <v>1</v>
      </c>
      <c r="G288" s="3">
        <v>551.6</v>
      </c>
      <c r="H288" s="13">
        <v>0.3397</v>
      </c>
      <c r="I288" s="13">
        <v>0.31359999999999999</v>
      </c>
      <c r="J288" s="16">
        <v>0</v>
      </c>
      <c r="K288" s="16">
        <v>0</v>
      </c>
      <c r="L288" s="3">
        <v>0</v>
      </c>
      <c r="M288" s="3">
        <v>0</v>
      </c>
      <c r="N288" s="3">
        <v>990</v>
      </c>
      <c r="O288" s="3">
        <v>1025</v>
      </c>
      <c r="P288" s="1">
        <v>0</v>
      </c>
      <c r="Q288">
        <v>1005</v>
      </c>
      <c r="R288" s="3">
        <v>1677.6</v>
      </c>
      <c r="S288" s="1">
        <v>0</v>
      </c>
    </row>
    <row r="289" spans="1:19" x14ac:dyDescent="0.2">
      <c r="A289" s="12">
        <v>192</v>
      </c>
      <c r="B289" s="12">
        <v>194</v>
      </c>
      <c r="C289" s="12">
        <v>195</v>
      </c>
      <c r="D289" s="3">
        <v>1</v>
      </c>
      <c r="E289" s="3">
        <v>1</v>
      </c>
      <c r="F289" s="3">
        <v>1</v>
      </c>
      <c r="G289" s="3">
        <v>551.6</v>
      </c>
      <c r="H289" s="13">
        <v>0.3397</v>
      </c>
      <c r="I289" s="13">
        <v>0.31359999999999999</v>
      </c>
      <c r="J289" s="16">
        <v>0</v>
      </c>
      <c r="K289" s="16">
        <v>0</v>
      </c>
      <c r="L289" s="3">
        <v>0</v>
      </c>
      <c r="M289" s="3">
        <v>0</v>
      </c>
      <c r="N289" s="3">
        <v>990</v>
      </c>
      <c r="O289" s="3">
        <v>1025</v>
      </c>
      <c r="P289" s="1">
        <v>0</v>
      </c>
      <c r="Q289">
        <v>1005</v>
      </c>
      <c r="R289" s="3">
        <v>1677.6</v>
      </c>
      <c r="S289" s="1">
        <v>0</v>
      </c>
    </row>
    <row r="290" spans="1:19" x14ac:dyDescent="0.2">
      <c r="A290" s="12">
        <v>193</v>
      </c>
      <c r="B290" s="12">
        <v>195</v>
      </c>
      <c r="C290" s="12">
        <v>196</v>
      </c>
      <c r="D290" s="3">
        <v>1</v>
      </c>
      <c r="E290" s="3">
        <v>1</v>
      </c>
      <c r="F290" s="3">
        <v>1</v>
      </c>
      <c r="G290" s="3">
        <v>551.6</v>
      </c>
      <c r="H290" s="13">
        <v>0.3397</v>
      </c>
      <c r="I290" s="13">
        <v>0.31359999999999999</v>
      </c>
      <c r="J290" s="16">
        <v>0</v>
      </c>
      <c r="K290" s="16">
        <v>0</v>
      </c>
      <c r="L290" s="3">
        <v>0</v>
      </c>
      <c r="M290" s="3">
        <v>0</v>
      </c>
      <c r="N290" s="3">
        <v>990</v>
      </c>
      <c r="O290" s="3">
        <v>1025</v>
      </c>
      <c r="P290" s="1">
        <v>0</v>
      </c>
      <c r="Q290">
        <v>1005</v>
      </c>
      <c r="R290" s="3">
        <v>1677.6</v>
      </c>
      <c r="S290" s="1">
        <v>0</v>
      </c>
    </row>
    <row r="291" spans="1:19" x14ac:dyDescent="0.2">
      <c r="A291" s="12">
        <v>194</v>
      </c>
      <c r="B291" s="12">
        <v>196</v>
      </c>
      <c r="C291" s="12">
        <v>197</v>
      </c>
      <c r="D291" s="3">
        <v>1</v>
      </c>
      <c r="E291" s="3">
        <v>1</v>
      </c>
      <c r="F291" s="3">
        <v>1</v>
      </c>
      <c r="G291" s="3">
        <v>551.6</v>
      </c>
      <c r="H291" s="13">
        <v>0.3397</v>
      </c>
      <c r="I291" s="13">
        <v>0.31359999999999999</v>
      </c>
      <c r="J291" s="16">
        <v>0</v>
      </c>
      <c r="K291" s="16">
        <v>0</v>
      </c>
      <c r="L291" s="3">
        <v>0</v>
      </c>
      <c r="M291" s="3">
        <v>0</v>
      </c>
      <c r="N291" s="3">
        <v>990</v>
      </c>
      <c r="O291" s="3">
        <v>1025</v>
      </c>
      <c r="P291" s="1">
        <v>0</v>
      </c>
      <c r="Q291">
        <v>1005</v>
      </c>
      <c r="R291" s="3">
        <v>1677.6</v>
      </c>
      <c r="S291" s="1">
        <v>0</v>
      </c>
    </row>
    <row r="292" spans="1:19" x14ac:dyDescent="0.2">
      <c r="A292" s="12">
        <v>195</v>
      </c>
      <c r="B292" s="12">
        <v>197</v>
      </c>
      <c r="C292" s="12">
        <v>198</v>
      </c>
      <c r="D292" s="3">
        <v>1</v>
      </c>
      <c r="E292" s="3">
        <v>1</v>
      </c>
      <c r="F292" s="3">
        <v>1</v>
      </c>
      <c r="G292" s="3">
        <v>551.6</v>
      </c>
      <c r="H292" s="13">
        <v>0.3397</v>
      </c>
      <c r="I292" s="13">
        <v>0.31359999999999999</v>
      </c>
      <c r="J292" s="16">
        <v>0</v>
      </c>
      <c r="K292" s="16">
        <v>0</v>
      </c>
      <c r="L292" s="3">
        <v>0</v>
      </c>
      <c r="M292" s="3">
        <v>0</v>
      </c>
      <c r="N292" s="3">
        <v>990</v>
      </c>
      <c r="O292" s="3">
        <v>1025</v>
      </c>
      <c r="P292" s="1">
        <v>0</v>
      </c>
      <c r="Q292">
        <v>1005</v>
      </c>
      <c r="R292" s="3">
        <v>1677.6</v>
      </c>
      <c r="S292" s="1">
        <v>0</v>
      </c>
    </row>
    <row r="293" spans="1:19" x14ac:dyDescent="0.2">
      <c r="A293" s="12">
        <v>196</v>
      </c>
      <c r="B293" s="12">
        <v>198</v>
      </c>
      <c r="C293" s="12">
        <v>199</v>
      </c>
      <c r="D293" s="3">
        <v>1</v>
      </c>
      <c r="E293" s="3">
        <v>1</v>
      </c>
      <c r="F293" s="3">
        <v>1</v>
      </c>
      <c r="G293" s="3">
        <v>551.6</v>
      </c>
      <c r="H293" s="13">
        <v>0.3397</v>
      </c>
      <c r="I293" s="13">
        <v>0.31359999999999999</v>
      </c>
      <c r="J293" s="16">
        <v>0</v>
      </c>
      <c r="K293" s="16">
        <v>0</v>
      </c>
      <c r="L293" s="3">
        <v>0</v>
      </c>
      <c r="M293" s="3">
        <v>0</v>
      </c>
      <c r="N293" s="3">
        <v>990</v>
      </c>
      <c r="O293" s="3">
        <v>1025</v>
      </c>
      <c r="P293" s="1">
        <v>0</v>
      </c>
      <c r="Q293">
        <v>1005</v>
      </c>
      <c r="R293" s="3">
        <v>1677.6</v>
      </c>
      <c r="S293" s="1">
        <v>0</v>
      </c>
    </row>
    <row r="294" spans="1:19" x14ac:dyDescent="0.2">
      <c r="A294" s="12">
        <v>197</v>
      </c>
      <c r="B294" s="12">
        <v>199</v>
      </c>
      <c r="C294" s="12">
        <v>200</v>
      </c>
      <c r="D294" s="3">
        <v>1</v>
      </c>
      <c r="E294" s="3">
        <v>1</v>
      </c>
      <c r="F294" s="3">
        <v>1</v>
      </c>
      <c r="G294" s="3">
        <v>551.6</v>
      </c>
      <c r="H294" s="13">
        <v>0.3397</v>
      </c>
      <c r="I294" s="13">
        <v>0.31359999999999999</v>
      </c>
      <c r="J294" s="16">
        <v>0</v>
      </c>
      <c r="K294" s="16">
        <v>0</v>
      </c>
      <c r="L294" s="3">
        <v>0</v>
      </c>
      <c r="M294" s="3">
        <v>0</v>
      </c>
      <c r="N294" s="3">
        <v>990</v>
      </c>
      <c r="O294" s="3">
        <v>1025</v>
      </c>
      <c r="P294" s="1">
        <v>0</v>
      </c>
      <c r="Q294">
        <v>1005</v>
      </c>
      <c r="R294" s="3">
        <v>1677.6</v>
      </c>
      <c r="S294" s="1">
        <v>0</v>
      </c>
    </row>
    <row r="295" spans="1:19" x14ac:dyDescent="0.2">
      <c r="A295" s="12">
        <v>198</v>
      </c>
      <c r="B295" s="12">
        <v>200</v>
      </c>
      <c r="C295" s="12">
        <v>201</v>
      </c>
      <c r="D295" s="3">
        <v>1</v>
      </c>
      <c r="E295" s="3">
        <v>1</v>
      </c>
      <c r="F295" s="3">
        <v>1</v>
      </c>
      <c r="G295" s="3">
        <v>551.6</v>
      </c>
      <c r="H295" s="13">
        <v>0.3397</v>
      </c>
      <c r="I295" s="13">
        <v>0.31359999999999999</v>
      </c>
      <c r="J295" s="16">
        <v>0</v>
      </c>
      <c r="K295" s="16">
        <v>0</v>
      </c>
      <c r="L295" s="3">
        <v>0</v>
      </c>
      <c r="M295" s="3">
        <v>0</v>
      </c>
      <c r="N295" s="3">
        <v>990</v>
      </c>
      <c r="O295" s="3">
        <v>1025</v>
      </c>
      <c r="P295" s="1">
        <v>0</v>
      </c>
      <c r="Q295">
        <v>1005</v>
      </c>
      <c r="R295" s="3">
        <v>1677.6</v>
      </c>
      <c r="S295" s="1">
        <v>0</v>
      </c>
    </row>
    <row r="296" spans="1:19" x14ac:dyDescent="0.2">
      <c r="A296" s="12">
        <v>199</v>
      </c>
      <c r="B296" s="12">
        <v>201</v>
      </c>
      <c r="C296" s="12">
        <v>202</v>
      </c>
      <c r="D296" s="3">
        <v>1</v>
      </c>
      <c r="E296" s="3">
        <v>1</v>
      </c>
      <c r="F296" s="3">
        <v>1</v>
      </c>
      <c r="G296" s="3">
        <v>551.6</v>
      </c>
      <c r="H296" s="13">
        <v>0.3397</v>
      </c>
      <c r="I296" s="13">
        <v>0.31359999999999999</v>
      </c>
      <c r="J296" s="16">
        <v>0</v>
      </c>
      <c r="K296" s="16">
        <v>0</v>
      </c>
      <c r="L296" s="3">
        <v>0</v>
      </c>
      <c r="M296" s="3">
        <v>0</v>
      </c>
      <c r="N296" s="3">
        <v>990</v>
      </c>
      <c r="O296" s="3">
        <v>1025</v>
      </c>
      <c r="P296" s="1">
        <v>0</v>
      </c>
      <c r="Q296">
        <v>1005</v>
      </c>
      <c r="R296" s="3">
        <v>1677.6</v>
      </c>
      <c r="S296" s="1">
        <v>0</v>
      </c>
    </row>
    <row r="297" spans="1:19" x14ac:dyDescent="0.2">
      <c r="A297" s="12">
        <v>200</v>
      </c>
      <c r="B297" s="12">
        <v>202</v>
      </c>
      <c r="C297" s="12">
        <v>203</v>
      </c>
      <c r="D297" s="3">
        <v>1</v>
      </c>
      <c r="E297" s="3">
        <v>1</v>
      </c>
      <c r="F297" s="3">
        <v>1</v>
      </c>
      <c r="G297" s="3">
        <v>551.6</v>
      </c>
      <c r="H297" s="13">
        <v>0.3397</v>
      </c>
      <c r="I297" s="13">
        <v>0.31359999999999999</v>
      </c>
      <c r="J297" s="16">
        <v>0</v>
      </c>
      <c r="K297" s="16">
        <v>0</v>
      </c>
      <c r="L297" s="3">
        <v>0</v>
      </c>
      <c r="M297" s="3">
        <v>0</v>
      </c>
      <c r="N297" s="3">
        <v>990</v>
      </c>
      <c r="O297" s="3">
        <v>1025</v>
      </c>
      <c r="P297" s="1">
        <v>0</v>
      </c>
      <c r="Q297">
        <v>1005</v>
      </c>
      <c r="R297" s="3">
        <v>1677.6</v>
      </c>
      <c r="S297" s="1">
        <v>0</v>
      </c>
    </row>
    <row r="298" spans="1:19" x14ac:dyDescent="0.2">
      <c r="A298" s="12">
        <v>201</v>
      </c>
      <c r="B298" s="12">
        <v>203</v>
      </c>
      <c r="C298" s="12">
        <v>204</v>
      </c>
      <c r="D298" s="3">
        <v>1</v>
      </c>
      <c r="E298" s="3">
        <v>1</v>
      </c>
      <c r="F298" s="3">
        <v>1</v>
      </c>
      <c r="G298" s="3">
        <v>551.6</v>
      </c>
      <c r="H298" s="13">
        <v>0.3397</v>
      </c>
      <c r="I298" s="13">
        <v>0.31359999999999999</v>
      </c>
      <c r="J298" s="16">
        <v>0</v>
      </c>
      <c r="K298" s="16">
        <v>0</v>
      </c>
      <c r="L298" s="3">
        <v>0</v>
      </c>
      <c r="M298" s="3">
        <v>0</v>
      </c>
      <c r="N298" s="3">
        <v>990</v>
      </c>
      <c r="O298" s="3">
        <v>1025</v>
      </c>
      <c r="P298" s="1">
        <v>0</v>
      </c>
      <c r="Q298">
        <v>1005</v>
      </c>
      <c r="R298" s="3">
        <v>1677.6</v>
      </c>
      <c r="S298" s="1">
        <v>0</v>
      </c>
    </row>
    <row r="299" spans="1:19" x14ac:dyDescent="0.2">
      <c r="A299" s="12">
        <v>202</v>
      </c>
      <c r="B299" s="12">
        <v>204</v>
      </c>
      <c r="C299" s="12">
        <v>205</v>
      </c>
      <c r="D299" s="3">
        <v>1</v>
      </c>
      <c r="E299" s="3">
        <v>1</v>
      </c>
      <c r="F299" s="3">
        <v>1</v>
      </c>
      <c r="G299" s="3">
        <v>551.6</v>
      </c>
      <c r="H299" s="13">
        <v>0.3397</v>
      </c>
      <c r="I299" s="13">
        <v>0.31359999999999999</v>
      </c>
      <c r="J299" s="16">
        <v>0</v>
      </c>
      <c r="K299" s="16">
        <v>0</v>
      </c>
      <c r="L299" s="3">
        <v>0</v>
      </c>
      <c r="M299" s="3">
        <v>0</v>
      </c>
      <c r="N299" s="3">
        <v>990</v>
      </c>
      <c r="O299" s="3">
        <v>1025</v>
      </c>
      <c r="P299" s="1">
        <v>0</v>
      </c>
      <c r="Q299">
        <v>1005</v>
      </c>
      <c r="R299" s="3">
        <v>1677.6</v>
      </c>
      <c r="S299" s="1">
        <v>0</v>
      </c>
    </row>
    <row r="300" spans="1:19" x14ac:dyDescent="0.2">
      <c r="A300" s="12">
        <v>203</v>
      </c>
      <c r="B300" s="12">
        <v>205</v>
      </c>
      <c r="C300" s="12">
        <v>206</v>
      </c>
      <c r="D300" s="3">
        <v>1</v>
      </c>
      <c r="E300" s="3">
        <v>1</v>
      </c>
      <c r="F300" s="3">
        <v>1</v>
      </c>
      <c r="G300" s="3">
        <v>551.6</v>
      </c>
      <c r="H300" s="13">
        <v>0.3397</v>
      </c>
      <c r="I300" s="13">
        <v>0.31359999999999999</v>
      </c>
      <c r="J300" s="16">
        <v>0</v>
      </c>
      <c r="K300" s="16">
        <v>0</v>
      </c>
      <c r="L300" s="3">
        <v>0</v>
      </c>
      <c r="M300" s="3">
        <v>0</v>
      </c>
      <c r="N300" s="3">
        <v>990</v>
      </c>
      <c r="O300" s="3">
        <v>1025</v>
      </c>
      <c r="P300" s="1">
        <v>0</v>
      </c>
      <c r="Q300">
        <v>1005</v>
      </c>
      <c r="R300" s="3">
        <v>1677.6</v>
      </c>
      <c r="S300" s="1">
        <v>0</v>
      </c>
    </row>
    <row r="301" spans="1:19" x14ac:dyDescent="0.2">
      <c r="A301" s="12">
        <v>204</v>
      </c>
      <c r="B301" s="12">
        <v>206</v>
      </c>
      <c r="C301" s="12">
        <v>207</v>
      </c>
      <c r="D301" s="3">
        <v>1</v>
      </c>
      <c r="E301" s="3">
        <v>1</v>
      </c>
      <c r="F301" s="3">
        <v>1</v>
      </c>
      <c r="G301" s="3">
        <v>551.6</v>
      </c>
      <c r="H301" s="13">
        <v>0.3397</v>
      </c>
      <c r="I301" s="13">
        <v>0.31359999999999999</v>
      </c>
      <c r="J301" s="16">
        <v>0</v>
      </c>
      <c r="K301" s="16">
        <v>0</v>
      </c>
      <c r="L301" s="3">
        <v>0</v>
      </c>
      <c r="M301" s="3">
        <v>0</v>
      </c>
      <c r="N301" s="3">
        <v>990</v>
      </c>
      <c r="O301" s="3">
        <v>1025</v>
      </c>
      <c r="P301" s="1">
        <v>0</v>
      </c>
      <c r="Q301">
        <v>1005</v>
      </c>
      <c r="R301" s="3">
        <v>1677.6</v>
      </c>
      <c r="S301" s="1">
        <v>0</v>
      </c>
    </row>
    <row r="302" spans="1:19" x14ac:dyDescent="0.2">
      <c r="A302" s="12">
        <v>205</v>
      </c>
      <c r="B302" s="12">
        <v>207</v>
      </c>
      <c r="C302" s="12">
        <v>208</v>
      </c>
      <c r="D302" s="3">
        <v>1</v>
      </c>
      <c r="E302" s="3">
        <v>1</v>
      </c>
      <c r="F302" s="3">
        <v>1</v>
      </c>
      <c r="G302" s="3">
        <v>551.6</v>
      </c>
      <c r="H302" s="13">
        <v>0.3397</v>
      </c>
      <c r="I302" s="13">
        <v>0.31359999999999999</v>
      </c>
      <c r="J302" s="16">
        <v>0</v>
      </c>
      <c r="K302" s="16">
        <v>0</v>
      </c>
      <c r="L302" s="3">
        <v>0</v>
      </c>
      <c r="M302" s="3">
        <v>0</v>
      </c>
      <c r="N302" s="3">
        <v>990</v>
      </c>
      <c r="O302" s="3">
        <v>1025</v>
      </c>
      <c r="P302" s="1">
        <v>0</v>
      </c>
      <c r="Q302">
        <v>1005</v>
      </c>
      <c r="R302" s="3">
        <v>1677.6</v>
      </c>
      <c r="S302" s="1">
        <v>0</v>
      </c>
    </row>
    <row r="303" spans="1:19" x14ac:dyDescent="0.2">
      <c r="A303" s="12">
        <v>206</v>
      </c>
      <c r="B303" s="12">
        <v>208</v>
      </c>
      <c r="C303" s="12">
        <v>209</v>
      </c>
      <c r="D303" s="3">
        <v>1</v>
      </c>
      <c r="E303" s="3">
        <v>1</v>
      </c>
      <c r="F303" s="3">
        <v>1</v>
      </c>
      <c r="G303" s="3">
        <v>551.6</v>
      </c>
      <c r="H303" s="13">
        <v>0.3397</v>
      </c>
      <c r="I303" s="13">
        <v>0.31359999999999999</v>
      </c>
      <c r="J303" s="16">
        <v>0</v>
      </c>
      <c r="K303" s="16">
        <v>0</v>
      </c>
      <c r="L303" s="3">
        <v>0</v>
      </c>
      <c r="M303" s="3">
        <v>0</v>
      </c>
      <c r="N303" s="3">
        <v>990</v>
      </c>
      <c r="O303" s="3">
        <v>1025</v>
      </c>
      <c r="P303" s="1">
        <v>0</v>
      </c>
      <c r="Q303">
        <v>1005</v>
      </c>
      <c r="R303" s="3">
        <v>1677.6</v>
      </c>
      <c r="S303" s="1">
        <v>0</v>
      </c>
    </row>
    <row r="304" spans="1:19" x14ac:dyDescent="0.2">
      <c r="A304" s="12">
        <v>207</v>
      </c>
      <c r="B304" s="12">
        <v>209</v>
      </c>
      <c r="C304" s="12">
        <v>210</v>
      </c>
      <c r="D304" s="3">
        <v>1</v>
      </c>
      <c r="E304" s="3">
        <v>1</v>
      </c>
      <c r="F304" s="3">
        <v>1</v>
      </c>
      <c r="G304" s="3">
        <v>551.6</v>
      </c>
      <c r="H304" s="13">
        <v>0.3397</v>
      </c>
      <c r="I304" s="13">
        <v>0.31359999999999999</v>
      </c>
      <c r="J304" s="16">
        <v>0</v>
      </c>
      <c r="K304" s="16">
        <v>0</v>
      </c>
      <c r="L304" s="3">
        <v>0</v>
      </c>
      <c r="M304" s="3">
        <v>0</v>
      </c>
      <c r="N304" s="3">
        <v>990</v>
      </c>
      <c r="O304" s="3">
        <v>1025</v>
      </c>
      <c r="P304" s="1">
        <v>0</v>
      </c>
      <c r="Q304">
        <v>1005</v>
      </c>
      <c r="R304" s="3">
        <v>1677.6</v>
      </c>
      <c r="S304" s="1">
        <v>0</v>
      </c>
    </row>
    <row r="305" spans="1:19" x14ac:dyDescent="0.2">
      <c r="A305" s="12">
        <v>208</v>
      </c>
      <c r="B305" s="12">
        <v>210</v>
      </c>
      <c r="C305" s="12">
        <v>211</v>
      </c>
      <c r="D305" s="3">
        <v>1</v>
      </c>
      <c r="E305" s="3">
        <v>1</v>
      </c>
      <c r="F305" s="3">
        <v>1</v>
      </c>
      <c r="G305" s="3">
        <v>551.6</v>
      </c>
      <c r="H305" s="13">
        <v>0.50800000000000001</v>
      </c>
      <c r="I305" s="13">
        <v>0.47570000000000001</v>
      </c>
      <c r="J305" s="16">
        <v>0</v>
      </c>
      <c r="K305" s="16">
        <v>0</v>
      </c>
      <c r="L305" s="3">
        <v>0</v>
      </c>
      <c r="M305" s="3">
        <v>0</v>
      </c>
      <c r="N305" s="3">
        <v>990</v>
      </c>
      <c r="O305" s="3">
        <v>1025</v>
      </c>
      <c r="P305" s="1">
        <v>0</v>
      </c>
      <c r="Q305">
        <v>1005</v>
      </c>
      <c r="R305" s="3">
        <v>1677.6</v>
      </c>
      <c r="S305" s="1">
        <v>0</v>
      </c>
    </row>
    <row r="306" spans="1:19" x14ac:dyDescent="0.2">
      <c r="A306" s="12">
        <v>209</v>
      </c>
      <c r="B306" s="12">
        <v>211</v>
      </c>
      <c r="C306" s="12">
        <v>212</v>
      </c>
      <c r="D306" s="3">
        <v>1</v>
      </c>
      <c r="E306" s="3">
        <v>1</v>
      </c>
      <c r="F306" s="3">
        <v>1</v>
      </c>
      <c r="G306" s="3">
        <v>551.6</v>
      </c>
      <c r="H306" s="13">
        <v>0.50800000000000001</v>
      </c>
      <c r="I306" s="13">
        <v>0.47570000000000001</v>
      </c>
      <c r="J306" s="16">
        <v>0</v>
      </c>
      <c r="K306" s="16">
        <v>0</v>
      </c>
      <c r="L306" s="3">
        <v>0</v>
      </c>
      <c r="M306" s="3">
        <v>0</v>
      </c>
      <c r="N306" s="3">
        <v>990</v>
      </c>
      <c r="O306" s="3">
        <v>1025</v>
      </c>
      <c r="P306" s="1">
        <v>0</v>
      </c>
      <c r="Q306">
        <v>1005</v>
      </c>
      <c r="R306" s="3">
        <v>1677.6</v>
      </c>
      <c r="S306" s="1">
        <v>0</v>
      </c>
    </row>
    <row r="307" spans="1:19" x14ac:dyDescent="0.2">
      <c r="A307" s="12">
        <v>210</v>
      </c>
      <c r="B307" s="12">
        <v>212</v>
      </c>
      <c r="C307" s="12">
        <v>213</v>
      </c>
      <c r="D307" s="3">
        <v>1</v>
      </c>
      <c r="E307" s="3">
        <v>1</v>
      </c>
      <c r="F307" s="3">
        <v>1</v>
      </c>
      <c r="G307" s="3">
        <v>551.6</v>
      </c>
      <c r="H307" s="13">
        <v>0.50800000000000001</v>
      </c>
      <c r="I307" s="13">
        <v>0.47570000000000001</v>
      </c>
      <c r="J307" s="16">
        <v>0</v>
      </c>
      <c r="K307" s="16">
        <v>0</v>
      </c>
      <c r="L307" s="3">
        <v>0</v>
      </c>
      <c r="M307" s="3">
        <v>0</v>
      </c>
      <c r="N307" s="3">
        <v>990</v>
      </c>
      <c r="O307" s="3">
        <v>1025</v>
      </c>
      <c r="P307" s="1">
        <v>0</v>
      </c>
      <c r="Q307">
        <v>1005</v>
      </c>
      <c r="R307" s="3">
        <v>1677.6</v>
      </c>
      <c r="S307" s="1">
        <v>0</v>
      </c>
    </row>
    <row r="308" spans="1:19" x14ac:dyDescent="0.2">
      <c r="A308" s="12">
        <v>211</v>
      </c>
      <c r="B308" s="12">
        <v>213</v>
      </c>
      <c r="C308" s="12">
        <v>214</v>
      </c>
      <c r="D308" s="3">
        <v>1</v>
      </c>
      <c r="E308" s="3">
        <v>1</v>
      </c>
      <c r="F308" s="3">
        <v>1</v>
      </c>
      <c r="G308" s="3">
        <v>551.6</v>
      </c>
      <c r="H308" s="13">
        <v>0.50800000000000001</v>
      </c>
      <c r="I308" s="13">
        <v>0.47570000000000001</v>
      </c>
      <c r="J308" s="16">
        <v>0</v>
      </c>
      <c r="K308" s="16">
        <v>0</v>
      </c>
      <c r="L308" s="3">
        <v>0</v>
      </c>
      <c r="M308" s="3">
        <v>0</v>
      </c>
      <c r="N308" s="3">
        <v>990</v>
      </c>
      <c r="O308" s="3">
        <v>1025</v>
      </c>
      <c r="P308" s="1">
        <v>0</v>
      </c>
      <c r="Q308">
        <v>1005</v>
      </c>
      <c r="R308" s="3">
        <v>1677.6</v>
      </c>
      <c r="S308" s="1">
        <v>0</v>
      </c>
    </row>
    <row r="309" spans="1:19" x14ac:dyDescent="0.2">
      <c r="A309" s="12">
        <v>212</v>
      </c>
      <c r="B309" s="12">
        <v>214</v>
      </c>
      <c r="C309" s="12">
        <v>215</v>
      </c>
      <c r="D309" s="3">
        <v>1</v>
      </c>
      <c r="E309" s="3">
        <v>1</v>
      </c>
      <c r="F309" s="3">
        <v>1</v>
      </c>
      <c r="G309" s="3">
        <v>551.6</v>
      </c>
      <c r="H309" s="13">
        <v>0.50800000000000001</v>
      </c>
      <c r="I309" s="13">
        <v>0.47570000000000001</v>
      </c>
      <c r="J309" s="16">
        <v>0</v>
      </c>
      <c r="K309" s="16">
        <v>0</v>
      </c>
      <c r="L309" s="3">
        <v>0</v>
      </c>
      <c r="M309" s="3">
        <v>0</v>
      </c>
      <c r="N309" s="3">
        <v>990</v>
      </c>
      <c r="O309" s="3">
        <v>1025</v>
      </c>
      <c r="P309" s="1">
        <v>0</v>
      </c>
      <c r="Q309">
        <v>1005</v>
      </c>
      <c r="R309" s="3">
        <v>1677.6</v>
      </c>
      <c r="S309" s="1">
        <v>0</v>
      </c>
    </row>
    <row r="310" spans="1:19" x14ac:dyDescent="0.2">
      <c r="A310" s="12">
        <v>213</v>
      </c>
      <c r="B310" s="12">
        <v>215</v>
      </c>
      <c r="C310" s="12">
        <v>216</v>
      </c>
      <c r="D310" s="3">
        <v>1</v>
      </c>
      <c r="E310" s="3">
        <v>1</v>
      </c>
      <c r="F310" s="3">
        <v>1</v>
      </c>
      <c r="G310" s="3">
        <v>551.6</v>
      </c>
      <c r="H310" s="13">
        <v>0.50800000000000001</v>
      </c>
      <c r="I310" s="13">
        <v>0.47570000000000001</v>
      </c>
      <c r="J310" s="16">
        <v>0</v>
      </c>
      <c r="K310" s="16">
        <v>0</v>
      </c>
      <c r="L310" s="3">
        <v>0</v>
      </c>
      <c r="M310" s="3">
        <v>0</v>
      </c>
      <c r="N310" s="3">
        <v>990</v>
      </c>
      <c r="O310" s="3">
        <v>1025</v>
      </c>
      <c r="P310" s="1">
        <v>0</v>
      </c>
      <c r="Q310">
        <v>1005</v>
      </c>
      <c r="R310" s="3">
        <v>1677.6</v>
      </c>
      <c r="S310" s="1">
        <v>0</v>
      </c>
    </row>
    <row r="311" spans="1:19" x14ac:dyDescent="0.2">
      <c r="A311" s="12">
        <v>214</v>
      </c>
      <c r="B311" s="12">
        <v>216</v>
      </c>
      <c r="C311" s="12">
        <v>217</v>
      </c>
      <c r="D311" s="3">
        <v>1</v>
      </c>
      <c r="E311" s="3">
        <v>1</v>
      </c>
      <c r="F311" s="3">
        <v>1</v>
      </c>
      <c r="G311" s="3">
        <v>551.6</v>
      </c>
      <c r="H311" s="13">
        <v>0.50800000000000001</v>
      </c>
      <c r="I311" s="13">
        <v>0.47570000000000001</v>
      </c>
      <c r="J311" s="16">
        <v>0</v>
      </c>
      <c r="K311" s="16">
        <v>0</v>
      </c>
      <c r="L311" s="3">
        <v>0</v>
      </c>
      <c r="M311" s="3">
        <v>0</v>
      </c>
      <c r="N311" s="3">
        <v>990</v>
      </c>
      <c r="O311" s="3">
        <v>1025</v>
      </c>
      <c r="P311" s="1">
        <v>0</v>
      </c>
      <c r="Q311">
        <v>1005</v>
      </c>
      <c r="R311" s="3">
        <v>1677.6</v>
      </c>
      <c r="S311" s="1">
        <v>0</v>
      </c>
    </row>
    <row r="312" spans="1:19" x14ac:dyDescent="0.2">
      <c r="A312" s="12">
        <v>215</v>
      </c>
      <c r="B312" s="12">
        <v>217</v>
      </c>
      <c r="C312" s="12">
        <v>218</v>
      </c>
      <c r="D312" s="3">
        <v>1</v>
      </c>
      <c r="E312" s="3">
        <v>1</v>
      </c>
      <c r="F312" s="3">
        <v>1</v>
      </c>
      <c r="G312" s="3">
        <v>551.6</v>
      </c>
      <c r="H312" s="13">
        <v>0.50800000000000001</v>
      </c>
      <c r="I312" s="13">
        <v>0.47570000000000001</v>
      </c>
      <c r="J312" s="16">
        <v>0</v>
      </c>
      <c r="K312" s="16">
        <v>0</v>
      </c>
      <c r="L312" s="3">
        <v>0</v>
      </c>
      <c r="M312" s="3">
        <v>0</v>
      </c>
      <c r="N312" s="3">
        <v>990</v>
      </c>
      <c r="O312" s="3">
        <v>1025</v>
      </c>
      <c r="P312" s="1">
        <v>0</v>
      </c>
      <c r="Q312">
        <v>1005</v>
      </c>
      <c r="R312" s="3">
        <v>1677.6</v>
      </c>
      <c r="S312" s="1">
        <v>0</v>
      </c>
    </row>
    <row r="313" spans="1:19" x14ac:dyDescent="0.2">
      <c r="A313" s="12">
        <v>216</v>
      </c>
      <c r="B313" s="12">
        <v>218</v>
      </c>
      <c r="C313" s="12">
        <v>219</v>
      </c>
      <c r="D313" s="3">
        <v>1</v>
      </c>
      <c r="E313" s="3">
        <v>1</v>
      </c>
      <c r="F313" s="3">
        <v>1</v>
      </c>
      <c r="G313" s="3">
        <v>551.6</v>
      </c>
      <c r="H313" s="13">
        <v>0.50800000000000001</v>
      </c>
      <c r="I313" s="13">
        <v>0.47570000000000001</v>
      </c>
      <c r="J313" s="16">
        <v>0</v>
      </c>
      <c r="K313" s="16">
        <v>0</v>
      </c>
      <c r="L313" s="3">
        <v>0</v>
      </c>
      <c r="M313" s="3">
        <v>0</v>
      </c>
      <c r="N313" s="3">
        <v>990</v>
      </c>
      <c r="O313" s="3">
        <v>1025</v>
      </c>
      <c r="P313" s="1">
        <v>0</v>
      </c>
      <c r="Q313">
        <v>1005</v>
      </c>
      <c r="R313" s="3">
        <v>1677.6</v>
      </c>
      <c r="S313" s="1">
        <v>0</v>
      </c>
    </row>
    <row r="314" spans="1:19" x14ac:dyDescent="0.2">
      <c r="A314" s="12">
        <v>217</v>
      </c>
      <c r="B314" s="12">
        <v>219</v>
      </c>
      <c r="C314" s="12">
        <v>220</v>
      </c>
      <c r="D314" s="3">
        <v>1</v>
      </c>
      <c r="E314" s="3">
        <v>1</v>
      </c>
      <c r="F314" s="3">
        <v>1</v>
      </c>
      <c r="G314" s="3">
        <v>551.6</v>
      </c>
      <c r="H314" s="13">
        <v>0.50800000000000001</v>
      </c>
      <c r="I314" s="13">
        <v>0.47570000000000001</v>
      </c>
      <c r="J314" s="16">
        <v>0</v>
      </c>
      <c r="K314" s="16">
        <v>0</v>
      </c>
      <c r="L314" s="3">
        <v>0</v>
      </c>
      <c r="M314" s="3">
        <v>0</v>
      </c>
      <c r="N314" s="3">
        <v>990</v>
      </c>
      <c r="O314" s="3">
        <v>1025</v>
      </c>
      <c r="P314" s="1">
        <v>0</v>
      </c>
      <c r="Q314">
        <v>1005</v>
      </c>
      <c r="R314" s="3">
        <v>1677.6</v>
      </c>
      <c r="S314" s="1">
        <v>0</v>
      </c>
    </row>
    <row r="315" spans="1:19" x14ac:dyDescent="0.2">
      <c r="A315" s="12">
        <v>218</v>
      </c>
      <c r="B315" s="12">
        <v>220</v>
      </c>
      <c r="C315" s="12">
        <v>221</v>
      </c>
      <c r="D315" s="3">
        <v>1</v>
      </c>
      <c r="E315" s="3">
        <v>1</v>
      </c>
      <c r="F315" s="3">
        <v>1</v>
      </c>
      <c r="G315" s="3">
        <v>551.6</v>
      </c>
      <c r="H315" s="13">
        <v>0.50800000000000001</v>
      </c>
      <c r="I315" s="13">
        <v>0.47570000000000001</v>
      </c>
      <c r="J315" s="16">
        <v>0</v>
      </c>
      <c r="K315" s="16">
        <v>0</v>
      </c>
      <c r="L315" s="3">
        <v>0</v>
      </c>
      <c r="M315" s="3">
        <v>0</v>
      </c>
      <c r="N315" s="3">
        <v>990</v>
      </c>
      <c r="O315" s="3">
        <v>1025</v>
      </c>
      <c r="P315" s="1">
        <v>0</v>
      </c>
      <c r="Q315">
        <v>1005</v>
      </c>
      <c r="R315" s="3">
        <v>1677.6</v>
      </c>
      <c r="S315" s="1">
        <v>0</v>
      </c>
    </row>
    <row r="316" spans="1:19" x14ac:dyDescent="0.2">
      <c r="A316" s="12">
        <v>219</v>
      </c>
      <c r="B316" s="12">
        <v>221</v>
      </c>
      <c r="C316" s="12">
        <v>222</v>
      </c>
      <c r="D316" s="3">
        <v>1</v>
      </c>
      <c r="E316" s="3">
        <v>1</v>
      </c>
      <c r="F316" s="3">
        <v>1</v>
      </c>
      <c r="G316" s="3">
        <v>551.6</v>
      </c>
      <c r="H316" s="13">
        <v>0.50800000000000001</v>
      </c>
      <c r="I316" s="13">
        <v>0.47570000000000001</v>
      </c>
      <c r="J316" s="16">
        <v>0</v>
      </c>
      <c r="K316" s="16">
        <v>0</v>
      </c>
      <c r="L316" s="3">
        <v>0</v>
      </c>
      <c r="M316" s="3">
        <v>0</v>
      </c>
      <c r="N316" s="3">
        <v>990</v>
      </c>
      <c r="O316" s="3">
        <v>1025</v>
      </c>
      <c r="P316" s="1">
        <v>0</v>
      </c>
      <c r="Q316">
        <v>1005</v>
      </c>
      <c r="R316" s="3">
        <v>1677.6</v>
      </c>
      <c r="S316" s="1">
        <v>0</v>
      </c>
    </row>
    <row r="317" spans="1:19" x14ac:dyDescent="0.2">
      <c r="A317" s="12">
        <v>220</v>
      </c>
      <c r="B317" s="12">
        <v>222</v>
      </c>
      <c r="C317" s="12">
        <v>223</v>
      </c>
      <c r="D317" s="3">
        <v>1</v>
      </c>
      <c r="E317" s="3">
        <v>1</v>
      </c>
      <c r="F317" s="3">
        <v>1</v>
      </c>
      <c r="G317" s="3">
        <v>551.6</v>
      </c>
      <c r="H317" s="13">
        <v>0.50800000000000001</v>
      </c>
      <c r="I317" s="13">
        <v>0.47570000000000001</v>
      </c>
      <c r="J317" s="16">
        <v>0</v>
      </c>
      <c r="K317" s="16">
        <v>0</v>
      </c>
      <c r="L317" s="3">
        <v>0</v>
      </c>
      <c r="M317" s="3">
        <v>0</v>
      </c>
      <c r="N317" s="3">
        <v>990</v>
      </c>
      <c r="O317" s="3">
        <v>1025</v>
      </c>
      <c r="P317" s="1">
        <v>0</v>
      </c>
      <c r="Q317">
        <v>1005</v>
      </c>
      <c r="R317" s="3">
        <v>1677.6</v>
      </c>
      <c r="S317" s="1">
        <v>0</v>
      </c>
    </row>
    <row r="318" spans="1:19" x14ac:dyDescent="0.2">
      <c r="A318" s="12">
        <v>221</v>
      </c>
      <c r="B318" s="12">
        <v>223</v>
      </c>
      <c r="C318" s="12">
        <v>224</v>
      </c>
      <c r="D318" s="3">
        <v>1</v>
      </c>
      <c r="E318" s="3">
        <v>1</v>
      </c>
      <c r="F318" s="3">
        <v>1</v>
      </c>
      <c r="G318" s="3">
        <v>551.6</v>
      </c>
      <c r="H318" s="13">
        <v>0.50800000000000001</v>
      </c>
      <c r="I318" s="13">
        <v>0.47570000000000001</v>
      </c>
      <c r="J318" s="16">
        <v>0</v>
      </c>
      <c r="K318" s="16">
        <v>0</v>
      </c>
      <c r="L318" s="3">
        <v>0</v>
      </c>
      <c r="M318" s="3">
        <v>0</v>
      </c>
      <c r="N318" s="3">
        <v>990</v>
      </c>
      <c r="O318" s="3">
        <v>1025</v>
      </c>
      <c r="P318" s="1">
        <v>0</v>
      </c>
      <c r="Q318">
        <v>1005</v>
      </c>
      <c r="R318" s="3">
        <v>1677.6</v>
      </c>
      <c r="S318" s="1">
        <v>0</v>
      </c>
    </row>
    <row r="319" spans="1:19" x14ac:dyDescent="0.2">
      <c r="A319" s="12">
        <v>222</v>
      </c>
      <c r="B319" s="12">
        <v>224</v>
      </c>
      <c r="C319" s="12">
        <v>225</v>
      </c>
      <c r="D319" s="3">
        <v>1</v>
      </c>
      <c r="E319" s="3">
        <v>1</v>
      </c>
      <c r="F319" s="3">
        <v>1</v>
      </c>
      <c r="G319" s="3">
        <v>551.6</v>
      </c>
      <c r="H319" s="13">
        <v>0.50800000000000001</v>
      </c>
      <c r="I319" s="13">
        <v>0.47570000000000001</v>
      </c>
      <c r="J319" s="16">
        <v>0</v>
      </c>
      <c r="K319" s="16">
        <v>0</v>
      </c>
      <c r="L319" s="3">
        <v>0</v>
      </c>
      <c r="M319" s="3">
        <v>0</v>
      </c>
      <c r="N319" s="3">
        <v>990</v>
      </c>
      <c r="O319" s="3">
        <v>1025</v>
      </c>
      <c r="P319" s="1">
        <v>0</v>
      </c>
      <c r="Q319">
        <v>1005</v>
      </c>
      <c r="R319" s="3">
        <v>1677.6</v>
      </c>
      <c r="S319" s="1">
        <v>0</v>
      </c>
    </row>
    <row r="320" spans="1:19" x14ac:dyDescent="0.2">
      <c r="A320" s="12">
        <v>223</v>
      </c>
      <c r="B320" s="12">
        <v>225</v>
      </c>
      <c r="C320" s="12">
        <v>226</v>
      </c>
      <c r="D320" s="3">
        <v>1</v>
      </c>
      <c r="E320" s="3">
        <v>1</v>
      </c>
      <c r="F320" s="3">
        <v>1</v>
      </c>
      <c r="G320" s="3">
        <v>551.6</v>
      </c>
      <c r="H320" s="13">
        <v>0.50800000000000001</v>
      </c>
      <c r="I320" s="13">
        <v>0.47570000000000001</v>
      </c>
      <c r="J320" s="16">
        <v>0</v>
      </c>
      <c r="K320" s="16">
        <v>0</v>
      </c>
      <c r="L320" s="3">
        <v>0</v>
      </c>
      <c r="M320" s="3">
        <v>0</v>
      </c>
      <c r="N320" s="3">
        <v>990</v>
      </c>
      <c r="O320" s="3">
        <v>1025</v>
      </c>
      <c r="P320" s="1">
        <v>0</v>
      </c>
      <c r="Q320">
        <v>1005</v>
      </c>
      <c r="R320" s="3">
        <v>1677.6</v>
      </c>
      <c r="S320" s="1">
        <v>0</v>
      </c>
    </row>
    <row r="321" spans="1:19" x14ac:dyDescent="0.2">
      <c r="A321" s="12">
        <v>224</v>
      </c>
      <c r="B321" s="12">
        <v>226</v>
      </c>
      <c r="C321" s="12">
        <v>227</v>
      </c>
      <c r="D321" s="3">
        <v>1</v>
      </c>
      <c r="E321" s="3">
        <v>1</v>
      </c>
      <c r="F321" s="3">
        <v>1</v>
      </c>
      <c r="G321" s="3">
        <v>551.6</v>
      </c>
      <c r="H321" s="13">
        <v>0.50800000000000001</v>
      </c>
      <c r="I321" s="13">
        <v>0.47570000000000001</v>
      </c>
      <c r="J321" s="16">
        <v>0</v>
      </c>
      <c r="K321" s="16">
        <v>0</v>
      </c>
      <c r="L321" s="3">
        <v>0</v>
      </c>
      <c r="M321" s="3">
        <v>0</v>
      </c>
      <c r="N321" s="3">
        <v>990</v>
      </c>
      <c r="O321" s="3">
        <v>1025</v>
      </c>
      <c r="P321" s="1">
        <v>0</v>
      </c>
      <c r="Q321">
        <v>1005</v>
      </c>
      <c r="R321" s="3">
        <v>1677.6</v>
      </c>
      <c r="S321" s="1">
        <v>0</v>
      </c>
    </row>
    <row r="322" spans="1:19" x14ac:dyDescent="0.2">
      <c r="A322" s="12">
        <v>225</v>
      </c>
      <c r="B322" s="12">
        <v>227</v>
      </c>
      <c r="C322" s="12">
        <v>228</v>
      </c>
      <c r="D322" s="3">
        <v>1</v>
      </c>
      <c r="E322" s="3">
        <v>1</v>
      </c>
      <c r="F322" s="3">
        <v>1</v>
      </c>
      <c r="G322" s="3">
        <v>551.6</v>
      </c>
      <c r="H322" s="13">
        <v>0.50800000000000001</v>
      </c>
      <c r="I322" s="13">
        <v>0.47570000000000001</v>
      </c>
      <c r="J322" s="16">
        <v>0</v>
      </c>
      <c r="K322" s="16">
        <v>0</v>
      </c>
      <c r="L322" s="3">
        <v>0</v>
      </c>
      <c r="M322" s="3">
        <v>0</v>
      </c>
      <c r="N322" s="3">
        <v>990</v>
      </c>
      <c r="O322" s="3">
        <v>1025</v>
      </c>
      <c r="P322" s="1">
        <v>0</v>
      </c>
      <c r="Q322">
        <v>1005</v>
      </c>
      <c r="R322" s="3">
        <v>1677.6</v>
      </c>
      <c r="S322" s="1">
        <v>0</v>
      </c>
    </row>
    <row r="323" spans="1:19" x14ac:dyDescent="0.2">
      <c r="A323" s="12">
        <v>226</v>
      </c>
      <c r="B323" s="12">
        <v>228</v>
      </c>
      <c r="C323" s="12">
        <v>229</v>
      </c>
      <c r="D323" s="3">
        <v>1</v>
      </c>
      <c r="E323" s="3">
        <v>1</v>
      </c>
      <c r="F323" s="3">
        <v>1</v>
      </c>
      <c r="G323" s="3">
        <v>551.6</v>
      </c>
      <c r="H323" s="13">
        <v>0.50800000000000001</v>
      </c>
      <c r="I323" s="13">
        <v>0.47570000000000001</v>
      </c>
      <c r="J323" s="16">
        <v>0</v>
      </c>
      <c r="K323" s="16">
        <v>0</v>
      </c>
      <c r="L323" s="3">
        <v>0</v>
      </c>
      <c r="M323" s="3">
        <v>0</v>
      </c>
      <c r="N323" s="3">
        <v>990</v>
      </c>
      <c r="O323" s="3">
        <v>1025</v>
      </c>
      <c r="P323" s="1">
        <v>0</v>
      </c>
      <c r="Q323">
        <v>1005</v>
      </c>
      <c r="R323" s="3">
        <v>1677.6</v>
      </c>
      <c r="S323" s="1">
        <v>0</v>
      </c>
    </row>
    <row r="324" spans="1:19" x14ac:dyDescent="0.2">
      <c r="A324" s="12">
        <v>227</v>
      </c>
      <c r="B324" s="12">
        <v>229</v>
      </c>
      <c r="C324" s="12">
        <v>230</v>
      </c>
      <c r="D324" s="3">
        <v>1</v>
      </c>
      <c r="E324" s="3">
        <v>1</v>
      </c>
      <c r="F324" s="3">
        <v>1</v>
      </c>
      <c r="G324" s="3">
        <v>551.6</v>
      </c>
      <c r="H324" s="13">
        <v>0.50800000000000001</v>
      </c>
      <c r="I324" s="13">
        <v>0.47570000000000001</v>
      </c>
      <c r="J324" s="16">
        <v>0</v>
      </c>
      <c r="K324" s="16">
        <v>0</v>
      </c>
      <c r="L324" s="3">
        <v>0</v>
      </c>
      <c r="M324" s="3">
        <v>0</v>
      </c>
      <c r="N324" s="3">
        <v>990</v>
      </c>
      <c r="O324" s="3">
        <v>1025</v>
      </c>
      <c r="P324" s="1">
        <v>0</v>
      </c>
      <c r="Q324">
        <v>1005</v>
      </c>
      <c r="R324" s="3">
        <v>1677.6</v>
      </c>
      <c r="S324" s="1">
        <v>0</v>
      </c>
    </row>
    <row r="325" spans="1:19" x14ac:dyDescent="0.2">
      <c r="A325" s="12">
        <v>228</v>
      </c>
      <c r="B325" s="12">
        <v>230</v>
      </c>
      <c r="C325" s="12">
        <v>231</v>
      </c>
      <c r="D325" s="3">
        <v>1</v>
      </c>
      <c r="E325" s="3">
        <v>1</v>
      </c>
      <c r="F325" s="3">
        <v>1</v>
      </c>
      <c r="G325" s="3">
        <v>551.6</v>
      </c>
      <c r="H325" s="13">
        <v>0.50800000000000001</v>
      </c>
      <c r="I325" s="13">
        <v>0.47570000000000001</v>
      </c>
      <c r="J325" s="16">
        <v>0</v>
      </c>
      <c r="K325" s="16">
        <v>0</v>
      </c>
      <c r="L325" s="3">
        <v>0</v>
      </c>
      <c r="M325" s="3">
        <v>0</v>
      </c>
      <c r="N325" s="3">
        <v>990</v>
      </c>
      <c r="O325" s="3">
        <v>1025</v>
      </c>
      <c r="P325" s="1">
        <v>0</v>
      </c>
      <c r="Q325">
        <v>1005</v>
      </c>
      <c r="R325" s="3">
        <v>1677.6</v>
      </c>
      <c r="S325" s="1">
        <v>0</v>
      </c>
    </row>
    <row r="326" spans="1:19" x14ac:dyDescent="0.2">
      <c r="A326" s="12">
        <v>229</v>
      </c>
      <c r="B326" s="12">
        <v>231</v>
      </c>
      <c r="C326" s="12">
        <v>232</v>
      </c>
      <c r="D326" s="3">
        <v>1</v>
      </c>
      <c r="E326" s="3">
        <v>1</v>
      </c>
      <c r="F326" s="3">
        <v>1</v>
      </c>
      <c r="G326" s="3">
        <v>551.6</v>
      </c>
      <c r="H326" s="13">
        <v>0.50800000000000001</v>
      </c>
      <c r="I326" s="13">
        <v>0.47570000000000001</v>
      </c>
      <c r="J326" s="16">
        <v>0</v>
      </c>
      <c r="K326" s="16">
        <v>0</v>
      </c>
      <c r="L326" s="3">
        <v>0</v>
      </c>
      <c r="M326" s="3">
        <v>0</v>
      </c>
      <c r="N326" s="3">
        <v>990</v>
      </c>
      <c r="O326" s="3">
        <v>1025</v>
      </c>
      <c r="P326" s="1">
        <v>0</v>
      </c>
      <c r="Q326">
        <v>1005</v>
      </c>
      <c r="R326" s="3">
        <v>1677.6</v>
      </c>
      <c r="S326" s="1">
        <v>0</v>
      </c>
    </row>
    <row r="327" spans="1:19" x14ac:dyDescent="0.2">
      <c r="A327" s="12">
        <v>230</v>
      </c>
      <c r="B327" s="12">
        <v>232</v>
      </c>
      <c r="C327" s="12">
        <v>233</v>
      </c>
      <c r="D327" s="3">
        <v>1</v>
      </c>
      <c r="E327" s="3">
        <v>1</v>
      </c>
      <c r="F327" s="3">
        <v>1</v>
      </c>
      <c r="G327" s="3">
        <v>551.6</v>
      </c>
      <c r="H327" s="13">
        <v>0.50800000000000001</v>
      </c>
      <c r="I327" s="13">
        <v>0.47570000000000001</v>
      </c>
      <c r="J327" s="16">
        <v>0</v>
      </c>
      <c r="K327" s="16">
        <v>0</v>
      </c>
      <c r="L327" s="3">
        <v>0</v>
      </c>
      <c r="M327" s="3">
        <v>0</v>
      </c>
      <c r="N327" s="3">
        <v>990</v>
      </c>
      <c r="O327" s="3">
        <v>1025</v>
      </c>
      <c r="P327" s="1">
        <v>0</v>
      </c>
      <c r="Q327">
        <v>1005</v>
      </c>
      <c r="R327" s="3">
        <v>1677.6</v>
      </c>
      <c r="S327" s="1">
        <v>0</v>
      </c>
    </row>
    <row r="328" spans="1:19" x14ac:dyDescent="0.2">
      <c r="A328" s="12">
        <v>231</v>
      </c>
      <c r="B328" s="12">
        <v>233</v>
      </c>
      <c r="C328" s="12">
        <v>234</v>
      </c>
      <c r="D328" s="3">
        <v>1</v>
      </c>
      <c r="E328" s="3">
        <v>1</v>
      </c>
      <c r="F328" s="3">
        <v>1</v>
      </c>
      <c r="G328" s="3">
        <v>551.6</v>
      </c>
      <c r="H328" s="13">
        <v>0.50800000000000001</v>
      </c>
      <c r="I328" s="13">
        <v>0.47570000000000001</v>
      </c>
      <c r="J328" s="16">
        <v>0</v>
      </c>
      <c r="K328" s="16">
        <v>0</v>
      </c>
      <c r="L328" s="3">
        <v>0</v>
      </c>
      <c r="M328" s="3">
        <v>0</v>
      </c>
      <c r="N328" s="3">
        <v>990</v>
      </c>
      <c r="O328" s="3">
        <v>1025</v>
      </c>
      <c r="P328" s="1">
        <v>0</v>
      </c>
      <c r="Q328">
        <v>1005</v>
      </c>
      <c r="R328" s="3">
        <v>1677.6</v>
      </c>
      <c r="S328" s="1">
        <v>0</v>
      </c>
    </row>
    <row r="329" spans="1:19" x14ac:dyDescent="0.2">
      <c r="A329" s="12">
        <v>232</v>
      </c>
      <c r="B329" s="12">
        <v>234</v>
      </c>
      <c r="C329" s="12">
        <v>235</v>
      </c>
      <c r="D329" s="3">
        <v>1</v>
      </c>
      <c r="E329" s="3">
        <v>1</v>
      </c>
      <c r="F329" s="3">
        <v>1</v>
      </c>
      <c r="G329" s="3">
        <v>551.6</v>
      </c>
      <c r="H329" s="13">
        <v>0.50800000000000001</v>
      </c>
      <c r="I329" s="13">
        <v>0.47570000000000001</v>
      </c>
      <c r="J329" s="16">
        <v>0</v>
      </c>
      <c r="K329" s="16">
        <v>0</v>
      </c>
      <c r="L329" s="3">
        <v>0</v>
      </c>
      <c r="M329" s="3">
        <v>0</v>
      </c>
      <c r="N329" s="3">
        <v>990</v>
      </c>
      <c r="O329" s="3">
        <v>1025</v>
      </c>
      <c r="P329" s="1">
        <v>0</v>
      </c>
      <c r="Q329">
        <v>1005</v>
      </c>
      <c r="R329" s="3">
        <v>1677.6</v>
      </c>
      <c r="S329" s="1">
        <v>0</v>
      </c>
    </row>
    <row r="330" spans="1:19" x14ac:dyDescent="0.2">
      <c r="A330" s="12">
        <v>233</v>
      </c>
      <c r="B330" s="12">
        <v>235</v>
      </c>
      <c r="C330" s="12">
        <v>236</v>
      </c>
      <c r="D330" s="3">
        <v>1</v>
      </c>
      <c r="E330" s="3">
        <v>1</v>
      </c>
      <c r="F330" s="3">
        <v>1</v>
      </c>
      <c r="G330" s="3">
        <v>551.6</v>
      </c>
      <c r="H330" s="13">
        <v>0.50800000000000001</v>
      </c>
      <c r="I330" s="13">
        <v>0.47570000000000001</v>
      </c>
      <c r="J330" s="16">
        <v>0</v>
      </c>
      <c r="K330" s="16">
        <v>0</v>
      </c>
      <c r="L330" s="3">
        <v>0</v>
      </c>
      <c r="M330" s="3">
        <v>0</v>
      </c>
      <c r="N330" s="3">
        <v>990</v>
      </c>
      <c r="O330" s="3">
        <v>1025</v>
      </c>
      <c r="P330" s="1">
        <v>0</v>
      </c>
      <c r="Q330">
        <v>1005</v>
      </c>
      <c r="R330" s="3">
        <v>1677.6</v>
      </c>
      <c r="S330" s="1">
        <v>0</v>
      </c>
    </row>
    <row r="331" spans="1:19" x14ac:dyDescent="0.2">
      <c r="A331" s="12">
        <v>234</v>
      </c>
      <c r="B331" s="12">
        <v>236</v>
      </c>
      <c r="C331" s="12">
        <v>238</v>
      </c>
      <c r="D331" s="3">
        <v>1</v>
      </c>
      <c r="E331" s="3">
        <v>1</v>
      </c>
      <c r="F331" s="3">
        <v>1</v>
      </c>
      <c r="G331" s="3">
        <v>551.6</v>
      </c>
      <c r="H331" s="13">
        <v>0.50800000000000001</v>
      </c>
      <c r="I331" s="13">
        <v>0.47570000000000001</v>
      </c>
      <c r="J331" s="16">
        <v>0</v>
      </c>
      <c r="K331" s="16">
        <v>0</v>
      </c>
      <c r="L331" s="3">
        <v>0</v>
      </c>
      <c r="M331" s="3">
        <v>0</v>
      </c>
      <c r="N331" s="3">
        <v>990</v>
      </c>
      <c r="O331" s="3">
        <v>1025</v>
      </c>
      <c r="P331" s="1">
        <v>0</v>
      </c>
      <c r="Q331">
        <v>1005</v>
      </c>
      <c r="R331" s="3">
        <v>1677.6</v>
      </c>
      <c r="S331" s="1">
        <v>0</v>
      </c>
    </row>
    <row r="332" spans="1:19" x14ac:dyDescent="0.2">
      <c r="A332" s="12">
        <v>235</v>
      </c>
      <c r="B332" s="12">
        <v>238</v>
      </c>
      <c r="C332" s="12">
        <v>239</v>
      </c>
      <c r="D332" s="3">
        <v>1</v>
      </c>
      <c r="E332" s="3">
        <v>1</v>
      </c>
      <c r="F332" s="3">
        <v>1</v>
      </c>
      <c r="G332" s="3">
        <v>551.6</v>
      </c>
      <c r="H332" s="13">
        <v>0.50800000000000001</v>
      </c>
      <c r="I332" s="13">
        <v>0.47570000000000001</v>
      </c>
      <c r="J332" s="16">
        <v>0</v>
      </c>
      <c r="K332" s="16">
        <v>0</v>
      </c>
      <c r="L332" s="3">
        <v>0</v>
      </c>
      <c r="M332" s="3">
        <v>0</v>
      </c>
      <c r="N332" s="3">
        <v>990</v>
      </c>
      <c r="O332" s="3">
        <v>1025</v>
      </c>
      <c r="P332" s="1">
        <v>0</v>
      </c>
      <c r="Q332">
        <v>1005</v>
      </c>
      <c r="R332" s="3">
        <v>1677.6</v>
      </c>
      <c r="S332" s="1">
        <v>0</v>
      </c>
    </row>
    <row r="333" spans="1:19" x14ac:dyDescent="0.2">
      <c r="A333" s="12">
        <v>236</v>
      </c>
      <c r="B333" s="12">
        <v>239</v>
      </c>
      <c r="C333" s="12">
        <v>240</v>
      </c>
      <c r="D333" s="3">
        <v>1</v>
      </c>
      <c r="E333" s="3">
        <v>1</v>
      </c>
      <c r="F333" s="3">
        <v>1</v>
      </c>
      <c r="G333" s="3">
        <v>551.6</v>
      </c>
      <c r="H333" s="13">
        <v>0.50800000000000001</v>
      </c>
      <c r="I333" s="13">
        <v>0.47570000000000001</v>
      </c>
      <c r="J333" s="16">
        <v>0</v>
      </c>
      <c r="K333" s="16">
        <v>0</v>
      </c>
      <c r="L333" s="3">
        <v>0</v>
      </c>
      <c r="M333" s="3">
        <v>0</v>
      </c>
      <c r="N333" s="3">
        <v>990</v>
      </c>
      <c r="O333" s="3">
        <v>1025</v>
      </c>
      <c r="P333" s="1">
        <v>0</v>
      </c>
      <c r="Q333">
        <v>1005</v>
      </c>
      <c r="R333" s="3">
        <v>1677.6</v>
      </c>
      <c r="S333" s="1">
        <v>0</v>
      </c>
    </row>
    <row r="334" spans="1:19" x14ac:dyDescent="0.2">
      <c r="A334" s="12">
        <v>237</v>
      </c>
      <c r="B334" s="12">
        <v>240</v>
      </c>
      <c r="C334" s="12">
        <v>241</v>
      </c>
      <c r="D334" s="3">
        <v>1</v>
      </c>
      <c r="E334" s="3">
        <v>1</v>
      </c>
      <c r="F334" s="3">
        <v>1</v>
      </c>
      <c r="G334" s="3">
        <v>551.6</v>
      </c>
      <c r="H334" s="13">
        <v>0.50800000000000001</v>
      </c>
      <c r="I334" s="13">
        <v>0.47570000000000001</v>
      </c>
      <c r="J334" s="16">
        <v>0</v>
      </c>
      <c r="K334" s="16">
        <v>0</v>
      </c>
      <c r="L334" s="3">
        <v>0</v>
      </c>
      <c r="M334" s="3">
        <v>0</v>
      </c>
      <c r="N334" s="3">
        <v>990</v>
      </c>
      <c r="O334" s="3">
        <v>1025</v>
      </c>
      <c r="P334" s="1">
        <v>0</v>
      </c>
      <c r="Q334">
        <v>1005</v>
      </c>
      <c r="R334" s="3">
        <v>1677.6</v>
      </c>
      <c r="S334" s="1">
        <v>0</v>
      </c>
    </row>
    <row r="335" spans="1:19" x14ac:dyDescent="0.2">
      <c r="A335" s="12">
        <v>238</v>
      </c>
      <c r="B335" s="12">
        <v>241</v>
      </c>
      <c r="C335" s="12">
        <v>242</v>
      </c>
      <c r="D335" s="3">
        <v>1</v>
      </c>
      <c r="E335" s="3">
        <v>1</v>
      </c>
      <c r="F335" s="3">
        <v>1</v>
      </c>
      <c r="G335" s="3">
        <v>551.6</v>
      </c>
      <c r="H335" s="13">
        <v>0.50800000000000001</v>
      </c>
      <c r="I335" s="13">
        <v>0.47570000000000001</v>
      </c>
      <c r="J335" s="16">
        <v>0</v>
      </c>
      <c r="K335" s="16">
        <v>0</v>
      </c>
      <c r="L335" s="3">
        <v>0</v>
      </c>
      <c r="M335" s="3">
        <v>0</v>
      </c>
      <c r="N335" s="3">
        <v>990</v>
      </c>
      <c r="O335" s="3">
        <v>1025</v>
      </c>
      <c r="P335" s="1">
        <v>0</v>
      </c>
      <c r="Q335">
        <v>1005</v>
      </c>
      <c r="R335" s="3">
        <v>1677.6</v>
      </c>
      <c r="S335" s="1">
        <v>0</v>
      </c>
    </row>
    <row r="336" spans="1:19" x14ac:dyDescent="0.2">
      <c r="A336" s="12">
        <v>239</v>
      </c>
      <c r="B336" s="12">
        <v>242</v>
      </c>
      <c r="C336" s="12">
        <v>243</v>
      </c>
      <c r="D336" s="3">
        <v>1</v>
      </c>
      <c r="E336" s="3">
        <v>1</v>
      </c>
      <c r="F336" s="3">
        <v>1</v>
      </c>
      <c r="G336" s="3">
        <v>551.6</v>
      </c>
      <c r="H336" s="13">
        <v>0.50800000000000001</v>
      </c>
      <c r="I336" s="13">
        <v>0.47570000000000001</v>
      </c>
      <c r="J336" s="16">
        <v>0</v>
      </c>
      <c r="K336" s="16">
        <v>0</v>
      </c>
      <c r="L336" s="3">
        <v>0</v>
      </c>
      <c r="M336" s="3">
        <v>0</v>
      </c>
      <c r="N336" s="3">
        <v>990</v>
      </c>
      <c r="O336" s="3">
        <v>1025</v>
      </c>
      <c r="P336" s="1">
        <v>0</v>
      </c>
      <c r="Q336">
        <v>1005</v>
      </c>
      <c r="R336" s="3">
        <v>1677.6</v>
      </c>
      <c r="S336" s="1">
        <v>0</v>
      </c>
    </row>
    <row r="337" spans="1:19" x14ac:dyDescent="0.2">
      <c r="A337" s="12">
        <v>240</v>
      </c>
      <c r="B337" s="12">
        <v>243</v>
      </c>
      <c r="C337" s="12">
        <v>244</v>
      </c>
      <c r="D337" s="3">
        <v>1</v>
      </c>
      <c r="E337" s="3">
        <v>1</v>
      </c>
      <c r="F337" s="3">
        <v>1</v>
      </c>
      <c r="G337" s="3">
        <v>551.6</v>
      </c>
      <c r="H337" s="13">
        <v>0.50800000000000001</v>
      </c>
      <c r="I337" s="13">
        <v>0.47570000000000001</v>
      </c>
      <c r="J337" s="16">
        <v>0</v>
      </c>
      <c r="K337" s="16">
        <v>0</v>
      </c>
      <c r="L337" s="3">
        <v>0</v>
      </c>
      <c r="M337" s="3">
        <v>0</v>
      </c>
      <c r="N337" s="3">
        <v>990</v>
      </c>
      <c r="O337" s="3">
        <v>1025</v>
      </c>
      <c r="P337" s="1">
        <v>0</v>
      </c>
      <c r="Q337">
        <v>1005</v>
      </c>
      <c r="R337" s="3">
        <v>1677.6</v>
      </c>
      <c r="S337" s="1">
        <v>0</v>
      </c>
    </row>
    <row r="338" spans="1:19" x14ac:dyDescent="0.2">
      <c r="A338" s="12">
        <v>241</v>
      </c>
      <c r="B338" s="12">
        <v>244</v>
      </c>
      <c r="C338" s="12">
        <v>245</v>
      </c>
      <c r="D338" s="3">
        <v>1</v>
      </c>
      <c r="E338" s="3">
        <v>1</v>
      </c>
      <c r="F338" s="3">
        <v>1</v>
      </c>
      <c r="G338" s="3">
        <v>551.6</v>
      </c>
      <c r="H338" s="13">
        <v>0.50800000000000001</v>
      </c>
      <c r="I338" s="13">
        <v>0.47570000000000001</v>
      </c>
      <c r="J338" s="16">
        <v>0</v>
      </c>
      <c r="K338" s="16">
        <v>0</v>
      </c>
      <c r="L338" s="3">
        <v>0</v>
      </c>
      <c r="M338" s="3">
        <v>0</v>
      </c>
      <c r="N338" s="3">
        <v>990</v>
      </c>
      <c r="O338" s="3">
        <v>1025</v>
      </c>
      <c r="P338" s="1">
        <v>0</v>
      </c>
      <c r="Q338">
        <v>1005</v>
      </c>
      <c r="R338" s="3">
        <v>1677.6</v>
      </c>
      <c r="S338" s="1">
        <v>0</v>
      </c>
    </row>
    <row r="339" spans="1:19" x14ac:dyDescent="0.2">
      <c r="A339" s="12">
        <v>242</v>
      </c>
      <c r="B339" s="12">
        <v>245</v>
      </c>
      <c r="C339" s="12">
        <v>246</v>
      </c>
      <c r="D339" s="3">
        <v>1</v>
      </c>
      <c r="E339" s="3">
        <v>1</v>
      </c>
      <c r="F339" s="3">
        <v>1</v>
      </c>
      <c r="G339" s="3">
        <v>551.6</v>
      </c>
      <c r="H339" s="13">
        <v>0.83819999999999995</v>
      </c>
      <c r="I339" s="13">
        <v>0.65529999999999999</v>
      </c>
      <c r="J339" s="16">
        <v>0</v>
      </c>
      <c r="K339" s="16">
        <v>0</v>
      </c>
      <c r="L339" s="3">
        <v>0</v>
      </c>
      <c r="M339" s="3">
        <v>0</v>
      </c>
      <c r="N339" s="3">
        <v>990</v>
      </c>
      <c r="O339" s="3">
        <v>1025</v>
      </c>
      <c r="P339" s="1">
        <v>0</v>
      </c>
      <c r="Q339">
        <v>1005</v>
      </c>
      <c r="R339" s="3">
        <v>1677.6</v>
      </c>
      <c r="S339" s="1">
        <v>0</v>
      </c>
    </row>
    <row r="340" spans="1:19" x14ac:dyDescent="0.2">
      <c r="A340" s="12">
        <v>243</v>
      </c>
      <c r="B340" s="12">
        <v>246</v>
      </c>
      <c r="C340" s="12">
        <v>247</v>
      </c>
      <c r="D340" s="3">
        <v>1</v>
      </c>
      <c r="E340" s="3">
        <v>1</v>
      </c>
      <c r="F340" s="3">
        <v>1</v>
      </c>
      <c r="G340" s="3">
        <v>551.6</v>
      </c>
      <c r="H340" s="13">
        <v>0.83819999999999995</v>
      </c>
      <c r="I340" s="13">
        <v>0.65529999999999999</v>
      </c>
      <c r="J340" s="16">
        <v>0</v>
      </c>
      <c r="K340" s="16">
        <v>0</v>
      </c>
      <c r="L340" s="3">
        <v>0</v>
      </c>
      <c r="M340" s="3">
        <v>0</v>
      </c>
      <c r="N340" s="3">
        <v>990</v>
      </c>
      <c r="O340" s="3">
        <v>1025</v>
      </c>
      <c r="P340" s="1">
        <v>0</v>
      </c>
      <c r="Q340">
        <v>1005</v>
      </c>
      <c r="R340" s="3">
        <v>1677.6</v>
      </c>
      <c r="S340" s="1">
        <v>0</v>
      </c>
    </row>
    <row r="341" spans="1:19" x14ac:dyDescent="0.2">
      <c r="A341" s="12">
        <v>244</v>
      </c>
      <c r="B341" s="12">
        <v>247</v>
      </c>
      <c r="C341" s="12">
        <v>248</v>
      </c>
      <c r="D341" s="3">
        <v>1</v>
      </c>
      <c r="E341" s="3">
        <v>1</v>
      </c>
      <c r="F341" s="3">
        <v>1</v>
      </c>
      <c r="G341" s="3">
        <v>551.6</v>
      </c>
      <c r="H341" s="13">
        <v>0.83819999999999995</v>
      </c>
      <c r="I341" s="13">
        <v>0.65529999999999999</v>
      </c>
      <c r="J341" s="16">
        <v>0</v>
      </c>
      <c r="K341" s="16">
        <v>0</v>
      </c>
      <c r="L341" s="3">
        <v>0</v>
      </c>
      <c r="M341" s="3">
        <v>0</v>
      </c>
      <c r="N341" s="3">
        <v>990</v>
      </c>
      <c r="O341" s="3">
        <v>1025</v>
      </c>
      <c r="P341" s="1">
        <v>0</v>
      </c>
      <c r="Q341">
        <v>1005</v>
      </c>
      <c r="R341" s="3">
        <v>1677.6</v>
      </c>
      <c r="S341" s="1">
        <v>0</v>
      </c>
    </row>
    <row r="342" spans="1:19" x14ac:dyDescent="0.2">
      <c r="A342" s="12">
        <v>245</v>
      </c>
      <c r="B342" s="12">
        <v>248</v>
      </c>
      <c r="C342" s="12">
        <v>249</v>
      </c>
      <c r="D342" s="3">
        <v>1</v>
      </c>
      <c r="E342" s="3">
        <v>1</v>
      </c>
      <c r="F342" s="3">
        <v>1</v>
      </c>
      <c r="G342" s="3">
        <v>551.6</v>
      </c>
      <c r="H342" s="13">
        <v>0.83819999999999995</v>
      </c>
      <c r="I342" s="13">
        <v>0.65529999999999999</v>
      </c>
      <c r="J342" s="16">
        <v>0</v>
      </c>
      <c r="K342" s="16">
        <v>0</v>
      </c>
      <c r="L342" s="3">
        <v>0</v>
      </c>
      <c r="M342" s="3">
        <v>0</v>
      </c>
      <c r="N342" s="3">
        <v>990</v>
      </c>
      <c r="O342" s="3">
        <v>1025</v>
      </c>
      <c r="P342" s="1">
        <v>0</v>
      </c>
      <c r="Q342">
        <v>1005</v>
      </c>
      <c r="R342" s="3">
        <v>1677.6</v>
      </c>
      <c r="S342" s="1">
        <v>0</v>
      </c>
    </row>
    <row r="343" spans="1:19" x14ac:dyDescent="0.2">
      <c r="A343" s="12">
        <v>246</v>
      </c>
      <c r="B343" s="12">
        <v>249</v>
      </c>
      <c r="C343" s="12">
        <v>250</v>
      </c>
      <c r="D343" s="3">
        <v>1</v>
      </c>
      <c r="E343" s="3">
        <v>1</v>
      </c>
      <c r="F343" s="3">
        <v>1</v>
      </c>
      <c r="G343" s="3">
        <v>551.6</v>
      </c>
      <c r="H343" s="13">
        <v>0.83819999999999995</v>
      </c>
      <c r="I343" s="13">
        <v>0.65529999999999999</v>
      </c>
      <c r="J343" s="16">
        <v>0</v>
      </c>
      <c r="K343" s="16">
        <v>0</v>
      </c>
      <c r="L343" s="3">
        <v>0</v>
      </c>
      <c r="M343" s="3">
        <v>0</v>
      </c>
      <c r="N343" s="3">
        <v>990</v>
      </c>
      <c r="O343" s="3">
        <v>1025</v>
      </c>
      <c r="P343" s="1">
        <v>0</v>
      </c>
      <c r="Q343">
        <v>1005</v>
      </c>
      <c r="R343" s="3">
        <v>1677.6</v>
      </c>
      <c r="S343" s="1">
        <v>0</v>
      </c>
    </row>
    <row r="344" spans="1:19" x14ac:dyDescent="0.2">
      <c r="A344" s="12">
        <v>247</v>
      </c>
      <c r="B344" s="12">
        <v>250</v>
      </c>
      <c r="C344" s="12">
        <v>253</v>
      </c>
      <c r="D344" s="3">
        <v>1</v>
      </c>
      <c r="E344" s="3">
        <v>1</v>
      </c>
      <c r="F344" s="3">
        <v>1</v>
      </c>
      <c r="G344" s="3">
        <v>551.6</v>
      </c>
      <c r="H344" s="13">
        <v>0.83819999999999995</v>
      </c>
      <c r="I344" s="13">
        <v>0.65529999999999999</v>
      </c>
      <c r="J344" s="16">
        <v>0</v>
      </c>
      <c r="K344" s="16">
        <v>0</v>
      </c>
      <c r="L344" s="3">
        <v>0</v>
      </c>
      <c r="M344" s="3">
        <v>0</v>
      </c>
      <c r="N344" s="3">
        <v>990</v>
      </c>
      <c r="O344" s="3">
        <v>1025</v>
      </c>
      <c r="P344" s="1">
        <v>0</v>
      </c>
      <c r="Q344">
        <v>1005</v>
      </c>
      <c r="R344" s="3">
        <v>1677.6</v>
      </c>
      <c r="S344" s="1">
        <v>0</v>
      </c>
    </row>
    <row r="345" spans="1:19" x14ac:dyDescent="0.2">
      <c r="A345" s="12">
        <v>248</v>
      </c>
      <c r="B345" s="12">
        <v>252</v>
      </c>
      <c r="C345" s="12">
        <v>253</v>
      </c>
      <c r="D345" s="3">
        <v>1</v>
      </c>
      <c r="E345" s="3">
        <v>1</v>
      </c>
      <c r="F345" s="3">
        <v>1</v>
      </c>
      <c r="G345" s="3">
        <v>551.6</v>
      </c>
      <c r="H345" s="13">
        <v>0.83819999999999995</v>
      </c>
      <c r="I345" s="13">
        <v>0</v>
      </c>
      <c r="J345" s="16">
        <v>0</v>
      </c>
      <c r="K345" s="16">
        <v>0</v>
      </c>
      <c r="L345" s="3">
        <v>0</v>
      </c>
      <c r="M345" s="3">
        <v>0</v>
      </c>
      <c r="N345" s="3">
        <v>990</v>
      </c>
      <c r="O345" s="3">
        <v>1025</v>
      </c>
      <c r="P345" s="1">
        <v>0</v>
      </c>
      <c r="Q345">
        <v>1005</v>
      </c>
      <c r="R345" s="3">
        <v>1677.6</v>
      </c>
      <c r="S345" s="1">
        <v>0</v>
      </c>
    </row>
    <row r="346" spans="1:19" x14ac:dyDescent="0.2">
      <c r="A346" s="12">
        <v>249</v>
      </c>
      <c r="B346" s="12">
        <v>253</v>
      </c>
      <c r="C346" s="12">
        <v>254</v>
      </c>
      <c r="D346" s="3">
        <v>1</v>
      </c>
      <c r="E346" s="3">
        <v>1</v>
      </c>
      <c r="F346" s="3">
        <v>1</v>
      </c>
      <c r="G346" s="3">
        <v>551.6</v>
      </c>
      <c r="H346" s="13">
        <v>0.83819999999999995</v>
      </c>
      <c r="I346" s="13">
        <v>0.65529999999999999</v>
      </c>
      <c r="J346" s="16">
        <v>0</v>
      </c>
      <c r="K346" s="16">
        <v>0</v>
      </c>
      <c r="L346" s="3">
        <v>0</v>
      </c>
      <c r="M346" s="3">
        <v>0</v>
      </c>
      <c r="N346" s="3">
        <v>990</v>
      </c>
      <c r="O346" s="3">
        <v>1025</v>
      </c>
      <c r="P346" s="1">
        <v>0</v>
      </c>
      <c r="Q346">
        <v>1005</v>
      </c>
      <c r="R346" s="3">
        <v>1677.6</v>
      </c>
      <c r="S346" s="1">
        <v>0</v>
      </c>
    </row>
    <row r="347" spans="1:19" x14ac:dyDescent="0.2">
      <c r="A347" s="12">
        <v>250</v>
      </c>
      <c r="B347" s="12">
        <v>254</v>
      </c>
      <c r="C347" s="12">
        <v>255</v>
      </c>
      <c r="D347" s="3">
        <v>1</v>
      </c>
      <c r="E347" s="3">
        <v>1</v>
      </c>
      <c r="F347" s="3">
        <v>1</v>
      </c>
      <c r="G347" s="3">
        <v>551.6</v>
      </c>
      <c r="H347" s="13">
        <v>0.83819999999999995</v>
      </c>
      <c r="I347" s="13">
        <v>0.65529999999999999</v>
      </c>
      <c r="J347" s="16">
        <v>0</v>
      </c>
      <c r="K347" s="16">
        <v>0</v>
      </c>
      <c r="L347" s="3">
        <v>0</v>
      </c>
      <c r="M347" s="3">
        <v>0</v>
      </c>
      <c r="N347" s="3">
        <v>990</v>
      </c>
      <c r="O347" s="3">
        <v>1025</v>
      </c>
      <c r="P347" s="1">
        <v>0</v>
      </c>
      <c r="Q347">
        <v>1005</v>
      </c>
      <c r="R347" s="3">
        <v>1677.6</v>
      </c>
      <c r="S347" s="1">
        <v>0</v>
      </c>
    </row>
    <row r="348" spans="1:19" x14ac:dyDescent="0.2">
      <c r="A348" s="12">
        <v>251</v>
      </c>
      <c r="B348" s="12">
        <v>255</v>
      </c>
      <c r="C348" s="12">
        <v>256</v>
      </c>
      <c r="D348" s="3">
        <v>1</v>
      </c>
      <c r="E348" s="3">
        <v>1</v>
      </c>
      <c r="F348" s="3">
        <v>1</v>
      </c>
      <c r="G348" s="3">
        <v>551.6</v>
      </c>
      <c r="H348" s="13">
        <v>0.83819999999999995</v>
      </c>
      <c r="I348" s="13">
        <v>0.65529999999999999</v>
      </c>
      <c r="J348" s="16">
        <v>0</v>
      </c>
      <c r="K348" s="16">
        <v>0</v>
      </c>
      <c r="L348" s="3">
        <v>0</v>
      </c>
      <c r="M348" s="3">
        <v>0</v>
      </c>
      <c r="N348" s="3">
        <v>990</v>
      </c>
      <c r="O348" s="3">
        <v>1025</v>
      </c>
      <c r="P348" s="1">
        <v>0</v>
      </c>
      <c r="Q348">
        <v>1005</v>
      </c>
      <c r="R348" s="3">
        <v>1677.6</v>
      </c>
      <c r="S348" s="1">
        <v>0</v>
      </c>
    </row>
    <row r="349" spans="1:19" x14ac:dyDescent="0.2">
      <c r="A349" s="12">
        <v>252</v>
      </c>
      <c r="B349" s="12">
        <v>256</v>
      </c>
      <c r="C349" s="12">
        <v>257</v>
      </c>
      <c r="D349" s="3">
        <v>1</v>
      </c>
      <c r="E349" s="3">
        <v>1</v>
      </c>
      <c r="F349" s="3">
        <v>1</v>
      </c>
      <c r="G349" s="3">
        <v>551.6</v>
      </c>
      <c r="H349" s="13">
        <v>0.83819999999999995</v>
      </c>
      <c r="I349" s="13">
        <v>0.65529999999999999</v>
      </c>
      <c r="J349" s="16">
        <v>0</v>
      </c>
      <c r="K349" s="16">
        <v>0</v>
      </c>
      <c r="L349" s="3">
        <v>0</v>
      </c>
      <c r="M349" s="3">
        <v>0</v>
      </c>
      <c r="N349" s="3">
        <v>990</v>
      </c>
      <c r="O349" s="3">
        <v>1025</v>
      </c>
      <c r="P349" s="1">
        <v>0</v>
      </c>
      <c r="Q349">
        <v>1005</v>
      </c>
      <c r="R349" s="3">
        <v>1677.6</v>
      </c>
      <c r="S349" s="1">
        <v>0</v>
      </c>
    </row>
    <row r="350" spans="1:19" x14ac:dyDescent="0.2">
      <c r="A350" s="12">
        <v>253</v>
      </c>
      <c r="B350" s="12">
        <v>257</v>
      </c>
      <c r="C350" s="12">
        <v>258</v>
      </c>
      <c r="D350" s="3">
        <v>1</v>
      </c>
      <c r="E350" s="3">
        <v>1</v>
      </c>
      <c r="F350" s="3">
        <v>1</v>
      </c>
      <c r="G350" s="3">
        <v>551.6</v>
      </c>
      <c r="H350" s="13">
        <v>0.83819999999999995</v>
      </c>
      <c r="I350" s="13">
        <v>0.65529999999999999</v>
      </c>
      <c r="J350" s="16">
        <v>0</v>
      </c>
      <c r="K350" s="16">
        <v>0</v>
      </c>
      <c r="L350" s="3">
        <v>0</v>
      </c>
      <c r="M350" s="3">
        <v>0</v>
      </c>
      <c r="N350" s="3">
        <v>990</v>
      </c>
      <c r="O350" s="3">
        <v>1025</v>
      </c>
      <c r="P350" s="1">
        <v>0</v>
      </c>
      <c r="Q350">
        <v>1005</v>
      </c>
      <c r="R350" s="3">
        <v>1677.6</v>
      </c>
      <c r="S350" s="1">
        <v>0</v>
      </c>
    </row>
    <row r="351" spans="1:19" x14ac:dyDescent="0.2">
      <c r="A351" s="12">
        <v>254</v>
      </c>
      <c r="B351" s="12">
        <v>258</v>
      </c>
      <c r="C351" s="12">
        <v>259</v>
      </c>
      <c r="D351" s="3">
        <v>1</v>
      </c>
      <c r="E351" s="3">
        <v>1</v>
      </c>
      <c r="F351" s="3">
        <v>1</v>
      </c>
      <c r="G351" s="3">
        <v>551.6</v>
      </c>
      <c r="H351" s="13">
        <v>5</v>
      </c>
      <c r="I351" s="13">
        <v>0.46989999999999998</v>
      </c>
      <c r="J351" s="16">
        <v>0</v>
      </c>
      <c r="K351" s="16">
        <v>0</v>
      </c>
      <c r="L351" s="3">
        <v>0</v>
      </c>
      <c r="M351" s="3">
        <v>0</v>
      </c>
      <c r="N351" s="3">
        <v>990</v>
      </c>
      <c r="O351" s="3">
        <v>1025</v>
      </c>
      <c r="P351" s="1">
        <v>0</v>
      </c>
      <c r="Q351">
        <v>1005</v>
      </c>
      <c r="R351" s="3">
        <v>1677.6</v>
      </c>
      <c r="S351" s="1">
        <v>0</v>
      </c>
    </row>
    <row r="352" spans="1:19" x14ac:dyDescent="0.2">
      <c r="A352" s="12">
        <v>255</v>
      </c>
      <c r="B352" s="12">
        <v>259</v>
      </c>
      <c r="C352" s="12">
        <v>260</v>
      </c>
      <c r="D352" s="3">
        <v>1</v>
      </c>
      <c r="E352" s="3">
        <v>1</v>
      </c>
      <c r="F352" s="3">
        <v>1</v>
      </c>
      <c r="G352" s="3">
        <v>551.6</v>
      </c>
      <c r="H352" s="13">
        <v>5</v>
      </c>
      <c r="I352" s="13">
        <v>0.46989999999999998</v>
      </c>
      <c r="J352" s="16">
        <v>0</v>
      </c>
      <c r="K352" s="16">
        <v>0</v>
      </c>
      <c r="L352" s="3">
        <v>0</v>
      </c>
      <c r="M352" s="3">
        <v>0</v>
      </c>
      <c r="N352" s="3">
        <v>990</v>
      </c>
      <c r="O352" s="3">
        <v>1025</v>
      </c>
      <c r="P352" s="1">
        <v>0</v>
      </c>
      <c r="Q352">
        <v>1005</v>
      </c>
      <c r="R352" s="3">
        <v>1677.6</v>
      </c>
      <c r="S352" s="1">
        <v>0</v>
      </c>
    </row>
    <row r="353" spans="1:19" x14ac:dyDescent="0.2">
      <c r="A353" s="12">
        <v>256</v>
      </c>
      <c r="B353" s="12">
        <v>260</v>
      </c>
      <c r="C353" s="12">
        <v>261</v>
      </c>
      <c r="D353" s="3">
        <v>1</v>
      </c>
      <c r="E353" s="3">
        <v>1</v>
      </c>
      <c r="F353" s="3">
        <v>1</v>
      </c>
      <c r="G353" s="3">
        <v>551.6</v>
      </c>
      <c r="H353" s="13">
        <v>5</v>
      </c>
      <c r="I353" s="13">
        <v>0.46989999999999998</v>
      </c>
      <c r="J353" s="16">
        <v>0</v>
      </c>
      <c r="K353" s="16">
        <v>0</v>
      </c>
      <c r="L353" s="3">
        <v>0</v>
      </c>
      <c r="M353" s="3">
        <v>0</v>
      </c>
      <c r="N353" s="3">
        <v>990</v>
      </c>
      <c r="O353" s="3">
        <v>1025</v>
      </c>
      <c r="P353" s="1">
        <v>0</v>
      </c>
      <c r="Q353">
        <v>1005</v>
      </c>
      <c r="R353" s="3">
        <v>1677.6</v>
      </c>
      <c r="S353" s="1">
        <v>0</v>
      </c>
    </row>
    <row r="354" spans="1:19" x14ac:dyDescent="0.2">
      <c r="A354" s="12">
        <v>257</v>
      </c>
      <c r="B354" s="12">
        <v>261</v>
      </c>
      <c r="C354" s="12">
        <v>262</v>
      </c>
      <c r="D354" s="3">
        <v>1</v>
      </c>
      <c r="E354" s="3">
        <v>1</v>
      </c>
      <c r="F354" s="3">
        <v>1</v>
      </c>
      <c r="G354" s="3">
        <v>551.6</v>
      </c>
      <c r="H354" s="13">
        <v>5</v>
      </c>
      <c r="I354" s="13">
        <v>0.46989999999999998</v>
      </c>
      <c r="J354" s="16">
        <v>0</v>
      </c>
      <c r="K354" s="16">
        <v>0</v>
      </c>
      <c r="L354" s="3">
        <v>0</v>
      </c>
      <c r="M354" s="3">
        <v>0</v>
      </c>
      <c r="N354" s="3">
        <v>990</v>
      </c>
      <c r="O354" s="3">
        <v>1025</v>
      </c>
      <c r="P354" s="1">
        <v>0</v>
      </c>
      <c r="Q354">
        <v>1005</v>
      </c>
      <c r="R354" s="3">
        <v>1677.6</v>
      </c>
      <c r="S354" s="1">
        <v>0</v>
      </c>
    </row>
    <row r="355" spans="1:19" x14ac:dyDescent="0.2">
      <c r="A355" s="12">
        <v>258</v>
      </c>
      <c r="B355" s="12">
        <v>262</v>
      </c>
      <c r="C355" s="12">
        <v>263</v>
      </c>
      <c r="D355" s="3">
        <v>1</v>
      </c>
      <c r="E355" s="3">
        <v>1</v>
      </c>
      <c r="F355" s="3">
        <v>1</v>
      </c>
      <c r="G355" s="3">
        <v>551.6</v>
      </c>
      <c r="H355" s="13">
        <v>5</v>
      </c>
      <c r="I355" s="13">
        <v>0.46989999999999998</v>
      </c>
      <c r="J355" s="16">
        <v>0</v>
      </c>
      <c r="K355" s="16">
        <v>0</v>
      </c>
      <c r="L355" s="3">
        <v>0</v>
      </c>
      <c r="M355" s="3">
        <v>0</v>
      </c>
      <c r="N355" s="3">
        <v>990</v>
      </c>
      <c r="O355" s="3">
        <v>1025</v>
      </c>
      <c r="P355" s="1">
        <v>0</v>
      </c>
      <c r="Q355">
        <v>1005</v>
      </c>
      <c r="R355" s="3">
        <v>1677.6</v>
      </c>
      <c r="S355" s="1">
        <v>0</v>
      </c>
    </row>
    <row r="356" spans="1:19" x14ac:dyDescent="0.2">
      <c r="A356" s="12">
        <v>259</v>
      </c>
      <c r="B356" s="12">
        <v>263</v>
      </c>
      <c r="C356" s="12">
        <v>264</v>
      </c>
      <c r="D356" s="3">
        <v>1</v>
      </c>
      <c r="E356" s="3">
        <v>1</v>
      </c>
      <c r="F356" s="3">
        <v>1</v>
      </c>
      <c r="G356" s="3">
        <v>551.6</v>
      </c>
      <c r="H356" s="13">
        <v>5</v>
      </c>
      <c r="I356" s="13">
        <v>0.46989999999999998</v>
      </c>
      <c r="J356" s="16">
        <v>0</v>
      </c>
      <c r="K356" s="16">
        <v>0</v>
      </c>
      <c r="L356" s="3">
        <v>0</v>
      </c>
      <c r="M356" s="3">
        <v>0</v>
      </c>
      <c r="N356" s="3">
        <v>990</v>
      </c>
      <c r="O356" s="3">
        <v>1025</v>
      </c>
      <c r="P356" s="1">
        <v>0</v>
      </c>
      <c r="Q356">
        <v>1005</v>
      </c>
      <c r="R356" s="3">
        <v>1677.6</v>
      </c>
      <c r="S356" s="1">
        <v>0</v>
      </c>
    </row>
    <row r="357" spans="1:19" x14ac:dyDescent="0.2">
      <c r="A357" s="12">
        <v>260</v>
      </c>
      <c r="B357" s="12">
        <v>264</v>
      </c>
      <c r="C357" s="12">
        <v>265</v>
      </c>
      <c r="D357" s="3">
        <v>1</v>
      </c>
      <c r="E357" s="3">
        <v>1</v>
      </c>
      <c r="F357" s="3">
        <v>1</v>
      </c>
      <c r="G357" s="3">
        <v>551.6</v>
      </c>
      <c r="H357" s="13">
        <v>5</v>
      </c>
      <c r="I357" s="13">
        <v>0.46989999999999998</v>
      </c>
      <c r="J357" s="16">
        <v>0</v>
      </c>
      <c r="K357" s="16">
        <v>0</v>
      </c>
      <c r="L357" s="3">
        <v>0</v>
      </c>
      <c r="M357" s="3">
        <v>0</v>
      </c>
      <c r="N357" s="3">
        <v>990</v>
      </c>
      <c r="O357" s="3">
        <v>1025</v>
      </c>
      <c r="P357" s="1">
        <v>0</v>
      </c>
      <c r="Q357">
        <v>1005</v>
      </c>
      <c r="R357" s="3">
        <v>1677.6</v>
      </c>
      <c r="S357" s="1">
        <v>0</v>
      </c>
    </row>
    <row r="358" spans="1:19" x14ac:dyDescent="0.2">
      <c r="A358" s="12">
        <v>261</v>
      </c>
      <c r="B358" s="12">
        <v>265</v>
      </c>
      <c r="C358" s="12">
        <v>266</v>
      </c>
      <c r="D358" s="3">
        <v>1</v>
      </c>
      <c r="E358" s="3">
        <v>1</v>
      </c>
      <c r="F358" s="3">
        <v>1</v>
      </c>
      <c r="G358" s="3">
        <v>551.6</v>
      </c>
      <c r="H358" s="13">
        <v>5</v>
      </c>
      <c r="I358" s="13">
        <v>0.46989999999999998</v>
      </c>
      <c r="J358" s="16">
        <v>0</v>
      </c>
      <c r="K358" s="16">
        <v>0</v>
      </c>
      <c r="L358" s="3">
        <v>0</v>
      </c>
      <c r="M358" s="3">
        <v>0</v>
      </c>
      <c r="N358" s="3">
        <v>990</v>
      </c>
      <c r="O358" s="3">
        <v>1025</v>
      </c>
      <c r="P358" s="1">
        <v>0</v>
      </c>
      <c r="Q358">
        <v>1005</v>
      </c>
      <c r="R358" s="3">
        <v>1677.6</v>
      </c>
      <c r="S358" s="1">
        <v>0</v>
      </c>
    </row>
    <row r="359" spans="1:19" x14ac:dyDescent="0.2">
      <c r="A359" s="12">
        <v>262</v>
      </c>
      <c r="B359" s="12">
        <v>266</v>
      </c>
      <c r="C359" s="12">
        <v>267</v>
      </c>
      <c r="D359" s="3">
        <v>1</v>
      </c>
      <c r="E359" s="3">
        <v>1</v>
      </c>
      <c r="F359" s="3">
        <v>1</v>
      </c>
      <c r="G359" s="3">
        <v>551.6</v>
      </c>
      <c r="H359" s="13">
        <v>5</v>
      </c>
      <c r="I359" s="13">
        <v>0.46989999999999998</v>
      </c>
      <c r="J359" s="16">
        <v>0</v>
      </c>
      <c r="K359" s="16">
        <v>0</v>
      </c>
      <c r="L359" s="3">
        <v>0</v>
      </c>
      <c r="M359" s="3">
        <v>0</v>
      </c>
      <c r="N359" s="3">
        <v>990</v>
      </c>
      <c r="O359" s="3">
        <v>1025</v>
      </c>
      <c r="P359" s="1">
        <v>0</v>
      </c>
      <c r="Q359">
        <v>1005</v>
      </c>
      <c r="R359" s="3">
        <v>1677.6</v>
      </c>
      <c r="S359" s="1">
        <v>0</v>
      </c>
    </row>
    <row r="360" spans="1:19" x14ac:dyDescent="0.2">
      <c r="A360" s="12">
        <v>263</v>
      </c>
      <c r="B360" s="12">
        <v>267</v>
      </c>
      <c r="C360" s="12">
        <v>268</v>
      </c>
      <c r="D360" s="3">
        <v>1</v>
      </c>
      <c r="E360" s="3">
        <v>1</v>
      </c>
      <c r="F360" s="3">
        <v>1</v>
      </c>
      <c r="G360" s="3">
        <v>551.6</v>
      </c>
      <c r="H360" s="13">
        <v>5</v>
      </c>
      <c r="I360" s="13">
        <v>0.46989999999999998</v>
      </c>
      <c r="J360" s="16">
        <v>0</v>
      </c>
      <c r="K360" s="16">
        <v>0</v>
      </c>
      <c r="L360" s="3">
        <v>0</v>
      </c>
      <c r="M360" s="3">
        <v>0</v>
      </c>
      <c r="N360" s="3">
        <v>990</v>
      </c>
      <c r="O360" s="3">
        <v>1025</v>
      </c>
      <c r="P360" s="1">
        <v>0</v>
      </c>
      <c r="Q360">
        <v>1005</v>
      </c>
      <c r="R360" s="3">
        <v>1677.6</v>
      </c>
      <c r="S360" s="1">
        <v>0</v>
      </c>
    </row>
    <row r="361" spans="1:19" x14ac:dyDescent="0.2">
      <c r="A361" s="12">
        <v>264</v>
      </c>
      <c r="B361" s="12">
        <v>268</v>
      </c>
      <c r="C361" s="12">
        <v>269</v>
      </c>
      <c r="D361" s="3">
        <v>1</v>
      </c>
      <c r="E361" s="3">
        <v>1</v>
      </c>
      <c r="F361" s="3">
        <v>1</v>
      </c>
      <c r="G361" s="3">
        <v>551.6</v>
      </c>
      <c r="H361" s="13">
        <v>5</v>
      </c>
      <c r="I361" s="13">
        <v>0.46989999999999998</v>
      </c>
      <c r="J361" s="16">
        <v>0</v>
      </c>
      <c r="K361" s="16">
        <v>0</v>
      </c>
      <c r="L361" s="3">
        <v>0</v>
      </c>
      <c r="M361" s="3">
        <v>0</v>
      </c>
      <c r="N361" s="3">
        <v>990</v>
      </c>
      <c r="O361" s="3">
        <v>1025</v>
      </c>
      <c r="P361" s="1">
        <v>0</v>
      </c>
      <c r="Q361">
        <v>1005</v>
      </c>
      <c r="R361" s="3">
        <v>1677.6</v>
      </c>
      <c r="S361" s="1">
        <v>0</v>
      </c>
    </row>
    <row r="362" spans="1:19" x14ac:dyDescent="0.2">
      <c r="A362" s="12">
        <v>265</v>
      </c>
      <c r="B362" s="12">
        <v>269</v>
      </c>
      <c r="C362" s="12">
        <v>270</v>
      </c>
      <c r="D362" s="3">
        <v>1</v>
      </c>
      <c r="E362" s="3">
        <v>1</v>
      </c>
      <c r="F362" s="3">
        <v>1</v>
      </c>
      <c r="G362" s="3">
        <v>551.6</v>
      </c>
      <c r="H362" s="13">
        <v>5</v>
      </c>
      <c r="I362" s="13">
        <v>0.46989999999999998</v>
      </c>
      <c r="J362" s="16">
        <v>0</v>
      </c>
      <c r="K362" s="16">
        <v>0</v>
      </c>
      <c r="L362" s="3">
        <v>0</v>
      </c>
      <c r="M362" s="3">
        <v>0</v>
      </c>
      <c r="N362" s="3">
        <v>990</v>
      </c>
      <c r="O362" s="3">
        <v>1025</v>
      </c>
      <c r="P362" s="1">
        <v>0</v>
      </c>
      <c r="Q362">
        <v>1005</v>
      </c>
      <c r="R362" s="3">
        <v>1677.6</v>
      </c>
      <c r="S362" s="1">
        <v>0</v>
      </c>
    </row>
    <row r="363" spans="1:19" x14ac:dyDescent="0.2">
      <c r="A363" s="12">
        <v>266</v>
      </c>
      <c r="B363" s="12">
        <v>270</v>
      </c>
      <c r="C363" s="12">
        <v>271</v>
      </c>
      <c r="D363" s="3">
        <v>1</v>
      </c>
      <c r="E363" s="3">
        <v>1</v>
      </c>
      <c r="F363" s="3">
        <v>1</v>
      </c>
      <c r="G363" s="3">
        <v>551.6</v>
      </c>
      <c r="H363" s="13">
        <v>5</v>
      </c>
      <c r="I363" s="13">
        <v>0.46989999999999998</v>
      </c>
      <c r="J363" s="16">
        <v>0</v>
      </c>
      <c r="K363" s="16">
        <v>0</v>
      </c>
      <c r="L363" s="3">
        <v>0</v>
      </c>
      <c r="M363" s="3">
        <v>0</v>
      </c>
      <c r="N363" s="3">
        <v>990</v>
      </c>
      <c r="O363" s="3">
        <v>1025</v>
      </c>
      <c r="P363" s="1">
        <v>0</v>
      </c>
      <c r="Q363">
        <v>1005</v>
      </c>
      <c r="R363" s="3">
        <v>1677.6</v>
      </c>
      <c r="S363" s="1">
        <v>0</v>
      </c>
    </row>
    <row r="364" spans="1:19" x14ac:dyDescent="0.2">
      <c r="A364" s="12">
        <v>267</v>
      </c>
      <c r="B364" s="12">
        <v>271</v>
      </c>
      <c r="C364" s="12">
        <v>272</v>
      </c>
      <c r="D364" s="3">
        <v>1</v>
      </c>
      <c r="E364" s="3">
        <v>1</v>
      </c>
      <c r="F364" s="3">
        <v>1</v>
      </c>
      <c r="G364" s="3">
        <v>551.6</v>
      </c>
      <c r="H364" s="13">
        <v>5</v>
      </c>
      <c r="I364" s="13">
        <v>0.46989999999999998</v>
      </c>
      <c r="J364" s="16">
        <v>0</v>
      </c>
      <c r="K364" s="16">
        <v>0</v>
      </c>
      <c r="L364" s="3">
        <v>0</v>
      </c>
      <c r="M364" s="3">
        <v>0</v>
      </c>
      <c r="N364" s="3">
        <v>990</v>
      </c>
      <c r="O364" s="3">
        <v>1025</v>
      </c>
      <c r="P364" s="1">
        <v>0</v>
      </c>
      <c r="Q364">
        <v>1005</v>
      </c>
      <c r="R364" s="3">
        <v>1677.6</v>
      </c>
      <c r="S364" s="1">
        <v>0</v>
      </c>
    </row>
    <row r="365" spans="1:19" x14ac:dyDescent="0.2">
      <c r="A365" s="12">
        <v>268</v>
      </c>
      <c r="B365" s="12">
        <v>272</v>
      </c>
      <c r="C365" s="12">
        <v>273</v>
      </c>
      <c r="D365" s="3">
        <v>1</v>
      </c>
      <c r="E365" s="3">
        <v>1</v>
      </c>
      <c r="F365" s="3">
        <v>1</v>
      </c>
      <c r="G365" s="3">
        <v>551.6</v>
      </c>
      <c r="H365" s="13">
        <v>5</v>
      </c>
      <c r="I365" s="13">
        <v>0.46989999999999998</v>
      </c>
      <c r="J365" s="16">
        <v>0</v>
      </c>
      <c r="K365" s="16">
        <v>0</v>
      </c>
      <c r="L365" s="3">
        <v>0</v>
      </c>
      <c r="M365" s="3">
        <v>0</v>
      </c>
      <c r="N365" s="3">
        <v>990</v>
      </c>
      <c r="O365" s="3">
        <v>1025</v>
      </c>
      <c r="P365" s="1">
        <v>0</v>
      </c>
      <c r="Q365">
        <v>1005</v>
      </c>
      <c r="R365" s="3">
        <v>1677.6</v>
      </c>
      <c r="S365" s="1">
        <v>0</v>
      </c>
    </row>
    <row r="366" spans="1:19" x14ac:dyDescent="0.2">
      <c r="A366" s="12">
        <v>269</v>
      </c>
      <c r="B366" s="12">
        <v>273</v>
      </c>
      <c r="C366" s="12">
        <v>274</v>
      </c>
      <c r="D366" s="3">
        <v>1</v>
      </c>
      <c r="E366" s="3">
        <v>1</v>
      </c>
      <c r="F366" s="3">
        <v>1</v>
      </c>
      <c r="G366" s="3">
        <v>551.6</v>
      </c>
      <c r="H366" s="13">
        <v>5</v>
      </c>
      <c r="I366" s="13">
        <v>0.46989999999999998</v>
      </c>
      <c r="J366" s="16">
        <v>0</v>
      </c>
      <c r="K366" s="16">
        <v>0</v>
      </c>
      <c r="L366" s="3">
        <v>0</v>
      </c>
      <c r="M366" s="3">
        <v>0</v>
      </c>
      <c r="N366" s="3">
        <v>990</v>
      </c>
      <c r="O366" s="3">
        <v>1025</v>
      </c>
      <c r="P366" s="1">
        <v>0</v>
      </c>
      <c r="Q366">
        <v>1005</v>
      </c>
      <c r="R366" s="3">
        <v>1677.6</v>
      </c>
      <c r="S366" s="1">
        <v>0</v>
      </c>
    </row>
    <row r="367" spans="1:19" x14ac:dyDescent="0.2">
      <c r="A367" s="12">
        <v>270</v>
      </c>
      <c r="B367" s="12">
        <v>274</v>
      </c>
      <c r="C367" s="12">
        <v>275</v>
      </c>
      <c r="D367" s="3">
        <v>1</v>
      </c>
      <c r="E367" s="3">
        <v>1</v>
      </c>
      <c r="F367" s="3">
        <v>1</v>
      </c>
      <c r="G367" s="3">
        <v>551.6</v>
      </c>
      <c r="H367" s="13">
        <v>5</v>
      </c>
      <c r="I367" s="13">
        <v>0.46989999999999998</v>
      </c>
      <c r="J367" s="16">
        <v>0</v>
      </c>
      <c r="K367" s="16">
        <v>0</v>
      </c>
      <c r="L367" s="3">
        <v>0</v>
      </c>
      <c r="M367" s="3">
        <v>0</v>
      </c>
      <c r="N367" s="3">
        <v>990</v>
      </c>
      <c r="O367" s="3">
        <v>1025</v>
      </c>
      <c r="P367" s="1">
        <v>0</v>
      </c>
      <c r="Q367">
        <v>1005</v>
      </c>
      <c r="R367" s="3">
        <v>1677.6</v>
      </c>
      <c r="S367" s="1">
        <v>0</v>
      </c>
    </row>
    <row r="368" spans="1:19" x14ac:dyDescent="0.2">
      <c r="A368" s="12">
        <v>271</v>
      </c>
      <c r="B368" s="12">
        <v>275</v>
      </c>
      <c r="C368" s="12">
        <v>276</v>
      </c>
      <c r="D368" s="3">
        <v>1</v>
      </c>
      <c r="E368" s="3">
        <v>1</v>
      </c>
      <c r="F368" s="3">
        <v>1</v>
      </c>
      <c r="G368" s="3">
        <v>551.6</v>
      </c>
      <c r="H368" s="13">
        <v>5</v>
      </c>
      <c r="I368" s="13">
        <v>0.46989999999999998</v>
      </c>
      <c r="J368" s="16">
        <v>0</v>
      </c>
      <c r="K368" s="16">
        <v>0</v>
      </c>
      <c r="L368" s="3">
        <v>0</v>
      </c>
      <c r="M368" s="3">
        <v>0</v>
      </c>
      <c r="N368" s="3">
        <v>990</v>
      </c>
      <c r="O368" s="3">
        <v>1025</v>
      </c>
      <c r="P368" s="1">
        <v>0</v>
      </c>
      <c r="Q368">
        <v>1005</v>
      </c>
      <c r="R368" s="3">
        <v>1677.6</v>
      </c>
      <c r="S368" s="1">
        <v>0</v>
      </c>
    </row>
    <row r="369" spans="1:19" x14ac:dyDescent="0.2">
      <c r="A369" s="12">
        <v>272</v>
      </c>
      <c r="B369" s="12">
        <v>276</v>
      </c>
      <c r="C369" s="12">
        <v>277</v>
      </c>
      <c r="D369" s="3">
        <v>1</v>
      </c>
      <c r="E369" s="3">
        <v>1</v>
      </c>
      <c r="F369" s="3">
        <v>1</v>
      </c>
      <c r="G369" s="3">
        <v>551.6</v>
      </c>
      <c r="H369" s="13">
        <v>5</v>
      </c>
      <c r="I369" s="13">
        <v>0.46989999999999998</v>
      </c>
      <c r="J369" s="16">
        <v>0</v>
      </c>
      <c r="K369" s="16">
        <v>0</v>
      </c>
      <c r="L369" s="3">
        <v>0</v>
      </c>
      <c r="M369" s="3">
        <v>0</v>
      </c>
      <c r="N369" s="3">
        <v>990</v>
      </c>
      <c r="O369" s="3">
        <v>1025</v>
      </c>
      <c r="P369" s="1">
        <v>0</v>
      </c>
      <c r="Q369">
        <v>1005</v>
      </c>
      <c r="R369" s="3">
        <v>1677.6</v>
      </c>
      <c r="S369" s="1">
        <v>0</v>
      </c>
    </row>
    <row r="370" spans="1:19" x14ac:dyDescent="0.2">
      <c r="A370" s="12">
        <v>273</v>
      </c>
      <c r="B370" s="12">
        <v>277</v>
      </c>
      <c r="C370" s="12">
        <v>278</v>
      </c>
      <c r="D370" s="3">
        <v>1</v>
      </c>
      <c r="E370" s="3">
        <v>1</v>
      </c>
      <c r="F370" s="3">
        <v>1</v>
      </c>
      <c r="G370" s="3">
        <v>551.6</v>
      </c>
      <c r="H370" s="13">
        <v>5</v>
      </c>
      <c r="I370" s="13">
        <v>0.46989999999999998</v>
      </c>
      <c r="J370" s="16">
        <v>0</v>
      </c>
      <c r="K370" s="16">
        <v>0</v>
      </c>
      <c r="L370" s="3">
        <v>0</v>
      </c>
      <c r="M370" s="3">
        <v>0</v>
      </c>
      <c r="N370" s="3">
        <v>990</v>
      </c>
      <c r="O370" s="3">
        <v>1025</v>
      </c>
      <c r="P370" s="1">
        <v>0</v>
      </c>
      <c r="Q370">
        <v>1005</v>
      </c>
      <c r="R370" s="3">
        <v>1677.6</v>
      </c>
      <c r="S370" s="1">
        <v>0</v>
      </c>
    </row>
    <row r="371" spans="1:19" x14ac:dyDescent="0.2">
      <c r="A371" s="12">
        <v>274</v>
      </c>
      <c r="B371" s="12">
        <v>278</v>
      </c>
      <c r="C371" s="12">
        <v>279</v>
      </c>
      <c r="D371" s="3">
        <v>1</v>
      </c>
      <c r="E371" s="3">
        <v>1</v>
      </c>
      <c r="F371" s="3">
        <v>1</v>
      </c>
      <c r="G371" s="3">
        <v>551.6</v>
      </c>
      <c r="H371" s="13">
        <v>5</v>
      </c>
      <c r="I371" s="13">
        <v>0.46989999999999998</v>
      </c>
      <c r="J371" s="16">
        <v>0</v>
      </c>
      <c r="K371" s="16">
        <v>0</v>
      </c>
      <c r="L371" s="3">
        <v>0</v>
      </c>
      <c r="M371" s="3">
        <v>0</v>
      </c>
      <c r="N371" s="3">
        <v>990</v>
      </c>
      <c r="O371" s="3">
        <v>1025</v>
      </c>
      <c r="P371" s="1">
        <v>0</v>
      </c>
      <c r="Q371">
        <v>1005</v>
      </c>
      <c r="R371" s="3">
        <v>1677.6</v>
      </c>
      <c r="S371" s="1">
        <v>0</v>
      </c>
    </row>
    <row r="372" spans="1:19" x14ac:dyDescent="0.2">
      <c r="A372" s="12">
        <v>275</v>
      </c>
      <c r="B372" s="12">
        <v>279</v>
      </c>
      <c r="C372" s="12">
        <v>280</v>
      </c>
      <c r="D372" s="3">
        <v>1</v>
      </c>
      <c r="E372" s="3">
        <v>1</v>
      </c>
      <c r="F372" s="3">
        <v>1</v>
      </c>
      <c r="G372" s="3">
        <v>551.6</v>
      </c>
      <c r="H372" s="13">
        <v>5</v>
      </c>
      <c r="I372" s="13">
        <v>0.46989999999999998</v>
      </c>
      <c r="J372" s="16">
        <v>0</v>
      </c>
      <c r="K372" s="16">
        <v>0</v>
      </c>
      <c r="L372" s="3">
        <v>0</v>
      </c>
      <c r="M372" s="3">
        <v>0</v>
      </c>
      <c r="N372" s="3">
        <v>990</v>
      </c>
      <c r="O372" s="3">
        <v>1025</v>
      </c>
      <c r="P372" s="1">
        <v>0</v>
      </c>
      <c r="Q372">
        <v>1005</v>
      </c>
      <c r="R372" s="3">
        <v>1677.6</v>
      </c>
      <c r="S372" s="1">
        <v>0</v>
      </c>
    </row>
    <row r="373" spans="1:19" x14ac:dyDescent="0.2">
      <c r="A373" s="12">
        <v>276</v>
      </c>
      <c r="B373" s="12">
        <v>280</v>
      </c>
      <c r="C373" s="12">
        <v>281</v>
      </c>
      <c r="D373" s="3">
        <v>1</v>
      </c>
      <c r="E373" s="3">
        <v>1</v>
      </c>
      <c r="F373" s="3">
        <v>1</v>
      </c>
      <c r="G373" s="3">
        <v>551.6</v>
      </c>
      <c r="H373" s="13">
        <v>5</v>
      </c>
      <c r="I373" s="13">
        <v>0.46989999999999998</v>
      </c>
      <c r="J373" s="16">
        <v>0</v>
      </c>
      <c r="K373" s="16">
        <v>0</v>
      </c>
      <c r="L373" s="3">
        <v>0</v>
      </c>
      <c r="M373" s="3">
        <v>0</v>
      </c>
      <c r="N373" s="3">
        <v>990</v>
      </c>
      <c r="O373" s="3">
        <v>1025</v>
      </c>
      <c r="P373" s="1">
        <v>0</v>
      </c>
      <c r="Q373">
        <v>1005</v>
      </c>
      <c r="R373" s="3">
        <v>1677.6</v>
      </c>
      <c r="S373" s="1">
        <v>0</v>
      </c>
    </row>
    <row r="374" spans="1:19" x14ac:dyDescent="0.2">
      <c r="A374" s="12">
        <v>277</v>
      </c>
      <c r="B374" s="12">
        <v>281</v>
      </c>
      <c r="C374" s="12">
        <v>282</v>
      </c>
      <c r="D374" s="3">
        <v>1</v>
      </c>
      <c r="E374" s="3">
        <v>1</v>
      </c>
      <c r="F374" s="3">
        <v>1</v>
      </c>
      <c r="G374" s="3">
        <v>551.6</v>
      </c>
      <c r="H374" s="13">
        <v>2E-3</v>
      </c>
      <c r="I374" s="13">
        <v>0</v>
      </c>
      <c r="J374" s="16">
        <v>0</v>
      </c>
      <c r="K374" s="16">
        <v>0</v>
      </c>
      <c r="L374" s="3">
        <v>0</v>
      </c>
      <c r="M374" s="3">
        <v>0</v>
      </c>
      <c r="N374" s="3">
        <v>990</v>
      </c>
      <c r="O374" s="3">
        <v>1025</v>
      </c>
      <c r="P374" s="1">
        <v>0</v>
      </c>
      <c r="Q374">
        <v>1005</v>
      </c>
      <c r="R374" s="3">
        <v>1677.6</v>
      </c>
      <c r="S374" s="1">
        <v>0</v>
      </c>
    </row>
    <row r="375" spans="1:19" x14ac:dyDescent="0.2">
      <c r="A375" s="12">
        <v>278</v>
      </c>
      <c r="B375" s="12">
        <v>282</v>
      </c>
      <c r="C375" s="12">
        <v>283</v>
      </c>
      <c r="D375" s="3">
        <v>1</v>
      </c>
      <c r="E375" s="3">
        <v>1</v>
      </c>
      <c r="F375" s="3">
        <v>1</v>
      </c>
      <c r="G375" s="3">
        <v>551.6</v>
      </c>
      <c r="H375" s="13">
        <v>5</v>
      </c>
      <c r="I375" s="13">
        <v>0.46989999999999998</v>
      </c>
      <c r="J375" s="16">
        <v>0</v>
      </c>
      <c r="K375" s="16">
        <v>0</v>
      </c>
      <c r="L375" s="3">
        <v>0</v>
      </c>
      <c r="M375" s="3">
        <v>0</v>
      </c>
      <c r="N375" s="3">
        <v>990</v>
      </c>
      <c r="O375" s="3">
        <v>1025</v>
      </c>
      <c r="P375" s="1">
        <v>0</v>
      </c>
      <c r="Q375">
        <v>1005</v>
      </c>
      <c r="R375" s="3">
        <v>1677.6</v>
      </c>
      <c r="S375" s="1">
        <v>0</v>
      </c>
    </row>
    <row r="376" spans="1:19" x14ac:dyDescent="0.2">
      <c r="A376" s="12">
        <v>279</v>
      </c>
      <c r="B376" s="12">
        <v>283</v>
      </c>
      <c r="C376" s="12">
        <v>284</v>
      </c>
      <c r="D376" s="3">
        <v>1</v>
      </c>
      <c r="E376" s="3">
        <v>1</v>
      </c>
      <c r="F376" s="3">
        <v>1</v>
      </c>
      <c r="G376" s="3">
        <v>551.6</v>
      </c>
      <c r="H376" s="13">
        <v>5</v>
      </c>
      <c r="I376" s="13">
        <v>0.46989999999999998</v>
      </c>
      <c r="J376" s="16">
        <v>0</v>
      </c>
      <c r="K376" s="16">
        <v>0</v>
      </c>
      <c r="L376" s="3">
        <v>0</v>
      </c>
      <c r="M376" s="3">
        <v>0</v>
      </c>
      <c r="N376" s="3">
        <v>990</v>
      </c>
      <c r="O376" s="3">
        <v>1025</v>
      </c>
      <c r="P376" s="1">
        <v>0</v>
      </c>
      <c r="Q376">
        <v>1005</v>
      </c>
      <c r="R376" s="3">
        <v>1677.6</v>
      </c>
      <c r="S376" s="1">
        <v>0</v>
      </c>
    </row>
    <row r="377" spans="1:19" x14ac:dyDescent="0.2">
      <c r="A377" s="12">
        <v>280</v>
      </c>
      <c r="B377" s="12">
        <v>284</v>
      </c>
      <c r="C377" s="12">
        <v>285</v>
      </c>
      <c r="D377" s="3">
        <v>1</v>
      </c>
      <c r="E377" s="3">
        <v>1</v>
      </c>
      <c r="F377" s="3">
        <v>1</v>
      </c>
      <c r="G377" s="3">
        <v>551.6</v>
      </c>
      <c r="H377" s="13">
        <v>0.53339999999999999</v>
      </c>
      <c r="I377" s="13">
        <v>0.48259999999999997</v>
      </c>
      <c r="J377" s="16">
        <v>0</v>
      </c>
      <c r="K377" s="16">
        <v>0</v>
      </c>
      <c r="L377" s="3">
        <v>0</v>
      </c>
      <c r="M377" s="3">
        <v>0</v>
      </c>
      <c r="N377" s="3">
        <v>990</v>
      </c>
      <c r="O377" s="3">
        <v>1025</v>
      </c>
      <c r="P377" s="1">
        <v>0</v>
      </c>
      <c r="Q377">
        <v>1005</v>
      </c>
      <c r="R377" s="3">
        <v>1677.6</v>
      </c>
      <c r="S377" s="1">
        <v>0</v>
      </c>
    </row>
    <row r="378" spans="1:19" x14ac:dyDescent="0.2">
      <c r="A378" s="12">
        <v>281</v>
      </c>
      <c r="B378" s="12">
        <v>285</v>
      </c>
      <c r="C378" s="12">
        <v>286</v>
      </c>
      <c r="D378" s="3">
        <v>1</v>
      </c>
      <c r="E378" s="3">
        <v>1</v>
      </c>
      <c r="F378" s="3">
        <v>1</v>
      </c>
      <c r="G378" s="3">
        <v>551.6</v>
      </c>
      <c r="H378" s="13">
        <v>0.53339999999999999</v>
      </c>
      <c r="I378" s="13">
        <v>0.48259999999999997</v>
      </c>
      <c r="J378" s="16">
        <v>0</v>
      </c>
      <c r="K378" s="16">
        <v>0</v>
      </c>
      <c r="L378" s="3">
        <v>0</v>
      </c>
      <c r="M378" s="3">
        <v>0</v>
      </c>
      <c r="N378" s="3">
        <v>990</v>
      </c>
      <c r="O378" s="3">
        <v>1025</v>
      </c>
      <c r="P378" s="1">
        <v>0</v>
      </c>
      <c r="Q378">
        <v>1005</v>
      </c>
      <c r="R378" s="3">
        <v>1677.6</v>
      </c>
      <c r="S378" s="1">
        <v>0</v>
      </c>
    </row>
    <row r="379" spans="1:19" x14ac:dyDescent="0.2">
      <c r="A379" s="12">
        <v>282</v>
      </c>
      <c r="B379" s="12">
        <v>286</v>
      </c>
      <c r="C379" s="12">
        <v>287</v>
      </c>
      <c r="D379" s="3">
        <v>1</v>
      </c>
      <c r="E379" s="3">
        <v>1</v>
      </c>
      <c r="F379" s="3">
        <v>1</v>
      </c>
      <c r="G379" s="3">
        <v>551.6</v>
      </c>
      <c r="H379" s="13">
        <v>0.53339999999999999</v>
      </c>
      <c r="I379" s="13">
        <v>0.48259999999999997</v>
      </c>
      <c r="J379" s="16">
        <v>0</v>
      </c>
      <c r="K379" s="16">
        <v>0</v>
      </c>
      <c r="L379" s="3">
        <v>0</v>
      </c>
      <c r="M379" s="3">
        <v>0</v>
      </c>
      <c r="N379" s="3">
        <v>990</v>
      </c>
      <c r="O379" s="3">
        <v>1025</v>
      </c>
      <c r="P379" s="1">
        <v>0</v>
      </c>
      <c r="Q379">
        <v>1005</v>
      </c>
      <c r="R379" s="3">
        <v>1677.6</v>
      </c>
      <c r="S379" s="1">
        <v>0</v>
      </c>
    </row>
    <row r="380" spans="1:19" x14ac:dyDescent="0.2">
      <c r="A380" s="12">
        <v>283</v>
      </c>
      <c r="B380" s="12">
        <v>287</v>
      </c>
      <c r="C380" s="12">
        <v>288</v>
      </c>
      <c r="D380" s="3">
        <v>1</v>
      </c>
      <c r="E380" s="3">
        <v>1</v>
      </c>
      <c r="F380" s="3">
        <v>1</v>
      </c>
      <c r="G380" s="3">
        <v>551.6</v>
      </c>
      <c r="H380" s="13">
        <v>0.53339999999999999</v>
      </c>
      <c r="I380" s="13">
        <v>0.48259999999999997</v>
      </c>
      <c r="J380" s="16">
        <v>0</v>
      </c>
      <c r="K380" s="16">
        <v>0</v>
      </c>
      <c r="L380" s="3">
        <v>0</v>
      </c>
      <c r="M380" s="3">
        <v>0</v>
      </c>
      <c r="N380" s="3">
        <v>990</v>
      </c>
      <c r="O380" s="3">
        <v>1025</v>
      </c>
      <c r="P380" s="1">
        <v>0</v>
      </c>
      <c r="Q380">
        <v>1005</v>
      </c>
      <c r="R380" s="3">
        <v>1677.6</v>
      </c>
      <c r="S380" s="1">
        <v>0</v>
      </c>
    </row>
    <row r="381" spans="1:19" x14ac:dyDescent="0.2">
      <c r="A381" s="12">
        <v>284</v>
      </c>
      <c r="B381" s="12">
        <v>288</v>
      </c>
      <c r="C381" s="12">
        <v>289</v>
      </c>
      <c r="D381" s="3">
        <v>1</v>
      </c>
      <c r="E381" s="3">
        <v>1</v>
      </c>
      <c r="F381" s="3">
        <v>1</v>
      </c>
      <c r="G381" s="3">
        <v>551.6</v>
      </c>
      <c r="H381" s="13">
        <v>0.53339999999999999</v>
      </c>
      <c r="I381" s="13">
        <v>0.48259999999999997</v>
      </c>
      <c r="J381" s="16">
        <v>0</v>
      </c>
      <c r="K381" s="16">
        <v>0</v>
      </c>
      <c r="L381" s="3">
        <v>0</v>
      </c>
      <c r="M381" s="3">
        <v>0</v>
      </c>
      <c r="N381" s="3">
        <v>990</v>
      </c>
      <c r="O381" s="3">
        <v>1025</v>
      </c>
      <c r="P381" s="1">
        <v>0</v>
      </c>
      <c r="Q381">
        <v>1005</v>
      </c>
      <c r="R381" s="3">
        <v>1677.6</v>
      </c>
      <c r="S381" s="1">
        <v>0</v>
      </c>
    </row>
    <row r="382" spans="1:19" x14ac:dyDescent="0.2">
      <c r="A382" s="12">
        <v>285</v>
      </c>
      <c r="B382" s="12">
        <v>289</v>
      </c>
      <c r="C382" s="12">
        <v>290</v>
      </c>
      <c r="D382" s="3">
        <v>1</v>
      </c>
      <c r="E382" s="3">
        <v>1</v>
      </c>
      <c r="F382" s="3">
        <v>1</v>
      </c>
      <c r="G382" s="3">
        <v>551.6</v>
      </c>
      <c r="H382" s="13">
        <v>0.53339999999999999</v>
      </c>
      <c r="I382" s="13">
        <v>0.48259999999999997</v>
      </c>
      <c r="J382" s="16">
        <v>0</v>
      </c>
      <c r="K382" s="16">
        <v>0</v>
      </c>
      <c r="L382" s="3">
        <v>0</v>
      </c>
      <c r="M382" s="3">
        <v>0</v>
      </c>
      <c r="N382" s="3">
        <v>990</v>
      </c>
      <c r="O382" s="3">
        <v>1025</v>
      </c>
      <c r="P382" s="1">
        <v>0</v>
      </c>
      <c r="Q382">
        <v>1005</v>
      </c>
      <c r="R382" s="3">
        <v>1677.6</v>
      </c>
      <c r="S382" s="1">
        <v>0</v>
      </c>
    </row>
    <row r="383" spans="1:19" x14ac:dyDescent="0.2">
      <c r="A383" s="12">
        <v>286</v>
      </c>
      <c r="B383" s="12">
        <v>290</v>
      </c>
      <c r="C383" s="12">
        <v>291</v>
      </c>
      <c r="D383" s="3">
        <v>1</v>
      </c>
      <c r="E383" s="3">
        <v>1</v>
      </c>
      <c r="F383" s="3">
        <v>1</v>
      </c>
      <c r="G383" s="3">
        <v>551.6</v>
      </c>
      <c r="H383" s="13">
        <v>0.53339999999999999</v>
      </c>
      <c r="I383" s="13">
        <v>0.48259999999999997</v>
      </c>
      <c r="J383" s="16">
        <v>0</v>
      </c>
      <c r="K383" s="16">
        <v>0</v>
      </c>
      <c r="L383" s="3">
        <v>0</v>
      </c>
      <c r="M383" s="3">
        <v>0</v>
      </c>
      <c r="N383" s="3">
        <v>990</v>
      </c>
      <c r="O383" s="3">
        <v>1025</v>
      </c>
      <c r="P383" s="1">
        <v>0</v>
      </c>
      <c r="Q383">
        <v>1005</v>
      </c>
      <c r="R383" s="3">
        <v>1677.6</v>
      </c>
      <c r="S383" s="1">
        <v>0</v>
      </c>
    </row>
    <row r="384" spans="1:19" x14ac:dyDescent="0.2">
      <c r="A384" s="12">
        <v>287</v>
      </c>
      <c r="B384" s="12">
        <v>291</v>
      </c>
      <c r="C384" s="12">
        <v>292</v>
      </c>
      <c r="D384" s="3">
        <v>1</v>
      </c>
      <c r="E384" s="3">
        <v>1</v>
      </c>
      <c r="F384" s="3">
        <v>1</v>
      </c>
      <c r="G384" s="3">
        <v>551.6</v>
      </c>
      <c r="H384" s="13">
        <v>0.53339999999999999</v>
      </c>
      <c r="I384" s="13">
        <v>0.48259999999999997</v>
      </c>
      <c r="J384" s="16">
        <v>0</v>
      </c>
      <c r="K384" s="16">
        <v>0</v>
      </c>
      <c r="L384" s="3">
        <v>0</v>
      </c>
      <c r="M384" s="3">
        <v>0</v>
      </c>
      <c r="N384" s="3">
        <v>990</v>
      </c>
      <c r="O384" s="3">
        <v>1025</v>
      </c>
      <c r="P384" s="1">
        <v>0</v>
      </c>
      <c r="Q384">
        <v>1005</v>
      </c>
      <c r="R384" s="3">
        <v>1677.6</v>
      </c>
      <c r="S384" s="1">
        <v>0</v>
      </c>
    </row>
    <row r="385" spans="1:19" x14ac:dyDescent="0.2">
      <c r="A385" s="12">
        <v>288</v>
      </c>
      <c r="B385" s="12">
        <v>292</v>
      </c>
      <c r="C385" s="12">
        <v>293</v>
      </c>
      <c r="D385" s="3">
        <v>1</v>
      </c>
      <c r="E385" s="3">
        <v>1</v>
      </c>
      <c r="F385" s="3">
        <v>1</v>
      </c>
      <c r="G385" s="3">
        <v>551.6</v>
      </c>
      <c r="H385" s="13">
        <v>0.53339999999999999</v>
      </c>
      <c r="I385" s="13">
        <v>0.48259999999999997</v>
      </c>
      <c r="J385" s="16">
        <v>0</v>
      </c>
      <c r="K385" s="16">
        <v>0</v>
      </c>
      <c r="L385" s="3">
        <v>0</v>
      </c>
      <c r="M385" s="3">
        <v>0</v>
      </c>
      <c r="N385" s="3">
        <v>990</v>
      </c>
      <c r="O385" s="3">
        <v>1025</v>
      </c>
      <c r="P385" s="1">
        <v>0</v>
      </c>
      <c r="Q385">
        <v>1005</v>
      </c>
      <c r="R385" s="3">
        <v>1677.6</v>
      </c>
      <c r="S385" s="1">
        <v>0</v>
      </c>
    </row>
    <row r="386" spans="1:19" x14ac:dyDescent="0.2">
      <c r="A386" s="12">
        <v>289</v>
      </c>
      <c r="B386" s="12">
        <v>293</v>
      </c>
      <c r="C386" s="12">
        <v>294</v>
      </c>
      <c r="D386" s="3">
        <v>1</v>
      </c>
      <c r="E386" s="3">
        <v>1</v>
      </c>
      <c r="F386" s="3">
        <v>1</v>
      </c>
      <c r="G386" s="3">
        <v>551.6</v>
      </c>
      <c r="H386" s="13">
        <v>0.53339999999999999</v>
      </c>
      <c r="I386" s="13">
        <v>0.48259999999999997</v>
      </c>
      <c r="J386" s="16">
        <v>0</v>
      </c>
      <c r="K386" s="16">
        <v>0</v>
      </c>
      <c r="L386" s="3">
        <v>0</v>
      </c>
      <c r="M386" s="3">
        <v>0</v>
      </c>
      <c r="N386" s="3">
        <v>990</v>
      </c>
      <c r="O386" s="3">
        <v>1025</v>
      </c>
      <c r="P386" s="1">
        <v>0</v>
      </c>
      <c r="Q386">
        <v>1005</v>
      </c>
      <c r="R386" s="3">
        <v>1677.6</v>
      </c>
      <c r="S386" s="1">
        <v>0</v>
      </c>
    </row>
    <row r="387" spans="1:19" x14ac:dyDescent="0.2">
      <c r="A387" s="12">
        <v>290</v>
      </c>
      <c r="B387" s="12">
        <v>294</v>
      </c>
      <c r="C387" s="12">
        <v>295</v>
      </c>
      <c r="D387" s="3">
        <v>1</v>
      </c>
      <c r="E387" s="3">
        <v>1</v>
      </c>
      <c r="F387" s="3">
        <v>1</v>
      </c>
      <c r="G387" s="3">
        <v>551.6</v>
      </c>
      <c r="H387" s="13">
        <v>0.53339999999999999</v>
      </c>
      <c r="I387" s="13">
        <v>0.48259999999999997</v>
      </c>
      <c r="J387" s="16">
        <v>0</v>
      </c>
      <c r="K387" s="16">
        <v>0</v>
      </c>
      <c r="L387" s="3">
        <v>0</v>
      </c>
      <c r="M387" s="3">
        <v>0</v>
      </c>
      <c r="N387" s="3">
        <v>990</v>
      </c>
      <c r="O387" s="3">
        <v>1025</v>
      </c>
      <c r="P387" s="1">
        <v>0</v>
      </c>
      <c r="Q387">
        <v>1005</v>
      </c>
      <c r="R387" s="3">
        <v>1677.6</v>
      </c>
      <c r="S387" s="1">
        <v>0</v>
      </c>
    </row>
    <row r="388" spans="1:19" x14ac:dyDescent="0.2">
      <c r="A388" s="12">
        <v>291</v>
      </c>
      <c r="B388" s="12">
        <v>295</v>
      </c>
      <c r="C388" s="12">
        <v>296</v>
      </c>
      <c r="D388" s="3">
        <v>1</v>
      </c>
      <c r="E388" s="3">
        <v>1</v>
      </c>
      <c r="F388" s="3">
        <v>1</v>
      </c>
      <c r="G388" s="3">
        <v>551.6</v>
      </c>
      <c r="H388" s="13">
        <v>0.53339999999999999</v>
      </c>
      <c r="I388" s="13">
        <v>0.48259999999999997</v>
      </c>
      <c r="J388" s="16">
        <v>0</v>
      </c>
      <c r="K388" s="16">
        <v>0</v>
      </c>
      <c r="L388" s="3">
        <v>0</v>
      </c>
      <c r="M388" s="3">
        <v>0</v>
      </c>
      <c r="N388" s="3">
        <v>990</v>
      </c>
      <c r="O388" s="3">
        <v>1025</v>
      </c>
      <c r="P388" s="1">
        <v>0</v>
      </c>
      <c r="Q388">
        <v>1005</v>
      </c>
      <c r="R388" s="3">
        <v>1677.6</v>
      </c>
      <c r="S388" s="1">
        <v>0</v>
      </c>
    </row>
    <row r="389" spans="1:19" x14ac:dyDescent="0.2">
      <c r="A389" s="12">
        <v>292</v>
      </c>
      <c r="B389" s="12">
        <v>296</v>
      </c>
      <c r="C389" s="12">
        <v>297</v>
      </c>
      <c r="D389" s="3">
        <v>1</v>
      </c>
      <c r="E389" s="3">
        <v>1</v>
      </c>
      <c r="F389" s="3">
        <v>1</v>
      </c>
      <c r="G389" s="3">
        <v>551.6</v>
      </c>
      <c r="H389" s="13">
        <v>0.53339999999999999</v>
      </c>
      <c r="I389" s="13">
        <v>0.48259999999999997</v>
      </c>
      <c r="J389" s="16">
        <v>0</v>
      </c>
      <c r="K389" s="16">
        <v>0</v>
      </c>
      <c r="L389" s="3">
        <v>0</v>
      </c>
      <c r="M389" s="3">
        <v>0</v>
      </c>
      <c r="N389" s="3">
        <v>990</v>
      </c>
      <c r="O389" s="3">
        <v>1025</v>
      </c>
      <c r="P389" s="1">
        <v>0</v>
      </c>
      <c r="Q389">
        <v>1005</v>
      </c>
      <c r="R389" s="3">
        <v>1677.6</v>
      </c>
      <c r="S389" s="1">
        <v>0</v>
      </c>
    </row>
    <row r="390" spans="1:19" x14ac:dyDescent="0.2">
      <c r="A390" s="12">
        <v>293</v>
      </c>
      <c r="B390" s="12">
        <v>297</v>
      </c>
      <c r="C390" s="12">
        <v>298</v>
      </c>
      <c r="D390" s="3">
        <v>1</v>
      </c>
      <c r="E390" s="3">
        <v>1</v>
      </c>
      <c r="F390" s="3">
        <v>1</v>
      </c>
      <c r="G390" s="3">
        <v>551.6</v>
      </c>
      <c r="H390" s="13">
        <v>0.53339999999999999</v>
      </c>
      <c r="I390" s="13">
        <v>0.48899999999999999</v>
      </c>
      <c r="J390" s="16">
        <v>0</v>
      </c>
      <c r="K390" s="16">
        <v>0</v>
      </c>
      <c r="L390" s="3">
        <v>0</v>
      </c>
      <c r="M390" s="3">
        <v>0</v>
      </c>
      <c r="N390" s="3">
        <v>990</v>
      </c>
      <c r="O390" s="3">
        <v>1025</v>
      </c>
      <c r="P390" s="1">
        <v>0</v>
      </c>
      <c r="Q390">
        <v>1005</v>
      </c>
      <c r="R390" s="3">
        <v>1677.6</v>
      </c>
      <c r="S390" s="1">
        <v>0</v>
      </c>
    </row>
    <row r="391" spans="1:19" x14ac:dyDescent="0.2">
      <c r="A391" s="12">
        <v>294</v>
      </c>
      <c r="B391" s="12">
        <v>298</v>
      </c>
      <c r="C391" s="12">
        <v>299</v>
      </c>
      <c r="D391" s="3">
        <v>1</v>
      </c>
      <c r="E391" s="3">
        <v>1</v>
      </c>
      <c r="F391" s="3">
        <v>1</v>
      </c>
      <c r="G391" s="3">
        <v>551.6</v>
      </c>
      <c r="H391" s="13">
        <v>0.53339999999999999</v>
      </c>
      <c r="I391" s="13">
        <v>0.48899999999999999</v>
      </c>
      <c r="J391" s="16">
        <v>0</v>
      </c>
      <c r="K391" s="16">
        <v>0</v>
      </c>
      <c r="L391" s="3">
        <v>0</v>
      </c>
      <c r="M391" s="3">
        <v>0</v>
      </c>
      <c r="N391" s="3">
        <v>990</v>
      </c>
      <c r="O391" s="3">
        <v>1025</v>
      </c>
      <c r="P391" s="1">
        <v>0</v>
      </c>
      <c r="Q391">
        <v>1005</v>
      </c>
      <c r="R391" s="3">
        <v>1677.6</v>
      </c>
      <c r="S391" s="1">
        <v>0</v>
      </c>
    </row>
    <row r="392" spans="1:19" x14ac:dyDescent="0.2">
      <c r="A392" s="12">
        <v>295</v>
      </c>
      <c r="B392" s="12">
        <v>299</v>
      </c>
      <c r="C392" s="12">
        <v>300</v>
      </c>
      <c r="D392" s="3">
        <v>1</v>
      </c>
      <c r="E392" s="3">
        <v>1</v>
      </c>
      <c r="F392" s="3">
        <v>1</v>
      </c>
      <c r="G392" s="3">
        <v>551.6</v>
      </c>
      <c r="H392" s="13">
        <v>0.53339999999999999</v>
      </c>
      <c r="I392" s="13">
        <v>0.48899999999999999</v>
      </c>
      <c r="J392" s="16">
        <v>0</v>
      </c>
      <c r="K392" s="16">
        <v>0</v>
      </c>
      <c r="L392" s="3">
        <v>0</v>
      </c>
      <c r="M392" s="3">
        <v>0</v>
      </c>
      <c r="N392" s="3">
        <v>990</v>
      </c>
      <c r="O392" s="3">
        <v>1025</v>
      </c>
      <c r="P392" s="1">
        <v>0</v>
      </c>
      <c r="Q392">
        <v>1005</v>
      </c>
      <c r="R392" s="3">
        <v>1677.6</v>
      </c>
      <c r="S392" s="1">
        <v>0</v>
      </c>
    </row>
    <row r="393" spans="1:19" x14ac:dyDescent="0.2">
      <c r="A393" s="12">
        <v>296</v>
      </c>
      <c r="B393" s="12">
        <v>300</v>
      </c>
      <c r="C393" s="12">
        <v>301</v>
      </c>
      <c r="D393" s="3">
        <v>1</v>
      </c>
      <c r="E393" s="3">
        <v>1</v>
      </c>
      <c r="F393" s="3">
        <v>1</v>
      </c>
      <c r="G393" s="3">
        <v>551.6</v>
      </c>
      <c r="H393" s="13">
        <v>0.53339999999999999</v>
      </c>
      <c r="I393" s="13">
        <v>0.48899999999999999</v>
      </c>
      <c r="J393" s="16">
        <v>0</v>
      </c>
      <c r="K393" s="16">
        <v>0</v>
      </c>
      <c r="L393" s="3">
        <v>0</v>
      </c>
      <c r="M393" s="3">
        <v>0</v>
      </c>
      <c r="N393" s="3">
        <v>990</v>
      </c>
      <c r="O393" s="3">
        <v>1025</v>
      </c>
      <c r="P393" s="1">
        <v>0</v>
      </c>
      <c r="Q393">
        <v>1005</v>
      </c>
      <c r="R393" s="3">
        <v>1677.6</v>
      </c>
      <c r="S393" s="1">
        <v>0</v>
      </c>
    </row>
    <row r="394" spans="1:19" x14ac:dyDescent="0.2">
      <c r="A394" s="12">
        <v>297</v>
      </c>
      <c r="B394" s="12">
        <v>301</v>
      </c>
      <c r="C394" s="12">
        <v>302</v>
      </c>
      <c r="D394" s="3">
        <v>1</v>
      </c>
      <c r="E394" s="3">
        <v>1</v>
      </c>
      <c r="F394" s="3">
        <v>1</v>
      </c>
      <c r="G394" s="3">
        <v>551.6</v>
      </c>
      <c r="H394" s="13">
        <v>0.53339999999999999</v>
      </c>
      <c r="I394" s="13">
        <v>0.48899999999999999</v>
      </c>
      <c r="J394" s="16">
        <v>0</v>
      </c>
      <c r="K394" s="16">
        <v>0</v>
      </c>
      <c r="L394" s="3">
        <v>0</v>
      </c>
      <c r="M394" s="3">
        <v>0</v>
      </c>
      <c r="N394" s="3">
        <v>990</v>
      </c>
      <c r="O394" s="3">
        <v>1025</v>
      </c>
      <c r="P394" s="1">
        <v>0</v>
      </c>
      <c r="Q394">
        <v>1005</v>
      </c>
      <c r="R394" s="3">
        <v>1677.6</v>
      </c>
      <c r="S394" s="1">
        <v>0</v>
      </c>
    </row>
    <row r="395" spans="1:19" x14ac:dyDescent="0.2">
      <c r="A395" s="12">
        <v>298</v>
      </c>
      <c r="B395" s="12">
        <v>302</v>
      </c>
      <c r="C395" s="12">
        <v>303</v>
      </c>
      <c r="D395" s="3">
        <v>1</v>
      </c>
      <c r="E395" s="3">
        <v>1</v>
      </c>
      <c r="F395" s="3">
        <v>1</v>
      </c>
      <c r="G395" s="3">
        <v>551.6</v>
      </c>
      <c r="H395" s="13">
        <v>0.53339999999999999</v>
      </c>
      <c r="I395" s="13">
        <v>0.48899999999999999</v>
      </c>
      <c r="J395" s="16">
        <v>0</v>
      </c>
      <c r="K395" s="16">
        <v>0</v>
      </c>
      <c r="L395" s="3">
        <v>0</v>
      </c>
      <c r="M395" s="3">
        <v>0</v>
      </c>
      <c r="N395" s="3">
        <v>990</v>
      </c>
      <c r="O395" s="3">
        <v>1025</v>
      </c>
      <c r="P395" s="1">
        <v>0</v>
      </c>
      <c r="Q395">
        <v>1005</v>
      </c>
      <c r="R395" s="3">
        <v>1677.6</v>
      </c>
      <c r="S395" s="1">
        <v>0</v>
      </c>
    </row>
    <row r="396" spans="1:19" x14ac:dyDescent="0.2">
      <c r="A396" s="12">
        <v>299</v>
      </c>
      <c r="B396" s="12">
        <v>303</v>
      </c>
      <c r="C396" s="12">
        <v>304</v>
      </c>
      <c r="D396" s="3">
        <v>1</v>
      </c>
      <c r="E396" s="3">
        <v>1</v>
      </c>
      <c r="F396" s="3">
        <v>1</v>
      </c>
      <c r="G396" s="3">
        <v>551.6</v>
      </c>
      <c r="H396" s="13">
        <v>0.53339999999999999</v>
      </c>
      <c r="I396" s="13">
        <v>0.48899999999999999</v>
      </c>
      <c r="J396" s="16">
        <v>0</v>
      </c>
      <c r="K396" s="16">
        <v>0</v>
      </c>
      <c r="L396" s="3">
        <v>0</v>
      </c>
      <c r="M396" s="3">
        <v>0</v>
      </c>
      <c r="N396" s="3">
        <v>990</v>
      </c>
      <c r="O396" s="3">
        <v>1025</v>
      </c>
      <c r="P396" s="1">
        <v>0</v>
      </c>
      <c r="Q396">
        <v>1005</v>
      </c>
      <c r="R396" s="3">
        <v>1677.6</v>
      </c>
      <c r="S396" s="1">
        <v>0</v>
      </c>
    </row>
    <row r="397" spans="1:19" x14ac:dyDescent="0.2">
      <c r="A397" s="12">
        <v>300</v>
      </c>
      <c r="B397" s="12">
        <v>304</v>
      </c>
      <c r="C397" s="12">
        <v>305</v>
      </c>
      <c r="D397" s="3">
        <v>1</v>
      </c>
      <c r="E397" s="3">
        <v>1</v>
      </c>
      <c r="F397" s="3">
        <v>1</v>
      </c>
      <c r="G397" s="3">
        <v>551.6</v>
      </c>
      <c r="H397" s="13">
        <v>0.53339999999999999</v>
      </c>
      <c r="I397" s="13">
        <v>0.48899999999999999</v>
      </c>
      <c r="J397" s="16">
        <v>0</v>
      </c>
      <c r="K397" s="16">
        <v>0</v>
      </c>
      <c r="L397" s="3">
        <v>0</v>
      </c>
      <c r="M397" s="3">
        <v>0</v>
      </c>
      <c r="N397" s="3">
        <v>990</v>
      </c>
      <c r="O397" s="3">
        <v>1025</v>
      </c>
      <c r="P397" s="1">
        <v>0</v>
      </c>
      <c r="Q397">
        <v>1005</v>
      </c>
      <c r="R397" s="3">
        <v>1677.6</v>
      </c>
      <c r="S397" s="1">
        <v>0</v>
      </c>
    </row>
    <row r="398" spans="1:19" x14ac:dyDescent="0.2">
      <c r="A398" s="12">
        <v>301</v>
      </c>
      <c r="B398" s="12">
        <v>305</v>
      </c>
      <c r="C398" s="12">
        <v>306</v>
      </c>
      <c r="D398" s="3">
        <v>1</v>
      </c>
      <c r="E398" s="3">
        <v>1</v>
      </c>
      <c r="F398" s="3">
        <v>1</v>
      </c>
      <c r="G398" s="3">
        <v>551.6</v>
      </c>
      <c r="H398" s="13">
        <v>0.53339999999999999</v>
      </c>
      <c r="I398" s="13">
        <v>0.48899999999999999</v>
      </c>
      <c r="J398" s="16">
        <v>0</v>
      </c>
      <c r="K398" s="16">
        <v>0</v>
      </c>
      <c r="L398" s="3">
        <v>0</v>
      </c>
      <c r="M398" s="3">
        <v>0</v>
      </c>
      <c r="N398" s="3">
        <v>990</v>
      </c>
      <c r="O398" s="3">
        <v>1025</v>
      </c>
      <c r="P398" s="1">
        <v>0</v>
      </c>
      <c r="Q398">
        <v>1005</v>
      </c>
      <c r="R398" s="3">
        <v>1677.6</v>
      </c>
      <c r="S398" s="1">
        <v>0</v>
      </c>
    </row>
    <row r="399" spans="1:19" x14ac:dyDescent="0.2">
      <c r="A399" s="12">
        <v>302</v>
      </c>
      <c r="B399" s="12">
        <v>306</v>
      </c>
      <c r="C399" s="12">
        <v>307</v>
      </c>
      <c r="D399" s="3">
        <v>1</v>
      </c>
      <c r="E399" s="3">
        <v>1</v>
      </c>
      <c r="F399" s="3">
        <v>1</v>
      </c>
      <c r="G399" s="3">
        <v>551.6</v>
      </c>
      <c r="H399" s="13">
        <v>0.53339999999999999</v>
      </c>
      <c r="I399" s="13">
        <v>0.48899999999999999</v>
      </c>
      <c r="J399" s="16">
        <v>0</v>
      </c>
      <c r="K399" s="16">
        <v>0</v>
      </c>
      <c r="L399" s="3">
        <v>0</v>
      </c>
      <c r="M399" s="3">
        <v>0</v>
      </c>
      <c r="N399" s="3">
        <v>990</v>
      </c>
      <c r="O399" s="3">
        <v>1025</v>
      </c>
      <c r="P399" s="1">
        <v>0</v>
      </c>
      <c r="Q399">
        <v>1005</v>
      </c>
      <c r="R399" s="3">
        <v>1677.6</v>
      </c>
      <c r="S399" s="1">
        <v>0</v>
      </c>
    </row>
    <row r="400" spans="1:19" x14ac:dyDescent="0.2">
      <c r="A400" s="12">
        <v>303</v>
      </c>
      <c r="B400" s="12">
        <v>307</v>
      </c>
      <c r="C400" s="12">
        <v>308</v>
      </c>
      <c r="D400" s="3">
        <v>1</v>
      </c>
      <c r="E400" s="3">
        <v>1</v>
      </c>
      <c r="F400" s="3">
        <v>1</v>
      </c>
      <c r="G400" s="3">
        <v>551.6</v>
      </c>
      <c r="H400" s="13">
        <v>0.53339999999999999</v>
      </c>
      <c r="I400" s="13">
        <v>0.48899999999999999</v>
      </c>
      <c r="J400" s="16">
        <v>0</v>
      </c>
      <c r="K400" s="16">
        <v>0</v>
      </c>
      <c r="L400" s="3">
        <v>0</v>
      </c>
      <c r="M400" s="3">
        <v>0</v>
      </c>
      <c r="N400" s="3">
        <v>990</v>
      </c>
      <c r="O400" s="3">
        <v>1025</v>
      </c>
      <c r="P400" s="1">
        <v>0</v>
      </c>
      <c r="Q400">
        <v>1005</v>
      </c>
      <c r="R400" s="3">
        <v>1677.6</v>
      </c>
      <c r="S400" s="1">
        <v>0</v>
      </c>
    </row>
    <row r="401" spans="1:19" x14ac:dyDescent="0.2">
      <c r="A401" s="12">
        <v>304</v>
      </c>
      <c r="B401" s="12">
        <v>308</v>
      </c>
      <c r="C401" s="12">
        <v>309</v>
      </c>
      <c r="D401" s="3">
        <v>1</v>
      </c>
      <c r="E401" s="3">
        <v>1</v>
      </c>
      <c r="F401" s="3">
        <v>1</v>
      </c>
      <c r="G401" s="3">
        <v>551.6</v>
      </c>
      <c r="H401" s="13">
        <v>0.53339999999999999</v>
      </c>
      <c r="I401" s="13">
        <v>0.48899999999999999</v>
      </c>
      <c r="J401" s="16">
        <v>0</v>
      </c>
      <c r="K401" s="16">
        <v>0</v>
      </c>
      <c r="L401" s="3">
        <v>0</v>
      </c>
      <c r="M401" s="3">
        <v>0</v>
      </c>
      <c r="N401" s="3">
        <v>990</v>
      </c>
      <c r="O401" s="3">
        <v>1025</v>
      </c>
      <c r="P401" s="1">
        <v>0</v>
      </c>
      <c r="Q401">
        <v>1005</v>
      </c>
      <c r="R401" s="3">
        <v>1677.6</v>
      </c>
      <c r="S401" s="1">
        <v>0</v>
      </c>
    </row>
    <row r="402" spans="1:19" x14ac:dyDescent="0.2">
      <c r="A402" s="12">
        <v>305</v>
      </c>
      <c r="B402" s="12">
        <v>309</v>
      </c>
      <c r="C402" s="12">
        <v>310</v>
      </c>
      <c r="D402" s="3">
        <v>1</v>
      </c>
      <c r="E402" s="3">
        <v>1</v>
      </c>
      <c r="F402" s="3">
        <v>1</v>
      </c>
      <c r="G402" s="3">
        <v>551.6</v>
      </c>
      <c r="H402" s="13">
        <v>0.53339999999999999</v>
      </c>
      <c r="I402" s="13">
        <v>0.48899999999999999</v>
      </c>
      <c r="J402" s="16">
        <v>0</v>
      </c>
      <c r="K402" s="16">
        <v>0</v>
      </c>
      <c r="L402" s="3">
        <v>0</v>
      </c>
      <c r="M402" s="3">
        <v>0</v>
      </c>
      <c r="N402" s="3">
        <v>990</v>
      </c>
      <c r="O402" s="3">
        <v>1025</v>
      </c>
      <c r="P402" s="1">
        <v>0</v>
      </c>
      <c r="Q402">
        <v>1005</v>
      </c>
      <c r="R402" s="3">
        <v>1677.6</v>
      </c>
      <c r="S402" s="1">
        <v>0</v>
      </c>
    </row>
    <row r="403" spans="1:19" x14ac:dyDescent="0.2">
      <c r="A403" s="12">
        <v>306</v>
      </c>
      <c r="B403" s="12">
        <v>310</v>
      </c>
      <c r="C403" s="12">
        <v>311</v>
      </c>
      <c r="D403" s="3">
        <v>1</v>
      </c>
      <c r="E403" s="3">
        <v>1</v>
      </c>
      <c r="F403" s="3">
        <v>1</v>
      </c>
      <c r="G403" s="3">
        <v>551.6</v>
      </c>
      <c r="H403" s="13">
        <v>0.53339999999999999</v>
      </c>
      <c r="I403" s="13">
        <v>0.48899999999999999</v>
      </c>
      <c r="J403" s="16">
        <v>0</v>
      </c>
      <c r="K403" s="16">
        <v>0</v>
      </c>
      <c r="L403" s="3">
        <v>0</v>
      </c>
      <c r="M403" s="3">
        <v>0</v>
      </c>
      <c r="N403" s="3">
        <v>990</v>
      </c>
      <c r="O403" s="3">
        <v>1025</v>
      </c>
      <c r="P403" s="1">
        <v>0</v>
      </c>
      <c r="Q403">
        <v>1005</v>
      </c>
      <c r="R403" s="3">
        <v>1677.6</v>
      </c>
      <c r="S403" s="1">
        <v>0</v>
      </c>
    </row>
    <row r="404" spans="1:19" x14ac:dyDescent="0.2">
      <c r="A404" s="12">
        <v>307</v>
      </c>
      <c r="B404" s="12">
        <v>311</v>
      </c>
      <c r="C404" s="12">
        <v>312</v>
      </c>
      <c r="D404" s="3">
        <v>1</v>
      </c>
      <c r="E404" s="3">
        <v>1</v>
      </c>
      <c r="F404" s="3">
        <v>1</v>
      </c>
      <c r="G404" s="3">
        <v>551.6</v>
      </c>
      <c r="H404" s="13">
        <v>0.53339999999999999</v>
      </c>
      <c r="I404" s="13">
        <v>0.48899999999999999</v>
      </c>
      <c r="J404" s="16">
        <v>0</v>
      </c>
      <c r="K404" s="16">
        <v>0</v>
      </c>
      <c r="L404" s="3">
        <v>0</v>
      </c>
      <c r="M404" s="3">
        <v>0</v>
      </c>
      <c r="N404" s="3">
        <v>990</v>
      </c>
      <c r="O404" s="3">
        <v>1025</v>
      </c>
      <c r="P404" s="1">
        <v>0</v>
      </c>
      <c r="Q404">
        <v>1005</v>
      </c>
      <c r="R404" s="3">
        <v>1677.6</v>
      </c>
      <c r="S404" s="1">
        <v>0</v>
      </c>
    </row>
    <row r="405" spans="1:19" x14ac:dyDescent="0.2">
      <c r="A405" s="12">
        <v>308</v>
      </c>
      <c r="B405" s="12">
        <v>312</v>
      </c>
      <c r="C405" s="12">
        <v>313</v>
      </c>
      <c r="D405" s="3">
        <v>1</v>
      </c>
      <c r="E405" s="3">
        <v>1</v>
      </c>
      <c r="F405" s="3">
        <v>1</v>
      </c>
      <c r="G405" s="3">
        <v>551.6</v>
      </c>
      <c r="H405" s="13">
        <v>0.53339999999999999</v>
      </c>
      <c r="I405" s="13">
        <v>0.48899999999999999</v>
      </c>
      <c r="J405" s="16">
        <v>0</v>
      </c>
      <c r="K405" s="16">
        <v>0</v>
      </c>
      <c r="L405" s="3">
        <v>0</v>
      </c>
      <c r="M405" s="3">
        <v>0</v>
      </c>
      <c r="N405" s="3">
        <v>990</v>
      </c>
      <c r="O405" s="3">
        <v>1025</v>
      </c>
      <c r="P405" s="1">
        <v>0</v>
      </c>
      <c r="Q405">
        <v>1005</v>
      </c>
      <c r="R405" s="3">
        <v>1677.6</v>
      </c>
      <c r="S405" s="1">
        <v>0</v>
      </c>
    </row>
    <row r="406" spans="1:19" x14ac:dyDescent="0.2">
      <c r="A406" s="12">
        <v>309</v>
      </c>
      <c r="B406" s="12">
        <v>313</v>
      </c>
      <c r="C406" s="12">
        <v>314</v>
      </c>
      <c r="D406" s="3">
        <v>1</v>
      </c>
      <c r="E406" s="3">
        <v>1</v>
      </c>
      <c r="F406" s="3">
        <v>1</v>
      </c>
      <c r="G406" s="3">
        <v>551.6</v>
      </c>
      <c r="H406" s="13">
        <v>0.53339999999999999</v>
      </c>
      <c r="I406" s="13">
        <v>0.48899999999999999</v>
      </c>
      <c r="J406" s="16">
        <v>0</v>
      </c>
      <c r="K406" s="16">
        <v>0</v>
      </c>
      <c r="L406" s="3">
        <v>0</v>
      </c>
      <c r="M406" s="3">
        <v>0</v>
      </c>
      <c r="N406" s="3">
        <v>990</v>
      </c>
      <c r="O406" s="3">
        <v>1025</v>
      </c>
      <c r="P406" s="1">
        <v>0</v>
      </c>
      <c r="Q406">
        <v>1005</v>
      </c>
      <c r="R406" s="3">
        <v>1677.6</v>
      </c>
      <c r="S406" s="1">
        <v>0</v>
      </c>
    </row>
    <row r="407" spans="1:19" x14ac:dyDescent="0.2">
      <c r="A407" s="12">
        <v>310</v>
      </c>
      <c r="B407" s="12">
        <v>314</v>
      </c>
      <c r="C407" s="12">
        <v>315</v>
      </c>
      <c r="D407" s="3">
        <v>1</v>
      </c>
      <c r="E407" s="3">
        <v>1</v>
      </c>
      <c r="F407" s="3">
        <v>1</v>
      </c>
      <c r="G407" s="3">
        <v>551.6</v>
      </c>
      <c r="H407" s="13">
        <v>0.53339999999999999</v>
      </c>
      <c r="I407" s="13">
        <v>0.48899999999999999</v>
      </c>
      <c r="J407" s="16">
        <v>0</v>
      </c>
      <c r="K407" s="16">
        <v>0</v>
      </c>
      <c r="L407" s="3">
        <v>0</v>
      </c>
      <c r="M407" s="3">
        <v>0</v>
      </c>
      <c r="N407" s="3">
        <v>990</v>
      </c>
      <c r="O407" s="3">
        <v>1025</v>
      </c>
      <c r="P407" s="1">
        <v>0</v>
      </c>
      <c r="Q407">
        <v>1005</v>
      </c>
      <c r="R407" s="3">
        <v>1677.6</v>
      </c>
      <c r="S407" s="1">
        <v>0</v>
      </c>
    </row>
    <row r="408" spans="1:19" x14ac:dyDescent="0.2">
      <c r="A408" s="12">
        <v>311</v>
      </c>
      <c r="B408" s="12">
        <v>315</v>
      </c>
      <c r="C408" s="12">
        <v>316</v>
      </c>
      <c r="D408" s="3">
        <v>1</v>
      </c>
      <c r="E408" s="3">
        <v>1</v>
      </c>
      <c r="F408" s="3">
        <v>1</v>
      </c>
      <c r="G408" s="3">
        <v>551.6</v>
      </c>
      <c r="H408" s="13">
        <v>0.53339999999999999</v>
      </c>
      <c r="I408" s="13">
        <v>0.48899999999999999</v>
      </c>
      <c r="J408" s="16">
        <v>0</v>
      </c>
      <c r="K408" s="16">
        <v>0</v>
      </c>
      <c r="L408" s="3">
        <v>0</v>
      </c>
      <c r="M408" s="3">
        <v>0</v>
      </c>
      <c r="N408" s="3">
        <v>990</v>
      </c>
      <c r="O408" s="3">
        <v>1025</v>
      </c>
      <c r="P408" s="1">
        <v>0</v>
      </c>
      <c r="Q408">
        <v>1005</v>
      </c>
      <c r="R408" s="3">
        <v>1677.6</v>
      </c>
      <c r="S408" s="1">
        <v>0</v>
      </c>
    </row>
    <row r="409" spans="1:19" x14ac:dyDescent="0.2">
      <c r="A409" s="12">
        <v>312</v>
      </c>
      <c r="B409" s="12">
        <v>316</v>
      </c>
      <c r="C409" s="12">
        <v>317</v>
      </c>
      <c r="D409" s="3">
        <v>1</v>
      </c>
      <c r="E409" s="3">
        <v>1</v>
      </c>
      <c r="F409" s="3">
        <v>1</v>
      </c>
      <c r="G409" s="3">
        <v>551.6</v>
      </c>
      <c r="H409" s="13">
        <v>0.53339999999999999</v>
      </c>
      <c r="I409" s="13">
        <v>0.48899999999999999</v>
      </c>
      <c r="J409" s="16">
        <v>0</v>
      </c>
      <c r="K409" s="16">
        <v>0</v>
      </c>
      <c r="L409" s="3">
        <v>0</v>
      </c>
      <c r="M409" s="3">
        <v>0</v>
      </c>
      <c r="N409" s="3">
        <v>990</v>
      </c>
      <c r="O409" s="3">
        <v>1025</v>
      </c>
      <c r="P409" s="1">
        <v>0</v>
      </c>
      <c r="Q409">
        <v>1005</v>
      </c>
      <c r="R409" s="3">
        <v>1677.6</v>
      </c>
      <c r="S409" s="1">
        <v>0</v>
      </c>
    </row>
    <row r="410" spans="1:19" x14ac:dyDescent="0.2">
      <c r="A410" s="12">
        <v>313</v>
      </c>
      <c r="B410" s="12">
        <v>317</v>
      </c>
      <c r="C410" s="12">
        <v>318</v>
      </c>
      <c r="D410" s="3">
        <v>1</v>
      </c>
      <c r="E410" s="3">
        <v>1</v>
      </c>
      <c r="F410" s="3">
        <v>1</v>
      </c>
      <c r="G410" s="3">
        <v>551.6</v>
      </c>
      <c r="H410" s="13">
        <v>0.53339999999999999</v>
      </c>
      <c r="I410" s="13">
        <v>0.48899999999999999</v>
      </c>
      <c r="J410" s="16">
        <v>0</v>
      </c>
      <c r="K410" s="16">
        <v>0</v>
      </c>
      <c r="L410" s="3">
        <v>0</v>
      </c>
      <c r="M410" s="3">
        <v>0</v>
      </c>
      <c r="N410" s="3">
        <v>990</v>
      </c>
      <c r="O410" s="3">
        <v>1025</v>
      </c>
      <c r="P410" s="1">
        <v>0</v>
      </c>
      <c r="Q410">
        <v>1005</v>
      </c>
      <c r="R410" s="3">
        <v>1677.6</v>
      </c>
      <c r="S410" s="1">
        <v>0</v>
      </c>
    </row>
    <row r="411" spans="1:19" x14ac:dyDescent="0.2">
      <c r="A411" s="12">
        <v>314</v>
      </c>
      <c r="B411" s="12">
        <v>318</v>
      </c>
      <c r="C411" s="12">
        <v>319</v>
      </c>
      <c r="D411" s="3">
        <v>1</v>
      </c>
      <c r="E411" s="3">
        <v>1</v>
      </c>
      <c r="F411" s="3">
        <v>1</v>
      </c>
      <c r="G411" s="3">
        <v>551.6</v>
      </c>
      <c r="H411" s="13">
        <v>0.53339999999999999</v>
      </c>
      <c r="I411" s="13">
        <v>0.48899999999999999</v>
      </c>
      <c r="J411" s="16">
        <v>0</v>
      </c>
      <c r="K411" s="16">
        <v>0</v>
      </c>
      <c r="L411" s="3">
        <v>0</v>
      </c>
      <c r="M411" s="3">
        <v>0</v>
      </c>
      <c r="N411" s="3">
        <v>990</v>
      </c>
      <c r="O411" s="3">
        <v>1025</v>
      </c>
      <c r="P411" s="1">
        <v>0</v>
      </c>
      <c r="Q411">
        <v>1005</v>
      </c>
      <c r="R411" s="3">
        <v>1677.6</v>
      </c>
      <c r="S411" s="1">
        <v>0</v>
      </c>
    </row>
    <row r="412" spans="1:19" x14ac:dyDescent="0.2">
      <c r="A412" s="12">
        <v>315</v>
      </c>
      <c r="B412" s="12">
        <v>319</v>
      </c>
      <c r="C412" s="12">
        <v>320</v>
      </c>
      <c r="D412" s="3">
        <v>1</v>
      </c>
      <c r="E412" s="3">
        <v>1</v>
      </c>
      <c r="F412" s="3">
        <v>1</v>
      </c>
      <c r="G412" s="3">
        <v>551.6</v>
      </c>
      <c r="H412" s="13">
        <v>0.53339999999999999</v>
      </c>
      <c r="I412" s="13">
        <v>0.48899999999999999</v>
      </c>
      <c r="J412" s="16">
        <v>0</v>
      </c>
      <c r="K412" s="16">
        <v>0</v>
      </c>
      <c r="L412" s="3">
        <v>0</v>
      </c>
      <c r="M412" s="3">
        <v>0</v>
      </c>
      <c r="N412" s="3">
        <v>990</v>
      </c>
      <c r="O412" s="3">
        <v>1025</v>
      </c>
      <c r="P412" s="1">
        <v>0</v>
      </c>
      <c r="Q412">
        <v>1005</v>
      </c>
      <c r="R412" s="3">
        <v>1677.6</v>
      </c>
      <c r="S412" s="1">
        <v>0</v>
      </c>
    </row>
    <row r="413" spans="1:19" x14ac:dyDescent="0.2">
      <c r="A413" s="12">
        <v>316</v>
      </c>
      <c r="B413" s="12">
        <v>320</v>
      </c>
      <c r="C413" s="12">
        <v>321</v>
      </c>
      <c r="D413" s="3">
        <v>1</v>
      </c>
      <c r="E413" s="3">
        <v>1</v>
      </c>
      <c r="F413" s="3">
        <v>1</v>
      </c>
      <c r="G413" s="3">
        <v>551.6</v>
      </c>
      <c r="H413" s="13">
        <v>0.53339999999999999</v>
      </c>
      <c r="I413" s="13">
        <v>0.48899999999999999</v>
      </c>
      <c r="J413" s="16">
        <v>0</v>
      </c>
      <c r="K413" s="16">
        <v>0</v>
      </c>
      <c r="L413" s="3">
        <v>0</v>
      </c>
      <c r="M413" s="3">
        <v>0</v>
      </c>
      <c r="N413" s="3">
        <v>990</v>
      </c>
      <c r="O413" s="3">
        <v>1025</v>
      </c>
      <c r="P413" s="1">
        <v>0</v>
      </c>
      <c r="Q413">
        <v>1005</v>
      </c>
      <c r="R413" s="3">
        <v>1677.6</v>
      </c>
      <c r="S413" s="1">
        <v>0</v>
      </c>
    </row>
    <row r="414" spans="1:19" x14ac:dyDescent="0.2">
      <c r="A414" s="12">
        <v>317</v>
      </c>
      <c r="B414" s="12">
        <v>321</v>
      </c>
      <c r="C414" s="12">
        <v>322</v>
      </c>
      <c r="D414" s="3">
        <v>1</v>
      </c>
      <c r="E414" s="3">
        <v>1</v>
      </c>
      <c r="F414" s="3">
        <v>1</v>
      </c>
      <c r="G414" s="3">
        <v>551.6</v>
      </c>
      <c r="H414" s="13">
        <v>0.53339999999999999</v>
      </c>
      <c r="I414" s="13">
        <v>0.48899999999999999</v>
      </c>
      <c r="J414" s="16">
        <v>0</v>
      </c>
      <c r="K414" s="16">
        <v>0</v>
      </c>
      <c r="L414" s="3">
        <v>0</v>
      </c>
      <c r="M414" s="3">
        <v>0</v>
      </c>
      <c r="N414" s="3">
        <v>990</v>
      </c>
      <c r="O414" s="3">
        <v>1025</v>
      </c>
      <c r="P414" s="1">
        <v>0</v>
      </c>
      <c r="Q414">
        <v>1005</v>
      </c>
      <c r="R414" s="3">
        <v>1677.6</v>
      </c>
      <c r="S414" s="1">
        <v>0</v>
      </c>
    </row>
    <row r="415" spans="1:19" x14ac:dyDescent="0.2">
      <c r="A415" s="12">
        <v>318</v>
      </c>
      <c r="B415" s="12">
        <v>322</v>
      </c>
      <c r="C415" s="12">
        <v>323</v>
      </c>
      <c r="D415" s="3">
        <v>1</v>
      </c>
      <c r="E415" s="3">
        <v>1</v>
      </c>
      <c r="F415" s="3">
        <v>1</v>
      </c>
      <c r="G415" s="3">
        <v>551.6</v>
      </c>
      <c r="H415" s="13">
        <v>0.53339999999999999</v>
      </c>
      <c r="I415" s="13">
        <v>0.48899999999999999</v>
      </c>
      <c r="J415" s="16">
        <v>0</v>
      </c>
      <c r="K415" s="16">
        <v>0</v>
      </c>
      <c r="L415" s="3">
        <v>0</v>
      </c>
      <c r="M415" s="3">
        <v>0</v>
      </c>
      <c r="N415" s="3">
        <v>990</v>
      </c>
      <c r="O415" s="3">
        <v>1025</v>
      </c>
      <c r="P415" s="1">
        <v>0</v>
      </c>
      <c r="Q415">
        <v>1005</v>
      </c>
      <c r="R415" s="3">
        <v>1677.6</v>
      </c>
      <c r="S415" s="1">
        <v>0</v>
      </c>
    </row>
    <row r="416" spans="1:19" x14ac:dyDescent="0.2">
      <c r="A416" s="12">
        <v>319</v>
      </c>
      <c r="B416" s="12">
        <v>323</v>
      </c>
      <c r="C416" s="12">
        <v>324</v>
      </c>
      <c r="D416" s="3">
        <v>1</v>
      </c>
      <c r="E416" s="3">
        <v>1</v>
      </c>
      <c r="F416" s="3">
        <v>1</v>
      </c>
      <c r="G416" s="3">
        <v>551.6</v>
      </c>
      <c r="H416" s="13">
        <v>0.53339999999999999</v>
      </c>
      <c r="I416" s="13">
        <v>0.48899999999999999</v>
      </c>
      <c r="J416" s="16">
        <v>0</v>
      </c>
      <c r="K416" s="16">
        <v>0</v>
      </c>
      <c r="L416" s="3">
        <v>0</v>
      </c>
      <c r="M416" s="3">
        <v>0</v>
      </c>
      <c r="N416" s="3">
        <v>990</v>
      </c>
      <c r="O416" s="3">
        <v>1025</v>
      </c>
      <c r="P416" s="1">
        <v>0</v>
      </c>
      <c r="Q416">
        <v>1005</v>
      </c>
      <c r="R416" s="3">
        <v>1677.6</v>
      </c>
      <c r="S416" s="1">
        <v>0</v>
      </c>
    </row>
    <row r="417" spans="1:19" x14ac:dyDescent="0.2">
      <c r="A417" s="12">
        <v>320</v>
      </c>
      <c r="B417" s="12">
        <v>324</v>
      </c>
      <c r="C417" s="12">
        <v>325</v>
      </c>
      <c r="D417" s="3">
        <v>1</v>
      </c>
      <c r="E417" s="3">
        <v>1</v>
      </c>
      <c r="F417" s="3">
        <v>1</v>
      </c>
      <c r="G417" s="3">
        <v>551.6</v>
      </c>
      <c r="H417" s="13">
        <v>0.53339999999999999</v>
      </c>
      <c r="I417" s="13">
        <v>0.48899999999999999</v>
      </c>
      <c r="J417" s="16">
        <v>0</v>
      </c>
      <c r="K417" s="16">
        <v>0</v>
      </c>
      <c r="L417" s="3">
        <v>0</v>
      </c>
      <c r="M417" s="3">
        <v>0</v>
      </c>
      <c r="N417" s="3">
        <v>990</v>
      </c>
      <c r="O417" s="3">
        <v>1025</v>
      </c>
      <c r="P417" s="1">
        <v>0</v>
      </c>
      <c r="Q417">
        <v>1005</v>
      </c>
      <c r="R417" s="3">
        <v>1677.6</v>
      </c>
      <c r="S417" s="1">
        <v>0</v>
      </c>
    </row>
    <row r="418" spans="1:19" x14ac:dyDescent="0.2">
      <c r="A418" s="12">
        <v>321</v>
      </c>
      <c r="B418" s="12">
        <v>325</v>
      </c>
      <c r="C418" s="12">
        <v>326</v>
      </c>
      <c r="D418" s="3">
        <v>1</v>
      </c>
      <c r="E418" s="3">
        <v>1</v>
      </c>
      <c r="F418" s="3">
        <v>1</v>
      </c>
      <c r="G418" s="3">
        <v>551.6</v>
      </c>
      <c r="H418" s="13">
        <v>0.53339999999999999</v>
      </c>
      <c r="I418" s="13">
        <v>0.48899999999999999</v>
      </c>
      <c r="J418" s="16">
        <v>0</v>
      </c>
      <c r="K418" s="16">
        <v>0</v>
      </c>
      <c r="L418" s="3">
        <v>0</v>
      </c>
      <c r="M418" s="3">
        <v>0</v>
      </c>
      <c r="N418" s="3">
        <v>990</v>
      </c>
      <c r="O418" s="3">
        <v>1025</v>
      </c>
      <c r="P418" s="1">
        <v>0</v>
      </c>
      <c r="Q418">
        <v>1005</v>
      </c>
      <c r="R418" s="3">
        <v>1677.6</v>
      </c>
      <c r="S418" s="1">
        <v>0</v>
      </c>
    </row>
    <row r="419" spans="1:19" x14ac:dyDescent="0.2">
      <c r="A419" s="12">
        <v>322</v>
      </c>
      <c r="B419" s="12">
        <v>326</v>
      </c>
      <c r="C419" s="12">
        <v>327</v>
      </c>
      <c r="D419" s="3">
        <v>1</v>
      </c>
      <c r="E419" s="3">
        <v>1</v>
      </c>
      <c r="F419" s="3">
        <v>1</v>
      </c>
      <c r="G419" s="3">
        <v>551.6</v>
      </c>
      <c r="H419" s="13">
        <v>0.53339999999999999</v>
      </c>
      <c r="I419" s="13">
        <v>0.48899999999999999</v>
      </c>
      <c r="J419" s="16">
        <v>0</v>
      </c>
      <c r="K419" s="16">
        <v>0</v>
      </c>
      <c r="L419" s="3">
        <v>0</v>
      </c>
      <c r="M419" s="3">
        <v>0</v>
      </c>
      <c r="N419" s="3">
        <v>990</v>
      </c>
      <c r="O419" s="3">
        <v>1025</v>
      </c>
      <c r="P419" s="1">
        <v>0</v>
      </c>
      <c r="Q419">
        <v>1005</v>
      </c>
      <c r="R419" s="3">
        <v>1677.6</v>
      </c>
      <c r="S419" s="1">
        <v>0</v>
      </c>
    </row>
    <row r="420" spans="1:19" x14ac:dyDescent="0.2">
      <c r="A420" s="12">
        <v>323</v>
      </c>
      <c r="B420" s="12">
        <v>327</v>
      </c>
      <c r="C420" s="12">
        <v>328</v>
      </c>
      <c r="D420" s="3">
        <v>1</v>
      </c>
      <c r="E420" s="3">
        <v>1</v>
      </c>
      <c r="F420" s="3">
        <v>1</v>
      </c>
      <c r="G420" s="3">
        <v>551.6</v>
      </c>
      <c r="H420" s="13">
        <v>0.53339999999999999</v>
      </c>
      <c r="I420" s="13">
        <v>0.48899999999999999</v>
      </c>
      <c r="J420" s="16">
        <v>0</v>
      </c>
      <c r="K420" s="16">
        <v>0</v>
      </c>
      <c r="L420" s="3">
        <v>0</v>
      </c>
      <c r="M420" s="3">
        <v>0</v>
      </c>
      <c r="N420" s="3">
        <v>990</v>
      </c>
      <c r="O420" s="3">
        <v>1025</v>
      </c>
      <c r="P420" s="1">
        <v>0</v>
      </c>
      <c r="Q420">
        <v>1005</v>
      </c>
      <c r="R420" s="3">
        <v>1677.6</v>
      </c>
      <c r="S420" s="1">
        <v>0</v>
      </c>
    </row>
    <row r="421" spans="1:19" x14ac:dyDescent="0.2">
      <c r="A421" s="12">
        <v>324</v>
      </c>
      <c r="B421" s="12">
        <v>328</v>
      </c>
      <c r="C421" s="12">
        <v>329</v>
      </c>
      <c r="D421" s="3">
        <v>1</v>
      </c>
      <c r="E421" s="3">
        <v>1</v>
      </c>
      <c r="F421" s="3">
        <v>1</v>
      </c>
      <c r="G421" s="3">
        <v>551.6</v>
      </c>
      <c r="H421" s="13">
        <v>0.53339999999999999</v>
      </c>
      <c r="I421" s="13">
        <v>0.48899999999999999</v>
      </c>
      <c r="J421" s="16">
        <v>0</v>
      </c>
      <c r="K421" s="16">
        <v>0</v>
      </c>
      <c r="L421" s="3">
        <v>0</v>
      </c>
      <c r="M421" s="3">
        <v>0</v>
      </c>
      <c r="N421" s="3">
        <v>990</v>
      </c>
      <c r="O421" s="3">
        <v>1025</v>
      </c>
      <c r="P421" s="1">
        <v>0</v>
      </c>
      <c r="Q421">
        <v>1005</v>
      </c>
      <c r="R421" s="3">
        <v>1677.6</v>
      </c>
      <c r="S421" s="1">
        <v>0</v>
      </c>
    </row>
    <row r="422" spans="1:19" x14ac:dyDescent="0.2">
      <c r="A422" s="12">
        <v>325</v>
      </c>
      <c r="B422" s="12">
        <v>329</v>
      </c>
      <c r="C422" s="12">
        <v>330</v>
      </c>
      <c r="D422" s="3">
        <v>1</v>
      </c>
      <c r="E422" s="3">
        <v>1</v>
      </c>
      <c r="F422" s="3">
        <v>1</v>
      </c>
      <c r="G422" s="3">
        <v>551.6</v>
      </c>
      <c r="H422" s="13">
        <v>0.53339999999999999</v>
      </c>
      <c r="I422" s="13">
        <v>0.48899999999999999</v>
      </c>
      <c r="J422" s="16">
        <v>0</v>
      </c>
      <c r="K422" s="16">
        <v>0</v>
      </c>
      <c r="L422" s="3">
        <v>0</v>
      </c>
      <c r="M422" s="3">
        <v>0</v>
      </c>
      <c r="N422" s="3">
        <v>990</v>
      </c>
      <c r="O422" s="3">
        <v>1025</v>
      </c>
      <c r="P422" s="1">
        <v>0</v>
      </c>
      <c r="Q422">
        <v>1005</v>
      </c>
      <c r="R422" s="3">
        <v>1677.6</v>
      </c>
      <c r="S422" s="1">
        <v>0</v>
      </c>
    </row>
    <row r="423" spans="1:19" x14ac:dyDescent="0.2">
      <c r="A423" s="12">
        <v>326</v>
      </c>
      <c r="B423" s="12">
        <v>330</v>
      </c>
      <c r="C423" s="12">
        <v>331</v>
      </c>
      <c r="D423" s="3">
        <v>1</v>
      </c>
      <c r="E423" s="3">
        <v>1</v>
      </c>
      <c r="F423" s="3">
        <v>1</v>
      </c>
      <c r="G423" s="3">
        <v>551.6</v>
      </c>
      <c r="H423" s="13">
        <v>0.53339999999999999</v>
      </c>
      <c r="I423" s="13">
        <v>0.48899999999999999</v>
      </c>
      <c r="J423" s="16">
        <v>0</v>
      </c>
      <c r="K423" s="16">
        <v>0</v>
      </c>
      <c r="L423" s="3">
        <v>0</v>
      </c>
      <c r="M423" s="3">
        <v>0</v>
      </c>
      <c r="N423" s="3">
        <v>990</v>
      </c>
      <c r="O423" s="3">
        <v>1025</v>
      </c>
      <c r="P423" s="1">
        <v>0</v>
      </c>
      <c r="Q423">
        <v>1005</v>
      </c>
      <c r="R423" s="3">
        <v>1677.6</v>
      </c>
      <c r="S423" s="1">
        <v>0</v>
      </c>
    </row>
    <row r="424" spans="1:19" x14ac:dyDescent="0.2">
      <c r="A424" s="12">
        <v>327</v>
      </c>
      <c r="B424" s="12">
        <v>331</v>
      </c>
      <c r="C424" s="12">
        <v>332</v>
      </c>
      <c r="D424" s="3">
        <v>1</v>
      </c>
      <c r="E424" s="3">
        <v>1</v>
      </c>
      <c r="F424" s="3">
        <v>1</v>
      </c>
      <c r="G424" s="3">
        <v>551.6</v>
      </c>
      <c r="H424" s="13">
        <v>0.53339999999999999</v>
      </c>
      <c r="I424" s="13">
        <v>0.48899999999999999</v>
      </c>
      <c r="J424" s="16">
        <v>0</v>
      </c>
      <c r="K424" s="16">
        <v>0</v>
      </c>
      <c r="L424" s="3">
        <v>0</v>
      </c>
      <c r="M424" s="3">
        <v>0</v>
      </c>
      <c r="N424" s="3">
        <v>990</v>
      </c>
      <c r="O424" s="3">
        <v>1025</v>
      </c>
      <c r="P424" s="1">
        <v>0</v>
      </c>
      <c r="Q424">
        <v>1005</v>
      </c>
      <c r="R424" s="3">
        <v>1677.6</v>
      </c>
      <c r="S424" s="1">
        <v>0</v>
      </c>
    </row>
    <row r="425" spans="1:19" x14ac:dyDescent="0.2">
      <c r="A425" s="12">
        <v>328</v>
      </c>
      <c r="B425" s="12">
        <v>332</v>
      </c>
      <c r="C425" s="12">
        <v>333</v>
      </c>
      <c r="D425" s="3">
        <v>1</v>
      </c>
      <c r="E425" s="3">
        <v>1</v>
      </c>
      <c r="F425" s="3">
        <v>1</v>
      </c>
      <c r="G425" s="3">
        <v>551.6</v>
      </c>
      <c r="H425" s="13">
        <v>0.53339999999999999</v>
      </c>
      <c r="I425" s="13">
        <v>0.48899999999999999</v>
      </c>
      <c r="J425" s="16">
        <v>0</v>
      </c>
      <c r="K425" s="16">
        <v>0</v>
      </c>
      <c r="L425" s="3">
        <v>0</v>
      </c>
      <c r="M425" s="3">
        <v>0</v>
      </c>
      <c r="N425" s="3">
        <v>990</v>
      </c>
      <c r="O425" s="3">
        <v>1025</v>
      </c>
      <c r="P425" s="1">
        <v>0</v>
      </c>
      <c r="Q425">
        <v>1005</v>
      </c>
      <c r="R425" s="3">
        <v>1677.6</v>
      </c>
      <c r="S425" s="1">
        <v>0</v>
      </c>
    </row>
    <row r="426" spans="1:19" x14ac:dyDescent="0.2">
      <c r="A426" s="12">
        <v>329</v>
      </c>
      <c r="B426" s="12">
        <v>333</v>
      </c>
      <c r="C426" s="12">
        <v>334</v>
      </c>
      <c r="D426" s="3">
        <v>1</v>
      </c>
      <c r="E426" s="3">
        <v>1</v>
      </c>
      <c r="F426" s="3">
        <v>1</v>
      </c>
      <c r="G426" s="3">
        <v>551.6</v>
      </c>
      <c r="H426" s="13">
        <v>0.53339999999999999</v>
      </c>
      <c r="I426" s="13">
        <v>0.48899999999999999</v>
      </c>
      <c r="J426" s="16">
        <v>0</v>
      </c>
      <c r="K426" s="16">
        <v>0</v>
      </c>
      <c r="L426" s="3">
        <v>0</v>
      </c>
      <c r="M426" s="3">
        <v>0</v>
      </c>
      <c r="N426" s="3">
        <v>990</v>
      </c>
      <c r="O426" s="3">
        <v>1025</v>
      </c>
      <c r="P426" s="1">
        <v>0</v>
      </c>
      <c r="Q426">
        <v>1005</v>
      </c>
      <c r="R426" s="3">
        <v>1677.6</v>
      </c>
      <c r="S426" s="1">
        <v>0</v>
      </c>
    </row>
    <row r="427" spans="1:19" x14ac:dyDescent="0.2">
      <c r="A427" s="12">
        <v>330</v>
      </c>
      <c r="B427" s="12">
        <v>334</v>
      </c>
      <c r="C427" s="12">
        <v>335</v>
      </c>
      <c r="D427" s="3">
        <v>1</v>
      </c>
      <c r="E427" s="3">
        <v>1</v>
      </c>
      <c r="F427" s="3">
        <v>1</v>
      </c>
      <c r="G427" s="3">
        <v>551.6</v>
      </c>
      <c r="H427" s="13">
        <v>0.53339999999999999</v>
      </c>
      <c r="I427" s="13">
        <v>0.48899999999999999</v>
      </c>
      <c r="J427" s="16">
        <v>0</v>
      </c>
      <c r="K427" s="16">
        <v>0</v>
      </c>
      <c r="L427" s="3">
        <v>0</v>
      </c>
      <c r="M427" s="3">
        <v>0</v>
      </c>
      <c r="N427" s="3">
        <v>990</v>
      </c>
      <c r="O427" s="3">
        <v>1025</v>
      </c>
      <c r="P427" s="1">
        <v>0</v>
      </c>
      <c r="Q427">
        <v>1005</v>
      </c>
      <c r="R427" s="3">
        <v>1677.6</v>
      </c>
      <c r="S427" s="1">
        <v>0</v>
      </c>
    </row>
    <row r="428" spans="1:19" x14ac:dyDescent="0.2">
      <c r="A428" s="12">
        <v>331</v>
      </c>
      <c r="B428" s="12">
        <v>335</v>
      </c>
      <c r="C428" s="12">
        <v>336</v>
      </c>
      <c r="D428" s="3">
        <v>1</v>
      </c>
      <c r="E428" s="3">
        <v>1</v>
      </c>
      <c r="F428" s="3">
        <v>1</v>
      </c>
      <c r="G428" s="3">
        <v>551.6</v>
      </c>
      <c r="H428" s="13">
        <v>0.53339999999999999</v>
      </c>
      <c r="I428" s="13">
        <v>0.48899999999999999</v>
      </c>
      <c r="J428" s="16">
        <v>0</v>
      </c>
      <c r="K428" s="16">
        <v>0</v>
      </c>
      <c r="L428" s="3">
        <v>0</v>
      </c>
      <c r="M428" s="3">
        <v>0</v>
      </c>
      <c r="N428" s="3">
        <v>990</v>
      </c>
      <c r="O428" s="3">
        <v>1025</v>
      </c>
      <c r="P428" s="1">
        <v>0</v>
      </c>
      <c r="Q428">
        <v>1005</v>
      </c>
      <c r="R428" s="3">
        <v>1677.6</v>
      </c>
      <c r="S428" s="1">
        <v>0</v>
      </c>
    </row>
    <row r="429" spans="1:19" x14ac:dyDescent="0.2">
      <c r="A429" s="12">
        <v>332</v>
      </c>
      <c r="B429" s="12">
        <v>336</v>
      </c>
      <c r="C429" s="12">
        <v>337</v>
      </c>
      <c r="D429" s="3">
        <v>1</v>
      </c>
      <c r="E429" s="3">
        <v>1</v>
      </c>
      <c r="F429" s="3">
        <v>1</v>
      </c>
      <c r="G429" s="3">
        <v>551.6</v>
      </c>
      <c r="H429" s="13">
        <v>0.53339999999999999</v>
      </c>
      <c r="I429" s="13">
        <v>0.48899999999999999</v>
      </c>
      <c r="J429" s="16">
        <v>0</v>
      </c>
      <c r="K429" s="16">
        <v>0</v>
      </c>
      <c r="L429" s="3">
        <v>0</v>
      </c>
      <c r="M429" s="3">
        <v>0</v>
      </c>
      <c r="N429" s="3">
        <v>990</v>
      </c>
      <c r="O429" s="3">
        <v>1025</v>
      </c>
      <c r="P429" s="1">
        <v>0</v>
      </c>
      <c r="Q429">
        <v>1005</v>
      </c>
      <c r="R429" s="3">
        <v>1677.6</v>
      </c>
      <c r="S429" s="1">
        <v>0</v>
      </c>
    </row>
    <row r="430" spans="1:19" x14ac:dyDescent="0.2">
      <c r="A430" s="12">
        <v>333</v>
      </c>
      <c r="B430" s="12">
        <v>337</v>
      </c>
      <c r="C430" s="12">
        <v>338</v>
      </c>
      <c r="D430" s="3">
        <v>1</v>
      </c>
      <c r="E430" s="3">
        <v>1</v>
      </c>
      <c r="F430" s="3">
        <v>1</v>
      </c>
      <c r="G430" s="3">
        <v>551.6</v>
      </c>
      <c r="H430" s="13">
        <v>0.53339999999999999</v>
      </c>
      <c r="I430" s="13">
        <v>0.48899999999999999</v>
      </c>
      <c r="J430" s="16">
        <v>0</v>
      </c>
      <c r="K430" s="16">
        <v>0</v>
      </c>
      <c r="L430" s="3">
        <v>0</v>
      </c>
      <c r="M430" s="3">
        <v>0</v>
      </c>
      <c r="N430" s="3">
        <v>990</v>
      </c>
      <c r="O430" s="3">
        <v>1025</v>
      </c>
      <c r="P430" s="1">
        <v>0</v>
      </c>
      <c r="Q430">
        <v>1005</v>
      </c>
      <c r="R430" s="3">
        <v>1677.6</v>
      </c>
      <c r="S430" s="1">
        <v>0</v>
      </c>
    </row>
    <row r="431" spans="1:19" x14ac:dyDescent="0.2">
      <c r="A431" s="12">
        <v>334</v>
      </c>
      <c r="B431" s="12">
        <v>338</v>
      </c>
      <c r="C431" s="12">
        <v>339</v>
      </c>
      <c r="D431" s="3">
        <v>1</v>
      </c>
      <c r="E431" s="3">
        <v>1</v>
      </c>
      <c r="F431" s="3">
        <v>1</v>
      </c>
      <c r="G431" s="3">
        <v>551.6</v>
      </c>
      <c r="H431" s="13">
        <v>0.53339999999999999</v>
      </c>
      <c r="I431" s="13">
        <v>0.48899999999999999</v>
      </c>
      <c r="J431" s="16">
        <v>0</v>
      </c>
      <c r="K431" s="16">
        <v>0</v>
      </c>
      <c r="L431" s="3">
        <v>0</v>
      </c>
      <c r="M431" s="3">
        <v>0</v>
      </c>
      <c r="N431" s="3">
        <v>990</v>
      </c>
      <c r="O431" s="3">
        <v>1025</v>
      </c>
      <c r="P431" s="1">
        <v>0</v>
      </c>
      <c r="Q431">
        <v>1005</v>
      </c>
      <c r="R431" s="3">
        <v>1677.6</v>
      </c>
      <c r="S431" s="1">
        <v>0</v>
      </c>
    </row>
    <row r="432" spans="1:19" x14ac:dyDescent="0.2">
      <c r="A432" s="12">
        <v>335</v>
      </c>
      <c r="B432" s="12">
        <v>339</v>
      </c>
      <c r="C432" s="12">
        <v>340</v>
      </c>
      <c r="D432" s="3">
        <v>1</v>
      </c>
      <c r="E432" s="3">
        <v>1</v>
      </c>
      <c r="F432" s="3">
        <v>1</v>
      </c>
      <c r="G432" s="3">
        <v>551.6</v>
      </c>
      <c r="H432" s="13">
        <v>0.53339999999999999</v>
      </c>
      <c r="I432" s="13">
        <v>0.48899999999999999</v>
      </c>
      <c r="J432" s="16">
        <v>0</v>
      </c>
      <c r="K432" s="16">
        <v>0</v>
      </c>
      <c r="L432" s="3">
        <v>0</v>
      </c>
      <c r="M432" s="3">
        <v>0</v>
      </c>
      <c r="N432" s="3">
        <v>990</v>
      </c>
      <c r="O432" s="3">
        <v>1025</v>
      </c>
      <c r="P432" s="1">
        <v>0</v>
      </c>
      <c r="Q432">
        <v>1005</v>
      </c>
      <c r="R432" s="3">
        <v>1677.6</v>
      </c>
      <c r="S432" s="1">
        <v>0</v>
      </c>
    </row>
    <row r="433" spans="1:19" x14ac:dyDescent="0.2">
      <c r="A433" s="12">
        <v>336</v>
      </c>
      <c r="B433" s="12">
        <v>340</v>
      </c>
      <c r="C433" s="12">
        <v>341</v>
      </c>
      <c r="D433" s="3">
        <v>1</v>
      </c>
      <c r="E433" s="3">
        <v>1</v>
      </c>
      <c r="F433" s="3">
        <v>1</v>
      </c>
      <c r="G433" s="3">
        <v>551.6</v>
      </c>
      <c r="H433" s="13">
        <v>0.53339999999999999</v>
      </c>
      <c r="I433" s="13">
        <v>0.48899999999999999</v>
      </c>
      <c r="J433" s="16">
        <v>0</v>
      </c>
      <c r="K433" s="16">
        <v>0</v>
      </c>
      <c r="L433" s="3">
        <v>0</v>
      </c>
      <c r="M433" s="3">
        <v>0</v>
      </c>
      <c r="N433" s="3">
        <v>990</v>
      </c>
      <c r="O433" s="3">
        <v>1025</v>
      </c>
      <c r="P433" s="1">
        <v>0</v>
      </c>
      <c r="Q433">
        <v>1005</v>
      </c>
      <c r="R433" s="3">
        <v>1677.6</v>
      </c>
      <c r="S433" s="1">
        <v>0</v>
      </c>
    </row>
    <row r="434" spans="1:19" x14ac:dyDescent="0.2">
      <c r="A434" s="12">
        <v>337</v>
      </c>
      <c r="B434" s="12">
        <v>341</v>
      </c>
      <c r="C434" s="12">
        <v>342</v>
      </c>
      <c r="D434" s="3">
        <v>1</v>
      </c>
      <c r="E434" s="3">
        <v>1</v>
      </c>
      <c r="F434" s="3">
        <v>1</v>
      </c>
      <c r="G434" s="3">
        <v>551.6</v>
      </c>
      <c r="H434" s="13">
        <v>0.53339999999999999</v>
      </c>
      <c r="I434" s="13">
        <v>0.48899999999999999</v>
      </c>
      <c r="J434" s="16">
        <v>0</v>
      </c>
      <c r="K434" s="16">
        <v>0</v>
      </c>
      <c r="L434" s="3">
        <v>0</v>
      </c>
      <c r="M434" s="3">
        <v>0</v>
      </c>
      <c r="N434" s="3">
        <v>990</v>
      </c>
      <c r="O434" s="3">
        <v>1025</v>
      </c>
      <c r="P434" s="1">
        <v>0</v>
      </c>
      <c r="Q434">
        <v>1005</v>
      </c>
      <c r="R434" s="3">
        <v>1677.6</v>
      </c>
      <c r="S434" s="1">
        <v>0</v>
      </c>
    </row>
    <row r="435" spans="1:19" x14ac:dyDescent="0.2">
      <c r="A435" s="12">
        <v>338</v>
      </c>
      <c r="B435" s="12">
        <v>342</v>
      </c>
      <c r="C435" s="12">
        <v>343</v>
      </c>
      <c r="D435" s="3">
        <v>1</v>
      </c>
      <c r="E435" s="3">
        <v>1</v>
      </c>
      <c r="F435" s="3">
        <v>1</v>
      </c>
      <c r="G435" s="3">
        <v>551.6</v>
      </c>
      <c r="H435" s="13">
        <v>0.53339999999999999</v>
      </c>
      <c r="I435" s="13">
        <v>0.48899999999999999</v>
      </c>
      <c r="J435" s="16">
        <v>0</v>
      </c>
      <c r="K435" s="16">
        <v>0</v>
      </c>
      <c r="L435" s="3">
        <v>0</v>
      </c>
      <c r="M435" s="3">
        <v>0</v>
      </c>
      <c r="N435" s="3">
        <v>990</v>
      </c>
      <c r="O435" s="3">
        <v>1025</v>
      </c>
      <c r="P435" s="1">
        <v>0</v>
      </c>
      <c r="Q435">
        <v>1005</v>
      </c>
      <c r="R435" s="3">
        <v>1677.6</v>
      </c>
      <c r="S435" s="1">
        <v>0</v>
      </c>
    </row>
    <row r="436" spans="1:19" x14ac:dyDescent="0.2">
      <c r="A436" s="12">
        <v>339</v>
      </c>
      <c r="B436" s="12">
        <v>343</v>
      </c>
      <c r="C436" s="12">
        <v>344</v>
      </c>
      <c r="D436" s="3">
        <v>1</v>
      </c>
      <c r="E436" s="3">
        <v>1</v>
      </c>
      <c r="F436" s="3">
        <v>1</v>
      </c>
      <c r="G436" s="3">
        <v>551.6</v>
      </c>
      <c r="H436" s="13">
        <v>0.53339999999999999</v>
      </c>
      <c r="I436" s="13">
        <v>0.48899999999999999</v>
      </c>
      <c r="J436" s="16">
        <v>0</v>
      </c>
      <c r="K436" s="16">
        <v>0</v>
      </c>
      <c r="L436" s="3">
        <v>0</v>
      </c>
      <c r="M436" s="3">
        <v>0</v>
      </c>
      <c r="N436" s="3">
        <v>990</v>
      </c>
      <c r="O436" s="3">
        <v>1025</v>
      </c>
      <c r="P436" s="1">
        <v>0</v>
      </c>
      <c r="Q436">
        <v>1005</v>
      </c>
      <c r="R436" s="3">
        <v>1677.6</v>
      </c>
      <c r="S436" s="1">
        <v>0</v>
      </c>
    </row>
    <row r="437" spans="1:19" x14ac:dyDescent="0.2">
      <c r="A437" s="12">
        <v>340</v>
      </c>
      <c r="B437" s="12">
        <v>344</v>
      </c>
      <c r="C437" s="12">
        <v>345</v>
      </c>
      <c r="D437" s="3">
        <v>1</v>
      </c>
      <c r="E437" s="3">
        <v>1</v>
      </c>
      <c r="F437" s="3">
        <v>1</v>
      </c>
      <c r="G437" s="3">
        <v>551.6</v>
      </c>
      <c r="H437" s="13">
        <v>0.53339999999999999</v>
      </c>
      <c r="I437" s="13">
        <v>0.48899999999999999</v>
      </c>
      <c r="J437" s="16">
        <v>0</v>
      </c>
      <c r="K437" s="16">
        <v>0</v>
      </c>
      <c r="L437" s="3">
        <v>0</v>
      </c>
      <c r="M437" s="3">
        <v>0</v>
      </c>
      <c r="N437" s="3">
        <v>990</v>
      </c>
      <c r="O437" s="3">
        <v>1025</v>
      </c>
      <c r="P437" s="1">
        <v>0</v>
      </c>
      <c r="Q437">
        <v>1005</v>
      </c>
      <c r="R437" s="3">
        <v>1677.6</v>
      </c>
      <c r="S437" s="1">
        <v>0</v>
      </c>
    </row>
    <row r="438" spans="1:19" x14ac:dyDescent="0.2">
      <c r="A438" s="12">
        <v>341</v>
      </c>
      <c r="B438" s="12">
        <v>345</v>
      </c>
      <c r="C438" s="12">
        <v>346</v>
      </c>
      <c r="D438" s="3">
        <v>1</v>
      </c>
      <c r="E438" s="3">
        <v>1</v>
      </c>
      <c r="F438" s="3">
        <v>1</v>
      </c>
      <c r="G438" s="3">
        <v>551.6</v>
      </c>
      <c r="H438" s="13">
        <v>0.53339999999999999</v>
      </c>
      <c r="I438" s="13">
        <v>0.48899999999999999</v>
      </c>
      <c r="J438" s="16">
        <v>0</v>
      </c>
      <c r="K438" s="16">
        <v>0</v>
      </c>
      <c r="L438" s="3">
        <v>0</v>
      </c>
      <c r="M438" s="3">
        <v>0</v>
      </c>
      <c r="N438" s="3">
        <v>990</v>
      </c>
      <c r="O438" s="3">
        <v>1025</v>
      </c>
      <c r="P438" s="1">
        <v>0</v>
      </c>
      <c r="Q438">
        <v>1005</v>
      </c>
      <c r="R438" s="3">
        <v>1677.6</v>
      </c>
      <c r="S438" s="1">
        <v>0</v>
      </c>
    </row>
    <row r="439" spans="1:19" x14ac:dyDescent="0.2">
      <c r="A439" s="12">
        <v>342</v>
      </c>
      <c r="B439" s="12">
        <v>346</v>
      </c>
      <c r="C439" s="12">
        <v>347</v>
      </c>
      <c r="D439" s="3">
        <v>1</v>
      </c>
      <c r="E439" s="3">
        <v>1</v>
      </c>
      <c r="F439" s="3">
        <v>1</v>
      </c>
      <c r="G439" s="3">
        <v>551.6</v>
      </c>
      <c r="H439" s="13">
        <v>0.53339999999999999</v>
      </c>
      <c r="I439" s="13">
        <v>0.48899999999999999</v>
      </c>
      <c r="J439" s="16">
        <v>0</v>
      </c>
      <c r="K439" s="16">
        <v>0</v>
      </c>
      <c r="L439" s="3">
        <v>0</v>
      </c>
      <c r="M439" s="3">
        <v>0</v>
      </c>
      <c r="N439" s="3">
        <v>990</v>
      </c>
      <c r="O439" s="3">
        <v>1025</v>
      </c>
      <c r="P439" s="1">
        <v>0</v>
      </c>
      <c r="Q439">
        <v>1005</v>
      </c>
      <c r="R439" s="3">
        <v>1677.6</v>
      </c>
      <c r="S439" s="1">
        <v>0</v>
      </c>
    </row>
    <row r="440" spans="1:19" x14ac:dyDescent="0.2">
      <c r="A440" s="12">
        <v>343</v>
      </c>
      <c r="B440" s="12">
        <v>347</v>
      </c>
      <c r="C440" s="12">
        <v>348</v>
      </c>
      <c r="D440" s="3">
        <v>1</v>
      </c>
      <c r="E440" s="3">
        <v>1</v>
      </c>
      <c r="F440" s="3">
        <v>1</v>
      </c>
      <c r="G440" s="3">
        <v>551.6</v>
      </c>
      <c r="H440" s="13">
        <v>0.53339999999999999</v>
      </c>
      <c r="I440" s="13">
        <v>0.48899999999999999</v>
      </c>
      <c r="J440" s="16">
        <v>0</v>
      </c>
      <c r="K440" s="16">
        <v>0</v>
      </c>
      <c r="L440" s="3">
        <v>0</v>
      </c>
      <c r="M440" s="3">
        <v>0</v>
      </c>
      <c r="N440" s="3">
        <v>990</v>
      </c>
      <c r="O440" s="3">
        <v>1025</v>
      </c>
      <c r="P440" s="1">
        <v>0</v>
      </c>
      <c r="Q440">
        <v>1005</v>
      </c>
      <c r="R440" s="3">
        <v>1677.6</v>
      </c>
      <c r="S440" s="1">
        <v>0</v>
      </c>
    </row>
    <row r="441" spans="1:19" x14ac:dyDescent="0.2">
      <c r="A441" s="12">
        <v>344</v>
      </c>
      <c r="B441" s="12">
        <v>348</v>
      </c>
      <c r="C441" s="12">
        <v>349</v>
      </c>
      <c r="D441" s="3">
        <v>1</v>
      </c>
      <c r="E441" s="3">
        <v>1</v>
      </c>
      <c r="F441" s="3">
        <v>1</v>
      </c>
      <c r="G441" s="3">
        <v>551.6</v>
      </c>
      <c r="H441" s="13">
        <v>0.53339999999999999</v>
      </c>
      <c r="I441" s="13">
        <v>0.48899999999999999</v>
      </c>
      <c r="J441" s="16">
        <v>0</v>
      </c>
      <c r="K441" s="16">
        <v>0</v>
      </c>
      <c r="L441" s="3">
        <v>0</v>
      </c>
      <c r="M441" s="3">
        <v>0</v>
      </c>
      <c r="N441" s="3">
        <v>990</v>
      </c>
      <c r="O441" s="3">
        <v>1025</v>
      </c>
      <c r="P441" s="1">
        <v>0</v>
      </c>
      <c r="Q441">
        <v>1005</v>
      </c>
      <c r="R441" s="3">
        <v>1677.6</v>
      </c>
      <c r="S441" s="1">
        <v>0</v>
      </c>
    </row>
    <row r="442" spans="1:19" x14ac:dyDescent="0.2">
      <c r="A442" s="12">
        <v>345</v>
      </c>
      <c r="B442" s="12">
        <v>349</v>
      </c>
      <c r="C442" s="12">
        <v>350</v>
      </c>
      <c r="D442" s="3">
        <v>1</v>
      </c>
      <c r="E442" s="3">
        <v>1</v>
      </c>
      <c r="F442" s="3">
        <v>1</v>
      </c>
      <c r="G442" s="3">
        <v>551.6</v>
      </c>
      <c r="H442" s="13">
        <v>0.53339999999999999</v>
      </c>
      <c r="I442" s="13">
        <v>0.48899999999999999</v>
      </c>
      <c r="J442" s="16">
        <v>0</v>
      </c>
      <c r="K442" s="16">
        <v>0</v>
      </c>
      <c r="L442" s="3">
        <v>0</v>
      </c>
      <c r="M442" s="3">
        <v>0</v>
      </c>
      <c r="N442" s="3">
        <v>990</v>
      </c>
      <c r="O442" s="3">
        <v>1025</v>
      </c>
      <c r="P442" s="1">
        <v>0</v>
      </c>
      <c r="Q442">
        <v>1005</v>
      </c>
      <c r="R442" s="3">
        <v>1677.6</v>
      </c>
      <c r="S442" s="1">
        <v>0</v>
      </c>
    </row>
    <row r="443" spans="1:19" x14ac:dyDescent="0.2">
      <c r="A443" s="12">
        <v>346</v>
      </c>
      <c r="B443" s="12">
        <v>350</v>
      </c>
      <c r="C443" s="12">
        <v>351</v>
      </c>
      <c r="D443" s="3">
        <v>1</v>
      </c>
      <c r="E443" s="3">
        <v>1</v>
      </c>
      <c r="F443" s="3">
        <v>1</v>
      </c>
      <c r="G443" s="3">
        <v>551.6</v>
      </c>
      <c r="H443" s="13">
        <v>0.53339999999999999</v>
      </c>
      <c r="I443" s="13">
        <v>0.48899999999999999</v>
      </c>
      <c r="J443" s="16">
        <v>0</v>
      </c>
      <c r="K443" s="16">
        <v>0</v>
      </c>
      <c r="L443" s="3">
        <v>0</v>
      </c>
      <c r="M443" s="3">
        <v>0</v>
      </c>
      <c r="N443" s="3">
        <v>990</v>
      </c>
      <c r="O443" s="3">
        <v>1025</v>
      </c>
      <c r="P443" s="1">
        <v>0</v>
      </c>
      <c r="Q443">
        <v>1005</v>
      </c>
      <c r="R443" s="3">
        <v>1677.6</v>
      </c>
      <c r="S443" s="1">
        <v>0</v>
      </c>
    </row>
    <row r="444" spans="1:19" x14ac:dyDescent="0.2">
      <c r="A444" s="12">
        <v>347</v>
      </c>
      <c r="B444" s="12">
        <v>351</v>
      </c>
      <c r="C444" s="12">
        <v>352</v>
      </c>
      <c r="D444" s="3">
        <v>1</v>
      </c>
      <c r="E444" s="3">
        <v>1</v>
      </c>
      <c r="F444" s="3">
        <v>1</v>
      </c>
      <c r="G444" s="3">
        <v>551.6</v>
      </c>
      <c r="H444" s="13">
        <v>0.53339999999999999</v>
      </c>
      <c r="I444" s="13">
        <v>0.48899999999999999</v>
      </c>
      <c r="J444" s="16">
        <v>0</v>
      </c>
      <c r="K444" s="16">
        <v>0</v>
      </c>
      <c r="L444" s="3">
        <v>0</v>
      </c>
      <c r="M444" s="3">
        <v>0</v>
      </c>
      <c r="N444" s="3">
        <v>990</v>
      </c>
      <c r="O444" s="3">
        <v>1025</v>
      </c>
      <c r="P444" s="1">
        <v>0</v>
      </c>
      <c r="Q444">
        <v>1005</v>
      </c>
      <c r="R444" s="3">
        <v>1677.6</v>
      </c>
      <c r="S444" s="1">
        <v>0</v>
      </c>
    </row>
    <row r="445" spans="1:19" x14ac:dyDescent="0.2">
      <c r="A445" s="12">
        <v>348</v>
      </c>
      <c r="B445" s="12">
        <v>352</v>
      </c>
      <c r="C445" s="12">
        <v>353</v>
      </c>
      <c r="D445" s="3">
        <v>1</v>
      </c>
      <c r="E445" s="3">
        <v>1</v>
      </c>
      <c r="F445" s="3">
        <v>1</v>
      </c>
      <c r="G445" s="3">
        <v>551.6</v>
      </c>
      <c r="H445" s="13">
        <v>0.53339999999999999</v>
      </c>
      <c r="I445" s="13">
        <v>0.48899999999999999</v>
      </c>
      <c r="J445" s="16">
        <v>0</v>
      </c>
      <c r="K445" s="16">
        <v>0</v>
      </c>
      <c r="L445" s="3">
        <v>0</v>
      </c>
      <c r="M445" s="3">
        <v>0</v>
      </c>
      <c r="N445" s="3">
        <v>990</v>
      </c>
      <c r="O445" s="3">
        <v>1025</v>
      </c>
      <c r="P445" s="1">
        <v>0</v>
      </c>
      <c r="Q445">
        <v>1005</v>
      </c>
      <c r="R445" s="3">
        <v>1677.6</v>
      </c>
      <c r="S445" s="1">
        <v>0</v>
      </c>
    </row>
    <row r="446" spans="1:19" x14ac:dyDescent="0.2">
      <c r="A446" s="12">
        <v>349</v>
      </c>
      <c r="B446" s="12">
        <v>353</v>
      </c>
      <c r="C446" s="12">
        <v>354</v>
      </c>
      <c r="D446" s="3">
        <v>1</v>
      </c>
      <c r="E446" s="3">
        <v>1</v>
      </c>
      <c r="F446" s="3">
        <v>1</v>
      </c>
      <c r="G446" s="3">
        <v>551.6</v>
      </c>
      <c r="H446" s="13">
        <v>0.53339999999999999</v>
      </c>
      <c r="I446" s="13">
        <v>0.48899999999999999</v>
      </c>
      <c r="J446" s="16">
        <v>0</v>
      </c>
      <c r="K446" s="16">
        <v>0</v>
      </c>
      <c r="L446" s="3">
        <v>0</v>
      </c>
      <c r="M446" s="3">
        <v>0</v>
      </c>
      <c r="N446" s="3">
        <v>990</v>
      </c>
      <c r="O446" s="3">
        <v>1025</v>
      </c>
      <c r="P446" s="1">
        <v>0</v>
      </c>
      <c r="Q446">
        <v>1005</v>
      </c>
      <c r="R446" s="3">
        <v>1677.6</v>
      </c>
      <c r="S446" s="1">
        <v>0</v>
      </c>
    </row>
    <row r="447" spans="1:19" x14ac:dyDescent="0.2">
      <c r="A447" s="12">
        <v>350</v>
      </c>
      <c r="B447" s="12">
        <v>354</v>
      </c>
      <c r="C447" s="12">
        <v>355</v>
      </c>
      <c r="D447" s="3">
        <v>1</v>
      </c>
      <c r="E447" s="3">
        <v>1</v>
      </c>
      <c r="F447" s="3">
        <v>1</v>
      </c>
      <c r="G447" s="3">
        <v>551.6</v>
      </c>
      <c r="H447" s="13">
        <v>0.53339999999999999</v>
      </c>
      <c r="I447" s="13">
        <v>0.48899999999999999</v>
      </c>
      <c r="J447" s="16">
        <v>0</v>
      </c>
      <c r="K447" s="16">
        <v>0</v>
      </c>
      <c r="L447" s="3">
        <v>0</v>
      </c>
      <c r="M447" s="3">
        <v>0</v>
      </c>
      <c r="N447" s="3">
        <v>990</v>
      </c>
      <c r="O447" s="3">
        <v>1025</v>
      </c>
      <c r="P447" s="1">
        <v>0</v>
      </c>
      <c r="Q447">
        <v>1005</v>
      </c>
      <c r="R447" s="3">
        <v>1677.6</v>
      </c>
      <c r="S447" s="1">
        <v>0</v>
      </c>
    </row>
    <row r="448" spans="1:19" x14ac:dyDescent="0.2">
      <c r="A448" s="12">
        <v>351</v>
      </c>
      <c r="B448" s="12">
        <v>355</v>
      </c>
      <c r="C448" s="12">
        <v>356</v>
      </c>
      <c r="D448" s="3">
        <v>1</v>
      </c>
      <c r="E448" s="3">
        <v>1</v>
      </c>
      <c r="F448" s="3">
        <v>1</v>
      </c>
      <c r="G448" s="3">
        <v>551.6</v>
      </c>
      <c r="H448" s="13">
        <v>0.53339999999999999</v>
      </c>
      <c r="I448" s="13">
        <v>0.48899999999999999</v>
      </c>
      <c r="J448" s="16">
        <v>0</v>
      </c>
      <c r="K448" s="16">
        <v>0</v>
      </c>
      <c r="L448" s="3">
        <v>0</v>
      </c>
      <c r="M448" s="3">
        <v>0</v>
      </c>
      <c r="N448" s="3">
        <v>990</v>
      </c>
      <c r="O448" s="3">
        <v>1025</v>
      </c>
      <c r="P448" s="1">
        <v>0</v>
      </c>
      <c r="Q448">
        <v>1005</v>
      </c>
      <c r="R448" s="3">
        <v>1677.6</v>
      </c>
      <c r="S448" s="1">
        <v>0</v>
      </c>
    </row>
    <row r="449" spans="1:19" x14ac:dyDescent="0.2">
      <c r="A449" s="12">
        <v>352</v>
      </c>
      <c r="B449" s="12">
        <v>356</v>
      </c>
      <c r="C449" s="12">
        <v>357</v>
      </c>
      <c r="D449" s="3">
        <v>1</v>
      </c>
      <c r="E449" s="3">
        <v>1</v>
      </c>
      <c r="F449" s="3">
        <v>1</v>
      </c>
      <c r="G449" s="3">
        <v>551.6</v>
      </c>
      <c r="H449" s="13">
        <v>0.53339999999999999</v>
      </c>
      <c r="I449" s="13">
        <v>0.48899999999999999</v>
      </c>
      <c r="J449" s="16">
        <v>0</v>
      </c>
      <c r="K449" s="16">
        <v>0</v>
      </c>
      <c r="L449" s="3">
        <v>0</v>
      </c>
      <c r="M449" s="3">
        <v>0</v>
      </c>
      <c r="N449" s="3">
        <v>990</v>
      </c>
      <c r="O449" s="3">
        <v>1025</v>
      </c>
      <c r="P449" s="1">
        <v>0</v>
      </c>
      <c r="Q449">
        <v>1005</v>
      </c>
      <c r="R449" s="3">
        <v>1677.6</v>
      </c>
      <c r="S449" s="1">
        <v>0</v>
      </c>
    </row>
    <row r="450" spans="1:19" x14ac:dyDescent="0.2">
      <c r="A450" s="12">
        <v>353</v>
      </c>
      <c r="B450" s="12">
        <v>357</v>
      </c>
      <c r="C450" s="12">
        <v>358</v>
      </c>
      <c r="D450" s="3">
        <v>1</v>
      </c>
      <c r="E450" s="3">
        <v>1</v>
      </c>
      <c r="F450" s="3">
        <v>1</v>
      </c>
      <c r="G450" s="3">
        <v>551.6</v>
      </c>
      <c r="H450" s="13">
        <v>0.53339999999999999</v>
      </c>
      <c r="I450" s="13">
        <v>0.48899999999999999</v>
      </c>
      <c r="J450" s="16">
        <v>0</v>
      </c>
      <c r="K450" s="16">
        <v>0</v>
      </c>
      <c r="L450" s="3">
        <v>0</v>
      </c>
      <c r="M450" s="3">
        <v>0</v>
      </c>
      <c r="N450" s="3">
        <v>990</v>
      </c>
      <c r="O450" s="3">
        <v>1025</v>
      </c>
      <c r="P450" s="1">
        <v>0</v>
      </c>
      <c r="Q450">
        <v>1005</v>
      </c>
      <c r="R450" s="3">
        <v>1677.6</v>
      </c>
      <c r="S450" s="1">
        <v>0</v>
      </c>
    </row>
    <row r="451" spans="1:19" x14ac:dyDescent="0.2">
      <c r="A451" s="12">
        <v>354</v>
      </c>
      <c r="B451" s="12">
        <v>358</v>
      </c>
      <c r="C451" s="12">
        <v>359</v>
      </c>
      <c r="D451" s="3">
        <v>1</v>
      </c>
      <c r="E451" s="3">
        <v>1</v>
      </c>
      <c r="F451" s="3">
        <v>1</v>
      </c>
      <c r="G451" s="3">
        <v>551.6</v>
      </c>
      <c r="H451" s="13">
        <v>0.53339999999999999</v>
      </c>
      <c r="I451" s="13">
        <v>0.48899999999999999</v>
      </c>
      <c r="J451" s="16">
        <v>0</v>
      </c>
      <c r="K451" s="16">
        <v>0</v>
      </c>
      <c r="L451" s="3">
        <v>0</v>
      </c>
      <c r="M451" s="3">
        <v>0</v>
      </c>
      <c r="N451" s="3">
        <v>990</v>
      </c>
      <c r="O451" s="3">
        <v>1025</v>
      </c>
      <c r="P451" s="1">
        <v>0</v>
      </c>
      <c r="Q451">
        <v>1005</v>
      </c>
      <c r="R451" s="3">
        <v>1677.6</v>
      </c>
      <c r="S451" s="1">
        <v>0</v>
      </c>
    </row>
    <row r="452" spans="1:19" x14ac:dyDescent="0.2">
      <c r="A452" s="12">
        <v>355</v>
      </c>
      <c r="B452" s="12">
        <v>359</v>
      </c>
      <c r="C452" s="12">
        <v>360</v>
      </c>
      <c r="D452" s="3">
        <v>1</v>
      </c>
      <c r="E452" s="3">
        <v>1</v>
      </c>
      <c r="F452" s="3">
        <v>1</v>
      </c>
      <c r="G452" s="3">
        <v>551.6</v>
      </c>
      <c r="H452" s="13">
        <v>0.53339999999999999</v>
      </c>
      <c r="I452" s="13">
        <v>0.48899999999999999</v>
      </c>
      <c r="J452" s="16">
        <v>0</v>
      </c>
      <c r="K452" s="16">
        <v>0</v>
      </c>
      <c r="L452" s="3">
        <v>0</v>
      </c>
      <c r="M452" s="3">
        <v>0</v>
      </c>
      <c r="N452" s="3">
        <v>990</v>
      </c>
      <c r="O452" s="3">
        <v>1025</v>
      </c>
      <c r="P452" s="1">
        <v>0</v>
      </c>
      <c r="Q452">
        <v>1005</v>
      </c>
      <c r="R452" s="3">
        <v>1677.6</v>
      </c>
      <c r="S452" s="1">
        <v>0</v>
      </c>
    </row>
    <row r="453" spans="1:19" x14ac:dyDescent="0.2">
      <c r="A453" s="12">
        <v>356</v>
      </c>
      <c r="B453" s="12">
        <v>360</v>
      </c>
      <c r="C453" s="12">
        <v>361</v>
      </c>
      <c r="D453" s="3">
        <v>1</v>
      </c>
      <c r="E453" s="3">
        <v>1</v>
      </c>
      <c r="F453" s="3">
        <v>1</v>
      </c>
      <c r="G453" s="3">
        <v>551.6</v>
      </c>
      <c r="H453" s="13">
        <v>0.53339999999999999</v>
      </c>
      <c r="I453" s="13">
        <v>0.48899999999999999</v>
      </c>
      <c r="J453" s="16">
        <v>0</v>
      </c>
      <c r="K453" s="16">
        <v>0</v>
      </c>
      <c r="L453" s="3">
        <v>0</v>
      </c>
      <c r="M453" s="3">
        <v>0</v>
      </c>
      <c r="N453" s="3">
        <v>990</v>
      </c>
      <c r="O453" s="3">
        <v>1025</v>
      </c>
      <c r="P453" s="1">
        <v>0</v>
      </c>
      <c r="Q453">
        <v>1005</v>
      </c>
      <c r="R453" s="3">
        <v>1677.6</v>
      </c>
      <c r="S453" s="1">
        <v>0</v>
      </c>
    </row>
    <row r="454" spans="1:19" x14ac:dyDescent="0.2">
      <c r="A454" s="12">
        <v>357</v>
      </c>
      <c r="B454" s="12">
        <v>361</v>
      </c>
      <c r="C454" s="12">
        <v>362</v>
      </c>
      <c r="D454" s="3">
        <v>1</v>
      </c>
      <c r="E454" s="3">
        <v>1</v>
      </c>
      <c r="F454" s="3">
        <v>1</v>
      </c>
      <c r="G454" s="3">
        <v>551.6</v>
      </c>
      <c r="H454" s="13">
        <v>0.53339999999999999</v>
      </c>
      <c r="I454" s="13">
        <v>0.48899999999999999</v>
      </c>
      <c r="J454" s="16">
        <v>0</v>
      </c>
      <c r="K454" s="16">
        <v>0</v>
      </c>
      <c r="L454" s="3">
        <v>0</v>
      </c>
      <c r="M454" s="3">
        <v>0</v>
      </c>
      <c r="N454" s="3">
        <v>990</v>
      </c>
      <c r="O454" s="3">
        <v>1025</v>
      </c>
      <c r="P454" s="1">
        <v>0</v>
      </c>
      <c r="Q454">
        <v>1005</v>
      </c>
      <c r="R454" s="3">
        <v>1677.6</v>
      </c>
      <c r="S454" s="1">
        <v>0</v>
      </c>
    </row>
    <row r="455" spans="1:19" x14ac:dyDescent="0.2">
      <c r="A455" s="12">
        <v>358</v>
      </c>
      <c r="B455" s="12">
        <v>362</v>
      </c>
      <c r="C455" s="12">
        <v>363</v>
      </c>
      <c r="D455" s="3">
        <v>1</v>
      </c>
      <c r="E455" s="3">
        <v>1</v>
      </c>
      <c r="F455" s="3">
        <v>1</v>
      </c>
      <c r="G455" s="3">
        <v>551.6</v>
      </c>
      <c r="H455" s="13">
        <v>0.53339999999999999</v>
      </c>
      <c r="I455" s="13">
        <v>0.48899999999999999</v>
      </c>
      <c r="J455" s="16">
        <v>0</v>
      </c>
      <c r="K455" s="16">
        <v>0</v>
      </c>
      <c r="L455" s="3">
        <v>0</v>
      </c>
      <c r="M455" s="3">
        <v>0</v>
      </c>
      <c r="N455" s="3">
        <v>990</v>
      </c>
      <c r="O455" s="3">
        <v>1025</v>
      </c>
      <c r="P455" s="1">
        <v>0</v>
      </c>
      <c r="Q455">
        <v>1005</v>
      </c>
      <c r="R455" s="3">
        <v>1677.6</v>
      </c>
      <c r="S455" s="1">
        <v>0</v>
      </c>
    </row>
    <row r="456" spans="1:19" x14ac:dyDescent="0.2">
      <c r="A456" s="12">
        <v>359</v>
      </c>
      <c r="B456" s="12">
        <v>363</v>
      </c>
      <c r="C456" s="12">
        <v>364</v>
      </c>
      <c r="D456" s="3">
        <v>1</v>
      </c>
      <c r="E456" s="3">
        <v>1</v>
      </c>
      <c r="F456" s="3">
        <v>1</v>
      </c>
      <c r="G456" s="3">
        <v>551.6</v>
      </c>
      <c r="H456" s="13">
        <v>0.53339999999999999</v>
      </c>
      <c r="I456" s="13">
        <v>0.48899999999999999</v>
      </c>
      <c r="J456" s="16">
        <v>0</v>
      </c>
      <c r="K456" s="16">
        <v>0</v>
      </c>
      <c r="L456" s="3">
        <v>0</v>
      </c>
      <c r="M456" s="3">
        <v>0</v>
      </c>
      <c r="N456" s="3">
        <v>990</v>
      </c>
      <c r="O456" s="3">
        <v>1025</v>
      </c>
      <c r="P456" s="1">
        <v>0</v>
      </c>
      <c r="Q456">
        <v>1005</v>
      </c>
      <c r="R456" s="3">
        <v>1677.6</v>
      </c>
      <c r="S456" s="1">
        <v>0</v>
      </c>
    </row>
    <row r="457" spans="1:19" x14ac:dyDescent="0.2">
      <c r="A457" s="12">
        <v>360</v>
      </c>
      <c r="B457" s="12">
        <v>364</v>
      </c>
      <c r="C457" s="12">
        <v>365</v>
      </c>
      <c r="D457" s="3">
        <v>1</v>
      </c>
      <c r="E457" s="3">
        <v>1</v>
      </c>
      <c r="F457" s="3">
        <v>1</v>
      </c>
      <c r="G457" s="3">
        <v>551.6</v>
      </c>
      <c r="H457" s="13">
        <v>0.53339999999999999</v>
      </c>
      <c r="I457" s="13">
        <v>0.48899999999999999</v>
      </c>
      <c r="J457" s="16">
        <v>0</v>
      </c>
      <c r="K457" s="16">
        <v>0</v>
      </c>
      <c r="L457" s="3">
        <v>0</v>
      </c>
      <c r="M457" s="3">
        <v>0</v>
      </c>
      <c r="N457" s="3">
        <v>990</v>
      </c>
      <c r="O457" s="3">
        <v>1025</v>
      </c>
      <c r="P457" s="1">
        <v>0</v>
      </c>
      <c r="Q457">
        <v>1005</v>
      </c>
      <c r="R457" s="3">
        <v>1677.6</v>
      </c>
      <c r="S457" s="1">
        <v>0</v>
      </c>
    </row>
    <row r="458" spans="1:19" x14ac:dyDescent="0.2">
      <c r="A458" s="12">
        <v>361</v>
      </c>
      <c r="B458" s="12">
        <v>365</v>
      </c>
      <c r="C458" s="12">
        <v>366</v>
      </c>
      <c r="D458" s="3">
        <v>1</v>
      </c>
      <c r="E458" s="3">
        <v>1</v>
      </c>
      <c r="F458" s="3">
        <v>1</v>
      </c>
      <c r="G458" s="3">
        <v>551.6</v>
      </c>
      <c r="H458" s="13">
        <v>0.53339999999999999</v>
      </c>
      <c r="I458" s="13">
        <v>0.48899999999999999</v>
      </c>
      <c r="J458" s="16">
        <v>0</v>
      </c>
      <c r="K458" s="16">
        <v>0</v>
      </c>
      <c r="L458" s="3">
        <v>0</v>
      </c>
      <c r="M458" s="3">
        <v>0</v>
      </c>
      <c r="N458" s="3">
        <v>990</v>
      </c>
      <c r="O458" s="3">
        <v>1025</v>
      </c>
      <c r="P458" s="1">
        <v>0</v>
      </c>
      <c r="Q458">
        <v>1005</v>
      </c>
      <c r="R458" s="3">
        <v>1677.6</v>
      </c>
      <c r="S458" s="1">
        <v>0</v>
      </c>
    </row>
    <row r="459" spans="1:19" x14ac:dyDescent="0.2">
      <c r="A459" s="12">
        <v>362</v>
      </c>
      <c r="B459" s="12">
        <v>366</v>
      </c>
      <c r="C459" s="12">
        <v>367</v>
      </c>
      <c r="D459" s="3">
        <v>1</v>
      </c>
      <c r="E459" s="3">
        <v>1</v>
      </c>
      <c r="F459" s="3">
        <v>1</v>
      </c>
      <c r="G459" s="3">
        <v>551.6</v>
      </c>
      <c r="H459" s="13">
        <v>0.53339999999999999</v>
      </c>
      <c r="I459" s="13">
        <v>0.48899999999999999</v>
      </c>
      <c r="J459" s="16">
        <v>0</v>
      </c>
      <c r="K459" s="16">
        <v>0</v>
      </c>
      <c r="L459" s="3">
        <v>0</v>
      </c>
      <c r="M459" s="3">
        <v>0</v>
      </c>
      <c r="N459" s="3">
        <v>990</v>
      </c>
      <c r="O459" s="3">
        <v>1025</v>
      </c>
      <c r="P459" s="1">
        <v>0</v>
      </c>
      <c r="Q459">
        <v>1005</v>
      </c>
      <c r="R459" s="3">
        <v>1677.6</v>
      </c>
      <c r="S459" s="1">
        <v>0</v>
      </c>
    </row>
    <row r="460" spans="1:19" x14ac:dyDescent="0.2">
      <c r="A460" s="12">
        <v>363</v>
      </c>
      <c r="B460" s="12">
        <v>367</v>
      </c>
      <c r="C460" s="12">
        <v>368</v>
      </c>
      <c r="D460" s="3">
        <v>1</v>
      </c>
      <c r="E460" s="3">
        <v>1</v>
      </c>
      <c r="F460" s="3">
        <v>1</v>
      </c>
      <c r="G460" s="3">
        <v>551.6</v>
      </c>
      <c r="H460" s="13">
        <v>0.53339999999999999</v>
      </c>
      <c r="I460" s="13">
        <v>0.48899999999999999</v>
      </c>
      <c r="J460" s="16">
        <v>0</v>
      </c>
      <c r="K460" s="16">
        <v>0</v>
      </c>
      <c r="L460" s="3">
        <v>0</v>
      </c>
      <c r="M460" s="3">
        <v>0</v>
      </c>
      <c r="N460" s="3">
        <v>990</v>
      </c>
      <c r="O460" s="3">
        <v>1025</v>
      </c>
      <c r="P460" s="1">
        <v>0</v>
      </c>
      <c r="Q460">
        <v>1005</v>
      </c>
      <c r="R460" s="3">
        <v>1677.6</v>
      </c>
      <c r="S460" s="1">
        <v>0</v>
      </c>
    </row>
    <row r="461" spans="1:19" x14ac:dyDescent="0.2">
      <c r="A461" s="12">
        <v>364</v>
      </c>
      <c r="B461" s="12">
        <v>368</v>
      </c>
      <c r="C461" s="12">
        <v>369</v>
      </c>
      <c r="D461" s="3">
        <v>1</v>
      </c>
      <c r="E461" s="3">
        <v>1</v>
      </c>
      <c r="F461" s="3">
        <v>1</v>
      </c>
      <c r="G461" s="3">
        <v>551.6</v>
      </c>
      <c r="H461" s="13">
        <v>0.53339999999999999</v>
      </c>
      <c r="I461" s="13">
        <v>0.48899999999999999</v>
      </c>
      <c r="J461" s="16">
        <v>0</v>
      </c>
      <c r="K461" s="16">
        <v>0</v>
      </c>
      <c r="L461" s="3">
        <v>0</v>
      </c>
      <c r="M461" s="3">
        <v>0</v>
      </c>
      <c r="N461" s="3">
        <v>990</v>
      </c>
      <c r="O461" s="3">
        <v>1025</v>
      </c>
      <c r="P461" s="1">
        <v>0</v>
      </c>
      <c r="Q461">
        <v>1005</v>
      </c>
      <c r="R461" s="3">
        <v>1677.6</v>
      </c>
      <c r="S461" s="1">
        <v>0</v>
      </c>
    </row>
    <row r="462" spans="1:19" x14ac:dyDescent="0.2">
      <c r="A462" s="12">
        <v>365</v>
      </c>
      <c r="B462" s="12">
        <v>369</v>
      </c>
      <c r="C462" s="12">
        <v>370</v>
      </c>
      <c r="D462" s="3">
        <v>1</v>
      </c>
      <c r="E462" s="3">
        <v>1</v>
      </c>
      <c r="F462" s="3">
        <v>1</v>
      </c>
      <c r="G462" s="3">
        <v>551.6</v>
      </c>
      <c r="H462" s="13">
        <v>0.53339999999999999</v>
      </c>
      <c r="I462" s="13">
        <v>0.48899999999999999</v>
      </c>
      <c r="J462" s="16">
        <v>0</v>
      </c>
      <c r="K462" s="16">
        <v>0</v>
      </c>
      <c r="L462" s="3">
        <v>0</v>
      </c>
      <c r="M462" s="3">
        <v>0</v>
      </c>
      <c r="N462" s="3">
        <v>990</v>
      </c>
      <c r="O462" s="3">
        <v>1025</v>
      </c>
      <c r="P462" s="1">
        <v>0</v>
      </c>
      <c r="Q462">
        <v>1005</v>
      </c>
      <c r="R462" s="3">
        <v>1677.6</v>
      </c>
      <c r="S462" s="1">
        <v>0</v>
      </c>
    </row>
    <row r="463" spans="1:19" x14ac:dyDescent="0.2">
      <c r="A463" s="12">
        <v>366</v>
      </c>
      <c r="B463" s="12">
        <v>370</v>
      </c>
      <c r="C463" s="12">
        <v>371</v>
      </c>
      <c r="D463" s="3">
        <v>1</v>
      </c>
      <c r="E463" s="3">
        <v>1</v>
      </c>
      <c r="F463" s="3">
        <v>1</v>
      </c>
      <c r="G463" s="3">
        <v>551.6</v>
      </c>
      <c r="H463" s="13">
        <v>0.53339999999999999</v>
      </c>
      <c r="I463" s="13">
        <v>0.48899999999999999</v>
      </c>
      <c r="J463" s="16">
        <v>0</v>
      </c>
      <c r="K463" s="16">
        <v>0</v>
      </c>
      <c r="L463" s="3">
        <v>0</v>
      </c>
      <c r="M463" s="3">
        <v>0</v>
      </c>
      <c r="N463" s="3">
        <v>990</v>
      </c>
      <c r="O463" s="3">
        <v>1025</v>
      </c>
      <c r="P463" s="1">
        <v>0</v>
      </c>
      <c r="Q463">
        <v>1005</v>
      </c>
      <c r="R463" s="3">
        <v>1677.6</v>
      </c>
      <c r="S463" s="1">
        <v>0</v>
      </c>
    </row>
    <row r="464" spans="1:19" x14ac:dyDescent="0.2">
      <c r="A464" s="12">
        <v>367</v>
      </c>
      <c r="B464" s="12">
        <v>371</v>
      </c>
      <c r="C464" s="12">
        <v>372</v>
      </c>
      <c r="D464" s="3">
        <v>1</v>
      </c>
      <c r="E464" s="3">
        <v>1</v>
      </c>
      <c r="F464" s="3">
        <v>1</v>
      </c>
      <c r="G464" s="3">
        <v>551.6</v>
      </c>
      <c r="H464" s="13">
        <v>0.53339999999999999</v>
      </c>
      <c r="I464" s="13">
        <v>0.48899999999999999</v>
      </c>
      <c r="J464" s="16">
        <v>0</v>
      </c>
      <c r="K464" s="16">
        <v>0</v>
      </c>
      <c r="L464" s="3">
        <v>0</v>
      </c>
      <c r="M464" s="3">
        <v>0</v>
      </c>
      <c r="N464" s="3">
        <v>990</v>
      </c>
      <c r="O464" s="3">
        <v>1025</v>
      </c>
      <c r="P464" s="1">
        <v>0</v>
      </c>
      <c r="Q464">
        <v>1005</v>
      </c>
      <c r="R464" s="3">
        <v>1677.6</v>
      </c>
      <c r="S464" s="1">
        <v>0</v>
      </c>
    </row>
    <row r="465" spans="1:19" x14ac:dyDescent="0.2">
      <c r="A465" s="12">
        <v>368</v>
      </c>
      <c r="B465" s="12">
        <v>372</v>
      </c>
      <c r="C465" s="12">
        <v>373</v>
      </c>
      <c r="D465" s="3">
        <v>1</v>
      </c>
      <c r="E465" s="3">
        <v>1</v>
      </c>
      <c r="F465" s="3">
        <v>1</v>
      </c>
      <c r="G465" s="3">
        <v>551.6</v>
      </c>
      <c r="H465" s="13">
        <v>0.53339999999999999</v>
      </c>
      <c r="I465" s="13">
        <v>0.48899999999999999</v>
      </c>
      <c r="J465" s="16">
        <v>0</v>
      </c>
      <c r="K465" s="16">
        <v>0</v>
      </c>
      <c r="L465" s="3">
        <v>0</v>
      </c>
      <c r="M465" s="3">
        <v>0</v>
      </c>
      <c r="N465" s="3">
        <v>990</v>
      </c>
      <c r="O465" s="3">
        <v>1025</v>
      </c>
      <c r="P465" s="1">
        <v>0</v>
      </c>
      <c r="Q465">
        <v>1005</v>
      </c>
      <c r="R465" s="3">
        <v>1677.6</v>
      </c>
      <c r="S465" s="1">
        <v>0</v>
      </c>
    </row>
    <row r="466" spans="1:19" x14ac:dyDescent="0.2">
      <c r="A466" s="12">
        <v>369</v>
      </c>
      <c r="B466" s="12">
        <v>373</v>
      </c>
      <c r="C466" s="12">
        <v>374</v>
      </c>
      <c r="D466" s="3">
        <v>1</v>
      </c>
      <c r="E466" s="3">
        <v>1</v>
      </c>
      <c r="F466" s="3">
        <v>1</v>
      </c>
      <c r="G466" s="3">
        <v>551.6</v>
      </c>
      <c r="H466" s="13">
        <v>0.53339999999999999</v>
      </c>
      <c r="I466" s="13">
        <v>0.48899999999999999</v>
      </c>
      <c r="J466" s="16">
        <v>0</v>
      </c>
      <c r="K466" s="16">
        <v>0</v>
      </c>
      <c r="L466" s="3">
        <v>0</v>
      </c>
      <c r="M466" s="3">
        <v>0</v>
      </c>
      <c r="N466" s="3">
        <v>990</v>
      </c>
      <c r="O466" s="3">
        <v>1025</v>
      </c>
      <c r="P466" s="1">
        <v>0</v>
      </c>
      <c r="Q466">
        <v>1005</v>
      </c>
      <c r="R466" s="3">
        <v>1677.6</v>
      </c>
      <c r="S466" s="1">
        <v>0</v>
      </c>
    </row>
    <row r="467" spans="1:19" x14ac:dyDescent="0.2">
      <c r="A467" s="12">
        <v>370</v>
      </c>
      <c r="B467" s="12">
        <v>374</v>
      </c>
      <c r="C467" s="12">
        <v>375</v>
      </c>
      <c r="D467" s="3">
        <v>1</v>
      </c>
      <c r="E467" s="3">
        <v>1</v>
      </c>
      <c r="F467" s="3">
        <v>1</v>
      </c>
      <c r="G467" s="3">
        <v>551.6</v>
      </c>
      <c r="H467" s="13">
        <v>0.53339999999999999</v>
      </c>
      <c r="I467" s="13">
        <v>0.48899999999999999</v>
      </c>
      <c r="J467" s="16">
        <v>0</v>
      </c>
      <c r="K467" s="16">
        <v>0</v>
      </c>
      <c r="L467" s="3">
        <v>0</v>
      </c>
      <c r="M467" s="3">
        <v>0</v>
      </c>
      <c r="N467" s="3">
        <v>990</v>
      </c>
      <c r="O467" s="3">
        <v>1025</v>
      </c>
      <c r="P467" s="1">
        <v>0</v>
      </c>
      <c r="Q467">
        <v>1005</v>
      </c>
      <c r="R467" s="3">
        <v>1677.6</v>
      </c>
      <c r="S467" s="1">
        <v>0</v>
      </c>
    </row>
    <row r="468" spans="1:19" x14ac:dyDescent="0.2">
      <c r="A468" s="12">
        <v>371</v>
      </c>
      <c r="B468" s="12">
        <v>375</v>
      </c>
      <c r="C468" s="12">
        <v>376</v>
      </c>
      <c r="D468" s="3">
        <v>1</v>
      </c>
      <c r="E468" s="3">
        <v>1</v>
      </c>
      <c r="F468" s="3">
        <v>1</v>
      </c>
      <c r="G468" s="3">
        <v>551.6</v>
      </c>
      <c r="H468" s="13">
        <v>0.53339999999999999</v>
      </c>
      <c r="I468" s="13">
        <v>0.48899999999999999</v>
      </c>
      <c r="J468" s="16">
        <v>0</v>
      </c>
      <c r="K468" s="16">
        <v>0</v>
      </c>
      <c r="L468" s="3">
        <v>0</v>
      </c>
      <c r="M468" s="3">
        <v>0</v>
      </c>
      <c r="N468" s="3">
        <v>990</v>
      </c>
      <c r="O468" s="3">
        <v>1025</v>
      </c>
      <c r="P468" s="1">
        <v>0</v>
      </c>
      <c r="Q468">
        <v>1005</v>
      </c>
      <c r="R468" s="3">
        <v>1677.6</v>
      </c>
      <c r="S468" s="1">
        <v>0</v>
      </c>
    </row>
    <row r="469" spans="1:19" x14ac:dyDescent="0.2">
      <c r="A469" s="12">
        <v>372</v>
      </c>
      <c r="B469" s="12">
        <v>376</v>
      </c>
      <c r="C469" s="12">
        <v>377</v>
      </c>
      <c r="D469" s="3">
        <v>1</v>
      </c>
      <c r="E469" s="3">
        <v>1</v>
      </c>
      <c r="F469" s="3">
        <v>1</v>
      </c>
      <c r="G469" s="3">
        <v>551.6</v>
      </c>
      <c r="H469" s="13">
        <v>0.53339999999999999</v>
      </c>
      <c r="I469" s="13">
        <v>0.48899999999999999</v>
      </c>
      <c r="J469" s="16">
        <v>0</v>
      </c>
      <c r="K469" s="16">
        <v>0</v>
      </c>
      <c r="L469" s="3">
        <v>0</v>
      </c>
      <c r="M469" s="3">
        <v>0</v>
      </c>
      <c r="N469" s="3">
        <v>990</v>
      </c>
      <c r="O469" s="3">
        <v>1025</v>
      </c>
      <c r="P469" s="1">
        <v>0</v>
      </c>
      <c r="Q469">
        <v>1005</v>
      </c>
      <c r="R469" s="3">
        <v>1677.6</v>
      </c>
      <c r="S469" s="1">
        <v>0</v>
      </c>
    </row>
    <row r="470" spans="1:19" x14ac:dyDescent="0.2">
      <c r="A470" s="12">
        <v>373</v>
      </c>
      <c r="B470" s="12">
        <v>377</v>
      </c>
      <c r="C470" s="12">
        <v>378</v>
      </c>
      <c r="D470" s="3">
        <v>1</v>
      </c>
      <c r="E470" s="3">
        <v>1</v>
      </c>
      <c r="F470" s="3">
        <v>1</v>
      </c>
      <c r="G470" s="3">
        <v>551.6</v>
      </c>
      <c r="H470" s="13">
        <v>0.53339999999999999</v>
      </c>
      <c r="I470" s="13">
        <v>0.48899999999999999</v>
      </c>
      <c r="J470" s="16">
        <v>0</v>
      </c>
      <c r="K470" s="16">
        <v>0</v>
      </c>
      <c r="L470" s="3">
        <v>0</v>
      </c>
      <c r="M470" s="3">
        <v>0</v>
      </c>
      <c r="N470" s="3">
        <v>990</v>
      </c>
      <c r="O470" s="3">
        <v>1025</v>
      </c>
      <c r="P470" s="1">
        <v>0</v>
      </c>
      <c r="Q470">
        <v>1005</v>
      </c>
      <c r="R470" s="3">
        <v>1677.6</v>
      </c>
      <c r="S470" s="1">
        <v>0</v>
      </c>
    </row>
    <row r="471" spans="1:19" x14ac:dyDescent="0.2">
      <c r="A471" s="12">
        <v>374</v>
      </c>
      <c r="B471" s="12">
        <v>378</v>
      </c>
      <c r="C471" s="12">
        <v>379</v>
      </c>
      <c r="D471" s="3">
        <v>1</v>
      </c>
      <c r="E471" s="3">
        <v>1</v>
      </c>
      <c r="F471" s="3">
        <v>1</v>
      </c>
      <c r="G471" s="3">
        <v>551.6</v>
      </c>
      <c r="H471" s="13">
        <v>0.53339999999999999</v>
      </c>
      <c r="I471" s="13">
        <v>0.48899999999999999</v>
      </c>
      <c r="J471" s="16">
        <v>0</v>
      </c>
      <c r="K471" s="16">
        <v>0</v>
      </c>
      <c r="L471" s="3">
        <v>0</v>
      </c>
      <c r="M471" s="3">
        <v>0</v>
      </c>
      <c r="N471" s="3">
        <v>990</v>
      </c>
      <c r="O471" s="3">
        <v>1025</v>
      </c>
      <c r="P471" s="1">
        <v>0</v>
      </c>
      <c r="Q471">
        <v>1005</v>
      </c>
      <c r="R471" s="3">
        <v>1677.6</v>
      </c>
      <c r="S471" s="1">
        <v>0</v>
      </c>
    </row>
    <row r="472" spans="1:19" x14ac:dyDescent="0.2">
      <c r="A472" s="12">
        <v>375</v>
      </c>
      <c r="B472" s="12">
        <v>379</v>
      </c>
      <c r="C472" s="12">
        <v>380</v>
      </c>
      <c r="D472" s="3">
        <v>1</v>
      </c>
      <c r="E472" s="3">
        <v>1</v>
      </c>
      <c r="F472" s="3">
        <v>1</v>
      </c>
      <c r="G472" s="3">
        <v>551.6</v>
      </c>
      <c r="H472" s="13">
        <v>0.53339999999999999</v>
      </c>
      <c r="I472" s="13">
        <v>0.48899999999999999</v>
      </c>
      <c r="J472" s="16">
        <v>0</v>
      </c>
      <c r="K472" s="16">
        <v>0</v>
      </c>
      <c r="L472" s="3">
        <v>0</v>
      </c>
      <c r="M472" s="3">
        <v>0</v>
      </c>
      <c r="N472" s="3">
        <v>990</v>
      </c>
      <c r="O472" s="3">
        <v>1025</v>
      </c>
      <c r="P472" s="1">
        <v>0</v>
      </c>
      <c r="Q472">
        <v>1005</v>
      </c>
      <c r="R472" s="3">
        <v>1677.6</v>
      </c>
      <c r="S472" s="1">
        <v>0</v>
      </c>
    </row>
    <row r="473" spans="1:19" x14ac:dyDescent="0.2">
      <c r="A473" s="12">
        <v>376</v>
      </c>
      <c r="B473" s="12">
        <v>380</v>
      </c>
      <c r="C473" s="12">
        <v>381</v>
      </c>
      <c r="D473" s="3">
        <v>1</v>
      </c>
      <c r="E473" s="3">
        <v>1</v>
      </c>
      <c r="F473" s="3">
        <v>1</v>
      </c>
      <c r="G473" s="3">
        <v>551.6</v>
      </c>
      <c r="H473" s="13">
        <v>0.53339999999999999</v>
      </c>
      <c r="I473" s="13">
        <v>0.48899999999999999</v>
      </c>
      <c r="J473" s="16">
        <v>0</v>
      </c>
      <c r="K473" s="16">
        <v>0</v>
      </c>
      <c r="L473" s="3">
        <v>0</v>
      </c>
      <c r="M473" s="3">
        <v>0</v>
      </c>
      <c r="N473" s="3">
        <v>990</v>
      </c>
      <c r="O473" s="3">
        <v>1025</v>
      </c>
      <c r="P473" s="1">
        <v>0</v>
      </c>
      <c r="Q473">
        <v>1005</v>
      </c>
      <c r="R473" s="3">
        <v>1677.6</v>
      </c>
      <c r="S473" s="1">
        <v>0</v>
      </c>
    </row>
    <row r="474" spans="1:19" x14ac:dyDescent="0.2">
      <c r="A474" s="12">
        <v>377</v>
      </c>
      <c r="B474" s="12">
        <v>381</v>
      </c>
      <c r="C474" s="12">
        <v>382</v>
      </c>
      <c r="D474" s="3">
        <v>1</v>
      </c>
      <c r="E474" s="3">
        <v>1</v>
      </c>
      <c r="F474" s="3">
        <v>1</v>
      </c>
      <c r="G474" s="3">
        <v>551.6</v>
      </c>
      <c r="H474" s="13">
        <v>0.53339999999999999</v>
      </c>
      <c r="I474" s="13">
        <v>0.48899999999999999</v>
      </c>
      <c r="J474" s="16">
        <v>0</v>
      </c>
      <c r="K474" s="16">
        <v>0</v>
      </c>
      <c r="L474" s="3">
        <v>0</v>
      </c>
      <c r="M474" s="3">
        <v>0</v>
      </c>
      <c r="N474" s="3">
        <v>990</v>
      </c>
      <c r="O474" s="3">
        <v>1025</v>
      </c>
      <c r="P474" s="1">
        <v>0</v>
      </c>
      <c r="Q474">
        <v>1005</v>
      </c>
      <c r="R474" s="3">
        <v>1677.6</v>
      </c>
      <c r="S474" s="1">
        <v>0</v>
      </c>
    </row>
    <row r="475" spans="1:19" x14ac:dyDescent="0.2">
      <c r="A475" s="12">
        <v>378</v>
      </c>
      <c r="B475" s="12">
        <v>382</v>
      </c>
      <c r="C475" s="12">
        <v>383</v>
      </c>
      <c r="D475" s="3">
        <v>1</v>
      </c>
      <c r="E475" s="3">
        <v>1</v>
      </c>
      <c r="F475" s="3">
        <v>1</v>
      </c>
      <c r="G475" s="3">
        <v>551.6</v>
      </c>
      <c r="H475" s="13">
        <v>0.53339999999999999</v>
      </c>
      <c r="I475" s="13">
        <v>0.48899999999999999</v>
      </c>
      <c r="J475" s="16">
        <v>0</v>
      </c>
      <c r="K475" s="16">
        <v>0</v>
      </c>
      <c r="L475" s="3">
        <v>0</v>
      </c>
      <c r="M475" s="3">
        <v>0</v>
      </c>
      <c r="N475" s="3">
        <v>990</v>
      </c>
      <c r="O475" s="3">
        <v>1025</v>
      </c>
      <c r="P475" s="1">
        <v>0</v>
      </c>
      <c r="Q475">
        <v>1005</v>
      </c>
      <c r="R475" s="3">
        <v>1677.6</v>
      </c>
      <c r="S475" s="1">
        <v>0</v>
      </c>
    </row>
    <row r="476" spans="1:19" x14ac:dyDescent="0.2">
      <c r="A476" s="12">
        <v>379</v>
      </c>
      <c r="B476" s="12">
        <v>383</v>
      </c>
      <c r="C476" s="12">
        <v>384</v>
      </c>
      <c r="D476" s="3">
        <v>1</v>
      </c>
      <c r="E476" s="3">
        <v>1</v>
      </c>
      <c r="F476" s="3">
        <v>1</v>
      </c>
      <c r="G476" s="3">
        <v>551.6</v>
      </c>
      <c r="H476" s="13">
        <v>0.53339999999999999</v>
      </c>
      <c r="I476" s="13">
        <v>0.48899999999999999</v>
      </c>
      <c r="J476" s="16">
        <v>0</v>
      </c>
      <c r="K476" s="16">
        <v>0</v>
      </c>
      <c r="L476" s="3">
        <v>0</v>
      </c>
      <c r="M476" s="3">
        <v>0</v>
      </c>
      <c r="N476" s="3">
        <v>990</v>
      </c>
      <c r="O476" s="3">
        <v>1025</v>
      </c>
      <c r="P476" s="1">
        <v>0</v>
      </c>
      <c r="Q476">
        <v>1005</v>
      </c>
      <c r="R476" s="3">
        <v>1677.6</v>
      </c>
      <c r="S476" s="1">
        <v>0</v>
      </c>
    </row>
    <row r="477" spans="1:19" x14ac:dyDescent="0.2">
      <c r="A477" s="12">
        <v>380</v>
      </c>
      <c r="B477" s="12">
        <v>384</v>
      </c>
      <c r="C477" s="12">
        <v>385</v>
      </c>
      <c r="D477" s="3">
        <v>1</v>
      </c>
      <c r="E477" s="3">
        <v>1</v>
      </c>
      <c r="F477" s="3">
        <v>1</v>
      </c>
      <c r="G477" s="3">
        <v>551.6</v>
      </c>
      <c r="H477" s="13">
        <v>0.53339999999999999</v>
      </c>
      <c r="I477" s="13">
        <v>0.48899999999999999</v>
      </c>
      <c r="J477" s="16">
        <v>0</v>
      </c>
      <c r="K477" s="16">
        <v>0</v>
      </c>
      <c r="L477" s="3">
        <v>0</v>
      </c>
      <c r="M477" s="3">
        <v>0</v>
      </c>
      <c r="N477" s="3">
        <v>990</v>
      </c>
      <c r="O477" s="3">
        <v>1025</v>
      </c>
      <c r="P477" s="1">
        <v>0</v>
      </c>
      <c r="Q477">
        <v>1005</v>
      </c>
      <c r="R477" s="3">
        <v>1677.6</v>
      </c>
      <c r="S477" s="1">
        <v>0</v>
      </c>
    </row>
    <row r="478" spans="1:19" x14ac:dyDescent="0.2">
      <c r="A478" s="12">
        <v>381</v>
      </c>
      <c r="B478" s="12">
        <v>385</v>
      </c>
      <c r="C478" s="12">
        <v>386</v>
      </c>
      <c r="D478" s="3">
        <v>1</v>
      </c>
      <c r="E478" s="3">
        <v>1</v>
      </c>
      <c r="F478" s="3">
        <v>1</v>
      </c>
      <c r="G478" s="3">
        <v>551.6</v>
      </c>
      <c r="H478" s="13">
        <v>0.53339999999999999</v>
      </c>
      <c r="I478" s="13">
        <v>0.48899999999999999</v>
      </c>
      <c r="J478" s="16">
        <v>0</v>
      </c>
      <c r="K478" s="16">
        <v>0</v>
      </c>
      <c r="L478" s="3">
        <v>0</v>
      </c>
      <c r="M478" s="3">
        <v>0</v>
      </c>
      <c r="N478" s="3">
        <v>990</v>
      </c>
      <c r="O478" s="3">
        <v>1025</v>
      </c>
      <c r="P478" s="1">
        <v>0</v>
      </c>
      <c r="Q478">
        <v>1005</v>
      </c>
      <c r="R478" s="3">
        <v>1677.6</v>
      </c>
      <c r="S478" s="1">
        <v>0</v>
      </c>
    </row>
    <row r="479" spans="1:19" x14ac:dyDescent="0.2">
      <c r="A479" s="12">
        <v>382</v>
      </c>
      <c r="B479" s="12">
        <v>386</v>
      </c>
      <c r="C479" s="12">
        <v>387</v>
      </c>
      <c r="D479" s="3">
        <v>1</v>
      </c>
      <c r="E479" s="3">
        <v>1</v>
      </c>
      <c r="F479" s="3">
        <v>1</v>
      </c>
      <c r="G479" s="3">
        <v>551.6</v>
      </c>
      <c r="H479" s="13">
        <v>0.53339999999999999</v>
      </c>
      <c r="I479" s="13">
        <v>0.48899999999999999</v>
      </c>
      <c r="J479" s="16">
        <v>0</v>
      </c>
      <c r="K479" s="16">
        <v>0</v>
      </c>
      <c r="L479" s="3">
        <v>0</v>
      </c>
      <c r="M479" s="3">
        <v>0</v>
      </c>
      <c r="N479" s="3">
        <v>990</v>
      </c>
      <c r="O479" s="3">
        <v>1025</v>
      </c>
      <c r="P479" s="1">
        <v>0</v>
      </c>
      <c r="Q479">
        <v>1005</v>
      </c>
      <c r="R479" s="3">
        <v>1677.6</v>
      </c>
      <c r="S479" s="1">
        <v>0</v>
      </c>
    </row>
    <row r="480" spans="1:19" x14ac:dyDescent="0.2">
      <c r="A480" s="12">
        <v>383</v>
      </c>
      <c r="B480" s="12">
        <v>387</v>
      </c>
      <c r="C480" s="12">
        <v>388</v>
      </c>
      <c r="D480" s="3">
        <v>1</v>
      </c>
      <c r="E480" s="3">
        <v>1</v>
      </c>
      <c r="F480" s="3">
        <v>1</v>
      </c>
      <c r="G480" s="3">
        <v>551.6</v>
      </c>
      <c r="H480" s="13">
        <v>0.53339999999999999</v>
      </c>
      <c r="I480" s="13">
        <v>0.48899999999999999</v>
      </c>
      <c r="J480" s="16">
        <v>0</v>
      </c>
      <c r="K480" s="16">
        <v>0</v>
      </c>
      <c r="L480" s="3">
        <v>0</v>
      </c>
      <c r="M480" s="3">
        <v>0</v>
      </c>
      <c r="N480" s="3">
        <v>990</v>
      </c>
      <c r="O480" s="3">
        <v>1025</v>
      </c>
      <c r="P480" s="1">
        <v>0</v>
      </c>
      <c r="Q480">
        <v>1005</v>
      </c>
      <c r="R480" s="3">
        <v>1677.6</v>
      </c>
      <c r="S480" s="1">
        <v>0</v>
      </c>
    </row>
    <row r="481" spans="1:19" x14ac:dyDescent="0.2">
      <c r="A481" s="12">
        <v>384</v>
      </c>
      <c r="B481" s="12">
        <v>388</v>
      </c>
      <c r="C481" s="12">
        <v>389</v>
      </c>
      <c r="D481" s="3">
        <v>1</v>
      </c>
      <c r="E481" s="3">
        <v>1</v>
      </c>
      <c r="F481" s="3">
        <v>1</v>
      </c>
      <c r="G481" s="3">
        <v>551.6</v>
      </c>
      <c r="H481" s="13">
        <v>0.53339999999999999</v>
      </c>
      <c r="I481" s="13">
        <v>0.48899999999999999</v>
      </c>
      <c r="J481" s="16">
        <v>0</v>
      </c>
      <c r="K481" s="16">
        <v>0</v>
      </c>
      <c r="L481" s="3">
        <v>0</v>
      </c>
      <c r="M481" s="3">
        <v>0</v>
      </c>
      <c r="N481" s="3">
        <v>990</v>
      </c>
      <c r="O481" s="3">
        <v>1025</v>
      </c>
      <c r="P481" s="1">
        <v>0</v>
      </c>
      <c r="Q481">
        <v>1005</v>
      </c>
      <c r="R481" s="3">
        <v>1677.6</v>
      </c>
      <c r="S481" s="1">
        <v>0</v>
      </c>
    </row>
    <row r="482" spans="1:19" x14ac:dyDescent="0.2">
      <c r="A482" s="12">
        <v>385</v>
      </c>
      <c r="B482" s="12">
        <v>389</v>
      </c>
      <c r="C482" s="12">
        <v>390</v>
      </c>
      <c r="D482" s="3">
        <v>1</v>
      </c>
      <c r="E482" s="3">
        <v>1</v>
      </c>
      <c r="F482" s="3">
        <v>1</v>
      </c>
      <c r="G482" s="3">
        <v>551.6</v>
      </c>
      <c r="H482" s="13">
        <v>0.53339999999999999</v>
      </c>
      <c r="I482" s="13">
        <v>0.48899999999999999</v>
      </c>
      <c r="J482" s="16">
        <v>0</v>
      </c>
      <c r="K482" s="16">
        <v>0</v>
      </c>
      <c r="L482" s="3">
        <v>0</v>
      </c>
      <c r="M482" s="3">
        <v>0</v>
      </c>
      <c r="N482" s="3">
        <v>990</v>
      </c>
      <c r="O482" s="3">
        <v>1025</v>
      </c>
      <c r="P482" s="1">
        <v>0</v>
      </c>
      <c r="Q482">
        <v>1005</v>
      </c>
      <c r="R482" s="3">
        <v>1677.6</v>
      </c>
      <c r="S482" s="1">
        <v>0</v>
      </c>
    </row>
    <row r="483" spans="1:19" x14ac:dyDescent="0.2">
      <c r="A483" s="12">
        <v>386</v>
      </c>
      <c r="B483" s="12">
        <v>390</v>
      </c>
      <c r="C483" s="12">
        <v>391</v>
      </c>
      <c r="D483" s="3">
        <v>1</v>
      </c>
      <c r="E483" s="3">
        <v>1</v>
      </c>
      <c r="F483" s="3">
        <v>1</v>
      </c>
      <c r="G483" s="3">
        <v>551.6</v>
      </c>
      <c r="H483" s="13">
        <v>0.53339999999999999</v>
      </c>
      <c r="I483" s="13">
        <v>0.48899999999999999</v>
      </c>
      <c r="J483" s="16">
        <v>0</v>
      </c>
      <c r="K483" s="16">
        <v>0</v>
      </c>
      <c r="L483" s="3">
        <v>0</v>
      </c>
      <c r="M483" s="3">
        <v>0</v>
      </c>
      <c r="N483" s="3">
        <v>990</v>
      </c>
      <c r="O483" s="3">
        <v>1025</v>
      </c>
      <c r="P483" s="1">
        <v>0</v>
      </c>
      <c r="Q483">
        <v>1005</v>
      </c>
      <c r="R483" s="3">
        <v>1677.6</v>
      </c>
      <c r="S483" s="1">
        <v>0</v>
      </c>
    </row>
    <row r="484" spans="1:19" x14ac:dyDescent="0.2">
      <c r="A484" s="12">
        <v>387</v>
      </c>
      <c r="B484" s="12">
        <v>391</v>
      </c>
      <c r="C484" s="12">
        <v>392</v>
      </c>
      <c r="D484" s="3">
        <v>1</v>
      </c>
      <c r="E484" s="3">
        <v>1</v>
      </c>
      <c r="F484" s="3">
        <v>1</v>
      </c>
      <c r="G484" s="3">
        <v>551.6</v>
      </c>
      <c r="H484" s="13">
        <v>0.53339999999999999</v>
      </c>
      <c r="I484" s="13">
        <v>0.48899999999999999</v>
      </c>
      <c r="J484" s="16">
        <v>0</v>
      </c>
      <c r="K484" s="16">
        <v>0</v>
      </c>
      <c r="L484" s="3">
        <v>0</v>
      </c>
      <c r="M484" s="3">
        <v>0</v>
      </c>
      <c r="N484" s="3">
        <v>990</v>
      </c>
      <c r="O484" s="3">
        <v>1025</v>
      </c>
      <c r="P484" s="1">
        <v>0</v>
      </c>
      <c r="Q484">
        <v>1005</v>
      </c>
      <c r="R484" s="3">
        <v>1677.6</v>
      </c>
      <c r="S484" s="1">
        <v>0</v>
      </c>
    </row>
    <row r="485" spans="1:19" x14ac:dyDescent="0.2">
      <c r="A485" s="12">
        <v>388</v>
      </c>
      <c r="B485" s="12">
        <v>392</v>
      </c>
      <c r="C485" s="12">
        <v>393</v>
      </c>
      <c r="D485" s="3">
        <v>1</v>
      </c>
      <c r="E485" s="3">
        <v>1</v>
      </c>
      <c r="F485" s="3">
        <v>1</v>
      </c>
      <c r="G485" s="3">
        <v>551.6</v>
      </c>
      <c r="H485" s="13">
        <v>0.53339999999999999</v>
      </c>
      <c r="I485" s="13">
        <v>0.48899999999999999</v>
      </c>
      <c r="J485" s="16">
        <v>0</v>
      </c>
      <c r="K485" s="16">
        <v>0</v>
      </c>
      <c r="L485" s="3">
        <v>0</v>
      </c>
      <c r="M485" s="3">
        <v>0</v>
      </c>
      <c r="N485" s="3">
        <v>990</v>
      </c>
      <c r="O485" s="3">
        <v>1025</v>
      </c>
      <c r="P485" s="1">
        <v>0</v>
      </c>
      <c r="Q485">
        <v>1005</v>
      </c>
      <c r="R485" s="3">
        <v>1677.6</v>
      </c>
      <c r="S485" s="1">
        <v>0</v>
      </c>
    </row>
    <row r="486" spans="1:19" x14ac:dyDescent="0.2">
      <c r="A486" s="12">
        <v>389</v>
      </c>
      <c r="B486" s="12">
        <v>393</v>
      </c>
      <c r="C486" s="12">
        <v>394</v>
      </c>
      <c r="D486" s="3">
        <v>1</v>
      </c>
      <c r="E486" s="3">
        <v>1</v>
      </c>
      <c r="F486" s="3">
        <v>1</v>
      </c>
      <c r="G486" s="3">
        <v>551.6</v>
      </c>
      <c r="H486" s="13">
        <v>0.53339999999999999</v>
      </c>
      <c r="I486" s="13">
        <v>0.48899999999999999</v>
      </c>
      <c r="J486" s="16">
        <v>0</v>
      </c>
      <c r="K486" s="16">
        <v>0</v>
      </c>
      <c r="L486" s="3">
        <v>0</v>
      </c>
      <c r="M486" s="3">
        <v>0</v>
      </c>
      <c r="N486" s="3">
        <v>990</v>
      </c>
      <c r="O486" s="3">
        <v>1025</v>
      </c>
      <c r="P486" s="1">
        <v>0</v>
      </c>
      <c r="Q486">
        <v>1005</v>
      </c>
      <c r="R486" s="3">
        <v>1677.6</v>
      </c>
      <c r="S486" s="1">
        <v>0</v>
      </c>
    </row>
    <row r="487" spans="1:19" x14ac:dyDescent="0.2">
      <c r="A487" s="12">
        <v>390</v>
      </c>
      <c r="B487" s="12">
        <v>394</v>
      </c>
      <c r="C487" s="12">
        <v>395</v>
      </c>
      <c r="D487" s="3">
        <v>1</v>
      </c>
      <c r="E487" s="3">
        <v>1</v>
      </c>
      <c r="F487" s="3">
        <v>1</v>
      </c>
      <c r="G487" s="3">
        <v>551.6</v>
      </c>
      <c r="H487" s="13">
        <v>0.53339999999999999</v>
      </c>
      <c r="I487" s="13">
        <v>0.48899999999999999</v>
      </c>
      <c r="J487" s="16">
        <v>0</v>
      </c>
      <c r="K487" s="16">
        <v>0</v>
      </c>
      <c r="L487" s="3">
        <v>0</v>
      </c>
      <c r="M487" s="3">
        <v>0</v>
      </c>
      <c r="N487" s="3">
        <v>990</v>
      </c>
      <c r="O487" s="3">
        <v>1025</v>
      </c>
      <c r="P487" s="1">
        <v>0</v>
      </c>
      <c r="Q487">
        <v>1005</v>
      </c>
      <c r="R487" s="3">
        <v>1677.6</v>
      </c>
      <c r="S487" s="1">
        <v>0</v>
      </c>
    </row>
    <row r="488" spans="1:19" x14ac:dyDescent="0.2">
      <c r="A488" s="12">
        <v>391</v>
      </c>
      <c r="B488" s="12">
        <v>395</v>
      </c>
      <c r="C488" s="12">
        <v>396</v>
      </c>
      <c r="D488" s="3">
        <v>1</v>
      </c>
      <c r="E488" s="3">
        <v>1</v>
      </c>
      <c r="F488" s="3">
        <v>1</v>
      </c>
      <c r="G488" s="3">
        <v>551.6</v>
      </c>
      <c r="H488" s="13">
        <v>0.53339999999999999</v>
      </c>
      <c r="I488" s="13">
        <v>0.48899999999999999</v>
      </c>
      <c r="J488" s="16">
        <v>0</v>
      </c>
      <c r="K488" s="16">
        <v>0</v>
      </c>
      <c r="L488" s="3">
        <v>0</v>
      </c>
      <c r="M488" s="3">
        <v>0</v>
      </c>
      <c r="N488" s="3">
        <v>990</v>
      </c>
      <c r="O488" s="3">
        <v>1025</v>
      </c>
      <c r="P488" s="1">
        <v>0</v>
      </c>
      <c r="Q488">
        <v>1005</v>
      </c>
      <c r="R488" s="3">
        <v>1677.6</v>
      </c>
      <c r="S488" s="1">
        <v>0</v>
      </c>
    </row>
    <row r="489" spans="1:19" x14ac:dyDescent="0.2">
      <c r="A489" s="12">
        <v>392</v>
      </c>
      <c r="B489" s="12">
        <v>396</v>
      </c>
      <c r="C489" s="12">
        <v>397</v>
      </c>
      <c r="D489" s="3">
        <v>1</v>
      </c>
      <c r="E489" s="3">
        <v>1</v>
      </c>
      <c r="F489" s="3">
        <v>1</v>
      </c>
      <c r="G489" s="3">
        <v>551.6</v>
      </c>
      <c r="H489" s="13">
        <v>0.53339999999999999</v>
      </c>
      <c r="I489" s="13">
        <v>0.48899999999999999</v>
      </c>
      <c r="J489" s="16">
        <v>0</v>
      </c>
      <c r="K489" s="16">
        <v>0</v>
      </c>
      <c r="L489" s="3">
        <v>0</v>
      </c>
      <c r="M489" s="3">
        <v>0</v>
      </c>
      <c r="N489" s="3">
        <v>990</v>
      </c>
      <c r="O489" s="3">
        <v>1025</v>
      </c>
      <c r="P489" s="1">
        <v>0</v>
      </c>
      <c r="Q489">
        <v>1005</v>
      </c>
      <c r="R489" s="3">
        <v>1677.6</v>
      </c>
      <c r="S489" s="1">
        <v>0</v>
      </c>
    </row>
    <row r="490" spans="1:19" x14ac:dyDescent="0.2">
      <c r="A490" s="12">
        <v>393</v>
      </c>
      <c r="B490" s="12">
        <v>397</v>
      </c>
      <c r="C490" s="12">
        <v>398</v>
      </c>
      <c r="D490" s="3">
        <v>1</v>
      </c>
      <c r="E490" s="3">
        <v>1</v>
      </c>
      <c r="F490" s="3">
        <v>1</v>
      </c>
      <c r="G490" s="3">
        <v>551.6</v>
      </c>
      <c r="H490" s="13">
        <v>0.53339999999999999</v>
      </c>
      <c r="I490" s="13">
        <v>0.48899999999999999</v>
      </c>
      <c r="J490" s="16">
        <v>0</v>
      </c>
      <c r="K490" s="16">
        <v>0</v>
      </c>
      <c r="L490" s="3">
        <v>0</v>
      </c>
      <c r="M490" s="3">
        <v>0</v>
      </c>
      <c r="N490" s="3">
        <v>990</v>
      </c>
      <c r="O490" s="3">
        <v>1025</v>
      </c>
      <c r="P490" s="1">
        <v>0</v>
      </c>
      <c r="Q490">
        <v>1005</v>
      </c>
      <c r="R490" s="3">
        <v>1677.6</v>
      </c>
      <c r="S490" s="1">
        <v>0</v>
      </c>
    </row>
    <row r="491" spans="1:19" x14ac:dyDescent="0.2">
      <c r="A491" s="12">
        <v>394</v>
      </c>
      <c r="B491" s="12">
        <v>398</v>
      </c>
      <c r="C491" s="12">
        <v>399</v>
      </c>
      <c r="D491" s="3">
        <v>1</v>
      </c>
      <c r="E491" s="3">
        <v>1</v>
      </c>
      <c r="F491" s="3">
        <v>1</v>
      </c>
      <c r="G491" s="3">
        <v>551.6</v>
      </c>
      <c r="H491" s="13">
        <v>0.53339999999999999</v>
      </c>
      <c r="I491" s="13">
        <v>0.48899999999999999</v>
      </c>
      <c r="J491" s="16">
        <v>0</v>
      </c>
      <c r="K491" s="16">
        <v>0</v>
      </c>
      <c r="L491" s="3">
        <v>0</v>
      </c>
      <c r="M491" s="3">
        <v>0</v>
      </c>
      <c r="N491" s="3">
        <v>990</v>
      </c>
      <c r="O491" s="3">
        <v>1025</v>
      </c>
      <c r="P491" s="1">
        <v>0</v>
      </c>
      <c r="Q491">
        <v>1005</v>
      </c>
      <c r="R491" s="3">
        <v>1677.6</v>
      </c>
      <c r="S491" s="1">
        <v>0</v>
      </c>
    </row>
    <row r="492" spans="1:19" x14ac:dyDescent="0.2">
      <c r="A492" s="12">
        <v>395</v>
      </c>
      <c r="B492" s="12">
        <v>399</v>
      </c>
      <c r="C492" s="12">
        <v>400</v>
      </c>
      <c r="D492" s="3">
        <v>1</v>
      </c>
      <c r="E492" s="3">
        <v>1</v>
      </c>
      <c r="F492" s="3">
        <v>1</v>
      </c>
      <c r="G492" s="3">
        <v>551.6</v>
      </c>
      <c r="H492" s="13">
        <v>0.53339999999999999</v>
      </c>
      <c r="I492" s="13">
        <v>0.48899999999999999</v>
      </c>
      <c r="J492" s="16">
        <v>0</v>
      </c>
      <c r="K492" s="16">
        <v>0</v>
      </c>
      <c r="L492" s="3">
        <v>0</v>
      </c>
      <c r="M492" s="3">
        <v>0</v>
      </c>
      <c r="N492" s="3">
        <v>990</v>
      </c>
      <c r="O492" s="3">
        <v>1025</v>
      </c>
      <c r="P492" s="1">
        <v>0</v>
      </c>
      <c r="Q492">
        <v>1005</v>
      </c>
      <c r="R492" s="3">
        <v>1677.6</v>
      </c>
      <c r="S492" s="1">
        <v>0</v>
      </c>
    </row>
    <row r="493" spans="1:19" x14ac:dyDescent="0.2">
      <c r="A493" s="12">
        <v>396</v>
      </c>
      <c r="B493" s="12">
        <v>400</v>
      </c>
      <c r="C493" s="12">
        <v>401</v>
      </c>
      <c r="D493" s="3">
        <v>1</v>
      </c>
      <c r="E493" s="3">
        <v>1</v>
      </c>
      <c r="F493" s="3">
        <v>1</v>
      </c>
      <c r="G493" s="3">
        <v>551.6</v>
      </c>
      <c r="H493" s="13">
        <v>0.53339999999999999</v>
      </c>
      <c r="I493" s="13">
        <v>0.48899999999999999</v>
      </c>
      <c r="J493" s="16">
        <v>0</v>
      </c>
      <c r="K493" s="16">
        <v>0</v>
      </c>
      <c r="L493" s="3">
        <v>0</v>
      </c>
      <c r="M493" s="3">
        <v>0</v>
      </c>
      <c r="N493" s="3">
        <v>990</v>
      </c>
      <c r="O493" s="3">
        <v>1025</v>
      </c>
      <c r="P493" s="1">
        <v>0</v>
      </c>
      <c r="Q493">
        <v>1005</v>
      </c>
      <c r="R493" s="3">
        <v>1677.6</v>
      </c>
      <c r="S493" s="1">
        <v>0</v>
      </c>
    </row>
    <row r="494" spans="1:19" x14ac:dyDescent="0.2">
      <c r="A494" s="12">
        <v>397</v>
      </c>
      <c r="B494" s="12">
        <v>401</v>
      </c>
      <c r="C494" s="12">
        <v>402</v>
      </c>
      <c r="D494" s="3">
        <v>1</v>
      </c>
      <c r="E494" s="3">
        <v>1</v>
      </c>
      <c r="F494" s="3">
        <v>1</v>
      </c>
      <c r="G494" s="3">
        <v>551.6</v>
      </c>
      <c r="H494" s="13">
        <v>0.53339999999999999</v>
      </c>
      <c r="I494" s="13">
        <v>0.48899999999999999</v>
      </c>
      <c r="J494" s="16">
        <v>0</v>
      </c>
      <c r="K494" s="16">
        <v>0</v>
      </c>
      <c r="L494" s="3">
        <v>0</v>
      </c>
      <c r="M494" s="3">
        <v>0</v>
      </c>
      <c r="N494" s="3">
        <v>990</v>
      </c>
      <c r="O494" s="3">
        <v>1025</v>
      </c>
      <c r="P494" s="1">
        <v>0</v>
      </c>
      <c r="Q494">
        <v>1005</v>
      </c>
      <c r="R494" s="3">
        <v>1677.6</v>
      </c>
      <c r="S494" s="1">
        <v>0</v>
      </c>
    </row>
    <row r="495" spans="1:19" x14ac:dyDescent="0.2">
      <c r="A495" s="12">
        <v>398</v>
      </c>
      <c r="B495" s="12">
        <v>402</v>
      </c>
      <c r="C495" s="12">
        <v>403</v>
      </c>
      <c r="D495" s="3">
        <v>1</v>
      </c>
      <c r="E495" s="3">
        <v>1</v>
      </c>
      <c r="F495" s="3">
        <v>1</v>
      </c>
      <c r="G495" s="3">
        <v>551.6</v>
      </c>
      <c r="H495" s="13">
        <v>0.53339999999999999</v>
      </c>
      <c r="I495" s="13">
        <v>0.48899999999999999</v>
      </c>
      <c r="J495" s="16">
        <v>0</v>
      </c>
      <c r="K495" s="16">
        <v>0</v>
      </c>
      <c r="L495" s="3">
        <v>0</v>
      </c>
      <c r="M495" s="3">
        <v>0</v>
      </c>
      <c r="N495" s="3">
        <v>990</v>
      </c>
      <c r="O495" s="3">
        <v>1025</v>
      </c>
      <c r="P495" s="1">
        <v>0</v>
      </c>
      <c r="Q495">
        <v>1005</v>
      </c>
      <c r="R495" s="3">
        <v>1677.6</v>
      </c>
      <c r="S495" s="1">
        <v>0</v>
      </c>
    </row>
    <row r="496" spans="1:19" x14ac:dyDescent="0.2">
      <c r="A496" s="12">
        <v>399</v>
      </c>
      <c r="B496" s="12">
        <v>403</v>
      </c>
      <c r="C496" s="12">
        <v>404</v>
      </c>
      <c r="D496" s="3">
        <v>1</v>
      </c>
      <c r="E496" s="3">
        <v>1</v>
      </c>
      <c r="F496" s="3">
        <v>1</v>
      </c>
      <c r="G496" s="3">
        <v>551.6</v>
      </c>
      <c r="H496" s="13">
        <v>0.53339999999999999</v>
      </c>
      <c r="I496" s="13">
        <v>0.48899999999999999</v>
      </c>
      <c r="J496" s="16">
        <v>0</v>
      </c>
      <c r="K496" s="16">
        <v>0</v>
      </c>
      <c r="L496" s="3">
        <v>0</v>
      </c>
      <c r="M496" s="3">
        <v>0</v>
      </c>
      <c r="N496" s="3">
        <v>990</v>
      </c>
      <c r="O496" s="3">
        <v>1025</v>
      </c>
      <c r="P496" s="1">
        <v>0</v>
      </c>
      <c r="Q496">
        <v>1005</v>
      </c>
      <c r="R496" s="3">
        <v>1677.6</v>
      </c>
      <c r="S496" s="1">
        <v>0</v>
      </c>
    </row>
    <row r="497" spans="1:19" x14ac:dyDescent="0.2">
      <c r="A497" s="12">
        <v>400</v>
      </c>
      <c r="B497" s="12">
        <v>404</v>
      </c>
      <c r="C497" s="12">
        <v>405</v>
      </c>
      <c r="D497" s="3">
        <v>1</v>
      </c>
      <c r="E497" s="3">
        <v>1</v>
      </c>
      <c r="F497" s="3">
        <v>1</v>
      </c>
      <c r="G497" s="3">
        <v>551.6</v>
      </c>
      <c r="H497" s="13">
        <v>0.53339999999999999</v>
      </c>
      <c r="I497" s="13">
        <v>0.48899999999999999</v>
      </c>
      <c r="J497" s="16">
        <v>0</v>
      </c>
      <c r="K497" s="16">
        <v>0</v>
      </c>
      <c r="L497" s="3">
        <v>0</v>
      </c>
      <c r="M497" s="3">
        <v>0</v>
      </c>
      <c r="N497" s="3">
        <v>990</v>
      </c>
      <c r="O497" s="3">
        <v>1025</v>
      </c>
      <c r="P497" s="1">
        <v>0</v>
      </c>
      <c r="Q497">
        <v>1005</v>
      </c>
      <c r="R497" s="3">
        <v>1677.6</v>
      </c>
      <c r="S497" s="1">
        <v>0</v>
      </c>
    </row>
    <row r="498" spans="1:19" x14ac:dyDescent="0.2">
      <c r="A498" s="12">
        <v>401</v>
      </c>
      <c r="B498" s="12">
        <v>405</v>
      </c>
      <c r="C498" s="12">
        <v>406</v>
      </c>
      <c r="D498" s="3">
        <v>1</v>
      </c>
      <c r="E498" s="3">
        <v>1</v>
      </c>
      <c r="F498" s="3">
        <v>1</v>
      </c>
      <c r="G498" s="3">
        <v>551.6</v>
      </c>
      <c r="H498" s="13">
        <v>0.53339999999999999</v>
      </c>
      <c r="I498" s="13">
        <v>0.48899999999999999</v>
      </c>
      <c r="J498" s="16">
        <v>0</v>
      </c>
      <c r="K498" s="16">
        <v>0</v>
      </c>
      <c r="L498" s="3">
        <v>0</v>
      </c>
      <c r="M498" s="3">
        <v>0</v>
      </c>
      <c r="N498" s="3">
        <v>990</v>
      </c>
      <c r="O498" s="3">
        <v>1025</v>
      </c>
      <c r="P498" s="1">
        <v>0</v>
      </c>
      <c r="Q498">
        <v>1005</v>
      </c>
      <c r="R498" s="3">
        <v>1677.6</v>
      </c>
      <c r="S498" s="1">
        <v>0</v>
      </c>
    </row>
    <row r="499" spans="1:19" x14ac:dyDescent="0.2">
      <c r="A499" s="12">
        <v>402</v>
      </c>
      <c r="B499" s="12">
        <v>406</v>
      </c>
      <c r="C499" s="12">
        <v>407</v>
      </c>
      <c r="D499" s="3">
        <v>1</v>
      </c>
      <c r="E499" s="3">
        <v>1</v>
      </c>
      <c r="F499" s="3">
        <v>1</v>
      </c>
      <c r="G499" s="3">
        <v>551.6</v>
      </c>
      <c r="H499" s="13">
        <v>0.53339999999999999</v>
      </c>
      <c r="I499" s="13">
        <v>0.48899999999999999</v>
      </c>
      <c r="J499" s="16">
        <v>0</v>
      </c>
      <c r="K499" s="16">
        <v>0</v>
      </c>
      <c r="L499" s="3">
        <v>0</v>
      </c>
      <c r="M499" s="3">
        <v>0</v>
      </c>
      <c r="N499" s="3">
        <v>990</v>
      </c>
      <c r="O499" s="3">
        <v>1025</v>
      </c>
      <c r="P499" s="1">
        <v>0</v>
      </c>
      <c r="Q499">
        <v>1005</v>
      </c>
      <c r="R499" s="3">
        <v>1677.6</v>
      </c>
      <c r="S499" s="1">
        <v>0</v>
      </c>
    </row>
    <row r="500" spans="1:19" x14ac:dyDescent="0.2">
      <c r="A500" s="12">
        <v>403</v>
      </c>
      <c r="B500" s="12">
        <v>407</v>
      </c>
      <c r="C500" s="12">
        <v>408</v>
      </c>
      <c r="D500" s="3">
        <v>1</v>
      </c>
      <c r="E500" s="3">
        <v>1</v>
      </c>
      <c r="F500" s="3">
        <v>1</v>
      </c>
      <c r="G500" s="3">
        <v>551.6</v>
      </c>
      <c r="H500" s="13">
        <v>0.53339999999999999</v>
      </c>
      <c r="I500" s="13">
        <v>0.48899999999999999</v>
      </c>
      <c r="J500" s="16">
        <v>0</v>
      </c>
      <c r="K500" s="16">
        <v>0</v>
      </c>
      <c r="L500" s="3">
        <v>0</v>
      </c>
      <c r="M500" s="3">
        <v>0</v>
      </c>
      <c r="N500" s="3">
        <v>990</v>
      </c>
      <c r="O500" s="3">
        <v>1025</v>
      </c>
      <c r="P500" s="1">
        <v>0</v>
      </c>
      <c r="Q500">
        <v>1005</v>
      </c>
      <c r="R500" s="3">
        <v>1677.6</v>
      </c>
      <c r="S500" s="1">
        <v>0</v>
      </c>
    </row>
    <row r="501" spans="1:19" x14ac:dyDescent="0.2">
      <c r="A501" s="12">
        <v>404</v>
      </c>
      <c r="B501" s="12">
        <v>408</v>
      </c>
      <c r="C501" s="12">
        <v>409</v>
      </c>
      <c r="D501" s="3">
        <v>1</v>
      </c>
      <c r="E501" s="3">
        <v>1</v>
      </c>
      <c r="F501" s="3">
        <v>1</v>
      </c>
      <c r="G501" s="3">
        <v>551.6</v>
      </c>
      <c r="H501" s="13">
        <v>0.53339999999999999</v>
      </c>
      <c r="I501" s="13">
        <v>0.48899999999999999</v>
      </c>
      <c r="J501" s="16">
        <v>0</v>
      </c>
      <c r="K501" s="16">
        <v>0</v>
      </c>
      <c r="L501" s="3">
        <v>0</v>
      </c>
      <c r="M501" s="3">
        <v>0</v>
      </c>
      <c r="N501" s="3">
        <v>990</v>
      </c>
      <c r="O501" s="3">
        <v>1025</v>
      </c>
      <c r="P501" s="1">
        <v>0</v>
      </c>
      <c r="Q501">
        <v>1005</v>
      </c>
      <c r="R501" s="3">
        <v>1677.6</v>
      </c>
      <c r="S501" s="1">
        <v>0</v>
      </c>
    </row>
    <row r="502" spans="1:19" x14ac:dyDescent="0.2">
      <c r="A502" s="12">
        <v>405</v>
      </c>
      <c r="B502" s="12">
        <v>409</v>
      </c>
      <c r="C502" s="12">
        <v>410</v>
      </c>
      <c r="D502" s="3">
        <v>1</v>
      </c>
      <c r="E502" s="3">
        <v>1</v>
      </c>
      <c r="F502" s="3">
        <v>1</v>
      </c>
      <c r="G502" s="3">
        <v>551.6</v>
      </c>
      <c r="H502" s="13">
        <v>0.53339999999999999</v>
      </c>
      <c r="I502" s="13">
        <v>0.48899999999999999</v>
      </c>
      <c r="J502" s="16">
        <v>0</v>
      </c>
      <c r="K502" s="16">
        <v>0</v>
      </c>
      <c r="L502" s="3">
        <v>0</v>
      </c>
      <c r="M502" s="3">
        <v>0</v>
      </c>
      <c r="N502" s="3">
        <v>990</v>
      </c>
      <c r="O502" s="3">
        <v>1025</v>
      </c>
      <c r="P502" s="1">
        <v>0</v>
      </c>
      <c r="Q502">
        <v>1005</v>
      </c>
      <c r="R502" s="3">
        <v>1677.6</v>
      </c>
      <c r="S502" s="1">
        <v>0</v>
      </c>
    </row>
    <row r="503" spans="1:19" x14ac:dyDescent="0.2">
      <c r="A503" s="12">
        <v>406</v>
      </c>
      <c r="B503" s="12">
        <v>410</v>
      </c>
      <c r="C503" s="12">
        <v>411</v>
      </c>
      <c r="D503" s="3">
        <v>1</v>
      </c>
      <c r="E503" s="3">
        <v>1</v>
      </c>
      <c r="F503" s="3">
        <v>1</v>
      </c>
      <c r="G503" s="3">
        <v>551.6</v>
      </c>
      <c r="H503" s="13">
        <v>0.53339999999999999</v>
      </c>
      <c r="I503" s="13">
        <v>0.48899999999999999</v>
      </c>
      <c r="J503" s="16">
        <v>0</v>
      </c>
      <c r="K503" s="16">
        <v>0</v>
      </c>
      <c r="L503" s="3">
        <v>0</v>
      </c>
      <c r="M503" s="3">
        <v>0</v>
      </c>
      <c r="N503" s="3">
        <v>990</v>
      </c>
      <c r="O503" s="3">
        <v>1025</v>
      </c>
      <c r="P503" s="1">
        <v>0</v>
      </c>
      <c r="Q503">
        <v>1005</v>
      </c>
      <c r="R503" s="3">
        <v>1677.6</v>
      </c>
      <c r="S503" s="1">
        <v>0</v>
      </c>
    </row>
    <row r="504" spans="1:19" x14ac:dyDescent="0.2">
      <c r="A504" s="12">
        <v>407</v>
      </c>
      <c r="B504" s="12">
        <v>411</v>
      </c>
      <c r="C504" s="12">
        <v>412</v>
      </c>
      <c r="D504" s="3">
        <v>1</v>
      </c>
      <c r="E504" s="3">
        <v>1</v>
      </c>
      <c r="F504" s="3">
        <v>1</v>
      </c>
      <c r="G504" s="3">
        <v>551.6</v>
      </c>
      <c r="H504" s="13">
        <v>0.53339999999999999</v>
      </c>
      <c r="I504" s="13">
        <v>0.48899999999999999</v>
      </c>
      <c r="J504" s="16">
        <v>0</v>
      </c>
      <c r="K504" s="16">
        <v>0</v>
      </c>
      <c r="L504" s="3">
        <v>0</v>
      </c>
      <c r="M504" s="3">
        <v>0</v>
      </c>
      <c r="N504" s="3">
        <v>990</v>
      </c>
      <c r="O504" s="3">
        <v>1025</v>
      </c>
      <c r="P504" s="1">
        <v>0</v>
      </c>
      <c r="Q504">
        <v>1005</v>
      </c>
      <c r="R504" s="3">
        <v>1677.6</v>
      </c>
      <c r="S504" s="1">
        <v>0</v>
      </c>
    </row>
    <row r="505" spans="1:19" x14ac:dyDescent="0.2">
      <c r="A505" s="12">
        <v>408</v>
      </c>
      <c r="B505" s="12">
        <v>412</v>
      </c>
      <c r="C505" s="12">
        <v>413</v>
      </c>
      <c r="D505" s="3">
        <v>1</v>
      </c>
      <c r="E505" s="3">
        <v>1</v>
      </c>
      <c r="F505" s="3">
        <v>1</v>
      </c>
      <c r="G505" s="3">
        <v>551.6</v>
      </c>
      <c r="H505" s="13">
        <v>0.53339999999999999</v>
      </c>
      <c r="I505" s="13">
        <v>0.48899999999999999</v>
      </c>
      <c r="J505" s="16">
        <v>0</v>
      </c>
      <c r="K505" s="16">
        <v>0</v>
      </c>
      <c r="L505" s="3">
        <v>0</v>
      </c>
      <c r="M505" s="3">
        <v>0</v>
      </c>
      <c r="N505" s="3">
        <v>990</v>
      </c>
      <c r="O505" s="3">
        <v>1025</v>
      </c>
      <c r="P505" s="1">
        <v>0</v>
      </c>
      <c r="Q505">
        <v>1005</v>
      </c>
      <c r="R505" s="3">
        <v>1677.6</v>
      </c>
      <c r="S505" s="1">
        <v>0</v>
      </c>
    </row>
    <row r="506" spans="1:19" x14ac:dyDescent="0.2">
      <c r="A506" s="12">
        <v>409</v>
      </c>
      <c r="B506" s="12">
        <v>413</v>
      </c>
      <c r="C506" s="12">
        <v>414</v>
      </c>
      <c r="D506" s="3">
        <v>1</v>
      </c>
      <c r="E506" s="3">
        <v>1</v>
      </c>
      <c r="F506" s="3">
        <v>1</v>
      </c>
      <c r="G506" s="3">
        <v>551.6</v>
      </c>
      <c r="H506" s="13">
        <v>0.53339999999999999</v>
      </c>
      <c r="I506" s="13">
        <v>0.48899999999999999</v>
      </c>
      <c r="J506" s="16">
        <v>0</v>
      </c>
      <c r="K506" s="16">
        <v>0</v>
      </c>
      <c r="L506" s="3">
        <v>0</v>
      </c>
      <c r="M506" s="3">
        <v>0</v>
      </c>
      <c r="N506" s="3">
        <v>990</v>
      </c>
      <c r="O506" s="3">
        <v>1025</v>
      </c>
      <c r="P506" s="1">
        <v>0</v>
      </c>
      <c r="Q506">
        <v>1005</v>
      </c>
      <c r="R506" s="3">
        <v>1677.6</v>
      </c>
      <c r="S506" s="1">
        <v>0</v>
      </c>
    </row>
    <row r="507" spans="1:19" x14ac:dyDescent="0.2">
      <c r="A507" s="12">
        <v>410</v>
      </c>
      <c r="B507" s="12">
        <v>414</v>
      </c>
      <c r="C507" s="12">
        <v>415</v>
      </c>
      <c r="D507" s="3">
        <v>1</v>
      </c>
      <c r="E507" s="3">
        <v>1</v>
      </c>
      <c r="F507" s="3">
        <v>1</v>
      </c>
      <c r="G507" s="3">
        <v>551.6</v>
      </c>
      <c r="H507" s="13">
        <v>0.53339999999999999</v>
      </c>
      <c r="I507" s="13">
        <v>0.48899999999999999</v>
      </c>
      <c r="J507" s="16">
        <v>0</v>
      </c>
      <c r="K507" s="16">
        <v>0</v>
      </c>
      <c r="L507" s="3">
        <v>0</v>
      </c>
      <c r="M507" s="3">
        <v>0</v>
      </c>
      <c r="N507" s="3">
        <v>990</v>
      </c>
      <c r="O507" s="3">
        <v>1025</v>
      </c>
      <c r="P507" s="1">
        <v>0</v>
      </c>
      <c r="Q507">
        <v>1005</v>
      </c>
      <c r="R507" s="3">
        <v>1677.6</v>
      </c>
      <c r="S507" s="1">
        <v>0</v>
      </c>
    </row>
    <row r="508" spans="1:19" x14ac:dyDescent="0.2">
      <c r="A508" s="12">
        <v>411</v>
      </c>
      <c r="B508" s="12">
        <v>415</v>
      </c>
      <c r="C508" s="12">
        <v>416</v>
      </c>
      <c r="D508" s="3">
        <v>1</v>
      </c>
      <c r="E508" s="3">
        <v>1</v>
      </c>
      <c r="F508" s="3">
        <v>1</v>
      </c>
      <c r="G508" s="3">
        <v>551.6</v>
      </c>
      <c r="H508" s="13">
        <v>0.53339999999999999</v>
      </c>
      <c r="I508" s="13">
        <v>0.48899999999999999</v>
      </c>
      <c r="J508" s="16">
        <v>0</v>
      </c>
      <c r="K508" s="16">
        <v>0</v>
      </c>
      <c r="L508" s="3">
        <v>0</v>
      </c>
      <c r="M508" s="3">
        <v>0</v>
      </c>
      <c r="N508" s="3">
        <v>990</v>
      </c>
      <c r="O508" s="3">
        <v>1025</v>
      </c>
      <c r="P508" s="1">
        <v>0</v>
      </c>
      <c r="Q508">
        <v>1005</v>
      </c>
      <c r="R508" s="3">
        <v>1677.6</v>
      </c>
      <c r="S508" s="1">
        <v>0</v>
      </c>
    </row>
    <row r="509" spans="1:19" x14ac:dyDescent="0.2">
      <c r="A509" s="12">
        <v>412</v>
      </c>
      <c r="B509" s="12">
        <v>416</v>
      </c>
      <c r="C509" s="12">
        <v>417</v>
      </c>
      <c r="D509" s="3">
        <v>1</v>
      </c>
      <c r="E509" s="3">
        <v>1</v>
      </c>
      <c r="F509" s="3">
        <v>1</v>
      </c>
      <c r="G509" s="3">
        <v>551.6</v>
      </c>
      <c r="H509" s="13">
        <v>0.53339999999999999</v>
      </c>
      <c r="I509" s="13">
        <v>0.48899999999999999</v>
      </c>
      <c r="J509" s="16">
        <v>0</v>
      </c>
      <c r="K509" s="16">
        <v>0</v>
      </c>
      <c r="L509" s="3">
        <v>0</v>
      </c>
      <c r="M509" s="3">
        <v>0</v>
      </c>
      <c r="N509" s="3">
        <v>990</v>
      </c>
      <c r="O509" s="3">
        <v>1025</v>
      </c>
      <c r="P509" s="1">
        <v>0</v>
      </c>
      <c r="Q509">
        <v>1005</v>
      </c>
      <c r="R509" s="3">
        <v>1677.6</v>
      </c>
      <c r="S509" s="1">
        <v>0</v>
      </c>
    </row>
    <row r="510" spans="1:19" x14ac:dyDescent="0.2">
      <c r="A510" s="12">
        <v>413</v>
      </c>
      <c r="B510" s="12">
        <v>417</v>
      </c>
      <c r="C510" s="12">
        <v>418</v>
      </c>
      <c r="D510" s="3">
        <v>1</v>
      </c>
      <c r="E510" s="3">
        <v>1</v>
      </c>
      <c r="F510" s="3">
        <v>1</v>
      </c>
      <c r="G510" s="3">
        <v>551.6</v>
      </c>
      <c r="H510" s="13">
        <v>0.53339999999999999</v>
      </c>
      <c r="I510" s="13">
        <v>0.48899999999999999</v>
      </c>
      <c r="J510" s="16">
        <v>0</v>
      </c>
      <c r="K510" s="16">
        <v>0</v>
      </c>
      <c r="L510" s="3">
        <v>0</v>
      </c>
      <c r="M510" s="3">
        <v>0</v>
      </c>
      <c r="N510" s="3">
        <v>990</v>
      </c>
      <c r="O510" s="3">
        <v>1025</v>
      </c>
      <c r="P510" s="1">
        <v>0</v>
      </c>
      <c r="Q510">
        <v>1005</v>
      </c>
      <c r="R510" s="3">
        <v>1677.6</v>
      </c>
      <c r="S510" s="1">
        <v>0</v>
      </c>
    </row>
    <row r="511" spans="1:19" x14ac:dyDescent="0.2">
      <c r="A511" s="12">
        <v>414</v>
      </c>
      <c r="B511" s="12">
        <v>418</v>
      </c>
      <c r="C511" s="12">
        <v>419</v>
      </c>
      <c r="D511" s="3">
        <v>1</v>
      </c>
      <c r="E511" s="3">
        <v>1</v>
      </c>
      <c r="F511" s="3">
        <v>1</v>
      </c>
      <c r="G511" s="3">
        <v>551.6</v>
      </c>
      <c r="H511" s="13">
        <v>0.53339999999999999</v>
      </c>
      <c r="I511" s="13">
        <v>0.48899999999999999</v>
      </c>
      <c r="J511" s="16">
        <v>0</v>
      </c>
      <c r="K511" s="16">
        <v>0</v>
      </c>
      <c r="L511" s="3">
        <v>0</v>
      </c>
      <c r="M511" s="3">
        <v>0</v>
      </c>
      <c r="N511" s="3">
        <v>990</v>
      </c>
      <c r="O511" s="3">
        <v>1025</v>
      </c>
      <c r="P511" s="1">
        <v>0</v>
      </c>
      <c r="Q511">
        <v>1005</v>
      </c>
      <c r="R511" s="3">
        <v>1677.6</v>
      </c>
      <c r="S511" s="1">
        <v>0</v>
      </c>
    </row>
    <row r="512" spans="1:19" x14ac:dyDescent="0.2">
      <c r="A512" s="12">
        <v>415</v>
      </c>
      <c r="B512" s="12">
        <v>419</v>
      </c>
      <c r="C512" s="12">
        <v>420</v>
      </c>
      <c r="D512" s="3">
        <v>1</v>
      </c>
      <c r="E512" s="3">
        <v>1</v>
      </c>
      <c r="F512" s="3">
        <v>1</v>
      </c>
      <c r="G512" s="3">
        <v>551.6</v>
      </c>
      <c r="H512" s="13">
        <v>0.53339999999999999</v>
      </c>
      <c r="I512" s="13">
        <v>0.48899999999999999</v>
      </c>
      <c r="J512" s="16">
        <v>0</v>
      </c>
      <c r="K512" s="16">
        <v>0</v>
      </c>
      <c r="L512" s="3">
        <v>0</v>
      </c>
      <c r="M512" s="3">
        <v>0</v>
      </c>
      <c r="N512" s="3">
        <v>990</v>
      </c>
      <c r="O512" s="3">
        <v>1025</v>
      </c>
      <c r="P512" s="1">
        <v>0</v>
      </c>
      <c r="Q512">
        <v>1005</v>
      </c>
      <c r="R512" s="3">
        <v>1677.6</v>
      </c>
      <c r="S512" s="1">
        <v>0</v>
      </c>
    </row>
    <row r="513" spans="1:19" x14ac:dyDescent="0.2">
      <c r="A513" s="12">
        <v>416</v>
      </c>
      <c r="B513" s="12">
        <v>420</v>
      </c>
      <c r="C513" s="12">
        <v>421</v>
      </c>
      <c r="D513" s="3">
        <v>1</v>
      </c>
      <c r="E513" s="3">
        <v>1</v>
      </c>
      <c r="F513" s="3">
        <v>1</v>
      </c>
      <c r="G513" s="3">
        <v>551.6</v>
      </c>
      <c r="H513" s="13">
        <v>0.53339999999999999</v>
      </c>
      <c r="I513" s="13">
        <v>0.48899999999999999</v>
      </c>
      <c r="J513" s="16">
        <v>0</v>
      </c>
      <c r="K513" s="16">
        <v>0</v>
      </c>
      <c r="L513" s="3">
        <v>0</v>
      </c>
      <c r="M513" s="3">
        <v>0</v>
      </c>
      <c r="N513" s="3">
        <v>990</v>
      </c>
      <c r="O513" s="3">
        <v>1025</v>
      </c>
      <c r="P513" s="1">
        <v>0</v>
      </c>
      <c r="Q513">
        <v>1005</v>
      </c>
      <c r="R513" s="3">
        <v>1677.6</v>
      </c>
      <c r="S513" s="1">
        <v>0</v>
      </c>
    </row>
    <row r="514" spans="1:19" x14ac:dyDescent="0.2">
      <c r="A514" s="12">
        <v>417</v>
      </c>
      <c r="B514" s="12">
        <v>421</v>
      </c>
      <c r="C514" s="12">
        <v>422</v>
      </c>
      <c r="D514" s="3">
        <v>1</v>
      </c>
      <c r="E514" s="3">
        <v>1</v>
      </c>
      <c r="F514" s="3">
        <v>1</v>
      </c>
      <c r="G514" s="3">
        <v>551.6</v>
      </c>
      <c r="H514" s="13">
        <v>0.53339999999999999</v>
      </c>
      <c r="I514" s="13">
        <v>0.48899999999999999</v>
      </c>
      <c r="J514" s="16">
        <v>0</v>
      </c>
      <c r="K514" s="16">
        <v>0</v>
      </c>
      <c r="L514" s="3">
        <v>0</v>
      </c>
      <c r="M514" s="3">
        <v>0</v>
      </c>
      <c r="N514" s="3">
        <v>990</v>
      </c>
      <c r="O514" s="3">
        <v>1025</v>
      </c>
      <c r="P514" s="1">
        <v>0</v>
      </c>
      <c r="Q514">
        <v>1005</v>
      </c>
      <c r="R514" s="3">
        <v>1677.6</v>
      </c>
      <c r="S514" s="1">
        <v>0</v>
      </c>
    </row>
    <row r="515" spans="1:19" x14ac:dyDescent="0.2">
      <c r="A515" s="12">
        <v>418</v>
      </c>
      <c r="B515" s="12">
        <v>422</v>
      </c>
      <c r="C515" s="12">
        <v>423</v>
      </c>
      <c r="D515" s="3">
        <v>1</v>
      </c>
      <c r="E515" s="3">
        <v>1</v>
      </c>
      <c r="F515" s="3">
        <v>1</v>
      </c>
      <c r="G515" s="3">
        <v>551.6</v>
      </c>
      <c r="H515" s="13">
        <v>0.53339999999999999</v>
      </c>
      <c r="I515" s="13">
        <v>0.48899999999999999</v>
      </c>
      <c r="J515" s="16">
        <v>0</v>
      </c>
      <c r="K515" s="16">
        <v>0</v>
      </c>
      <c r="L515" s="3">
        <v>0</v>
      </c>
      <c r="M515" s="3">
        <v>0</v>
      </c>
      <c r="N515" s="3">
        <v>990</v>
      </c>
      <c r="O515" s="3">
        <v>1025</v>
      </c>
      <c r="P515" s="1">
        <v>0</v>
      </c>
      <c r="Q515">
        <v>1005</v>
      </c>
      <c r="R515" s="3">
        <v>1677.6</v>
      </c>
      <c r="S515" s="1">
        <v>0</v>
      </c>
    </row>
    <row r="516" spans="1:19" x14ac:dyDescent="0.2">
      <c r="A516" s="12">
        <v>419</v>
      </c>
      <c r="B516" s="12">
        <v>423</v>
      </c>
      <c r="C516" s="12">
        <v>424</v>
      </c>
      <c r="D516" s="3">
        <v>1</v>
      </c>
      <c r="E516" s="3">
        <v>1</v>
      </c>
      <c r="F516" s="3">
        <v>1</v>
      </c>
      <c r="G516" s="3">
        <v>551.6</v>
      </c>
      <c r="H516" s="13">
        <v>0.53339999999999999</v>
      </c>
      <c r="I516" s="13">
        <v>0.48899999999999999</v>
      </c>
      <c r="J516" s="16">
        <v>0</v>
      </c>
      <c r="K516" s="16">
        <v>0</v>
      </c>
      <c r="L516" s="3">
        <v>0</v>
      </c>
      <c r="M516" s="3">
        <v>0</v>
      </c>
      <c r="N516" s="3">
        <v>990</v>
      </c>
      <c r="O516" s="3">
        <v>1025</v>
      </c>
      <c r="P516" s="1">
        <v>0</v>
      </c>
      <c r="Q516">
        <v>1005</v>
      </c>
      <c r="R516" s="3">
        <v>1677.6</v>
      </c>
      <c r="S516" s="1">
        <v>0</v>
      </c>
    </row>
    <row r="517" spans="1:19" x14ac:dyDescent="0.2">
      <c r="A517" s="12">
        <v>420</v>
      </c>
      <c r="B517" s="12">
        <v>424</v>
      </c>
      <c r="C517" s="12">
        <v>425</v>
      </c>
      <c r="D517" s="3">
        <v>1</v>
      </c>
      <c r="E517" s="3">
        <v>1</v>
      </c>
      <c r="F517" s="3">
        <v>1</v>
      </c>
      <c r="G517" s="3">
        <v>551.6</v>
      </c>
      <c r="H517" s="13">
        <v>0.53339999999999999</v>
      </c>
      <c r="I517" s="13">
        <v>0.48899999999999999</v>
      </c>
      <c r="J517" s="16">
        <v>0</v>
      </c>
      <c r="K517" s="16">
        <v>0</v>
      </c>
      <c r="L517" s="3">
        <v>0</v>
      </c>
      <c r="M517" s="3">
        <v>0</v>
      </c>
      <c r="N517" s="3">
        <v>990</v>
      </c>
      <c r="O517" s="3">
        <v>1025</v>
      </c>
      <c r="P517" s="1">
        <v>0</v>
      </c>
      <c r="Q517">
        <v>1005</v>
      </c>
      <c r="R517" s="3">
        <v>1677.6</v>
      </c>
      <c r="S517" s="1">
        <v>0</v>
      </c>
    </row>
    <row r="518" spans="1:19" x14ac:dyDescent="0.2">
      <c r="A518" s="12">
        <v>421</v>
      </c>
      <c r="B518" s="12">
        <v>425</v>
      </c>
      <c r="C518" s="12">
        <v>426</v>
      </c>
      <c r="D518" s="3">
        <v>1</v>
      </c>
      <c r="E518" s="3">
        <v>1</v>
      </c>
      <c r="F518" s="3">
        <v>1</v>
      </c>
      <c r="G518" s="3">
        <v>551.6</v>
      </c>
      <c r="H518" s="13">
        <v>0.53339999999999999</v>
      </c>
      <c r="I518" s="13">
        <v>0.48899999999999999</v>
      </c>
      <c r="J518" s="16">
        <v>0</v>
      </c>
      <c r="K518" s="16">
        <v>0</v>
      </c>
      <c r="L518" s="3">
        <v>0</v>
      </c>
      <c r="M518" s="3">
        <v>0</v>
      </c>
      <c r="N518" s="3">
        <v>990</v>
      </c>
      <c r="O518" s="3">
        <v>1025</v>
      </c>
      <c r="P518" s="1">
        <v>0</v>
      </c>
      <c r="Q518">
        <v>1005</v>
      </c>
      <c r="R518" s="3">
        <v>1677.6</v>
      </c>
      <c r="S518" s="1">
        <v>0</v>
      </c>
    </row>
    <row r="519" spans="1:19" x14ac:dyDescent="0.2">
      <c r="A519" s="12">
        <v>422</v>
      </c>
      <c r="B519" s="12">
        <v>426</v>
      </c>
      <c r="C519" s="12">
        <v>427</v>
      </c>
      <c r="D519" s="3">
        <v>1</v>
      </c>
      <c r="E519" s="3">
        <v>1</v>
      </c>
      <c r="F519" s="3">
        <v>1</v>
      </c>
      <c r="G519" s="3">
        <v>551.6</v>
      </c>
      <c r="H519" s="13">
        <v>0.53339999999999999</v>
      </c>
      <c r="I519" s="13">
        <v>0.48899999999999999</v>
      </c>
      <c r="J519" s="16">
        <v>0</v>
      </c>
      <c r="K519" s="16">
        <v>0</v>
      </c>
      <c r="L519" s="3">
        <v>0</v>
      </c>
      <c r="M519" s="3">
        <v>0</v>
      </c>
      <c r="N519" s="3">
        <v>990</v>
      </c>
      <c r="O519" s="3">
        <v>1025</v>
      </c>
      <c r="P519" s="1">
        <v>0</v>
      </c>
      <c r="Q519">
        <v>1005</v>
      </c>
      <c r="R519" s="3">
        <v>1677.6</v>
      </c>
      <c r="S519" s="1">
        <v>0</v>
      </c>
    </row>
    <row r="520" spans="1:19" x14ac:dyDescent="0.2">
      <c r="A520" s="12">
        <v>423</v>
      </c>
      <c r="B520" s="12">
        <v>427</v>
      </c>
      <c r="C520" s="12">
        <v>428</v>
      </c>
      <c r="D520" s="3">
        <v>1</v>
      </c>
      <c r="E520" s="3">
        <v>1</v>
      </c>
      <c r="F520" s="3">
        <v>1</v>
      </c>
      <c r="G520" s="3">
        <v>551.6</v>
      </c>
      <c r="H520" s="13">
        <v>0.53339999999999999</v>
      </c>
      <c r="I520" s="13">
        <v>0.48899999999999999</v>
      </c>
      <c r="J520" s="16">
        <v>0</v>
      </c>
      <c r="K520" s="16">
        <v>0</v>
      </c>
      <c r="L520" s="3">
        <v>0</v>
      </c>
      <c r="M520" s="3">
        <v>0</v>
      </c>
      <c r="N520" s="3">
        <v>990</v>
      </c>
      <c r="O520" s="3">
        <v>1025</v>
      </c>
      <c r="P520" s="1">
        <v>0</v>
      </c>
      <c r="Q520">
        <v>1005</v>
      </c>
      <c r="R520" s="3">
        <v>1677.6</v>
      </c>
      <c r="S520" s="1">
        <v>0</v>
      </c>
    </row>
    <row r="521" spans="1:19" x14ac:dyDescent="0.2">
      <c r="A521" s="12">
        <v>424</v>
      </c>
      <c r="B521" s="12">
        <v>428</v>
      </c>
      <c r="C521" s="12">
        <v>429</v>
      </c>
      <c r="D521" s="3">
        <v>1</v>
      </c>
      <c r="E521" s="3">
        <v>1</v>
      </c>
      <c r="F521" s="3">
        <v>1</v>
      </c>
      <c r="G521" s="3">
        <v>551.6</v>
      </c>
      <c r="H521" s="13">
        <v>0.53339999999999999</v>
      </c>
      <c r="I521" s="13">
        <v>0.48899999999999999</v>
      </c>
      <c r="J521" s="16">
        <v>0</v>
      </c>
      <c r="K521" s="16">
        <v>0</v>
      </c>
      <c r="L521" s="3">
        <v>0</v>
      </c>
      <c r="M521" s="3">
        <v>0</v>
      </c>
      <c r="N521" s="3">
        <v>990</v>
      </c>
      <c r="O521" s="3">
        <v>1025</v>
      </c>
      <c r="P521" s="1">
        <v>0</v>
      </c>
      <c r="Q521">
        <v>1005</v>
      </c>
      <c r="R521" s="3">
        <v>1677.6</v>
      </c>
      <c r="S521" s="1">
        <v>0</v>
      </c>
    </row>
    <row r="522" spans="1:19" x14ac:dyDescent="0.2">
      <c r="A522" s="12">
        <v>425</v>
      </c>
      <c r="B522" s="12">
        <v>429</v>
      </c>
      <c r="C522" s="12">
        <v>430</v>
      </c>
      <c r="D522" s="3">
        <v>1</v>
      </c>
      <c r="E522" s="3">
        <v>1</v>
      </c>
      <c r="F522" s="3">
        <v>1</v>
      </c>
      <c r="G522" s="3">
        <v>551.6</v>
      </c>
      <c r="H522" s="13">
        <v>0.53339999999999999</v>
      </c>
      <c r="I522" s="13">
        <v>0.48899999999999999</v>
      </c>
      <c r="J522" s="16">
        <v>0</v>
      </c>
      <c r="K522" s="16">
        <v>0</v>
      </c>
      <c r="L522" s="3">
        <v>0</v>
      </c>
      <c r="M522" s="3">
        <v>0</v>
      </c>
      <c r="N522" s="3">
        <v>990</v>
      </c>
      <c r="O522" s="3">
        <v>1025</v>
      </c>
      <c r="P522" s="1">
        <v>0</v>
      </c>
      <c r="Q522">
        <v>1005</v>
      </c>
      <c r="R522" s="3">
        <v>1677.6</v>
      </c>
      <c r="S522" s="1">
        <v>0</v>
      </c>
    </row>
    <row r="523" spans="1:19" x14ac:dyDescent="0.2">
      <c r="A523" s="12">
        <v>426</v>
      </c>
      <c r="B523" s="12">
        <v>430</v>
      </c>
      <c r="C523" s="12">
        <v>431</v>
      </c>
      <c r="D523" s="3">
        <v>1</v>
      </c>
      <c r="E523" s="3">
        <v>1</v>
      </c>
      <c r="F523" s="3">
        <v>1</v>
      </c>
      <c r="G523" s="3">
        <v>551.6</v>
      </c>
      <c r="H523" s="13">
        <v>0.53339999999999999</v>
      </c>
      <c r="I523" s="13">
        <v>0.48899999999999999</v>
      </c>
      <c r="J523" s="16">
        <v>0</v>
      </c>
      <c r="K523" s="16">
        <v>0</v>
      </c>
      <c r="L523" s="3">
        <v>0</v>
      </c>
      <c r="M523" s="3">
        <v>0</v>
      </c>
      <c r="N523" s="3">
        <v>990</v>
      </c>
      <c r="O523" s="3">
        <v>1025</v>
      </c>
      <c r="P523" s="1">
        <v>0</v>
      </c>
      <c r="Q523">
        <v>1005</v>
      </c>
      <c r="R523" s="3">
        <v>1677.6</v>
      </c>
      <c r="S523" s="1">
        <v>0</v>
      </c>
    </row>
    <row r="524" spans="1:19" x14ac:dyDescent="0.2">
      <c r="A524" s="12">
        <v>427</v>
      </c>
      <c r="B524" s="12">
        <v>431</v>
      </c>
      <c r="C524" s="12">
        <v>432</v>
      </c>
      <c r="D524" s="3">
        <v>1</v>
      </c>
      <c r="E524" s="3">
        <v>1</v>
      </c>
      <c r="F524" s="3">
        <v>1</v>
      </c>
      <c r="G524" s="3">
        <v>551.6</v>
      </c>
      <c r="H524" s="13">
        <v>0.53339999999999999</v>
      </c>
      <c r="I524" s="13">
        <v>0.48899999999999999</v>
      </c>
      <c r="J524" s="16">
        <v>0</v>
      </c>
      <c r="K524" s="16">
        <v>0</v>
      </c>
      <c r="L524" s="3">
        <v>0</v>
      </c>
      <c r="M524" s="3">
        <v>0</v>
      </c>
      <c r="N524" s="3">
        <v>990</v>
      </c>
      <c r="O524" s="3">
        <v>1025</v>
      </c>
      <c r="P524" s="1">
        <v>0</v>
      </c>
      <c r="Q524">
        <v>1005</v>
      </c>
      <c r="R524" s="3">
        <v>1677.6</v>
      </c>
      <c r="S524" s="1">
        <v>0</v>
      </c>
    </row>
    <row r="525" spans="1:19" x14ac:dyDescent="0.2">
      <c r="A525" s="12">
        <v>428</v>
      </c>
      <c r="B525" s="12">
        <v>432</v>
      </c>
      <c r="C525" s="12">
        <v>433</v>
      </c>
      <c r="D525" s="3">
        <v>1</v>
      </c>
      <c r="E525" s="3">
        <v>1</v>
      </c>
      <c r="F525" s="3">
        <v>1</v>
      </c>
      <c r="G525" s="3">
        <v>551.6</v>
      </c>
      <c r="H525" s="13">
        <v>0.53339999999999999</v>
      </c>
      <c r="I525" s="13">
        <v>0.48899999999999999</v>
      </c>
      <c r="J525" s="16">
        <v>0</v>
      </c>
      <c r="K525" s="16">
        <v>0</v>
      </c>
      <c r="L525" s="3">
        <v>0</v>
      </c>
      <c r="M525" s="3">
        <v>0</v>
      </c>
      <c r="N525" s="3">
        <v>990</v>
      </c>
      <c r="O525" s="3">
        <v>1025</v>
      </c>
      <c r="P525" s="1">
        <v>0</v>
      </c>
      <c r="Q525">
        <v>1005</v>
      </c>
      <c r="R525" s="3">
        <v>1677.6</v>
      </c>
      <c r="S525" s="1">
        <v>0</v>
      </c>
    </row>
    <row r="526" spans="1:19" x14ac:dyDescent="0.2">
      <c r="A526" s="12">
        <v>429</v>
      </c>
      <c r="B526" s="12">
        <v>433</v>
      </c>
      <c r="C526" s="12">
        <v>434</v>
      </c>
      <c r="D526" s="3">
        <v>1</v>
      </c>
      <c r="E526" s="3">
        <v>1</v>
      </c>
      <c r="F526" s="3">
        <v>1</v>
      </c>
      <c r="G526" s="3">
        <v>551.6</v>
      </c>
      <c r="H526" s="13">
        <v>0.53339999999999999</v>
      </c>
      <c r="I526" s="13">
        <v>0.48899999999999999</v>
      </c>
      <c r="J526" s="16">
        <v>0</v>
      </c>
      <c r="K526" s="16">
        <v>0</v>
      </c>
      <c r="L526" s="3">
        <v>0</v>
      </c>
      <c r="M526" s="3">
        <v>0</v>
      </c>
      <c r="N526" s="3">
        <v>990</v>
      </c>
      <c r="O526" s="3">
        <v>1025</v>
      </c>
      <c r="P526" s="1">
        <v>0</v>
      </c>
      <c r="Q526">
        <v>1005</v>
      </c>
      <c r="R526" s="3">
        <v>1677.6</v>
      </c>
      <c r="S526" s="1">
        <v>0</v>
      </c>
    </row>
    <row r="527" spans="1:19" x14ac:dyDescent="0.2">
      <c r="A527" s="12">
        <v>430</v>
      </c>
      <c r="B527" s="12">
        <v>434</v>
      </c>
      <c r="C527" s="12">
        <v>435</v>
      </c>
      <c r="D527" s="3">
        <v>1</v>
      </c>
      <c r="E527" s="3">
        <v>1</v>
      </c>
      <c r="F527" s="3">
        <v>1</v>
      </c>
      <c r="G527" s="3">
        <v>551.6</v>
      </c>
      <c r="H527" s="13">
        <v>0.53339999999999999</v>
      </c>
      <c r="I527" s="13">
        <v>0.48899999999999999</v>
      </c>
      <c r="J527" s="16">
        <v>0</v>
      </c>
      <c r="K527" s="16">
        <v>0</v>
      </c>
      <c r="L527" s="3">
        <v>0</v>
      </c>
      <c r="M527" s="3">
        <v>0</v>
      </c>
      <c r="N527" s="3">
        <v>990</v>
      </c>
      <c r="O527" s="3">
        <v>1025</v>
      </c>
      <c r="P527" s="1">
        <v>0</v>
      </c>
      <c r="Q527">
        <v>1005</v>
      </c>
      <c r="R527" s="3">
        <v>1677.6</v>
      </c>
      <c r="S527" s="1">
        <v>0</v>
      </c>
    </row>
    <row r="528" spans="1:19" x14ac:dyDescent="0.2">
      <c r="A528" s="12">
        <v>431</v>
      </c>
      <c r="B528" s="12">
        <v>435</v>
      </c>
      <c r="C528" s="12">
        <v>436</v>
      </c>
      <c r="D528" s="3">
        <v>1</v>
      </c>
      <c r="E528" s="3">
        <v>1</v>
      </c>
      <c r="F528" s="3">
        <v>1</v>
      </c>
      <c r="G528" s="3">
        <v>551.6</v>
      </c>
      <c r="H528" s="13">
        <v>0.53339999999999999</v>
      </c>
      <c r="I528" s="13">
        <v>0.48899999999999999</v>
      </c>
      <c r="J528" s="16">
        <v>0</v>
      </c>
      <c r="K528" s="16">
        <v>0</v>
      </c>
      <c r="L528" s="3">
        <v>0</v>
      </c>
      <c r="M528" s="3">
        <v>0</v>
      </c>
      <c r="N528" s="3">
        <v>990</v>
      </c>
      <c r="O528" s="3">
        <v>1025</v>
      </c>
      <c r="P528" s="1">
        <v>0</v>
      </c>
      <c r="Q528">
        <v>1005</v>
      </c>
      <c r="R528" s="3">
        <v>1677.6</v>
      </c>
      <c r="S528" s="1">
        <v>0</v>
      </c>
    </row>
    <row r="529" spans="1:19" x14ac:dyDescent="0.2">
      <c r="A529" s="12">
        <v>432</v>
      </c>
      <c r="B529" s="12">
        <v>436</v>
      </c>
      <c r="C529" s="12">
        <v>437</v>
      </c>
      <c r="D529" s="3">
        <v>1</v>
      </c>
      <c r="E529" s="3">
        <v>1</v>
      </c>
      <c r="F529" s="3">
        <v>1</v>
      </c>
      <c r="G529" s="3">
        <v>551.6</v>
      </c>
      <c r="H529" s="13">
        <v>0.53339999999999999</v>
      </c>
      <c r="I529" s="13">
        <v>0.48899999999999999</v>
      </c>
      <c r="J529" s="16">
        <v>0</v>
      </c>
      <c r="K529" s="16">
        <v>0</v>
      </c>
      <c r="L529" s="3">
        <v>0</v>
      </c>
      <c r="M529" s="3">
        <v>0</v>
      </c>
      <c r="N529" s="3">
        <v>990</v>
      </c>
      <c r="O529" s="3">
        <v>1025</v>
      </c>
      <c r="P529" s="1">
        <v>0</v>
      </c>
      <c r="Q529">
        <v>1005</v>
      </c>
      <c r="R529" s="3">
        <v>1677.6</v>
      </c>
      <c r="S529" s="1">
        <v>0</v>
      </c>
    </row>
    <row r="530" spans="1:19" x14ac:dyDescent="0.2">
      <c r="A530" s="12">
        <v>433</v>
      </c>
      <c r="B530" s="12">
        <v>437</v>
      </c>
      <c r="C530" s="12">
        <v>438</v>
      </c>
      <c r="D530" s="3">
        <v>1</v>
      </c>
      <c r="E530" s="3">
        <v>1</v>
      </c>
      <c r="F530" s="3">
        <v>1</v>
      </c>
      <c r="G530" s="3">
        <v>551.6</v>
      </c>
      <c r="H530" s="13">
        <v>0.53339999999999999</v>
      </c>
      <c r="I530" s="13">
        <v>0.48899999999999999</v>
      </c>
      <c r="J530" s="16">
        <v>0</v>
      </c>
      <c r="K530" s="16">
        <v>0</v>
      </c>
      <c r="L530" s="3">
        <v>0</v>
      </c>
      <c r="M530" s="3">
        <v>0</v>
      </c>
      <c r="N530" s="3">
        <v>990</v>
      </c>
      <c r="O530" s="3">
        <v>1025</v>
      </c>
      <c r="P530" s="1">
        <v>0</v>
      </c>
      <c r="Q530">
        <v>1005</v>
      </c>
      <c r="R530" s="3">
        <v>1677.6</v>
      </c>
      <c r="S530" s="1">
        <v>0</v>
      </c>
    </row>
    <row r="531" spans="1:19" x14ac:dyDescent="0.2">
      <c r="A531" s="12">
        <v>434</v>
      </c>
      <c r="B531" s="12">
        <v>438</v>
      </c>
      <c r="C531" s="12">
        <v>439</v>
      </c>
      <c r="D531" s="3">
        <v>1</v>
      </c>
      <c r="E531" s="3">
        <v>1</v>
      </c>
      <c r="F531" s="3">
        <v>1</v>
      </c>
      <c r="G531" s="3">
        <v>551.6</v>
      </c>
      <c r="H531" s="13">
        <v>0.53339999999999999</v>
      </c>
      <c r="I531" s="13">
        <v>0.48899999999999999</v>
      </c>
      <c r="J531" s="16">
        <v>0</v>
      </c>
      <c r="K531" s="16">
        <v>0</v>
      </c>
      <c r="L531" s="3">
        <v>0</v>
      </c>
      <c r="M531" s="3">
        <v>0</v>
      </c>
      <c r="N531" s="3">
        <v>990</v>
      </c>
      <c r="O531" s="3">
        <v>1025</v>
      </c>
      <c r="P531" s="1">
        <v>0</v>
      </c>
      <c r="Q531">
        <v>1005</v>
      </c>
      <c r="R531" s="3">
        <v>1677.6</v>
      </c>
      <c r="S531" s="1">
        <v>0</v>
      </c>
    </row>
    <row r="532" spans="1:19" x14ac:dyDescent="0.2">
      <c r="A532" s="12">
        <v>435</v>
      </c>
      <c r="B532" s="12">
        <v>439</v>
      </c>
      <c r="C532" s="12">
        <v>440</v>
      </c>
      <c r="D532" s="3">
        <v>1</v>
      </c>
      <c r="E532" s="3">
        <v>1</v>
      </c>
      <c r="F532" s="3">
        <v>1</v>
      </c>
      <c r="G532" s="3">
        <v>551.6</v>
      </c>
      <c r="H532" s="13">
        <v>0.53339999999999999</v>
      </c>
      <c r="I532" s="13">
        <v>0.48899999999999999</v>
      </c>
      <c r="J532" s="16">
        <v>0</v>
      </c>
      <c r="K532" s="16">
        <v>0</v>
      </c>
      <c r="L532" s="3">
        <v>0</v>
      </c>
      <c r="M532" s="3">
        <v>0</v>
      </c>
      <c r="N532" s="3">
        <v>990</v>
      </c>
      <c r="O532" s="3">
        <v>1025</v>
      </c>
      <c r="P532" s="1">
        <v>0</v>
      </c>
      <c r="Q532">
        <v>1005</v>
      </c>
      <c r="R532" s="3">
        <v>1677.6</v>
      </c>
      <c r="S532" s="1">
        <v>0</v>
      </c>
    </row>
    <row r="533" spans="1:19" x14ac:dyDescent="0.2">
      <c r="A533" s="12">
        <v>436</v>
      </c>
      <c r="B533" s="12">
        <v>440</v>
      </c>
      <c r="C533" s="12">
        <v>441</v>
      </c>
      <c r="D533" s="3">
        <v>1</v>
      </c>
      <c r="E533" s="3">
        <v>1</v>
      </c>
      <c r="F533" s="3">
        <v>1</v>
      </c>
      <c r="G533" s="3">
        <v>551.6</v>
      </c>
      <c r="H533" s="13">
        <v>0.53339999999999999</v>
      </c>
      <c r="I533" s="13">
        <v>0.48259999999999997</v>
      </c>
      <c r="J533" s="16">
        <v>0</v>
      </c>
      <c r="K533" s="16">
        <v>0</v>
      </c>
      <c r="L533" s="3">
        <v>0</v>
      </c>
      <c r="M533" s="3">
        <v>0</v>
      </c>
      <c r="N533" s="3">
        <v>990</v>
      </c>
      <c r="O533" s="3">
        <v>1025</v>
      </c>
      <c r="P533" s="1">
        <v>0</v>
      </c>
      <c r="Q533">
        <v>1005</v>
      </c>
      <c r="R533" s="3">
        <v>1677.6</v>
      </c>
      <c r="S533" s="1">
        <v>0</v>
      </c>
    </row>
    <row r="534" spans="1:19" x14ac:dyDescent="0.2">
      <c r="A534" s="12">
        <v>437</v>
      </c>
      <c r="B534" s="12">
        <v>441</v>
      </c>
      <c r="C534" s="12">
        <v>442</v>
      </c>
      <c r="D534" s="3">
        <v>1</v>
      </c>
      <c r="E534" s="3">
        <v>1</v>
      </c>
      <c r="F534" s="3">
        <v>1</v>
      </c>
      <c r="G534" s="3">
        <v>551.6</v>
      </c>
      <c r="H534" s="13">
        <v>0.53339999999999999</v>
      </c>
      <c r="I534" s="13">
        <v>0.48259999999999997</v>
      </c>
      <c r="J534" s="16">
        <v>0</v>
      </c>
      <c r="K534" s="16">
        <v>0</v>
      </c>
      <c r="L534" s="3">
        <v>0</v>
      </c>
      <c r="M534" s="3">
        <v>0</v>
      </c>
      <c r="N534" s="3">
        <v>990</v>
      </c>
      <c r="O534" s="3">
        <v>1025</v>
      </c>
      <c r="P534" s="1">
        <v>0</v>
      </c>
      <c r="Q534">
        <v>1005</v>
      </c>
      <c r="R534" s="3">
        <v>1677.6</v>
      </c>
      <c r="S534" s="1">
        <v>0</v>
      </c>
    </row>
    <row r="535" spans="1:19" x14ac:dyDescent="0.2">
      <c r="A535" s="12">
        <v>438</v>
      </c>
      <c r="B535" s="12">
        <v>442</v>
      </c>
      <c r="C535" s="12">
        <v>443</v>
      </c>
      <c r="D535" s="3">
        <v>1</v>
      </c>
      <c r="E535" s="3">
        <v>1</v>
      </c>
      <c r="F535" s="3">
        <v>1</v>
      </c>
      <c r="G535" s="3">
        <v>551.6</v>
      </c>
      <c r="H535" s="13">
        <v>0.53339999999999999</v>
      </c>
      <c r="I535" s="13">
        <v>0.48259999999999997</v>
      </c>
      <c r="J535" s="16">
        <v>0</v>
      </c>
      <c r="K535" s="16">
        <v>0</v>
      </c>
      <c r="L535" s="3">
        <v>0</v>
      </c>
      <c r="M535" s="3">
        <v>0</v>
      </c>
      <c r="N535" s="3">
        <v>990</v>
      </c>
      <c r="O535" s="3">
        <v>1025</v>
      </c>
      <c r="P535" s="1">
        <v>0</v>
      </c>
      <c r="Q535">
        <v>1005</v>
      </c>
      <c r="R535" s="3">
        <v>1677.6</v>
      </c>
      <c r="S535" s="1">
        <v>0</v>
      </c>
    </row>
    <row r="536" spans="1:19" x14ac:dyDescent="0.2">
      <c r="A536" s="12">
        <v>439</v>
      </c>
      <c r="B536" s="12">
        <v>443</v>
      </c>
      <c r="C536" s="12">
        <v>444</v>
      </c>
      <c r="D536" s="3">
        <v>1</v>
      </c>
      <c r="E536" s="3">
        <v>1</v>
      </c>
      <c r="F536" s="3">
        <v>1</v>
      </c>
      <c r="G536" s="3">
        <v>551.6</v>
      </c>
      <c r="H536" s="13">
        <v>0.53339999999999999</v>
      </c>
      <c r="I536" s="13">
        <v>0.48259999999999997</v>
      </c>
      <c r="J536" s="16">
        <v>0</v>
      </c>
      <c r="K536" s="16">
        <v>0</v>
      </c>
      <c r="L536" s="3">
        <v>0</v>
      </c>
      <c r="M536" s="3">
        <v>0</v>
      </c>
      <c r="N536" s="3">
        <v>990</v>
      </c>
      <c r="O536" s="3">
        <v>1025</v>
      </c>
      <c r="P536" s="1">
        <v>0</v>
      </c>
      <c r="Q536">
        <v>1005</v>
      </c>
      <c r="R536" s="3">
        <v>1677.6</v>
      </c>
      <c r="S536" s="1">
        <v>0</v>
      </c>
    </row>
    <row r="537" spans="1:19" x14ac:dyDescent="0.2">
      <c r="A537" s="12">
        <v>440</v>
      </c>
      <c r="B537" s="12">
        <v>444</v>
      </c>
      <c r="C537" s="12">
        <v>445</v>
      </c>
      <c r="D537" s="3">
        <v>1</v>
      </c>
      <c r="E537" s="3">
        <v>1</v>
      </c>
      <c r="F537" s="3">
        <v>1</v>
      </c>
      <c r="G537" s="3">
        <v>551.6</v>
      </c>
      <c r="H537" s="13">
        <v>0.53339999999999999</v>
      </c>
      <c r="I537" s="13">
        <v>0.48259999999999997</v>
      </c>
      <c r="J537" s="16">
        <v>0</v>
      </c>
      <c r="K537" s="16">
        <v>0</v>
      </c>
      <c r="L537" s="3">
        <v>0</v>
      </c>
      <c r="M537" s="3">
        <v>0</v>
      </c>
      <c r="N537" s="3">
        <v>990</v>
      </c>
      <c r="O537" s="3">
        <v>1025</v>
      </c>
      <c r="P537" s="1">
        <v>0</v>
      </c>
      <c r="Q537">
        <v>1005</v>
      </c>
      <c r="R537" s="3">
        <v>1677.6</v>
      </c>
      <c r="S537" s="1">
        <v>0</v>
      </c>
    </row>
    <row r="538" spans="1:19" x14ac:dyDescent="0.2">
      <c r="A538" s="12">
        <v>441</v>
      </c>
      <c r="B538" s="12">
        <v>445</v>
      </c>
      <c r="C538" s="12">
        <v>446</v>
      </c>
      <c r="D538" s="3">
        <v>1</v>
      </c>
      <c r="E538" s="3">
        <v>1</v>
      </c>
      <c r="F538" s="3">
        <v>1</v>
      </c>
      <c r="G538" s="3">
        <v>551.6</v>
      </c>
      <c r="H538" s="13">
        <v>0.53339999999999999</v>
      </c>
      <c r="I538" s="13">
        <v>0.48259999999999997</v>
      </c>
      <c r="J538" s="16">
        <v>0</v>
      </c>
      <c r="K538" s="16">
        <v>0</v>
      </c>
      <c r="L538" s="3">
        <v>0</v>
      </c>
      <c r="M538" s="3">
        <v>0</v>
      </c>
      <c r="N538" s="3">
        <v>990</v>
      </c>
      <c r="O538" s="3">
        <v>1025</v>
      </c>
      <c r="P538" s="1">
        <v>0</v>
      </c>
      <c r="Q538">
        <v>1005</v>
      </c>
      <c r="R538" s="3">
        <v>1677.6</v>
      </c>
      <c r="S538" s="1">
        <v>0</v>
      </c>
    </row>
    <row r="539" spans="1:19" x14ac:dyDescent="0.2">
      <c r="A539" s="12">
        <v>442</v>
      </c>
      <c r="B539" s="12">
        <v>446</v>
      </c>
      <c r="C539" s="12">
        <v>447</v>
      </c>
      <c r="D539" s="3">
        <v>1</v>
      </c>
      <c r="E539" s="3">
        <v>1</v>
      </c>
      <c r="F539" s="3">
        <v>1</v>
      </c>
      <c r="G539" s="3">
        <v>551.6</v>
      </c>
      <c r="H539" s="13">
        <v>0.53339999999999999</v>
      </c>
      <c r="I539" s="13">
        <v>0.48259999999999997</v>
      </c>
      <c r="J539" s="16">
        <v>0</v>
      </c>
      <c r="K539" s="16">
        <v>0</v>
      </c>
      <c r="L539" s="3">
        <v>0</v>
      </c>
      <c r="M539" s="3">
        <v>0</v>
      </c>
      <c r="N539" s="3">
        <v>990</v>
      </c>
      <c r="O539" s="3">
        <v>1025</v>
      </c>
      <c r="P539" s="1">
        <v>0</v>
      </c>
      <c r="Q539">
        <v>1005</v>
      </c>
      <c r="R539" s="3">
        <v>1677.6</v>
      </c>
      <c r="S539" s="1">
        <v>0</v>
      </c>
    </row>
    <row r="540" spans="1:19" x14ac:dyDescent="0.2">
      <c r="A540" s="12">
        <v>443</v>
      </c>
      <c r="B540" s="12">
        <v>447</v>
      </c>
      <c r="C540" s="12">
        <v>448</v>
      </c>
      <c r="D540" s="3">
        <v>1</v>
      </c>
      <c r="E540" s="3">
        <v>1</v>
      </c>
      <c r="F540" s="3">
        <v>1</v>
      </c>
      <c r="G540" s="3">
        <v>551.6</v>
      </c>
      <c r="H540" s="13">
        <v>0.53339999999999999</v>
      </c>
      <c r="I540" s="13">
        <v>0.48259999999999997</v>
      </c>
      <c r="J540" s="16">
        <v>0</v>
      </c>
      <c r="K540" s="16">
        <v>0</v>
      </c>
      <c r="L540" s="3">
        <v>0</v>
      </c>
      <c r="M540" s="3">
        <v>0</v>
      </c>
      <c r="N540" s="3">
        <v>990</v>
      </c>
      <c r="O540" s="3">
        <v>1025</v>
      </c>
      <c r="P540" s="1">
        <v>0</v>
      </c>
      <c r="Q540">
        <v>1005</v>
      </c>
      <c r="R540" s="3">
        <v>1677.6</v>
      </c>
      <c r="S540" s="1">
        <v>0</v>
      </c>
    </row>
    <row r="541" spans="1:19" x14ac:dyDescent="0.2">
      <c r="A541" s="12">
        <v>444</v>
      </c>
      <c r="B541" s="12">
        <v>448</v>
      </c>
      <c r="C541" s="12">
        <v>449</v>
      </c>
      <c r="D541" s="3">
        <v>1</v>
      </c>
      <c r="E541" s="3">
        <v>1</v>
      </c>
      <c r="F541" s="3">
        <v>1</v>
      </c>
      <c r="G541" s="3">
        <v>551.6</v>
      </c>
      <c r="H541" s="13">
        <v>0.53339999999999999</v>
      </c>
      <c r="I541" s="13">
        <v>0.48259999999999997</v>
      </c>
      <c r="J541" s="16">
        <v>0</v>
      </c>
      <c r="K541" s="16">
        <v>0</v>
      </c>
      <c r="L541" s="3">
        <v>0</v>
      </c>
      <c r="M541" s="3">
        <v>0</v>
      </c>
      <c r="N541" s="3">
        <v>990</v>
      </c>
      <c r="O541" s="3">
        <v>1025</v>
      </c>
      <c r="P541" s="1">
        <v>0</v>
      </c>
      <c r="Q541">
        <v>1005</v>
      </c>
      <c r="R541" s="3">
        <v>1677.6</v>
      </c>
      <c r="S541" s="1">
        <v>0</v>
      </c>
    </row>
    <row r="542" spans="1:19" x14ac:dyDescent="0.2">
      <c r="A542" s="12">
        <v>445</v>
      </c>
      <c r="B542" s="12">
        <v>449</v>
      </c>
      <c r="C542" s="12">
        <v>450</v>
      </c>
      <c r="D542" s="3">
        <v>1</v>
      </c>
      <c r="E542" s="3">
        <v>1</v>
      </c>
      <c r="F542" s="3">
        <v>1</v>
      </c>
      <c r="G542" s="3">
        <v>551.6</v>
      </c>
      <c r="H542" s="13">
        <v>0.53339999999999999</v>
      </c>
      <c r="I542" s="13">
        <v>0.48259999999999997</v>
      </c>
      <c r="J542" s="16">
        <v>0</v>
      </c>
      <c r="K542" s="16">
        <v>0</v>
      </c>
      <c r="L542" s="3">
        <v>0</v>
      </c>
      <c r="M542" s="3">
        <v>0</v>
      </c>
      <c r="N542" s="3">
        <v>990</v>
      </c>
      <c r="O542" s="3">
        <v>1025</v>
      </c>
      <c r="P542" s="1">
        <v>0</v>
      </c>
      <c r="Q542">
        <v>1005</v>
      </c>
      <c r="R542" s="3">
        <v>1677.6</v>
      </c>
      <c r="S542" s="1">
        <v>0</v>
      </c>
    </row>
    <row r="543" spans="1:19" x14ac:dyDescent="0.2">
      <c r="A543" s="12">
        <v>446</v>
      </c>
      <c r="B543" s="12">
        <v>450</v>
      </c>
      <c r="C543" s="12">
        <v>451</v>
      </c>
      <c r="D543" s="3">
        <v>1</v>
      </c>
      <c r="E543" s="3">
        <v>1</v>
      </c>
      <c r="F543" s="3">
        <v>1</v>
      </c>
      <c r="G543" s="3">
        <v>551.6</v>
      </c>
      <c r="H543" s="13">
        <v>0.53339999999999999</v>
      </c>
      <c r="I543" s="13">
        <v>0.48259999999999997</v>
      </c>
      <c r="J543" s="16">
        <v>0</v>
      </c>
      <c r="K543" s="16">
        <v>0</v>
      </c>
      <c r="L543" s="3">
        <v>0</v>
      </c>
      <c r="M543" s="3">
        <v>0</v>
      </c>
      <c r="N543" s="3">
        <v>990</v>
      </c>
      <c r="O543" s="3">
        <v>1025</v>
      </c>
      <c r="P543" s="1">
        <v>0</v>
      </c>
      <c r="Q543">
        <v>1005</v>
      </c>
      <c r="R543" s="3">
        <v>1677.6</v>
      </c>
      <c r="S543" s="1">
        <v>0</v>
      </c>
    </row>
    <row r="544" spans="1:19" x14ac:dyDescent="0.2">
      <c r="A544" s="12">
        <v>447</v>
      </c>
      <c r="B544" s="12">
        <v>451</v>
      </c>
      <c r="C544" s="12">
        <v>452</v>
      </c>
      <c r="D544" s="3">
        <v>1</v>
      </c>
      <c r="E544" s="3">
        <v>1</v>
      </c>
      <c r="F544" s="3">
        <v>1</v>
      </c>
      <c r="G544" s="3">
        <v>551.6</v>
      </c>
      <c r="H544" s="13">
        <v>0.53339999999999999</v>
      </c>
      <c r="I544" s="13">
        <v>0.48259999999999997</v>
      </c>
      <c r="J544" s="16">
        <v>0</v>
      </c>
      <c r="K544" s="16">
        <v>0</v>
      </c>
      <c r="L544" s="3">
        <v>0</v>
      </c>
      <c r="M544" s="3">
        <v>0</v>
      </c>
      <c r="N544" s="3">
        <v>990</v>
      </c>
      <c r="O544" s="3">
        <v>1025</v>
      </c>
      <c r="P544" s="1">
        <v>0</v>
      </c>
      <c r="Q544">
        <v>1005</v>
      </c>
      <c r="R544" s="3">
        <v>1677.6</v>
      </c>
      <c r="S544" s="1">
        <v>0</v>
      </c>
    </row>
    <row r="545" spans="1:19" x14ac:dyDescent="0.2">
      <c r="A545" s="12">
        <v>448</v>
      </c>
      <c r="B545" s="12">
        <v>452</v>
      </c>
      <c r="C545" s="12">
        <v>453</v>
      </c>
      <c r="D545" s="3">
        <v>1</v>
      </c>
      <c r="E545" s="3">
        <v>1</v>
      </c>
      <c r="F545" s="3">
        <v>1</v>
      </c>
      <c r="G545" s="3">
        <v>551.6</v>
      </c>
      <c r="H545" s="13">
        <v>0.53339999999999999</v>
      </c>
      <c r="I545" s="13">
        <v>0.48259999999999997</v>
      </c>
      <c r="J545" s="16">
        <v>0</v>
      </c>
      <c r="K545" s="16">
        <v>0</v>
      </c>
      <c r="L545" s="3">
        <v>0</v>
      </c>
      <c r="M545" s="3">
        <v>0</v>
      </c>
      <c r="N545" s="3">
        <v>990</v>
      </c>
      <c r="O545" s="3">
        <v>1025</v>
      </c>
      <c r="P545" s="1">
        <v>0</v>
      </c>
      <c r="Q545">
        <v>1005</v>
      </c>
      <c r="R545" s="3">
        <v>1677.6</v>
      </c>
      <c r="S545" s="1">
        <v>0</v>
      </c>
    </row>
    <row r="546" spans="1:19" x14ac:dyDescent="0.2">
      <c r="A546" s="12">
        <v>449</v>
      </c>
      <c r="B546" s="12">
        <v>453</v>
      </c>
      <c r="C546" s="12">
        <v>454</v>
      </c>
      <c r="D546" s="3">
        <v>1</v>
      </c>
      <c r="E546" s="3">
        <v>1</v>
      </c>
      <c r="F546" s="3">
        <v>1</v>
      </c>
      <c r="G546" s="3">
        <v>551.6</v>
      </c>
      <c r="H546" s="13">
        <v>0.53339999999999999</v>
      </c>
      <c r="I546" s="13">
        <v>0.48259999999999997</v>
      </c>
      <c r="J546" s="16">
        <v>0</v>
      </c>
      <c r="K546" s="16">
        <v>0</v>
      </c>
      <c r="L546" s="3">
        <v>0</v>
      </c>
      <c r="M546" s="3">
        <v>0</v>
      </c>
      <c r="N546" s="3">
        <v>990</v>
      </c>
      <c r="O546" s="3">
        <v>1025</v>
      </c>
      <c r="P546" s="1">
        <v>0</v>
      </c>
      <c r="Q546">
        <v>1005</v>
      </c>
      <c r="R546" s="3">
        <v>1677.6</v>
      </c>
      <c r="S546" s="1">
        <v>0</v>
      </c>
    </row>
    <row r="547" spans="1:19" x14ac:dyDescent="0.2">
      <c r="A547" s="12">
        <v>450</v>
      </c>
      <c r="B547" s="12">
        <v>454</v>
      </c>
      <c r="C547" s="12">
        <v>455</v>
      </c>
      <c r="D547" s="3">
        <v>1</v>
      </c>
      <c r="E547" s="3">
        <v>1</v>
      </c>
      <c r="F547" s="3">
        <v>1</v>
      </c>
      <c r="G547" s="3">
        <v>551.6</v>
      </c>
      <c r="H547" s="13">
        <v>0.53339999999999999</v>
      </c>
      <c r="I547" s="13">
        <v>0.48259999999999997</v>
      </c>
      <c r="J547" s="16">
        <v>0</v>
      </c>
      <c r="K547" s="16">
        <v>0</v>
      </c>
      <c r="L547" s="3">
        <v>0</v>
      </c>
      <c r="M547" s="3">
        <v>0</v>
      </c>
      <c r="N547" s="3">
        <v>990</v>
      </c>
      <c r="O547" s="3">
        <v>1025</v>
      </c>
      <c r="P547" s="1">
        <v>0</v>
      </c>
      <c r="Q547">
        <v>1005</v>
      </c>
      <c r="R547" s="3">
        <v>1677.6</v>
      </c>
      <c r="S547" s="1">
        <v>0</v>
      </c>
    </row>
    <row r="548" spans="1:19" x14ac:dyDescent="0.2">
      <c r="A548" s="12">
        <v>451</v>
      </c>
      <c r="B548" s="12">
        <v>455</v>
      </c>
      <c r="C548" s="12">
        <v>456</v>
      </c>
      <c r="D548" s="3">
        <v>1</v>
      </c>
      <c r="E548" s="3">
        <v>1</v>
      </c>
      <c r="F548" s="3">
        <v>1</v>
      </c>
      <c r="G548" s="3">
        <v>551.6</v>
      </c>
      <c r="H548" s="13">
        <v>0.53339999999999999</v>
      </c>
      <c r="I548" s="13">
        <v>0.48259999999999997</v>
      </c>
      <c r="J548" s="16">
        <v>0</v>
      </c>
      <c r="K548" s="16">
        <v>0</v>
      </c>
      <c r="L548" s="3">
        <v>0</v>
      </c>
      <c r="M548" s="3">
        <v>0</v>
      </c>
      <c r="N548" s="3">
        <v>990</v>
      </c>
      <c r="O548" s="3">
        <v>1025</v>
      </c>
      <c r="P548" s="1">
        <v>0</v>
      </c>
      <c r="Q548">
        <v>1005</v>
      </c>
      <c r="R548" s="3">
        <v>1677.6</v>
      </c>
      <c r="S548" s="1">
        <v>0</v>
      </c>
    </row>
    <row r="549" spans="1:19" x14ac:dyDescent="0.2">
      <c r="A549" s="12">
        <v>452</v>
      </c>
      <c r="B549" s="12">
        <v>456</v>
      </c>
      <c r="C549" s="12">
        <v>457</v>
      </c>
      <c r="D549" s="3">
        <v>1</v>
      </c>
      <c r="E549" s="3">
        <v>1</v>
      </c>
      <c r="F549" s="3">
        <v>1</v>
      </c>
      <c r="G549" s="3">
        <v>551.6</v>
      </c>
      <c r="H549" s="13">
        <v>0.53339999999999999</v>
      </c>
      <c r="I549" s="13">
        <v>0.48259999999999997</v>
      </c>
      <c r="J549" s="16">
        <v>0</v>
      </c>
      <c r="K549" s="16">
        <v>0</v>
      </c>
      <c r="L549" s="3">
        <v>0</v>
      </c>
      <c r="M549" s="3">
        <v>0</v>
      </c>
      <c r="N549" s="3">
        <v>990</v>
      </c>
      <c r="O549" s="3">
        <v>1025</v>
      </c>
      <c r="P549" s="1">
        <v>0</v>
      </c>
      <c r="Q549">
        <v>1005</v>
      </c>
      <c r="R549" s="3">
        <v>1677.6</v>
      </c>
      <c r="S549" s="1">
        <v>0</v>
      </c>
    </row>
    <row r="550" spans="1:19" x14ac:dyDescent="0.2">
      <c r="A550" s="12">
        <v>453</v>
      </c>
      <c r="B550" s="12">
        <v>457</v>
      </c>
      <c r="C550" s="12">
        <v>458</v>
      </c>
      <c r="D550" s="3">
        <v>1</v>
      </c>
      <c r="E550" s="3">
        <v>1</v>
      </c>
      <c r="F550" s="3">
        <v>1</v>
      </c>
      <c r="G550" s="3">
        <v>551.6</v>
      </c>
      <c r="H550" s="13">
        <v>0.53339999999999999</v>
      </c>
      <c r="I550" s="13">
        <v>0.48259999999999997</v>
      </c>
      <c r="J550" s="16">
        <v>0</v>
      </c>
      <c r="K550" s="16">
        <v>0</v>
      </c>
      <c r="L550" s="3">
        <v>0</v>
      </c>
      <c r="M550" s="3">
        <v>0</v>
      </c>
      <c r="N550" s="3">
        <v>990</v>
      </c>
      <c r="O550" s="3">
        <v>1025</v>
      </c>
      <c r="P550" s="1">
        <v>0</v>
      </c>
      <c r="Q550">
        <v>1005</v>
      </c>
      <c r="R550" s="3">
        <v>1677.6</v>
      </c>
      <c r="S550" s="1">
        <v>0</v>
      </c>
    </row>
    <row r="551" spans="1:19" x14ac:dyDescent="0.2">
      <c r="A551" s="12">
        <v>454</v>
      </c>
      <c r="B551" s="12">
        <v>458</v>
      </c>
      <c r="C551" s="12">
        <v>459</v>
      </c>
      <c r="D551" s="3">
        <v>1</v>
      </c>
      <c r="E551" s="3">
        <v>1</v>
      </c>
      <c r="F551" s="3">
        <v>1</v>
      </c>
      <c r="G551" s="3">
        <v>551.6</v>
      </c>
      <c r="H551" s="13">
        <v>0.53339999999999999</v>
      </c>
      <c r="I551" s="13">
        <v>0.48259999999999997</v>
      </c>
      <c r="J551" s="16">
        <v>0</v>
      </c>
      <c r="K551" s="16">
        <v>0</v>
      </c>
      <c r="L551" s="3">
        <v>0</v>
      </c>
      <c r="M551" s="3">
        <v>0</v>
      </c>
      <c r="N551" s="3">
        <v>990</v>
      </c>
      <c r="O551" s="3">
        <v>1025</v>
      </c>
      <c r="P551" s="1">
        <v>0</v>
      </c>
      <c r="Q551">
        <v>1005</v>
      </c>
      <c r="R551" s="3">
        <v>1677.6</v>
      </c>
      <c r="S551" s="1">
        <v>0</v>
      </c>
    </row>
    <row r="552" spans="1:19" x14ac:dyDescent="0.2">
      <c r="A552" s="12">
        <v>455</v>
      </c>
      <c r="B552" s="12">
        <v>459</v>
      </c>
      <c r="C552" s="12">
        <v>460</v>
      </c>
      <c r="D552" s="3">
        <v>1</v>
      </c>
      <c r="E552" s="3">
        <v>1</v>
      </c>
      <c r="F552" s="3">
        <v>1</v>
      </c>
      <c r="G552" s="3">
        <v>551.6</v>
      </c>
      <c r="H552" s="13">
        <v>0.53339999999999999</v>
      </c>
      <c r="I552" s="13">
        <v>0.48259999999999997</v>
      </c>
      <c r="J552" s="16">
        <v>0</v>
      </c>
      <c r="K552" s="16">
        <v>0</v>
      </c>
      <c r="L552" s="3">
        <v>0</v>
      </c>
      <c r="M552" s="3">
        <v>0</v>
      </c>
      <c r="N552" s="3">
        <v>990</v>
      </c>
      <c r="O552" s="3">
        <v>1025</v>
      </c>
      <c r="P552" s="1">
        <v>0</v>
      </c>
      <c r="Q552">
        <v>1005</v>
      </c>
      <c r="R552" s="3">
        <v>1677.6</v>
      </c>
      <c r="S552" s="1">
        <v>0</v>
      </c>
    </row>
    <row r="553" spans="1:19" x14ac:dyDescent="0.2">
      <c r="A553" s="12">
        <v>456</v>
      </c>
      <c r="B553" s="12">
        <v>460</v>
      </c>
      <c r="C553" s="12">
        <v>461</v>
      </c>
      <c r="D553" s="3">
        <v>1</v>
      </c>
      <c r="E553" s="3">
        <v>1</v>
      </c>
      <c r="F553" s="3">
        <v>1</v>
      </c>
      <c r="G553" s="3">
        <v>551.6</v>
      </c>
      <c r="H553" s="13">
        <v>0.53339999999999999</v>
      </c>
      <c r="I553" s="13">
        <v>0.48259999999999997</v>
      </c>
      <c r="J553" s="16">
        <v>0</v>
      </c>
      <c r="K553" s="16">
        <v>0</v>
      </c>
      <c r="L553" s="3">
        <v>0</v>
      </c>
      <c r="M553" s="3">
        <v>0</v>
      </c>
      <c r="N553" s="3">
        <v>990</v>
      </c>
      <c r="O553" s="3">
        <v>1025</v>
      </c>
      <c r="P553" s="1">
        <v>0</v>
      </c>
      <c r="Q553">
        <v>1005</v>
      </c>
      <c r="R553" s="3">
        <v>1677.6</v>
      </c>
      <c r="S553" s="1">
        <v>0</v>
      </c>
    </row>
    <row r="554" spans="1:19" x14ac:dyDescent="0.2">
      <c r="A554" s="12">
        <v>457</v>
      </c>
      <c r="B554" s="12">
        <v>461</v>
      </c>
      <c r="C554" s="12">
        <v>462</v>
      </c>
      <c r="D554" s="3">
        <v>1</v>
      </c>
      <c r="E554" s="3">
        <v>1</v>
      </c>
      <c r="F554" s="3">
        <v>1</v>
      </c>
      <c r="G554" s="3">
        <v>551.6</v>
      </c>
      <c r="H554" s="13">
        <v>0.53339999999999999</v>
      </c>
      <c r="I554" s="13">
        <v>0.48259999999999997</v>
      </c>
      <c r="J554" s="16">
        <v>0</v>
      </c>
      <c r="K554" s="16">
        <v>0</v>
      </c>
      <c r="L554" s="3">
        <v>0</v>
      </c>
      <c r="M554" s="3">
        <v>0</v>
      </c>
      <c r="N554" s="3">
        <v>990</v>
      </c>
      <c r="O554" s="3">
        <v>1025</v>
      </c>
      <c r="P554" s="1">
        <v>0</v>
      </c>
      <c r="Q554">
        <v>1005</v>
      </c>
      <c r="R554" s="3">
        <v>1677.6</v>
      </c>
      <c r="S554" s="1">
        <v>0</v>
      </c>
    </row>
    <row r="555" spans="1:19" x14ac:dyDescent="0.2">
      <c r="A555" s="12">
        <v>458</v>
      </c>
      <c r="B555" s="12">
        <v>462</v>
      </c>
      <c r="C555" s="12">
        <v>463</v>
      </c>
      <c r="D555" s="3">
        <v>1</v>
      </c>
      <c r="E555" s="3">
        <v>1</v>
      </c>
      <c r="F555" s="3">
        <v>1</v>
      </c>
      <c r="G555" s="3">
        <v>551.6</v>
      </c>
      <c r="H555" s="13">
        <v>0.53339999999999999</v>
      </c>
      <c r="I555" s="13">
        <v>0.48259999999999997</v>
      </c>
      <c r="J555" s="16">
        <v>0</v>
      </c>
      <c r="K555" s="16">
        <v>0</v>
      </c>
      <c r="L555" s="3">
        <v>0</v>
      </c>
      <c r="M555" s="3">
        <v>0</v>
      </c>
      <c r="N555" s="3">
        <v>990</v>
      </c>
      <c r="O555" s="3">
        <v>1025</v>
      </c>
      <c r="P555" s="1">
        <v>0</v>
      </c>
      <c r="Q555">
        <v>1005</v>
      </c>
      <c r="R555" s="3">
        <v>1677.6</v>
      </c>
      <c r="S555" s="1">
        <v>0</v>
      </c>
    </row>
    <row r="556" spans="1:19" x14ac:dyDescent="0.2">
      <c r="A556" s="12">
        <v>459</v>
      </c>
      <c r="B556" s="12">
        <v>463</v>
      </c>
      <c r="C556" s="12">
        <v>464</v>
      </c>
      <c r="D556" s="3">
        <v>1</v>
      </c>
      <c r="E556" s="3">
        <v>1</v>
      </c>
      <c r="F556" s="3">
        <v>1</v>
      </c>
      <c r="G556" s="3">
        <v>551.6</v>
      </c>
      <c r="H556" s="13">
        <v>0.53339999999999999</v>
      </c>
      <c r="I556" s="13">
        <v>0.48259999999999997</v>
      </c>
      <c r="J556" s="16">
        <v>0</v>
      </c>
      <c r="K556" s="16">
        <v>0</v>
      </c>
      <c r="L556" s="3">
        <v>0</v>
      </c>
      <c r="M556" s="3">
        <v>0</v>
      </c>
      <c r="N556" s="3">
        <v>990</v>
      </c>
      <c r="O556" s="3">
        <v>1025</v>
      </c>
      <c r="P556" s="1">
        <v>0</v>
      </c>
      <c r="Q556">
        <v>1005</v>
      </c>
      <c r="R556" s="3">
        <v>1677.6</v>
      </c>
      <c r="S556" s="1">
        <v>0</v>
      </c>
    </row>
    <row r="557" spans="1:19" x14ac:dyDescent="0.2">
      <c r="A557" s="12">
        <v>460</v>
      </c>
      <c r="B557" s="12">
        <v>464</v>
      </c>
      <c r="C557" s="12">
        <v>465</v>
      </c>
      <c r="D557" s="3">
        <v>1</v>
      </c>
      <c r="E557" s="3">
        <v>1</v>
      </c>
      <c r="F557" s="3">
        <v>1</v>
      </c>
      <c r="G557" s="3">
        <v>551.6</v>
      </c>
      <c r="H557" s="13">
        <v>0.53339999999999999</v>
      </c>
      <c r="I557" s="13">
        <v>0.48259999999999997</v>
      </c>
      <c r="J557" s="16">
        <v>0</v>
      </c>
      <c r="K557" s="16">
        <v>0</v>
      </c>
      <c r="L557" s="3">
        <v>0</v>
      </c>
      <c r="M557" s="3">
        <v>0</v>
      </c>
      <c r="N557" s="3">
        <v>990</v>
      </c>
      <c r="O557" s="3">
        <v>1025</v>
      </c>
      <c r="P557" s="1">
        <v>0</v>
      </c>
      <c r="Q557">
        <v>1005</v>
      </c>
      <c r="R557" s="3">
        <v>1677.6</v>
      </c>
      <c r="S557" s="1">
        <v>0</v>
      </c>
    </row>
    <row r="558" spans="1:19" x14ac:dyDescent="0.2">
      <c r="A558" s="12">
        <v>461</v>
      </c>
      <c r="B558" s="12">
        <v>465</v>
      </c>
      <c r="C558" s="12">
        <v>466</v>
      </c>
      <c r="D558" s="3">
        <v>1</v>
      </c>
      <c r="E558" s="3">
        <v>1</v>
      </c>
      <c r="F558" s="3">
        <v>1</v>
      </c>
      <c r="G558" s="3">
        <v>551.6</v>
      </c>
      <c r="H558" s="13">
        <v>0.53339999999999999</v>
      </c>
      <c r="I558" s="13">
        <v>0.48259999999999997</v>
      </c>
      <c r="J558" s="16">
        <v>0</v>
      </c>
      <c r="K558" s="16">
        <v>0</v>
      </c>
      <c r="L558" s="3">
        <v>0</v>
      </c>
      <c r="M558" s="3">
        <v>0</v>
      </c>
      <c r="N558" s="3">
        <v>990</v>
      </c>
      <c r="O558" s="3">
        <v>1025</v>
      </c>
      <c r="P558" s="1">
        <v>0</v>
      </c>
      <c r="Q558">
        <v>1005</v>
      </c>
      <c r="R558" s="3">
        <v>1677.6</v>
      </c>
      <c r="S558" s="1">
        <v>0</v>
      </c>
    </row>
    <row r="559" spans="1:19" x14ac:dyDescent="0.2">
      <c r="A559" s="12">
        <v>462</v>
      </c>
      <c r="B559" s="12">
        <v>466</v>
      </c>
      <c r="C559" s="12">
        <v>467</v>
      </c>
      <c r="D559" s="3">
        <v>1</v>
      </c>
      <c r="E559" s="3">
        <v>1</v>
      </c>
      <c r="F559" s="3">
        <v>1</v>
      </c>
      <c r="G559" s="3">
        <v>551.6</v>
      </c>
      <c r="H559" s="13">
        <v>0.53339999999999999</v>
      </c>
      <c r="I559" s="13">
        <v>0.48259999999999997</v>
      </c>
      <c r="J559" s="16">
        <v>0</v>
      </c>
      <c r="K559" s="16">
        <v>0</v>
      </c>
      <c r="L559" s="3">
        <v>0</v>
      </c>
      <c r="M559" s="3">
        <v>0</v>
      </c>
      <c r="N559" s="3">
        <v>990</v>
      </c>
      <c r="O559" s="3">
        <v>1025</v>
      </c>
      <c r="P559" s="1">
        <v>0</v>
      </c>
      <c r="Q559">
        <v>1005</v>
      </c>
      <c r="R559" s="3">
        <v>1677.6</v>
      </c>
      <c r="S559" s="1">
        <v>0</v>
      </c>
    </row>
    <row r="560" spans="1:19" x14ac:dyDescent="0.2">
      <c r="A560" s="12">
        <v>463</v>
      </c>
      <c r="B560" s="12">
        <v>467</v>
      </c>
      <c r="C560" s="12">
        <v>468</v>
      </c>
      <c r="D560" s="3">
        <v>1</v>
      </c>
      <c r="E560" s="3">
        <v>1</v>
      </c>
      <c r="F560" s="3">
        <v>1</v>
      </c>
      <c r="G560" s="3">
        <v>551.6</v>
      </c>
      <c r="H560" s="13">
        <v>0.53339999999999999</v>
      </c>
      <c r="I560" s="13">
        <v>0.48259999999999997</v>
      </c>
      <c r="J560" s="16">
        <v>0</v>
      </c>
      <c r="K560" s="16">
        <v>0</v>
      </c>
      <c r="L560" s="3">
        <v>0</v>
      </c>
      <c r="M560" s="3">
        <v>0</v>
      </c>
      <c r="N560" s="3">
        <v>990</v>
      </c>
      <c r="O560" s="3">
        <v>1025</v>
      </c>
      <c r="P560" s="1">
        <v>0</v>
      </c>
      <c r="Q560">
        <v>1005</v>
      </c>
      <c r="R560" s="3">
        <v>1677.6</v>
      </c>
      <c r="S560" s="1">
        <v>0</v>
      </c>
    </row>
    <row r="561" spans="1:19" x14ac:dyDescent="0.2">
      <c r="A561" s="12">
        <v>464</v>
      </c>
      <c r="B561" s="12">
        <v>468</v>
      </c>
      <c r="C561" s="12">
        <v>469</v>
      </c>
      <c r="D561" s="3">
        <v>1</v>
      </c>
      <c r="E561" s="3">
        <v>1</v>
      </c>
      <c r="F561" s="3">
        <v>1</v>
      </c>
      <c r="G561" s="3">
        <v>551.6</v>
      </c>
      <c r="H561" s="13">
        <v>0.53339999999999999</v>
      </c>
      <c r="I561" s="13">
        <v>0.48259999999999997</v>
      </c>
      <c r="J561" s="16">
        <v>0</v>
      </c>
      <c r="K561" s="16">
        <v>0</v>
      </c>
      <c r="L561" s="3">
        <v>0</v>
      </c>
      <c r="M561" s="3">
        <v>0</v>
      </c>
      <c r="N561" s="3">
        <v>990</v>
      </c>
      <c r="O561" s="3">
        <v>1025</v>
      </c>
      <c r="P561" s="1">
        <v>0</v>
      </c>
      <c r="Q561">
        <v>1005</v>
      </c>
      <c r="R561" s="3">
        <v>1677.6</v>
      </c>
      <c r="S561" s="1">
        <v>0</v>
      </c>
    </row>
    <row r="562" spans="1:19" x14ac:dyDescent="0.2">
      <c r="A562" s="12">
        <v>465</v>
      </c>
      <c r="B562" s="12">
        <v>469</v>
      </c>
      <c r="C562" s="12">
        <v>470</v>
      </c>
      <c r="D562" s="3">
        <v>1</v>
      </c>
      <c r="E562" s="3">
        <v>1</v>
      </c>
      <c r="F562" s="3">
        <v>1</v>
      </c>
      <c r="G562" s="3">
        <v>551.6</v>
      </c>
      <c r="H562" s="13">
        <v>0.53339999999999999</v>
      </c>
      <c r="I562" s="13">
        <v>0.48259999999999997</v>
      </c>
      <c r="J562" s="16">
        <v>0</v>
      </c>
      <c r="K562" s="16">
        <v>0</v>
      </c>
      <c r="L562" s="3">
        <v>0</v>
      </c>
      <c r="M562" s="3">
        <v>0</v>
      </c>
      <c r="N562" s="3">
        <v>990</v>
      </c>
      <c r="O562" s="3">
        <v>1025</v>
      </c>
      <c r="P562" s="1">
        <v>0</v>
      </c>
      <c r="Q562">
        <v>1005</v>
      </c>
      <c r="R562" s="3">
        <v>1677.6</v>
      </c>
      <c r="S562" s="1">
        <v>0</v>
      </c>
    </row>
    <row r="563" spans="1:19" x14ac:dyDescent="0.2">
      <c r="A563" s="12">
        <v>466</v>
      </c>
      <c r="B563" s="12">
        <v>470</v>
      </c>
      <c r="C563" s="12">
        <v>471</v>
      </c>
      <c r="D563" s="3">
        <v>1</v>
      </c>
      <c r="E563" s="3">
        <v>1</v>
      </c>
      <c r="F563" s="3">
        <v>1</v>
      </c>
      <c r="G563" s="3">
        <v>551.6</v>
      </c>
      <c r="H563" s="13">
        <v>0.53339999999999999</v>
      </c>
      <c r="I563" s="13">
        <v>0.48259999999999997</v>
      </c>
      <c r="J563" s="16">
        <v>0</v>
      </c>
      <c r="K563" s="16">
        <v>0</v>
      </c>
      <c r="L563" s="3">
        <v>0</v>
      </c>
      <c r="M563" s="3">
        <v>0</v>
      </c>
      <c r="N563" s="3">
        <v>990</v>
      </c>
      <c r="O563" s="3">
        <v>1025</v>
      </c>
      <c r="P563" s="1">
        <v>0</v>
      </c>
      <c r="Q563">
        <v>1005</v>
      </c>
      <c r="R563" s="3">
        <v>1677.6</v>
      </c>
      <c r="S563" s="1">
        <v>0</v>
      </c>
    </row>
    <row r="564" spans="1:19" x14ac:dyDescent="0.2">
      <c r="A564" s="12">
        <v>467</v>
      </c>
      <c r="B564" s="12">
        <v>471</v>
      </c>
      <c r="C564" s="12">
        <v>472</v>
      </c>
      <c r="D564" s="3">
        <v>1</v>
      </c>
      <c r="E564" s="3">
        <v>1</v>
      </c>
      <c r="F564" s="3">
        <v>1</v>
      </c>
      <c r="G564" s="3">
        <v>551.6</v>
      </c>
      <c r="H564" s="13">
        <v>0.53339999999999999</v>
      </c>
      <c r="I564" s="13">
        <v>0.48259999999999997</v>
      </c>
      <c r="J564" s="16">
        <v>0</v>
      </c>
      <c r="K564" s="16">
        <v>0</v>
      </c>
      <c r="L564" s="3">
        <v>0</v>
      </c>
      <c r="M564" s="3">
        <v>0</v>
      </c>
      <c r="N564" s="3">
        <v>990</v>
      </c>
      <c r="O564" s="3">
        <v>1025</v>
      </c>
      <c r="P564" s="1">
        <v>0</v>
      </c>
      <c r="Q564">
        <v>1005</v>
      </c>
      <c r="R564" s="3">
        <v>1677.6</v>
      </c>
      <c r="S564" s="1">
        <v>0</v>
      </c>
    </row>
    <row r="565" spans="1:19" x14ac:dyDescent="0.2">
      <c r="A565" s="12">
        <v>468</v>
      </c>
      <c r="B565" s="12">
        <v>472</v>
      </c>
      <c r="C565" s="12">
        <v>473</v>
      </c>
      <c r="D565" s="3">
        <v>1</v>
      </c>
      <c r="E565" s="3">
        <v>1</v>
      </c>
      <c r="F565" s="3">
        <v>1</v>
      </c>
      <c r="G565" s="3">
        <v>551.6</v>
      </c>
      <c r="H565" s="13">
        <v>0.53339999999999999</v>
      </c>
      <c r="I565" s="13">
        <v>0.48259999999999997</v>
      </c>
      <c r="J565" s="16">
        <v>0</v>
      </c>
      <c r="K565" s="16">
        <v>0</v>
      </c>
      <c r="L565" s="3">
        <v>0</v>
      </c>
      <c r="M565" s="3">
        <v>0</v>
      </c>
      <c r="N565" s="3">
        <v>990</v>
      </c>
      <c r="O565" s="3">
        <v>1025</v>
      </c>
      <c r="P565" s="1">
        <v>0</v>
      </c>
      <c r="Q565">
        <v>1005</v>
      </c>
      <c r="R565" s="3">
        <v>1677.6</v>
      </c>
      <c r="S565" s="1">
        <v>0</v>
      </c>
    </row>
    <row r="566" spans="1:19" x14ac:dyDescent="0.2">
      <c r="A566" s="12">
        <v>469</v>
      </c>
      <c r="B566" s="12">
        <v>473</v>
      </c>
      <c r="C566" s="12">
        <v>474</v>
      </c>
      <c r="D566" s="3">
        <v>1</v>
      </c>
      <c r="E566" s="3">
        <v>1</v>
      </c>
      <c r="F566" s="3">
        <v>1</v>
      </c>
      <c r="G566" s="3">
        <v>551.6</v>
      </c>
      <c r="H566" s="13">
        <v>0.53339999999999999</v>
      </c>
      <c r="I566" s="13">
        <v>0.48259999999999997</v>
      </c>
      <c r="J566" s="16">
        <v>0</v>
      </c>
      <c r="K566" s="16">
        <v>0</v>
      </c>
      <c r="L566" s="3">
        <v>0</v>
      </c>
      <c r="M566" s="3">
        <v>0</v>
      </c>
      <c r="N566" s="3">
        <v>990</v>
      </c>
      <c r="O566" s="3">
        <v>1025</v>
      </c>
      <c r="P566" s="1">
        <v>0</v>
      </c>
      <c r="Q566">
        <v>1005</v>
      </c>
      <c r="R566" s="3">
        <v>1677.6</v>
      </c>
      <c r="S566" s="1">
        <v>0</v>
      </c>
    </row>
    <row r="567" spans="1:19" x14ac:dyDescent="0.2">
      <c r="A567" s="12">
        <v>470</v>
      </c>
      <c r="B567" s="12">
        <v>474</v>
      </c>
      <c r="C567" s="12">
        <v>475</v>
      </c>
      <c r="D567" s="3">
        <v>1</v>
      </c>
      <c r="E567" s="3">
        <v>1</v>
      </c>
      <c r="F567" s="3">
        <v>1</v>
      </c>
      <c r="G567" s="3">
        <v>551.6</v>
      </c>
      <c r="H567" s="13">
        <v>0.53339999999999999</v>
      </c>
      <c r="I567" s="13">
        <v>0.48259999999999997</v>
      </c>
      <c r="J567" s="16">
        <v>0</v>
      </c>
      <c r="K567" s="16">
        <v>0</v>
      </c>
      <c r="L567" s="3">
        <v>0</v>
      </c>
      <c r="M567" s="3">
        <v>0</v>
      </c>
      <c r="N567" s="3">
        <v>990</v>
      </c>
      <c r="O567" s="3">
        <v>1025</v>
      </c>
      <c r="P567" s="1">
        <v>0</v>
      </c>
      <c r="Q567">
        <v>1005</v>
      </c>
      <c r="R567" s="3">
        <v>1677.6</v>
      </c>
      <c r="S567" s="1">
        <v>0</v>
      </c>
    </row>
    <row r="568" spans="1:19" x14ac:dyDescent="0.2">
      <c r="A568" s="12">
        <v>471</v>
      </c>
      <c r="B568" s="12">
        <v>475</v>
      </c>
      <c r="C568" s="12">
        <v>476</v>
      </c>
      <c r="D568" s="3">
        <v>1</v>
      </c>
      <c r="E568" s="3">
        <v>1</v>
      </c>
      <c r="F568" s="3">
        <v>1</v>
      </c>
      <c r="G568" s="3">
        <v>551.6</v>
      </c>
      <c r="H568" s="13">
        <v>0.53339999999999999</v>
      </c>
      <c r="I568" s="13">
        <v>0.48259999999999997</v>
      </c>
      <c r="J568" s="16">
        <v>0</v>
      </c>
      <c r="K568" s="16">
        <v>0</v>
      </c>
      <c r="L568" s="3">
        <v>0</v>
      </c>
      <c r="M568" s="3">
        <v>0</v>
      </c>
      <c r="N568" s="3">
        <v>990</v>
      </c>
      <c r="O568" s="3">
        <v>1025</v>
      </c>
      <c r="P568" s="1">
        <v>0</v>
      </c>
      <c r="Q568">
        <v>1005</v>
      </c>
      <c r="R568" s="3">
        <v>1677.6</v>
      </c>
      <c r="S568" s="1">
        <v>0</v>
      </c>
    </row>
    <row r="569" spans="1:19" x14ac:dyDescent="0.2">
      <c r="A569" s="12">
        <v>472</v>
      </c>
      <c r="B569" s="12">
        <v>476</v>
      </c>
      <c r="C569" s="12">
        <v>477</v>
      </c>
      <c r="D569" s="3">
        <v>1</v>
      </c>
      <c r="E569" s="3">
        <v>1</v>
      </c>
      <c r="F569" s="3">
        <v>1</v>
      </c>
      <c r="G569" s="3">
        <v>551.6</v>
      </c>
      <c r="H569" s="13">
        <v>0.53339999999999999</v>
      </c>
      <c r="I569" s="13">
        <v>0.48259999999999997</v>
      </c>
      <c r="J569" s="16">
        <v>0</v>
      </c>
      <c r="K569" s="16">
        <v>0</v>
      </c>
      <c r="L569" s="3">
        <v>0</v>
      </c>
      <c r="M569" s="3">
        <v>0</v>
      </c>
      <c r="N569" s="3">
        <v>990</v>
      </c>
      <c r="O569" s="3">
        <v>1025</v>
      </c>
      <c r="P569" s="1">
        <v>0</v>
      </c>
      <c r="Q569">
        <v>1005</v>
      </c>
      <c r="R569" s="3">
        <v>1677.6</v>
      </c>
      <c r="S569" s="1">
        <v>0</v>
      </c>
    </row>
    <row r="570" spans="1:19" x14ac:dyDescent="0.2">
      <c r="A570" s="12">
        <v>473</v>
      </c>
      <c r="B570" s="12">
        <v>477</v>
      </c>
      <c r="C570" s="12">
        <v>478</v>
      </c>
      <c r="D570" s="3">
        <v>1</v>
      </c>
      <c r="E570" s="3">
        <v>1</v>
      </c>
      <c r="F570" s="3">
        <v>1</v>
      </c>
      <c r="G570" s="3">
        <v>551.6</v>
      </c>
      <c r="H570" s="13">
        <v>0.53339999999999999</v>
      </c>
      <c r="I570" s="13">
        <v>0.48259999999999997</v>
      </c>
      <c r="J570" s="16">
        <v>0</v>
      </c>
      <c r="K570" s="16">
        <v>0</v>
      </c>
      <c r="L570" s="3">
        <v>0</v>
      </c>
      <c r="M570" s="3">
        <v>0</v>
      </c>
      <c r="N570" s="3">
        <v>990</v>
      </c>
      <c r="O570" s="3">
        <v>1025</v>
      </c>
      <c r="P570" s="1">
        <v>0</v>
      </c>
      <c r="Q570">
        <v>1005</v>
      </c>
      <c r="R570" s="3">
        <v>1677.6</v>
      </c>
      <c r="S570" s="1">
        <v>0</v>
      </c>
    </row>
    <row r="571" spans="1:19" x14ac:dyDescent="0.2">
      <c r="A571" s="12">
        <v>474</v>
      </c>
      <c r="B571" s="12">
        <v>478</v>
      </c>
      <c r="C571" s="12">
        <v>479</v>
      </c>
      <c r="D571" s="3">
        <v>1</v>
      </c>
      <c r="E571" s="3">
        <v>1</v>
      </c>
      <c r="F571" s="3">
        <v>1</v>
      </c>
      <c r="G571" s="3">
        <v>551.6</v>
      </c>
      <c r="H571" s="13">
        <v>0.53339999999999999</v>
      </c>
      <c r="I571" s="13">
        <v>0.48259999999999997</v>
      </c>
      <c r="J571" s="16">
        <v>0</v>
      </c>
      <c r="K571" s="16">
        <v>0</v>
      </c>
      <c r="L571" s="3">
        <v>0</v>
      </c>
      <c r="M571" s="3">
        <v>0</v>
      </c>
      <c r="N571" s="3">
        <v>990</v>
      </c>
      <c r="O571" s="3">
        <v>1025</v>
      </c>
      <c r="P571" s="1">
        <v>0</v>
      </c>
      <c r="Q571">
        <v>1005</v>
      </c>
      <c r="R571" s="3">
        <v>1677.6</v>
      </c>
      <c r="S571" s="1">
        <v>0</v>
      </c>
    </row>
    <row r="572" spans="1:19" x14ac:dyDescent="0.2">
      <c r="A572" s="12">
        <v>475</v>
      </c>
      <c r="B572" s="12">
        <v>479</v>
      </c>
      <c r="C572" s="12">
        <v>480</v>
      </c>
      <c r="D572" s="3">
        <v>1</v>
      </c>
      <c r="E572" s="3">
        <v>1</v>
      </c>
      <c r="F572" s="3">
        <v>1</v>
      </c>
      <c r="G572" s="3">
        <v>551.6</v>
      </c>
      <c r="H572" s="13">
        <v>0.53339999999999999</v>
      </c>
      <c r="I572" s="13">
        <v>0.48259999999999997</v>
      </c>
      <c r="J572" s="16">
        <v>0</v>
      </c>
      <c r="K572" s="16">
        <v>0</v>
      </c>
      <c r="L572" s="3">
        <v>0</v>
      </c>
      <c r="M572" s="3">
        <v>0</v>
      </c>
      <c r="N572" s="3">
        <v>990</v>
      </c>
      <c r="O572" s="3">
        <v>1025</v>
      </c>
      <c r="P572" s="1">
        <v>0</v>
      </c>
      <c r="Q572">
        <v>1005</v>
      </c>
      <c r="R572" s="3">
        <v>1677.6</v>
      </c>
      <c r="S572" s="1">
        <v>0</v>
      </c>
    </row>
    <row r="573" spans="1:19" x14ac:dyDescent="0.2">
      <c r="A573" s="12">
        <v>476</v>
      </c>
      <c r="B573" s="12">
        <v>480</v>
      </c>
      <c r="C573" s="12">
        <v>481</v>
      </c>
      <c r="D573" s="3">
        <v>1</v>
      </c>
      <c r="E573" s="3">
        <v>1</v>
      </c>
      <c r="F573" s="3">
        <v>1</v>
      </c>
      <c r="G573" s="3">
        <v>551.6</v>
      </c>
      <c r="H573" s="13">
        <v>0.53339999999999999</v>
      </c>
      <c r="I573" s="13">
        <v>0.48259999999999997</v>
      </c>
      <c r="J573" s="16">
        <v>0</v>
      </c>
      <c r="K573" s="16">
        <v>0</v>
      </c>
      <c r="L573" s="3">
        <v>0</v>
      </c>
      <c r="M573" s="3">
        <v>0</v>
      </c>
      <c r="N573" s="3">
        <v>990</v>
      </c>
      <c r="O573" s="3">
        <v>1025</v>
      </c>
      <c r="P573" s="1">
        <v>0</v>
      </c>
      <c r="Q573">
        <v>1005</v>
      </c>
      <c r="R573" s="3">
        <v>1677.6</v>
      </c>
      <c r="S573" s="1">
        <v>0</v>
      </c>
    </row>
    <row r="574" spans="1:19" x14ac:dyDescent="0.2">
      <c r="A574" s="12">
        <v>477</v>
      </c>
      <c r="B574" s="12">
        <v>481</v>
      </c>
      <c r="C574" s="12">
        <v>482</v>
      </c>
      <c r="D574" s="3">
        <v>1</v>
      </c>
      <c r="E574" s="3">
        <v>1</v>
      </c>
      <c r="F574" s="3">
        <v>1</v>
      </c>
      <c r="G574" s="3">
        <v>551.6</v>
      </c>
      <c r="H574" s="13">
        <v>0.53339999999999999</v>
      </c>
      <c r="I574" s="13">
        <v>0.48259999999999997</v>
      </c>
      <c r="J574" s="16">
        <v>0</v>
      </c>
      <c r="K574" s="16">
        <v>0</v>
      </c>
      <c r="L574" s="3">
        <v>0</v>
      </c>
      <c r="M574" s="3">
        <v>0</v>
      </c>
      <c r="N574" s="3">
        <v>990</v>
      </c>
      <c r="O574" s="3">
        <v>1025</v>
      </c>
      <c r="P574" s="1">
        <v>0</v>
      </c>
      <c r="Q574">
        <v>1005</v>
      </c>
      <c r="R574" s="3">
        <v>1677.6</v>
      </c>
      <c r="S574" s="1">
        <v>0</v>
      </c>
    </row>
    <row r="575" spans="1:19" x14ac:dyDescent="0.2">
      <c r="A575" s="12">
        <v>478</v>
      </c>
      <c r="B575" s="12">
        <v>482</v>
      </c>
      <c r="C575" s="12">
        <v>483</v>
      </c>
      <c r="D575" s="3">
        <v>1</v>
      </c>
      <c r="E575" s="3">
        <v>1</v>
      </c>
      <c r="F575" s="3">
        <v>1</v>
      </c>
      <c r="G575" s="3">
        <v>551.6</v>
      </c>
      <c r="H575" s="13">
        <v>0.53339999999999999</v>
      </c>
      <c r="I575" s="13">
        <v>0.48259999999999997</v>
      </c>
      <c r="J575" s="16">
        <v>0</v>
      </c>
      <c r="K575" s="16">
        <v>0</v>
      </c>
      <c r="L575" s="3">
        <v>0</v>
      </c>
      <c r="M575" s="3">
        <v>0</v>
      </c>
      <c r="N575" s="3">
        <v>990</v>
      </c>
      <c r="O575" s="3">
        <v>1025</v>
      </c>
      <c r="P575" s="1">
        <v>0</v>
      </c>
      <c r="Q575">
        <v>1005</v>
      </c>
      <c r="R575" s="3">
        <v>1677.6</v>
      </c>
      <c r="S575" s="1">
        <v>0</v>
      </c>
    </row>
    <row r="576" spans="1:19" x14ac:dyDescent="0.2">
      <c r="A576" s="12">
        <v>479</v>
      </c>
      <c r="B576" s="12">
        <v>483</v>
      </c>
      <c r="C576" s="12">
        <v>484</v>
      </c>
      <c r="D576" s="3">
        <v>1</v>
      </c>
      <c r="E576" s="3">
        <v>1</v>
      </c>
      <c r="F576" s="3">
        <v>1</v>
      </c>
      <c r="G576" s="3">
        <v>551.6</v>
      </c>
      <c r="H576" s="13">
        <v>0.53339999999999999</v>
      </c>
      <c r="I576" s="13">
        <v>0.48259999999999997</v>
      </c>
      <c r="J576" s="16">
        <v>0</v>
      </c>
      <c r="K576" s="16">
        <v>0</v>
      </c>
      <c r="L576" s="3">
        <v>0</v>
      </c>
      <c r="M576" s="3">
        <v>0</v>
      </c>
      <c r="N576" s="3">
        <v>990</v>
      </c>
      <c r="O576" s="3">
        <v>1025</v>
      </c>
      <c r="P576" s="1">
        <v>0</v>
      </c>
      <c r="Q576">
        <v>1005</v>
      </c>
      <c r="R576" s="3">
        <v>1677.6</v>
      </c>
      <c r="S576" s="1">
        <v>0</v>
      </c>
    </row>
    <row r="577" spans="1:19" x14ac:dyDescent="0.2">
      <c r="A577" s="12">
        <v>480</v>
      </c>
      <c r="B577" s="12">
        <v>484</v>
      </c>
      <c r="C577" s="12">
        <v>485</v>
      </c>
      <c r="D577" s="3">
        <v>1</v>
      </c>
      <c r="E577" s="3">
        <v>1</v>
      </c>
      <c r="F577" s="3">
        <v>1</v>
      </c>
      <c r="G577" s="3">
        <v>551.6</v>
      </c>
      <c r="H577" s="13">
        <v>0.53339999999999999</v>
      </c>
      <c r="I577" s="13">
        <v>0.48259999999999997</v>
      </c>
      <c r="J577" s="16">
        <v>0</v>
      </c>
      <c r="K577" s="16">
        <v>0</v>
      </c>
      <c r="L577" s="3">
        <v>0</v>
      </c>
      <c r="M577" s="3">
        <v>0</v>
      </c>
      <c r="N577" s="3">
        <v>990</v>
      </c>
      <c r="O577" s="3">
        <v>1025</v>
      </c>
      <c r="P577" s="1">
        <v>0</v>
      </c>
      <c r="Q577">
        <v>1005</v>
      </c>
      <c r="R577" s="3">
        <v>1677.6</v>
      </c>
      <c r="S577" s="1">
        <v>0</v>
      </c>
    </row>
    <row r="578" spans="1:19" x14ac:dyDescent="0.2">
      <c r="A578" s="12">
        <v>481</v>
      </c>
      <c r="B578" s="12">
        <v>485</v>
      </c>
      <c r="C578" s="12">
        <v>486</v>
      </c>
      <c r="D578" s="3">
        <v>1</v>
      </c>
      <c r="E578" s="3">
        <v>1</v>
      </c>
      <c r="F578" s="3">
        <v>1</v>
      </c>
      <c r="G578" s="3">
        <v>551.6</v>
      </c>
      <c r="H578" s="13">
        <v>0.53339999999999999</v>
      </c>
      <c r="I578" s="13">
        <v>0.48259999999999997</v>
      </c>
      <c r="J578" s="16">
        <v>0</v>
      </c>
      <c r="K578" s="16">
        <v>0</v>
      </c>
      <c r="L578" s="3">
        <v>0</v>
      </c>
      <c r="M578" s="3">
        <v>0</v>
      </c>
      <c r="N578" s="3">
        <v>990</v>
      </c>
      <c r="O578" s="3">
        <v>1025</v>
      </c>
      <c r="P578" s="1">
        <v>0</v>
      </c>
      <c r="Q578">
        <v>1005</v>
      </c>
      <c r="R578" s="3">
        <v>1677.6</v>
      </c>
      <c r="S578" s="1">
        <v>0</v>
      </c>
    </row>
    <row r="579" spans="1:19" x14ac:dyDescent="0.2">
      <c r="A579" s="12">
        <v>482</v>
      </c>
      <c r="B579" s="12">
        <v>486</v>
      </c>
      <c r="C579" s="12">
        <v>487</v>
      </c>
      <c r="D579" s="3">
        <v>1</v>
      </c>
      <c r="E579" s="3">
        <v>1</v>
      </c>
      <c r="F579" s="3">
        <v>1</v>
      </c>
      <c r="G579" s="3">
        <v>551.6</v>
      </c>
      <c r="H579" s="13">
        <v>0.53339999999999999</v>
      </c>
      <c r="I579" s="13">
        <v>0.48259999999999997</v>
      </c>
      <c r="J579" s="16">
        <v>0</v>
      </c>
      <c r="K579" s="16">
        <v>0</v>
      </c>
      <c r="L579" s="3">
        <v>0</v>
      </c>
      <c r="M579" s="3">
        <v>0</v>
      </c>
      <c r="N579" s="3">
        <v>990</v>
      </c>
      <c r="O579" s="3">
        <v>1025</v>
      </c>
      <c r="P579" s="1">
        <v>0</v>
      </c>
      <c r="Q579">
        <v>1005</v>
      </c>
      <c r="R579" s="3">
        <v>1677.6</v>
      </c>
      <c r="S579" s="1">
        <v>0</v>
      </c>
    </row>
    <row r="580" spans="1:19" x14ac:dyDescent="0.2">
      <c r="A580" s="12">
        <v>483</v>
      </c>
      <c r="B580" s="12">
        <v>487</v>
      </c>
      <c r="C580" s="12">
        <v>488</v>
      </c>
      <c r="D580" s="3">
        <v>1</v>
      </c>
      <c r="E580" s="3">
        <v>1</v>
      </c>
      <c r="F580" s="3">
        <v>1</v>
      </c>
      <c r="G580" s="3">
        <v>551.6</v>
      </c>
      <c r="H580" s="13">
        <v>0.53339999999999999</v>
      </c>
      <c r="I580" s="13">
        <v>0.48259999999999997</v>
      </c>
      <c r="J580" s="16">
        <v>0</v>
      </c>
      <c r="K580" s="16">
        <v>0</v>
      </c>
      <c r="L580" s="3">
        <v>0</v>
      </c>
      <c r="M580" s="3">
        <v>0</v>
      </c>
      <c r="N580" s="3">
        <v>990</v>
      </c>
      <c r="O580" s="3">
        <v>1025</v>
      </c>
      <c r="P580" s="1">
        <v>0</v>
      </c>
      <c r="Q580">
        <v>1005</v>
      </c>
      <c r="R580" s="3">
        <v>1677.6</v>
      </c>
      <c r="S580" s="1">
        <v>0</v>
      </c>
    </row>
    <row r="581" spans="1:19" x14ac:dyDescent="0.2">
      <c r="A581" s="12">
        <v>484</v>
      </c>
      <c r="B581" s="12">
        <v>488</v>
      </c>
      <c r="C581" s="12">
        <v>489</v>
      </c>
      <c r="D581" s="3">
        <v>1</v>
      </c>
      <c r="E581" s="3">
        <v>1</v>
      </c>
      <c r="F581" s="3">
        <v>1</v>
      </c>
      <c r="G581" s="3">
        <v>551.6</v>
      </c>
      <c r="H581" s="13">
        <v>0.53339999999999999</v>
      </c>
      <c r="I581" s="13">
        <v>0.48259999999999997</v>
      </c>
      <c r="J581" s="16">
        <v>0</v>
      </c>
      <c r="K581" s="16">
        <v>0</v>
      </c>
      <c r="L581" s="3">
        <v>0</v>
      </c>
      <c r="M581" s="3">
        <v>0</v>
      </c>
      <c r="N581" s="3">
        <v>990</v>
      </c>
      <c r="O581" s="3">
        <v>1025</v>
      </c>
      <c r="P581" s="1">
        <v>0</v>
      </c>
      <c r="Q581">
        <v>1005</v>
      </c>
      <c r="R581" s="3">
        <v>1677.6</v>
      </c>
      <c r="S581" s="1">
        <v>0</v>
      </c>
    </row>
    <row r="582" spans="1:19" x14ac:dyDescent="0.2">
      <c r="A582" s="12">
        <v>485</v>
      </c>
      <c r="B582" s="12">
        <v>489</v>
      </c>
      <c r="C582" s="12">
        <v>490</v>
      </c>
      <c r="D582" s="3">
        <v>1</v>
      </c>
      <c r="E582" s="3">
        <v>1</v>
      </c>
      <c r="F582" s="3">
        <v>1</v>
      </c>
      <c r="G582" s="3">
        <v>551.6</v>
      </c>
      <c r="H582" s="13">
        <v>0.53339999999999999</v>
      </c>
      <c r="I582" s="13">
        <v>0.48259999999999997</v>
      </c>
      <c r="J582" s="16">
        <v>0</v>
      </c>
      <c r="K582" s="16">
        <v>0</v>
      </c>
      <c r="L582" s="3">
        <v>0</v>
      </c>
      <c r="M582" s="3">
        <v>0</v>
      </c>
      <c r="N582" s="3">
        <v>990</v>
      </c>
      <c r="O582" s="3">
        <v>1025</v>
      </c>
      <c r="P582" s="1">
        <v>0</v>
      </c>
      <c r="Q582">
        <v>1005</v>
      </c>
      <c r="R582" s="3">
        <v>1677.6</v>
      </c>
      <c r="S582" s="1">
        <v>0</v>
      </c>
    </row>
    <row r="583" spans="1:19" x14ac:dyDescent="0.2">
      <c r="A583" s="12">
        <v>486</v>
      </c>
      <c r="B583" s="12">
        <v>490</v>
      </c>
      <c r="C583" s="12">
        <v>491</v>
      </c>
      <c r="D583" s="3">
        <v>1</v>
      </c>
      <c r="E583" s="3">
        <v>1</v>
      </c>
      <c r="F583" s="3">
        <v>1</v>
      </c>
      <c r="G583" s="3">
        <v>551.6</v>
      </c>
      <c r="H583" s="13">
        <v>0.53339999999999999</v>
      </c>
      <c r="I583" s="13">
        <v>0.48259999999999997</v>
      </c>
      <c r="J583" s="16">
        <v>0</v>
      </c>
      <c r="K583" s="16">
        <v>0</v>
      </c>
      <c r="L583" s="3">
        <v>0</v>
      </c>
      <c r="M583" s="3">
        <v>0</v>
      </c>
      <c r="N583" s="3">
        <v>990</v>
      </c>
      <c r="O583" s="3">
        <v>1025</v>
      </c>
      <c r="P583" s="1">
        <v>0</v>
      </c>
      <c r="Q583">
        <v>1005</v>
      </c>
      <c r="R583" s="3">
        <v>1677.6</v>
      </c>
      <c r="S583" s="1">
        <v>0</v>
      </c>
    </row>
    <row r="584" spans="1:19" x14ac:dyDescent="0.2">
      <c r="A584" s="12">
        <v>487</v>
      </c>
      <c r="B584" s="12">
        <v>491</v>
      </c>
      <c r="C584" s="12">
        <v>492</v>
      </c>
      <c r="D584" s="3">
        <v>1</v>
      </c>
      <c r="E584" s="3">
        <v>1</v>
      </c>
      <c r="F584" s="3">
        <v>1</v>
      </c>
      <c r="G584" s="3">
        <v>551.6</v>
      </c>
      <c r="H584" s="13">
        <v>0.53339999999999999</v>
      </c>
      <c r="I584" s="13">
        <v>0.48259999999999997</v>
      </c>
      <c r="J584" s="16">
        <v>0</v>
      </c>
      <c r="K584" s="16">
        <v>0</v>
      </c>
      <c r="L584" s="3">
        <v>0</v>
      </c>
      <c r="M584" s="3">
        <v>0</v>
      </c>
      <c r="N584" s="3">
        <v>990</v>
      </c>
      <c r="O584" s="3">
        <v>1025</v>
      </c>
      <c r="P584" s="1">
        <v>0</v>
      </c>
      <c r="Q584">
        <v>1005</v>
      </c>
      <c r="R584" s="3">
        <v>1677.6</v>
      </c>
      <c r="S584" s="1">
        <v>0</v>
      </c>
    </row>
    <row r="585" spans="1:19" x14ac:dyDescent="0.2">
      <c r="A585" s="12">
        <v>488</v>
      </c>
      <c r="B585" s="12">
        <v>492</v>
      </c>
      <c r="C585" s="12">
        <v>493</v>
      </c>
      <c r="D585" s="3">
        <v>1</v>
      </c>
      <c r="E585" s="3">
        <v>1</v>
      </c>
      <c r="F585" s="3">
        <v>1</v>
      </c>
      <c r="G585" s="3">
        <v>551.6</v>
      </c>
      <c r="H585" s="13">
        <v>0.53339999999999999</v>
      </c>
      <c r="I585" s="13">
        <v>0.48259999999999997</v>
      </c>
      <c r="J585" s="16">
        <v>0</v>
      </c>
      <c r="K585" s="16">
        <v>0</v>
      </c>
      <c r="L585" s="3">
        <v>0</v>
      </c>
      <c r="M585" s="3">
        <v>0</v>
      </c>
      <c r="N585" s="3">
        <v>990</v>
      </c>
      <c r="O585" s="3">
        <v>1025</v>
      </c>
      <c r="P585" s="1">
        <v>0</v>
      </c>
      <c r="Q585">
        <v>1005</v>
      </c>
      <c r="R585" s="3">
        <v>1677.6</v>
      </c>
      <c r="S585" s="1">
        <v>0</v>
      </c>
    </row>
    <row r="586" spans="1:19" x14ac:dyDescent="0.2">
      <c r="A586" s="12">
        <v>489</v>
      </c>
      <c r="B586" s="12">
        <v>493</v>
      </c>
      <c r="C586" s="12">
        <v>494</v>
      </c>
      <c r="D586" s="3">
        <v>1</v>
      </c>
      <c r="E586" s="3">
        <v>1</v>
      </c>
      <c r="F586" s="3">
        <v>1</v>
      </c>
      <c r="G586" s="3">
        <v>551.6</v>
      </c>
      <c r="H586" s="13">
        <v>0.53339999999999999</v>
      </c>
      <c r="I586" s="13">
        <v>0.48259999999999997</v>
      </c>
      <c r="J586" s="16">
        <v>0</v>
      </c>
      <c r="K586" s="16">
        <v>0</v>
      </c>
      <c r="L586" s="3">
        <v>0</v>
      </c>
      <c r="M586" s="3">
        <v>0</v>
      </c>
      <c r="N586" s="3">
        <v>990</v>
      </c>
      <c r="O586" s="3">
        <v>1025</v>
      </c>
      <c r="P586" s="1">
        <v>0</v>
      </c>
      <c r="Q586">
        <v>1005</v>
      </c>
      <c r="R586" s="3">
        <v>1677.6</v>
      </c>
      <c r="S586" s="1">
        <v>0</v>
      </c>
    </row>
    <row r="587" spans="1:19" x14ac:dyDescent="0.2">
      <c r="A587" s="12">
        <v>490</v>
      </c>
      <c r="B587" s="12">
        <v>494</v>
      </c>
      <c r="C587" s="12">
        <v>495</v>
      </c>
      <c r="D587" s="3">
        <v>1</v>
      </c>
      <c r="E587" s="3">
        <v>1</v>
      </c>
      <c r="F587" s="3">
        <v>1</v>
      </c>
      <c r="G587" s="3">
        <v>551.6</v>
      </c>
      <c r="H587" s="13">
        <v>0.53339999999999999</v>
      </c>
      <c r="I587" s="13">
        <v>0.48259999999999997</v>
      </c>
      <c r="J587" s="16">
        <v>0</v>
      </c>
      <c r="K587" s="16">
        <v>0</v>
      </c>
      <c r="L587" s="3">
        <v>0</v>
      </c>
      <c r="M587" s="3">
        <v>0</v>
      </c>
      <c r="N587" s="3">
        <v>990</v>
      </c>
      <c r="O587" s="3">
        <v>1025</v>
      </c>
      <c r="P587" s="1">
        <v>0</v>
      </c>
      <c r="Q587">
        <v>1005</v>
      </c>
      <c r="R587" s="3">
        <v>1677.6</v>
      </c>
      <c r="S587" s="1">
        <v>0</v>
      </c>
    </row>
    <row r="588" spans="1:19" x14ac:dyDescent="0.2">
      <c r="A588" s="12">
        <v>491</v>
      </c>
      <c r="B588" s="12">
        <v>495</v>
      </c>
      <c r="C588" s="12">
        <v>496</v>
      </c>
      <c r="D588" s="3">
        <v>1</v>
      </c>
      <c r="E588" s="3">
        <v>1</v>
      </c>
      <c r="F588" s="3">
        <v>1</v>
      </c>
      <c r="G588" s="3">
        <v>551.6</v>
      </c>
      <c r="H588" s="13">
        <v>0.53339999999999999</v>
      </c>
      <c r="I588" s="13">
        <v>0.48259999999999997</v>
      </c>
      <c r="J588" s="16">
        <v>0</v>
      </c>
      <c r="K588" s="16">
        <v>0</v>
      </c>
      <c r="L588" s="3">
        <v>0</v>
      </c>
      <c r="M588" s="3">
        <v>0</v>
      </c>
      <c r="N588" s="3">
        <v>990</v>
      </c>
      <c r="O588" s="3">
        <v>1025</v>
      </c>
      <c r="P588" s="1">
        <v>0</v>
      </c>
      <c r="Q588">
        <v>1005</v>
      </c>
      <c r="R588" s="3">
        <v>1677.6</v>
      </c>
      <c r="S588" s="1">
        <v>0</v>
      </c>
    </row>
    <row r="589" spans="1:19" x14ac:dyDescent="0.2">
      <c r="A589" s="12">
        <v>492</v>
      </c>
      <c r="B589" s="12">
        <v>496</v>
      </c>
      <c r="C589" s="12">
        <v>497</v>
      </c>
      <c r="D589" s="3">
        <v>1</v>
      </c>
      <c r="E589" s="3">
        <v>1</v>
      </c>
      <c r="F589" s="3">
        <v>1</v>
      </c>
      <c r="G589" s="3">
        <v>551.6</v>
      </c>
      <c r="H589" s="13">
        <v>0.53339999999999999</v>
      </c>
      <c r="I589" s="13">
        <v>0.48259999999999997</v>
      </c>
      <c r="J589" s="16">
        <v>0</v>
      </c>
      <c r="K589" s="16">
        <v>0</v>
      </c>
      <c r="L589" s="3">
        <v>0</v>
      </c>
      <c r="M589" s="3">
        <v>0</v>
      </c>
      <c r="N589" s="3">
        <v>990</v>
      </c>
      <c r="O589" s="3">
        <v>1025</v>
      </c>
      <c r="P589" s="1">
        <v>0</v>
      </c>
      <c r="Q589">
        <v>1005</v>
      </c>
      <c r="R589" s="3">
        <v>1677.6</v>
      </c>
      <c r="S589" s="1">
        <v>0</v>
      </c>
    </row>
    <row r="590" spans="1:19" x14ac:dyDescent="0.2">
      <c r="A590" s="12">
        <v>493</v>
      </c>
      <c r="B590" s="12">
        <v>497</v>
      </c>
      <c r="C590" s="12">
        <v>498</v>
      </c>
      <c r="D590" s="3">
        <v>1</v>
      </c>
      <c r="E590" s="3">
        <v>1</v>
      </c>
      <c r="F590" s="3">
        <v>1</v>
      </c>
      <c r="G590" s="3">
        <v>551.6</v>
      </c>
      <c r="H590" s="13">
        <v>0.53339999999999999</v>
      </c>
      <c r="I590" s="13">
        <v>0.48259999999999997</v>
      </c>
      <c r="J590" s="16">
        <v>0</v>
      </c>
      <c r="K590" s="16">
        <v>0</v>
      </c>
      <c r="L590" s="3">
        <v>0</v>
      </c>
      <c r="M590" s="3">
        <v>0</v>
      </c>
      <c r="N590" s="3">
        <v>990</v>
      </c>
      <c r="O590" s="3">
        <v>1025</v>
      </c>
      <c r="P590" s="1">
        <v>0</v>
      </c>
      <c r="Q590">
        <v>1005</v>
      </c>
      <c r="R590" s="3">
        <v>1677.6</v>
      </c>
      <c r="S590" s="1">
        <v>0</v>
      </c>
    </row>
    <row r="591" spans="1:19" x14ac:dyDescent="0.2">
      <c r="A591" s="12">
        <v>494</v>
      </c>
      <c r="B591" s="12">
        <v>498</v>
      </c>
      <c r="C591" s="12">
        <v>499</v>
      </c>
      <c r="D591" s="3">
        <v>1</v>
      </c>
      <c r="E591" s="3">
        <v>1</v>
      </c>
      <c r="F591" s="3">
        <v>1</v>
      </c>
      <c r="G591" s="3">
        <v>551.6</v>
      </c>
      <c r="H591" s="13">
        <v>0.53339999999999999</v>
      </c>
      <c r="I591" s="13">
        <v>0.48259999999999997</v>
      </c>
      <c r="J591" s="16">
        <v>0</v>
      </c>
      <c r="K591" s="16">
        <v>0</v>
      </c>
      <c r="L591" s="3">
        <v>0</v>
      </c>
      <c r="M591" s="3">
        <v>0</v>
      </c>
      <c r="N591" s="3">
        <v>990</v>
      </c>
      <c r="O591" s="3">
        <v>1025</v>
      </c>
      <c r="P591" s="1">
        <v>0</v>
      </c>
      <c r="Q591">
        <v>1005</v>
      </c>
      <c r="R591" s="3">
        <v>1677.6</v>
      </c>
      <c r="S591" s="1">
        <v>0</v>
      </c>
    </row>
    <row r="592" spans="1:19" x14ac:dyDescent="0.2">
      <c r="A592" s="12">
        <v>495</v>
      </c>
      <c r="B592" s="12">
        <v>499</v>
      </c>
      <c r="C592" s="12">
        <v>500</v>
      </c>
      <c r="D592" s="3">
        <v>1</v>
      </c>
      <c r="E592" s="3">
        <v>1</v>
      </c>
      <c r="F592" s="3">
        <v>1</v>
      </c>
      <c r="G592" s="3">
        <v>551.6</v>
      </c>
      <c r="H592" s="13">
        <v>0.53339999999999999</v>
      </c>
      <c r="I592" s="13">
        <v>0.48259999999999997</v>
      </c>
      <c r="J592" s="16">
        <v>0</v>
      </c>
      <c r="K592" s="16">
        <v>0</v>
      </c>
      <c r="L592" s="3">
        <v>0</v>
      </c>
      <c r="M592" s="3">
        <v>0</v>
      </c>
      <c r="N592" s="3">
        <v>990</v>
      </c>
      <c r="O592" s="3">
        <v>1025</v>
      </c>
      <c r="P592" s="1">
        <v>0</v>
      </c>
      <c r="Q592">
        <v>1005</v>
      </c>
      <c r="R592" s="3">
        <v>1677.6</v>
      </c>
      <c r="S592" s="1">
        <v>0</v>
      </c>
    </row>
    <row r="593" spans="1:19" x14ac:dyDescent="0.2">
      <c r="A593" s="12">
        <v>496</v>
      </c>
      <c r="B593" s="12">
        <v>500</v>
      </c>
      <c r="C593" s="12">
        <v>501</v>
      </c>
      <c r="D593" s="3">
        <v>1</v>
      </c>
      <c r="E593" s="3">
        <v>1</v>
      </c>
      <c r="F593" s="3">
        <v>1</v>
      </c>
      <c r="G593" s="3">
        <v>551.6</v>
      </c>
      <c r="H593" s="13">
        <v>0.53339999999999999</v>
      </c>
      <c r="I593" s="13">
        <v>0.48259999999999997</v>
      </c>
      <c r="J593" s="16">
        <v>0</v>
      </c>
      <c r="K593" s="16">
        <v>0</v>
      </c>
      <c r="L593" s="3">
        <v>0</v>
      </c>
      <c r="M593" s="3">
        <v>0</v>
      </c>
      <c r="N593" s="3">
        <v>990</v>
      </c>
      <c r="O593" s="3">
        <v>1025</v>
      </c>
      <c r="P593" s="1">
        <v>0</v>
      </c>
      <c r="Q593">
        <v>1005</v>
      </c>
      <c r="R593" s="3">
        <v>1677.6</v>
      </c>
      <c r="S593" s="1">
        <v>0</v>
      </c>
    </row>
    <row r="594" spans="1:19" x14ac:dyDescent="0.2">
      <c r="A594" s="12">
        <v>497</v>
      </c>
      <c r="B594" s="12">
        <v>501</v>
      </c>
      <c r="C594" s="12">
        <v>502</v>
      </c>
      <c r="D594" s="3">
        <v>1</v>
      </c>
      <c r="E594" s="3">
        <v>1</v>
      </c>
      <c r="F594" s="3">
        <v>1</v>
      </c>
      <c r="G594" s="3">
        <v>551.6</v>
      </c>
      <c r="H594" s="13">
        <v>0.53339999999999999</v>
      </c>
      <c r="I594" s="13">
        <v>0.48259999999999997</v>
      </c>
      <c r="J594" s="16">
        <v>0</v>
      </c>
      <c r="K594" s="16">
        <v>0</v>
      </c>
      <c r="L594" s="3">
        <v>0</v>
      </c>
      <c r="M594" s="3">
        <v>0</v>
      </c>
      <c r="N594" s="3">
        <v>990</v>
      </c>
      <c r="O594" s="3">
        <v>1025</v>
      </c>
      <c r="P594" s="1">
        <v>0</v>
      </c>
      <c r="Q594">
        <v>1005</v>
      </c>
      <c r="R594" s="3">
        <v>1677.6</v>
      </c>
      <c r="S594" s="1">
        <v>0</v>
      </c>
    </row>
    <row r="595" spans="1:19" x14ac:dyDescent="0.2">
      <c r="A595" s="12">
        <v>498</v>
      </c>
      <c r="B595" s="12">
        <v>502</v>
      </c>
      <c r="C595" s="12">
        <v>503</v>
      </c>
      <c r="D595" s="3">
        <v>1</v>
      </c>
      <c r="E595" s="3">
        <v>1</v>
      </c>
      <c r="F595" s="3">
        <v>1</v>
      </c>
      <c r="G595" s="3">
        <v>551.6</v>
      </c>
      <c r="H595" s="13">
        <v>0.53339999999999999</v>
      </c>
      <c r="I595" s="13">
        <v>0.48259999999999997</v>
      </c>
      <c r="J595" s="16">
        <v>0</v>
      </c>
      <c r="K595" s="16">
        <v>0</v>
      </c>
      <c r="L595" s="3">
        <v>0</v>
      </c>
      <c r="M595" s="3">
        <v>0</v>
      </c>
      <c r="N595" s="3">
        <v>990</v>
      </c>
      <c r="O595" s="3">
        <v>1025</v>
      </c>
      <c r="P595" s="1">
        <v>0</v>
      </c>
      <c r="Q595">
        <v>1005</v>
      </c>
      <c r="R595" s="3">
        <v>1677.6</v>
      </c>
      <c r="S595" s="1">
        <v>0</v>
      </c>
    </row>
    <row r="596" spans="1:19" x14ac:dyDescent="0.2">
      <c r="A596" s="12">
        <v>499</v>
      </c>
      <c r="B596" s="12">
        <v>503</v>
      </c>
      <c r="C596" s="12">
        <v>504</v>
      </c>
      <c r="D596" s="3">
        <v>1</v>
      </c>
      <c r="E596" s="3">
        <v>1</v>
      </c>
      <c r="F596" s="3">
        <v>1</v>
      </c>
      <c r="G596" s="3">
        <v>551.6</v>
      </c>
      <c r="H596" s="13">
        <v>0.53339999999999999</v>
      </c>
      <c r="I596" s="13">
        <v>0.48259999999999997</v>
      </c>
      <c r="J596" s="16">
        <v>0</v>
      </c>
      <c r="K596" s="16">
        <v>0</v>
      </c>
      <c r="L596" s="3">
        <v>0</v>
      </c>
      <c r="M596" s="3">
        <v>0</v>
      </c>
      <c r="N596" s="3">
        <v>990</v>
      </c>
      <c r="O596" s="3">
        <v>1025</v>
      </c>
      <c r="P596" s="1">
        <v>0</v>
      </c>
      <c r="Q596">
        <v>1005</v>
      </c>
      <c r="R596" s="3">
        <v>1677.6</v>
      </c>
      <c r="S596" s="1">
        <v>0</v>
      </c>
    </row>
    <row r="597" spans="1:19" x14ac:dyDescent="0.2">
      <c r="A597" s="12">
        <v>500</v>
      </c>
      <c r="B597" s="12">
        <v>504</v>
      </c>
      <c r="C597" s="12">
        <v>505</v>
      </c>
      <c r="D597" s="3">
        <v>1</v>
      </c>
      <c r="E597" s="3">
        <v>1</v>
      </c>
      <c r="F597" s="3">
        <v>1</v>
      </c>
      <c r="G597" s="3">
        <v>551.6</v>
      </c>
      <c r="H597" s="13">
        <v>0.53339999999999999</v>
      </c>
      <c r="I597" s="13">
        <v>0.48259999999999997</v>
      </c>
      <c r="J597" s="16">
        <v>0</v>
      </c>
      <c r="K597" s="16">
        <v>0</v>
      </c>
      <c r="L597" s="3">
        <v>0</v>
      </c>
      <c r="M597" s="3">
        <v>0</v>
      </c>
      <c r="N597" s="3">
        <v>990</v>
      </c>
      <c r="O597" s="3">
        <v>1025</v>
      </c>
      <c r="P597" s="1">
        <v>0</v>
      </c>
      <c r="Q597">
        <v>1005</v>
      </c>
      <c r="R597" s="3">
        <v>1677.6</v>
      </c>
      <c r="S597" s="1">
        <v>0</v>
      </c>
    </row>
    <row r="598" spans="1:19" x14ac:dyDescent="0.2">
      <c r="A598" s="12">
        <v>501</v>
      </c>
      <c r="B598" s="12">
        <v>505</v>
      </c>
      <c r="C598" s="12">
        <v>506</v>
      </c>
      <c r="D598" s="3">
        <v>1</v>
      </c>
      <c r="E598" s="3">
        <v>1</v>
      </c>
      <c r="F598" s="3">
        <v>1</v>
      </c>
      <c r="G598" s="3">
        <v>551.6</v>
      </c>
      <c r="H598" s="13">
        <v>0.53339999999999999</v>
      </c>
      <c r="I598" s="13">
        <v>0.48259999999999997</v>
      </c>
      <c r="J598" s="16">
        <v>0</v>
      </c>
      <c r="K598" s="16">
        <v>0</v>
      </c>
      <c r="L598" s="3">
        <v>0</v>
      </c>
      <c r="M598" s="3">
        <v>0</v>
      </c>
      <c r="N598" s="3">
        <v>990</v>
      </c>
      <c r="O598" s="3">
        <v>1025</v>
      </c>
      <c r="P598" s="1">
        <v>0</v>
      </c>
      <c r="Q598">
        <v>1005</v>
      </c>
      <c r="R598" s="3">
        <v>1677.6</v>
      </c>
      <c r="S598" s="1">
        <v>0</v>
      </c>
    </row>
    <row r="599" spans="1:19" x14ac:dyDescent="0.2">
      <c r="A599" s="12">
        <v>502</v>
      </c>
      <c r="B599" s="12">
        <v>506</v>
      </c>
      <c r="C599" s="12">
        <v>507</v>
      </c>
      <c r="D599" s="3">
        <v>1</v>
      </c>
      <c r="E599" s="3">
        <v>1</v>
      </c>
      <c r="F599" s="3">
        <v>1</v>
      </c>
      <c r="G599" s="3">
        <v>551.6</v>
      </c>
      <c r="H599" s="13">
        <v>0.53339999999999999</v>
      </c>
      <c r="I599" s="13">
        <v>0.48259999999999997</v>
      </c>
      <c r="J599" s="16">
        <v>0</v>
      </c>
      <c r="K599" s="16">
        <v>0</v>
      </c>
      <c r="L599" s="3">
        <v>0</v>
      </c>
      <c r="M599" s="3">
        <v>0</v>
      </c>
      <c r="N599" s="3">
        <v>990</v>
      </c>
      <c r="O599" s="3">
        <v>1025</v>
      </c>
      <c r="P599" s="1">
        <v>0</v>
      </c>
      <c r="Q599">
        <v>1005</v>
      </c>
      <c r="R599" s="3">
        <v>1677.6</v>
      </c>
      <c r="S599" s="1">
        <v>0</v>
      </c>
    </row>
    <row r="600" spans="1:19" x14ac:dyDescent="0.2">
      <c r="A600" s="12">
        <v>503</v>
      </c>
      <c r="B600" s="12">
        <v>507</v>
      </c>
      <c r="C600" s="12">
        <v>508</v>
      </c>
      <c r="D600" s="3">
        <v>1</v>
      </c>
      <c r="E600" s="3">
        <v>1</v>
      </c>
      <c r="F600" s="3">
        <v>1</v>
      </c>
      <c r="G600" s="3">
        <v>551.6</v>
      </c>
      <c r="H600" s="13">
        <v>0.53339999999999999</v>
      </c>
      <c r="I600" s="13">
        <v>0.48259999999999997</v>
      </c>
      <c r="J600" s="16">
        <v>0</v>
      </c>
      <c r="K600" s="16">
        <v>0</v>
      </c>
      <c r="L600" s="3">
        <v>0</v>
      </c>
      <c r="M600" s="3">
        <v>0</v>
      </c>
      <c r="N600" s="3">
        <v>990</v>
      </c>
      <c r="O600" s="3">
        <v>1025</v>
      </c>
      <c r="P600" s="1">
        <v>0</v>
      </c>
      <c r="Q600">
        <v>1005</v>
      </c>
      <c r="R600" s="3">
        <v>1677.6</v>
      </c>
      <c r="S600" s="1">
        <v>0</v>
      </c>
    </row>
    <row r="601" spans="1:19" x14ac:dyDescent="0.2">
      <c r="A601" s="12">
        <v>504</v>
      </c>
      <c r="B601" s="12">
        <v>508</v>
      </c>
      <c r="C601" s="12">
        <v>509</v>
      </c>
      <c r="D601" s="3">
        <v>1</v>
      </c>
      <c r="E601" s="3">
        <v>1</v>
      </c>
      <c r="F601" s="3">
        <v>1</v>
      </c>
      <c r="G601" s="3">
        <v>551.6</v>
      </c>
      <c r="H601" s="13">
        <v>0.53339999999999999</v>
      </c>
      <c r="I601" s="13">
        <v>0.48259999999999997</v>
      </c>
      <c r="J601" s="16">
        <v>0</v>
      </c>
      <c r="K601" s="16">
        <v>0</v>
      </c>
      <c r="L601" s="3">
        <v>0</v>
      </c>
      <c r="M601" s="3">
        <v>0</v>
      </c>
      <c r="N601" s="3">
        <v>990</v>
      </c>
      <c r="O601" s="3">
        <v>1025</v>
      </c>
      <c r="P601" s="1">
        <v>0</v>
      </c>
      <c r="Q601">
        <v>1005</v>
      </c>
      <c r="R601" s="3">
        <v>1677.6</v>
      </c>
      <c r="S601" s="1">
        <v>0</v>
      </c>
    </row>
    <row r="602" spans="1:19" x14ac:dyDescent="0.2">
      <c r="A602" s="12">
        <v>505</v>
      </c>
      <c r="B602" s="12">
        <v>509</v>
      </c>
      <c r="C602" s="12">
        <v>510</v>
      </c>
      <c r="D602" s="3">
        <v>1</v>
      </c>
      <c r="E602" s="3">
        <v>1</v>
      </c>
      <c r="F602" s="3">
        <v>1</v>
      </c>
      <c r="G602" s="3">
        <v>551.6</v>
      </c>
      <c r="H602" s="13">
        <v>0.53339999999999999</v>
      </c>
      <c r="I602" s="13">
        <v>0.48259999999999997</v>
      </c>
      <c r="J602" s="16">
        <v>0</v>
      </c>
      <c r="K602" s="16">
        <v>0</v>
      </c>
      <c r="L602" s="3">
        <v>0</v>
      </c>
      <c r="M602" s="3">
        <v>0</v>
      </c>
      <c r="N602" s="3">
        <v>990</v>
      </c>
      <c r="O602" s="3">
        <v>1025</v>
      </c>
      <c r="P602" s="1">
        <v>0</v>
      </c>
      <c r="Q602">
        <v>1005</v>
      </c>
      <c r="R602" s="3">
        <v>1677.6</v>
      </c>
      <c r="S602" s="1">
        <v>0</v>
      </c>
    </row>
    <row r="603" spans="1:19" x14ac:dyDescent="0.2">
      <c r="A603" s="12">
        <v>506</v>
      </c>
      <c r="B603" s="12">
        <v>510</v>
      </c>
      <c r="C603" s="12">
        <v>511</v>
      </c>
      <c r="D603" s="3">
        <v>1</v>
      </c>
      <c r="E603" s="3">
        <v>1</v>
      </c>
      <c r="F603" s="3">
        <v>1</v>
      </c>
      <c r="G603" s="3">
        <v>551.6</v>
      </c>
      <c r="H603" s="13">
        <v>0.53339999999999999</v>
      </c>
      <c r="I603" s="13">
        <v>0.48259999999999997</v>
      </c>
      <c r="J603" s="16">
        <v>0</v>
      </c>
      <c r="K603" s="16">
        <v>0</v>
      </c>
      <c r="L603" s="3">
        <v>0</v>
      </c>
      <c r="M603" s="3">
        <v>0</v>
      </c>
      <c r="N603" s="3">
        <v>990</v>
      </c>
      <c r="O603" s="3">
        <v>1025</v>
      </c>
      <c r="P603" s="1">
        <v>0</v>
      </c>
      <c r="Q603">
        <v>1005</v>
      </c>
      <c r="R603" s="3">
        <v>1677.6</v>
      </c>
      <c r="S603" s="1">
        <v>0</v>
      </c>
    </row>
    <row r="604" spans="1:19" x14ac:dyDescent="0.2">
      <c r="A604" s="12">
        <v>507</v>
      </c>
      <c r="B604" s="12">
        <v>511</v>
      </c>
      <c r="C604" s="12">
        <v>512</v>
      </c>
      <c r="D604" s="3">
        <v>1</v>
      </c>
      <c r="E604" s="3">
        <v>1</v>
      </c>
      <c r="F604" s="3">
        <v>1</v>
      </c>
      <c r="G604" s="3">
        <v>551.6</v>
      </c>
      <c r="H604" s="13">
        <v>0.53339999999999999</v>
      </c>
      <c r="I604" s="13">
        <v>0.48259999999999997</v>
      </c>
      <c r="J604" s="16">
        <v>0</v>
      </c>
      <c r="K604" s="16">
        <v>0</v>
      </c>
      <c r="L604" s="3">
        <v>0</v>
      </c>
      <c r="M604" s="3">
        <v>0</v>
      </c>
      <c r="N604" s="3">
        <v>990</v>
      </c>
      <c r="O604" s="3">
        <v>1025</v>
      </c>
      <c r="P604" s="1">
        <v>0</v>
      </c>
      <c r="Q604">
        <v>1005</v>
      </c>
      <c r="R604" s="3">
        <v>1677.6</v>
      </c>
      <c r="S604" s="1">
        <v>0</v>
      </c>
    </row>
    <row r="605" spans="1:19" x14ac:dyDescent="0.2">
      <c r="A605" s="12">
        <v>508</v>
      </c>
      <c r="B605" s="12">
        <v>512</v>
      </c>
      <c r="C605" s="12">
        <v>513</v>
      </c>
      <c r="D605" s="3">
        <v>1</v>
      </c>
      <c r="E605" s="3">
        <v>1</v>
      </c>
      <c r="F605" s="3">
        <v>1</v>
      </c>
      <c r="G605" s="3">
        <v>551.6</v>
      </c>
      <c r="H605" s="13">
        <v>0.53339999999999999</v>
      </c>
      <c r="I605" s="13">
        <v>0.48259999999999997</v>
      </c>
      <c r="J605" s="16">
        <v>0</v>
      </c>
      <c r="K605" s="16">
        <v>0</v>
      </c>
      <c r="L605" s="3">
        <v>0</v>
      </c>
      <c r="M605" s="3">
        <v>0</v>
      </c>
      <c r="N605" s="3">
        <v>990</v>
      </c>
      <c r="O605" s="3">
        <v>1025</v>
      </c>
      <c r="P605" s="1">
        <v>0</v>
      </c>
      <c r="Q605">
        <v>1005</v>
      </c>
      <c r="R605" s="3">
        <v>1677.6</v>
      </c>
      <c r="S605" s="1">
        <v>0</v>
      </c>
    </row>
    <row r="606" spans="1:19" x14ac:dyDescent="0.2">
      <c r="A606" s="12">
        <v>509</v>
      </c>
      <c r="B606" s="12">
        <v>513</v>
      </c>
      <c r="C606" s="12">
        <v>514</v>
      </c>
      <c r="D606" s="3">
        <v>1</v>
      </c>
      <c r="E606" s="3">
        <v>1</v>
      </c>
      <c r="F606" s="3">
        <v>1</v>
      </c>
      <c r="G606" s="3">
        <v>551.6</v>
      </c>
      <c r="H606" s="13">
        <v>0.53339999999999999</v>
      </c>
      <c r="I606" s="13">
        <v>0.48259999999999997</v>
      </c>
      <c r="J606" s="16">
        <v>0</v>
      </c>
      <c r="K606" s="16">
        <v>0</v>
      </c>
      <c r="L606" s="3">
        <v>0</v>
      </c>
      <c r="M606" s="3">
        <v>0</v>
      </c>
      <c r="N606" s="3">
        <v>990</v>
      </c>
      <c r="O606" s="3">
        <v>1025</v>
      </c>
      <c r="P606" s="1">
        <v>0</v>
      </c>
      <c r="Q606">
        <v>1005</v>
      </c>
      <c r="R606" s="3">
        <v>1677.6</v>
      </c>
      <c r="S606" s="1">
        <v>0</v>
      </c>
    </row>
    <row r="607" spans="1:19" x14ac:dyDescent="0.2">
      <c r="A607" s="12">
        <v>510</v>
      </c>
      <c r="B607" s="12">
        <v>514</v>
      </c>
      <c r="C607" s="12">
        <v>515</v>
      </c>
      <c r="D607" s="3">
        <v>1</v>
      </c>
      <c r="E607" s="3">
        <v>1</v>
      </c>
      <c r="F607" s="3">
        <v>1</v>
      </c>
      <c r="G607" s="3">
        <v>551.6</v>
      </c>
      <c r="H607" s="13">
        <v>0.53339999999999999</v>
      </c>
      <c r="I607" s="13">
        <v>0.48259999999999997</v>
      </c>
      <c r="J607" s="16">
        <v>0</v>
      </c>
      <c r="K607" s="16">
        <v>0</v>
      </c>
      <c r="L607" s="3">
        <v>0</v>
      </c>
      <c r="M607" s="3">
        <v>0</v>
      </c>
      <c r="N607" s="3">
        <v>990</v>
      </c>
      <c r="O607" s="3">
        <v>1025</v>
      </c>
      <c r="P607" s="1">
        <v>0</v>
      </c>
      <c r="Q607">
        <v>1005</v>
      </c>
      <c r="R607" s="3">
        <v>1677.6</v>
      </c>
      <c r="S607" s="1">
        <v>0</v>
      </c>
    </row>
    <row r="608" spans="1:19" x14ac:dyDescent="0.2">
      <c r="A608" s="12">
        <v>511</v>
      </c>
      <c r="B608" s="12">
        <v>515</v>
      </c>
      <c r="C608" s="12">
        <v>516</v>
      </c>
      <c r="D608" s="3">
        <v>1</v>
      </c>
      <c r="E608" s="3">
        <v>1</v>
      </c>
      <c r="F608" s="3">
        <v>1</v>
      </c>
      <c r="G608" s="3">
        <v>551.6</v>
      </c>
      <c r="H608" s="13">
        <v>0.53339999999999999</v>
      </c>
      <c r="I608" s="13">
        <v>0.48259999999999997</v>
      </c>
      <c r="J608" s="16">
        <v>0</v>
      </c>
      <c r="K608" s="16">
        <v>0</v>
      </c>
      <c r="L608" s="3">
        <v>0</v>
      </c>
      <c r="M608" s="3">
        <v>0</v>
      </c>
      <c r="N608" s="3">
        <v>990</v>
      </c>
      <c r="O608" s="3">
        <v>1025</v>
      </c>
      <c r="P608" s="1">
        <v>0</v>
      </c>
      <c r="Q608">
        <v>1005</v>
      </c>
      <c r="R608" s="3">
        <v>1677.6</v>
      </c>
      <c r="S608" s="1">
        <v>0</v>
      </c>
    </row>
    <row r="609" spans="1:19" x14ac:dyDescent="0.2">
      <c r="A609" s="12">
        <v>512</v>
      </c>
      <c r="B609" s="12">
        <v>516</v>
      </c>
      <c r="C609" s="12">
        <v>517</v>
      </c>
      <c r="D609" s="3">
        <v>1</v>
      </c>
      <c r="E609" s="3">
        <v>1</v>
      </c>
      <c r="F609" s="3">
        <v>1</v>
      </c>
      <c r="G609" s="3">
        <v>551.6</v>
      </c>
      <c r="H609" s="13">
        <v>0.53339999999999999</v>
      </c>
      <c r="I609" s="13">
        <v>0.48259999999999997</v>
      </c>
      <c r="J609" s="16">
        <v>0</v>
      </c>
      <c r="K609" s="16">
        <v>0</v>
      </c>
      <c r="L609" s="3">
        <v>0</v>
      </c>
      <c r="M609" s="3">
        <v>0</v>
      </c>
      <c r="N609" s="3">
        <v>990</v>
      </c>
      <c r="O609" s="3">
        <v>1025</v>
      </c>
      <c r="P609" s="1">
        <v>0</v>
      </c>
      <c r="Q609">
        <v>1005</v>
      </c>
      <c r="R609" s="3">
        <v>1677.6</v>
      </c>
      <c r="S609" s="1">
        <v>0</v>
      </c>
    </row>
    <row r="610" spans="1:19" x14ac:dyDescent="0.2">
      <c r="A610" s="12">
        <v>513</v>
      </c>
      <c r="B610" s="12">
        <v>517</v>
      </c>
      <c r="C610" s="12">
        <v>518</v>
      </c>
      <c r="D610" s="3">
        <v>1</v>
      </c>
      <c r="E610" s="3">
        <v>1</v>
      </c>
      <c r="F610" s="3">
        <v>1</v>
      </c>
      <c r="G610" s="3">
        <v>551.6</v>
      </c>
      <c r="H610" s="13">
        <v>0.53339999999999999</v>
      </c>
      <c r="I610" s="13">
        <v>0.48259999999999997</v>
      </c>
      <c r="J610" s="16">
        <v>0</v>
      </c>
      <c r="K610" s="16">
        <v>0</v>
      </c>
      <c r="L610" s="3">
        <v>0</v>
      </c>
      <c r="M610" s="3">
        <v>0</v>
      </c>
      <c r="N610" s="3">
        <v>990</v>
      </c>
      <c r="O610" s="3">
        <v>1025</v>
      </c>
      <c r="P610" s="1">
        <v>0</v>
      </c>
      <c r="Q610">
        <v>1005</v>
      </c>
      <c r="R610" s="3">
        <v>1677.6</v>
      </c>
      <c r="S610" s="1">
        <v>0</v>
      </c>
    </row>
    <row r="611" spans="1:19" x14ac:dyDescent="0.2">
      <c r="A611" s="12">
        <v>514</v>
      </c>
      <c r="B611" s="12">
        <v>518</v>
      </c>
      <c r="C611" s="12">
        <v>519</v>
      </c>
      <c r="D611" s="3">
        <v>1</v>
      </c>
      <c r="E611" s="3">
        <v>1</v>
      </c>
      <c r="F611" s="3">
        <v>1</v>
      </c>
      <c r="G611" s="3">
        <v>551.6</v>
      </c>
      <c r="H611" s="13">
        <v>0.53339999999999999</v>
      </c>
      <c r="I611" s="13">
        <v>0.48259999999999997</v>
      </c>
      <c r="J611" s="16">
        <v>0</v>
      </c>
      <c r="K611" s="16">
        <v>0</v>
      </c>
      <c r="L611" s="3">
        <v>0</v>
      </c>
      <c r="M611" s="3">
        <v>0</v>
      </c>
      <c r="N611" s="3">
        <v>990</v>
      </c>
      <c r="O611" s="3">
        <v>1025</v>
      </c>
      <c r="P611" s="1">
        <v>0</v>
      </c>
      <c r="Q611">
        <v>1005</v>
      </c>
      <c r="R611" s="3">
        <v>1677.6</v>
      </c>
      <c r="S611" s="1">
        <v>0</v>
      </c>
    </row>
    <row r="612" spans="1:19" x14ac:dyDescent="0.2">
      <c r="A612" s="12">
        <v>515</v>
      </c>
      <c r="B612" s="12">
        <v>519</v>
      </c>
      <c r="C612" s="12">
        <v>520</v>
      </c>
      <c r="D612" s="3">
        <v>1</v>
      </c>
      <c r="E612" s="3">
        <v>1</v>
      </c>
      <c r="F612" s="3">
        <v>1</v>
      </c>
      <c r="G612" s="3">
        <v>551.6</v>
      </c>
      <c r="H612" s="13">
        <v>0.53339999999999999</v>
      </c>
      <c r="I612" s="13">
        <v>0.48259999999999997</v>
      </c>
      <c r="J612" s="16">
        <v>0</v>
      </c>
      <c r="K612" s="16">
        <v>0</v>
      </c>
      <c r="L612" s="3">
        <v>0</v>
      </c>
      <c r="M612" s="3">
        <v>0</v>
      </c>
      <c r="N612" s="3">
        <v>990</v>
      </c>
      <c r="O612" s="3">
        <v>1025</v>
      </c>
      <c r="P612" s="1">
        <v>0</v>
      </c>
      <c r="Q612">
        <v>1005</v>
      </c>
      <c r="R612" s="3">
        <v>1677.6</v>
      </c>
      <c r="S612" s="1">
        <v>0</v>
      </c>
    </row>
    <row r="613" spans="1:19" x14ac:dyDescent="0.2">
      <c r="A613" s="12">
        <v>516</v>
      </c>
      <c r="B613" s="12">
        <v>520</v>
      </c>
      <c r="C613" s="12">
        <v>521</v>
      </c>
      <c r="D613" s="3">
        <v>1</v>
      </c>
      <c r="E613" s="3">
        <v>1</v>
      </c>
      <c r="F613" s="3">
        <v>1</v>
      </c>
      <c r="G613" s="3">
        <v>551.6</v>
      </c>
      <c r="H613" s="13">
        <v>0.53339999999999999</v>
      </c>
      <c r="I613" s="13">
        <v>0.48259999999999997</v>
      </c>
      <c r="J613" s="16">
        <v>0</v>
      </c>
      <c r="K613" s="16">
        <v>0</v>
      </c>
      <c r="L613" s="3">
        <v>0</v>
      </c>
      <c r="M613" s="3">
        <v>0</v>
      </c>
      <c r="N613" s="3">
        <v>990</v>
      </c>
      <c r="O613" s="3">
        <v>1025</v>
      </c>
      <c r="P613" s="1">
        <v>0</v>
      </c>
      <c r="Q613">
        <v>1005</v>
      </c>
      <c r="R613" s="3">
        <v>1677.6</v>
      </c>
      <c r="S613" s="1">
        <v>0</v>
      </c>
    </row>
    <row r="614" spans="1:19" x14ac:dyDescent="0.2">
      <c r="A614" s="12">
        <v>517</v>
      </c>
      <c r="B614" s="12">
        <v>521</v>
      </c>
      <c r="C614" s="12">
        <v>522</v>
      </c>
      <c r="D614" s="3">
        <v>1</v>
      </c>
      <c r="E614" s="3">
        <v>1</v>
      </c>
      <c r="F614" s="3">
        <v>1</v>
      </c>
      <c r="G614" s="3">
        <v>551.6</v>
      </c>
      <c r="H614" s="13">
        <v>0.53339999999999999</v>
      </c>
      <c r="I614" s="13">
        <v>0.48259999999999997</v>
      </c>
      <c r="J614" s="16">
        <v>0</v>
      </c>
      <c r="K614" s="16">
        <v>0</v>
      </c>
      <c r="L614" s="3">
        <v>0</v>
      </c>
      <c r="M614" s="3">
        <v>0</v>
      </c>
      <c r="N614" s="3">
        <v>990</v>
      </c>
      <c r="O614" s="3">
        <v>1025</v>
      </c>
      <c r="P614" s="1">
        <v>0</v>
      </c>
      <c r="Q614">
        <v>1005</v>
      </c>
      <c r="R614" s="3">
        <v>1677.6</v>
      </c>
      <c r="S614" s="1">
        <v>0</v>
      </c>
    </row>
    <row r="615" spans="1:19" x14ac:dyDescent="0.2">
      <c r="A615" s="12">
        <v>518</v>
      </c>
      <c r="B615" s="12">
        <v>522</v>
      </c>
      <c r="C615" s="12">
        <v>523</v>
      </c>
      <c r="D615" s="3">
        <v>1</v>
      </c>
      <c r="E615" s="3">
        <v>1</v>
      </c>
      <c r="F615" s="3">
        <v>1</v>
      </c>
      <c r="G615" s="3">
        <v>551.6</v>
      </c>
      <c r="H615" s="13">
        <v>0.53339999999999999</v>
      </c>
      <c r="I615" s="13">
        <v>0.48259999999999997</v>
      </c>
      <c r="J615" s="16">
        <v>0</v>
      </c>
      <c r="K615" s="16">
        <v>0</v>
      </c>
      <c r="L615" s="3">
        <v>0</v>
      </c>
      <c r="M615" s="3">
        <v>0</v>
      </c>
      <c r="N615" s="3">
        <v>990</v>
      </c>
      <c r="O615" s="3">
        <v>1025</v>
      </c>
      <c r="P615" s="1">
        <v>0</v>
      </c>
      <c r="Q615">
        <v>1005</v>
      </c>
      <c r="R615" s="3">
        <v>1677.6</v>
      </c>
      <c r="S615" s="1">
        <v>0</v>
      </c>
    </row>
    <row r="616" spans="1:19" x14ac:dyDescent="0.2">
      <c r="A616" s="12">
        <v>519</v>
      </c>
      <c r="B616" s="12">
        <v>523</v>
      </c>
      <c r="C616" s="12">
        <v>524</v>
      </c>
      <c r="D616" s="3">
        <v>1</v>
      </c>
      <c r="E616" s="3">
        <v>1</v>
      </c>
      <c r="F616" s="3">
        <v>1</v>
      </c>
      <c r="G616" s="3">
        <v>551.6</v>
      </c>
      <c r="H616" s="13">
        <v>0.53339999999999999</v>
      </c>
      <c r="I616" s="13">
        <v>0.48259999999999997</v>
      </c>
      <c r="J616" s="16">
        <v>0</v>
      </c>
      <c r="K616" s="16">
        <v>0</v>
      </c>
      <c r="L616" s="3">
        <v>0</v>
      </c>
      <c r="M616" s="3">
        <v>0</v>
      </c>
      <c r="N616" s="3">
        <v>990</v>
      </c>
      <c r="O616" s="3">
        <v>1025</v>
      </c>
      <c r="P616" s="1">
        <v>0</v>
      </c>
      <c r="Q616">
        <v>1005</v>
      </c>
      <c r="R616" s="3">
        <v>1677.6</v>
      </c>
      <c r="S616" s="1">
        <v>0</v>
      </c>
    </row>
    <row r="617" spans="1:19" x14ac:dyDescent="0.2">
      <c r="A617" s="12">
        <v>520</v>
      </c>
      <c r="B617" s="12">
        <v>524</v>
      </c>
      <c r="C617" s="12">
        <v>525</v>
      </c>
      <c r="D617" s="3">
        <v>1</v>
      </c>
      <c r="E617" s="3">
        <v>1</v>
      </c>
      <c r="F617" s="3">
        <v>1</v>
      </c>
      <c r="G617" s="3">
        <v>551.6</v>
      </c>
      <c r="H617" s="13">
        <v>0.53339999999999999</v>
      </c>
      <c r="I617" s="13">
        <v>0.48259999999999997</v>
      </c>
      <c r="J617" s="16">
        <v>0</v>
      </c>
      <c r="K617" s="16">
        <v>0</v>
      </c>
      <c r="L617" s="3">
        <v>0</v>
      </c>
      <c r="M617" s="3">
        <v>0</v>
      </c>
      <c r="N617" s="3">
        <v>990</v>
      </c>
      <c r="O617" s="3">
        <v>1025</v>
      </c>
      <c r="P617" s="1">
        <v>0</v>
      </c>
      <c r="Q617">
        <v>1005</v>
      </c>
      <c r="R617" s="3">
        <v>1677.6</v>
      </c>
      <c r="S617" s="1">
        <v>0</v>
      </c>
    </row>
    <row r="618" spans="1:19" x14ac:dyDescent="0.2">
      <c r="A618" s="12">
        <v>521</v>
      </c>
      <c r="B618" s="12">
        <v>525</v>
      </c>
      <c r="C618" s="12">
        <v>526</v>
      </c>
      <c r="D618" s="3">
        <v>1</v>
      </c>
      <c r="E618" s="3">
        <v>1</v>
      </c>
      <c r="F618" s="3">
        <v>1</v>
      </c>
      <c r="G618" s="3">
        <v>551.6</v>
      </c>
      <c r="H618" s="13">
        <v>0.53339999999999999</v>
      </c>
      <c r="I618" s="13">
        <v>0.48259999999999997</v>
      </c>
      <c r="J618" s="16">
        <v>0</v>
      </c>
      <c r="K618" s="16">
        <v>0</v>
      </c>
      <c r="L618" s="3">
        <v>0</v>
      </c>
      <c r="M618" s="3">
        <v>0</v>
      </c>
      <c r="N618" s="3">
        <v>990</v>
      </c>
      <c r="O618" s="3">
        <v>1025</v>
      </c>
      <c r="P618" s="1">
        <v>0</v>
      </c>
      <c r="Q618">
        <v>1005</v>
      </c>
      <c r="R618" s="3">
        <v>1677.6</v>
      </c>
      <c r="S618" s="1">
        <v>0</v>
      </c>
    </row>
    <row r="619" spans="1:19" x14ac:dyDescent="0.2">
      <c r="A619" s="12">
        <v>522</v>
      </c>
      <c r="B619" s="12">
        <v>526</v>
      </c>
      <c r="C619" s="12">
        <v>527</v>
      </c>
      <c r="D619" s="3">
        <v>1</v>
      </c>
      <c r="E619" s="3">
        <v>1</v>
      </c>
      <c r="F619" s="3">
        <v>1</v>
      </c>
      <c r="G619" s="3">
        <v>551.6</v>
      </c>
      <c r="H619" s="13">
        <v>0.53339999999999999</v>
      </c>
      <c r="I619" s="13">
        <v>0.48259999999999997</v>
      </c>
      <c r="J619" s="16">
        <v>0</v>
      </c>
      <c r="K619" s="16">
        <v>0</v>
      </c>
      <c r="L619" s="3">
        <v>0</v>
      </c>
      <c r="M619" s="3">
        <v>0</v>
      </c>
      <c r="N619" s="3">
        <v>990</v>
      </c>
      <c r="O619" s="3">
        <v>1025</v>
      </c>
      <c r="P619" s="1">
        <v>0</v>
      </c>
      <c r="Q619">
        <v>1005</v>
      </c>
      <c r="R619" s="3">
        <v>1677.6</v>
      </c>
      <c r="S619" s="1">
        <v>0</v>
      </c>
    </row>
    <row r="620" spans="1:19" x14ac:dyDescent="0.2">
      <c r="A620" s="12">
        <v>523</v>
      </c>
      <c r="B620" s="12">
        <v>527</v>
      </c>
      <c r="C620" s="12">
        <v>528</v>
      </c>
      <c r="D620" s="3">
        <v>1</v>
      </c>
      <c r="E620" s="3">
        <v>1</v>
      </c>
      <c r="F620" s="3">
        <v>1</v>
      </c>
      <c r="G620" s="3">
        <v>551.6</v>
      </c>
      <c r="H620" s="13">
        <v>0.53339999999999999</v>
      </c>
      <c r="I620" s="13">
        <v>0.48259999999999997</v>
      </c>
      <c r="J620" s="16">
        <v>0</v>
      </c>
      <c r="K620" s="16">
        <v>0</v>
      </c>
      <c r="L620" s="3">
        <v>0</v>
      </c>
      <c r="M620" s="3">
        <v>0</v>
      </c>
      <c r="N620" s="3">
        <v>990</v>
      </c>
      <c r="O620" s="3">
        <v>1025</v>
      </c>
      <c r="P620" s="1">
        <v>0</v>
      </c>
      <c r="Q620">
        <v>1005</v>
      </c>
      <c r="R620" s="3">
        <v>1677.6</v>
      </c>
      <c r="S620" s="1">
        <v>0</v>
      </c>
    </row>
    <row r="621" spans="1:19" x14ac:dyDescent="0.2">
      <c r="A621" s="12">
        <v>524</v>
      </c>
      <c r="B621" s="12">
        <v>528</v>
      </c>
      <c r="C621" s="12">
        <v>529</v>
      </c>
      <c r="D621" s="3">
        <v>1</v>
      </c>
      <c r="E621" s="3">
        <v>1</v>
      </c>
      <c r="F621" s="3">
        <v>1</v>
      </c>
      <c r="G621" s="3">
        <v>551.6</v>
      </c>
      <c r="H621" s="13">
        <v>0.53339999999999999</v>
      </c>
      <c r="I621" s="13">
        <v>0.48259999999999997</v>
      </c>
      <c r="J621" s="16">
        <v>0</v>
      </c>
      <c r="K621" s="16">
        <v>0</v>
      </c>
      <c r="L621" s="3">
        <v>0</v>
      </c>
      <c r="M621" s="3">
        <v>0</v>
      </c>
      <c r="N621" s="3">
        <v>990</v>
      </c>
      <c r="O621" s="3">
        <v>1025</v>
      </c>
      <c r="P621" s="1">
        <v>0</v>
      </c>
      <c r="Q621">
        <v>1005</v>
      </c>
      <c r="R621" s="3">
        <v>1677.6</v>
      </c>
      <c r="S621" s="1">
        <v>0</v>
      </c>
    </row>
    <row r="622" spans="1:19" x14ac:dyDescent="0.2">
      <c r="A622" s="12">
        <v>525</v>
      </c>
      <c r="B622" s="12">
        <v>529</v>
      </c>
      <c r="C622" s="12">
        <v>530</v>
      </c>
      <c r="D622" s="3">
        <v>1</v>
      </c>
      <c r="E622" s="3">
        <v>1</v>
      </c>
      <c r="F622" s="3">
        <v>1</v>
      </c>
      <c r="G622" s="3">
        <v>551.6</v>
      </c>
      <c r="H622" s="13">
        <v>0.53339999999999999</v>
      </c>
      <c r="I622" s="13">
        <v>0.48259999999999997</v>
      </c>
      <c r="J622" s="16">
        <v>0</v>
      </c>
      <c r="K622" s="16">
        <v>0</v>
      </c>
      <c r="L622" s="3">
        <v>0</v>
      </c>
      <c r="M622" s="3">
        <v>0</v>
      </c>
      <c r="N622" s="3">
        <v>990</v>
      </c>
      <c r="O622" s="3">
        <v>1025</v>
      </c>
      <c r="P622" s="1">
        <v>0</v>
      </c>
      <c r="Q622">
        <v>1005</v>
      </c>
      <c r="R622" s="3">
        <v>1677.6</v>
      </c>
      <c r="S622" s="1">
        <v>0</v>
      </c>
    </row>
    <row r="623" spans="1:19" x14ac:dyDescent="0.2">
      <c r="A623" s="12">
        <v>526</v>
      </c>
      <c r="B623" s="12">
        <v>530</v>
      </c>
      <c r="C623" s="12">
        <v>531</v>
      </c>
      <c r="D623" s="3">
        <v>1</v>
      </c>
      <c r="E623" s="3">
        <v>1</v>
      </c>
      <c r="F623" s="3">
        <v>1</v>
      </c>
      <c r="G623" s="3">
        <v>551.6</v>
      </c>
      <c r="H623" s="13">
        <v>0.53339999999999999</v>
      </c>
      <c r="I623" s="13">
        <v>0.48259999999999997</v>
      </c>
      <c r="J623" s="16">
        <v>0</v>
      </c>
      <c r="K623" s="16">
        <v>0</v>
      </c>
      <c r="L623" s="3">
        <v>0</v>
      </c>
      <c r="M623" s="3">
        <v>0</v>
      </c>
      <c r="N623" s="3">
        <v>990</v>
      </c>
      <c r="O623" s="3">
        <v>1025</v>
      </c>
      <c r="P623" s="1">
        <v>0</v>
      </c>
      <c r="Q623">
        <v>1005</v>
      </c>
      <c r="R623" s="3">
        <v>1677.6</v>
      </c>
      <c r="S623" s="1">
        <v>0</v>
      </c>
    </row>
    <row r="624" spans="1:19" x14ac:dyDescent="0.2">
      <c r="A624" s="12">
        <v>527</v>
      </c>
      <c r="B624" s="12">
        <v>531</v>
      </c>
      <c r="C624" s="12">
        <v>532</v>
      </c>
      <c r="D624" s="3">
        <v>1</v>
      </c>
      <c r="E624" s="3">
        <v>1</v>
      </c>
      <c r="F624" s="3">
        <v>1</v>
      </c>
      <c r="G624" s="3">
        <v>551.6</v>
      </c>
      <c r="H624" s="13">
        <v>0.53339999999999999</v>
      </c>
      <c r="I624" s="13">
        <v>0.48259999999999997</v>
      </c>
      <c r="J624" s="16">
        <v>0</v>
      </c>
      <c r="K624" s="16">
        <v>0</v>
      </c>
      <c r="L624" s="3">
        <v>0</v>
      </c>
      <c r="M624" s="3">
        <v>0</v>
      </c>
      <c r="N624" s="3">
        <v>990</v>
      </c>
      <c r="O624" s="3">
        <v>1025</v>
      </c>
      <c r="P624" s="1">
        <v>0</v>
      </c>
      <c r="Q624">
        <v>1005</v>
      </c>
      <c r="R624" s="3">
        <v>1677.6</v>
      </c>
      <c r="S624" s="1">
        <v>0</v>
      </c>
    </row>
    <row r="625" spans="1:19" x14ac:dyDescent="0.2">
      <c r="A625" s="12">
        <v>528</v>
      </c>
      <c r="B625" s="12">
        <v>532</v>
      </c>
      <c r="C625" s="12">
        <v>533</v>
      </c>
      <c r="D625" s="3">
        <v>1</v>
      </c>
      <c r="E625" s="3">
        <v>1</v>
      </c>
      <c r="F625" s="3">
        <v>1</v>
      </c>
      <c r="G625" s="3">
        <v>551.6</v>
      </c>
      <c r="H625" s="13">
        <v>0.53339999999999999</v>
      </c>
      <c r="I625" s="13">
        <v>0.48259999999999997</v>
      </c>
      <c r="J625" s="16">
        <v>0</v>
      </c>
      <c r="K625" s="16">
        <v>0</v>
      </c>
      <c r="L625" s="3">
        <v>0</v>
      </c>
      <c r="M625" s="3">
        <v>0</v>
      </c>
      <c r="N625" s="3">
        <v>990</v>
      </c>
      <c r="O625" s="3">
        <v>1025</v>
      </c>
      <c r="P625" s="1">
        <v>0</v>
      </c>
      <c r="Q625">
        <v>1005</v>
      </c>
      <c r="R625" s="3">
        <v>1677.6</v>
      </c>
      <c r="S625" s="1">
        <v>0</v>
      </c>
    </row>
    <row r="626" spans="1:19" x14ac:dyDescent="0.2">
      <c r="A626" s="12">
        <v>529</v>
      </c>
      <c r="B626" s="12">
        <v>533</v>
      </c>
      <c r="C626" s="12">
        <v>534</v>
      </c>
      <c r="D626" s="3">
        <v>1</v>
      </c>
      <c r="E626" s="3">
        <v>1</v>
      </c>
      <c r="F626" s="3">
        <v>1</v>
      </c>
      <c r="G626" s="3">
        <v>551.6</v>
      </c>
      <c r="H626" s="13">
        <v>0.66039999999999999</v>
      </c>
      <c r="I626" s="13">
        <v>0.58420000000000005</v>
      </c>
      <c r="J626" s="16">
        <v>0</v>
      </c>
      <c r="K626" s="16">
        <v>0</v>
      </c>
      <c r="L626" s="3">
        <v>0</v>
      </c>
      <c r="M626" s="3">
        <v>0</v>
      </c>
      <c r="N626" s="3">
        <v>990</v>
      </c>
      <c r="O626" s="3">
        <v>1025</v>
      </c>
      <c r="P626" s="1">
        <v>0</v>
      </c>
      <c r="Q626">
        <v>1005</v>
      </c>
      <c r="R626" s="3">
        <v>1677.6</v>
      </c>
      <c r="S626" s="1">
        <v>0</v>
      </c>
    </row>
    <row r="627" spans="1:19" x14ac:dyDescent="0.2">
      <c r="A627" s="12">
        <v>530</v>
      </c>
      <c r="B627" s="12">
        <v>534</v>
      </c>
      <c r="C627" s="12">
        <v>535</v>
      </c>
      <c r="D627" s="3">
        <v>1</v>
      </c>
      <c r="E627" s="3">
        <v>1</v>
      </c>
      <c r="F627" s="3">
        <v>1</v>
      </c>
      <c r="G627" s="3">
        <v>551.6</v>
      </c>
      <c r="H627" s="13">
        <v>0.66039999999999999</v>
      </c>
      <c r="I627" s="13">
        <v>0.58420000000000005</v>
      </c>
      <c r="J627" s="16">
        <v>0</v>
      </c>
      <c r="K627" s="16">
        <v>0</v>
      </c>
      <c r="L627" s="3">
        <v>0</v>
      </c>
      <c r="M627" s="3">
        <v>0</v>
      </c>
      <c r="N627" s="3">
        <v>990</v>
      </c>
      <c r="O627" s="3">
        <v>1025</v>
      </c>
      <c r="P627" s="1">
        <v>0</v>
      </c>
      <c r="Q627">
        <v>1005</v>
      </c>
      <c r="R627" s="3">
        <v>1677.6</v>
      </c>
      <c r="S627" s="1">
        <v>0</v>
      </c>
    </row>
    <row r="628" spans="1:19" x14ac:dyDescent="0.2">
      <c r="A628" s="12">
        <v>531</v>
      </c>
      <c r="B628" s="12">
        <v>535</v>
      </c>
      <c r="C628" s="12">
        <v>536</v>
      </c>
      <c r="D628" s="3">
        <v>1</v>
      </c>
      <c r="E628" s="3">
        <v>1</v>
      </c>
      <c r="F628" s="3">
        <v>1</v>
      </c>
      <c r="G628" s="3">
        <v>551.6</v>
      </c>
      <c r="H628" s="13">
        <v>0.66039999999999999</v>
      </c>
      <c r="I628" s="13">
        <v>0.58420000000000005</v>
      </c>
      <c r="J628" s="16">
        <v>0</v>
      </c>
      <c r="K628" s="16">
        <v>0</v>
      </c>
      <c r="L628" s="3">
        <v>0</v>
      </c>
      <c r="M628" s="3">
        <v>0</v>
      </c>
      <c r="N628" s="3">
        <v>990</v>
      </c>
      <c r="O628" s="3">
        <v>1025</v>
      </c>
      <c r="P628" s="1">
        <v>0</v>
      </c>
      <c r="Q628">
        <v>1005</v>
      </c>
      <c r="R628" s="3">
        <v>1677.6</v>
      </c>
      <c r="S628" s="1">
        <v>0</v>
      </c>
    </row>
    <row r="629" spans="1:19" x14ac:dyDescent="0.2">
      <c r="A629" s="12">
        <v>532</v>
      </c>
      <c r="B629" s="12">
        <v>536</v>
      </c>
      <c r="C629" s="12">
        <v>537</v>
      </c>
      <c r="D629" s="3">
        <v>1</v>
      </c>
      <c r="E629" s="3">
        <v>1</v>
      </c>
      <c r="F629" s="3">
        <v>1</v>
      </c>
      <c r="G629" s="3">
        <v>551.6</v>
      </c>
      <c r="H629" s="13">
        <v>0.66039999999999999</v>
      </c>
      <c r="I629" s="13">
        <v>0.58420000000000005</v>
      </c>
      <c r="J629" s="16">
        <v>0</v>
      </c>
      <c r="K629" s="16">
        <v>0</v>
      </c>
      <c r="L629" s="3">
        <v>0</v>
      </c>
      <c r="M629" s="3">
        <v>0</v>
      </c>
      <c r="N629" s="3">
        <v>990</v>
      </c>
      <c r="O629" s="3">
        <v>1025</v>
      </c>
      <c r="P629" s="1">
        <v>0</v>
      </c>
      <c r="Q629">
        <v>1005</v>
      </c>
      <c r="R629" s="3">
        <v>1677.6</v>
      </c>
      <c r="S629" s="1">
        <v>0</v>
      </c>
    </row>
    <row r="630" spans="1:19" x14ac:dyDescent="0.2">
      <c r="A630" s="12">
        <v>533</v>
      </c>
      <c r="B630" s="12">
        <v>537</v>
      </c>
      <c r="C630" s="12">
        <v>538</v>
      </c>
      <c r="D630" s="3">
        <v>1</v>
      </c>
      <c r="E630" s="3">
        <v>1</v>
      </c>
      <c r="F630" s="3">
        <v>1</v>
      </c>
      <c r="G630" s="3">
        <v>551.6</v>
      </c>
      <c r="H630" s="13">
        <v>0.66039999999999999</v>
      </c>
      <c r="I630" s="13">
        <v>0.58420000000000005</v>
      </c>
      <c r="J630" s="16">
        <v>0</v>
      </c>
      <c r="K630" s="16">
        <v>0</v>
      </c>
      <c r="L630" s="3">
        <v>0</v>
      </c>
      <c r="M630" s="3">
        <v>0</v>
      </c>
      <c r="N630" s="3">
        <v>990</v>
      </c>
      <c r="O630" s="3">
        <v>1025</v>
      </c>
      <c r="P630" s="1">
        <v>0</v>
      </c>
      <c r="Q630">
        <v>1005</v>
      </c>
      <c r="R630" s="3">
        <v>1677.6</v>
      </c>
      <c r="S630" s="1">
        <v>0</v>
      </c>
    </row>
    <row r="631" spans="1:19" x14ac:dyDescent="0.2">
      <c r="A631" s="12">
        <v>534</v>
      </c>
      <c r="B631" s="12">
        <v>538</v>
      </c>
      <c r="C631" s="12">
        <v>539</v>
      </c>
      <c r="D631" s="3">
        <v>1</v>
      </c>
      <c r="E631" s="3">
        <v>1</v>
      </c>
      <c r="F631" s="3">
        <v>1</v>
      </c>
      <c r="G631" s="3">
        <v>551.6</v>
      </c>
      <c r="H631" s="13">
        <v>0.66039999999999999</v>
      </c>
      <c r="I631" s="13">
        <v>0.58420000000000005</v>
      </c>
      <c r="J631" s="16">
        <v>0</v>
      </c>
      <c r="K631" s="16">
        <v>0</v>
      </c>
      <c r="L631" s="3">
        <v>0</v>
      </c>
      <c r="M631" s="3">
        <v>0</v>
      </c>
      <c r="N631" s="3">
        <v>990</v>
      </c>
      <c r="O631" s="3">
        <v>1025</v>
      </c>
      <c r="P631" s="1">
        <v>0</v>
      </c>
      <c r="Q631">
        <v>1005</v>
      </c>
      <c r="R631" s="3">
        <v>1677.6</v>
      </c>
      <c r="S631" s="1">
        <v>0</v>
      </c>
    </row>
    <row r="632" spans="1:19" x14ac:dyDescent="0.2">
      <c r="A632" s="12">
        <v>535</v>
      </c>
      <c r="B632" s="12">
        <v>539</v>
      </c>
      <c r="C632" s="12">
        <v>540</v>
      </c>
      <c r="D632" s="3">
        <v>1</v>
      </c>
      <c r="E632" s="3">
        <v>1</v>
      </c>
      <c r="F632" s="3">
        <v>1</v>
      </c>
      <c r="G632" s="3">
        <v>551.6</v>
      </c>
      <c r="H632" s="13">
        <v>0.66039999999999999</v>
      </c>
      <c r="I632" s="13">
        <v>0.58420000000000005</v>
      </c>
      <c r="J632" s="16">
        <v>0</v>
      </c>
      <c r="K632" s="16">
        <v>0</v>
      </c>
      <c r="L632" s="3">
        <v>0</v>
      </c>
      <c r="M632" s="3">
        <v>0</v>
      </c>
      <c r="N632" s="3">
        <v>990</v>
      </c>
      <c r="O632" s="3">
        <v>1025</v>
      </c>
      <c r="P632" s="1">
        <v>0</v>
      </c>
      <c r="Q632">
        <v>1005</v>
      </c>
      <c r="R632" s="3">
        <v>1677.6</v>
      </c>
      <c r="S632" s="1">
        <v>0</v>
      </c>
    </row>
    <row r="633" spans="1:19" x14ac:dyDescent="0.2">
      <c r="A633" s="12">
        <v>536</v>
      </c>
      <c r="B633" s="12">
        <v>540</v>
      </c>
      <c r="C633" s="12">
        <v>541</v>
      </c>
      <c r="D633" s="3">
        <v>1</v>
      </c>
      <c r="E633" s="3">
        <v>1</v>
      </c>
      <c r="F633" s="3">
        <v>1</v>
      </c>
      <c r="G633" s="3">
        <v>551.6</v>
      </c>
      <c r="H633" s="13">
        <v>0.66039999999999999</v>
      </c>
      <c r="I633" s="13">
        <v>0.58420000000000005</v>
      </c>
      <c r="J633" s="16">
        <v>0</v>
      </c>
      <c r="K633" s="16">
        <v>0</v>
      </c>
      <c r="L633" s="3">
        <v>0</v>
      </c>
      <c r="M633" s="3">
        <v>0</v>
      </c>
      <c r="N633" s="3">
        <v>990</v>
      </c>
      <c r="O633" s="3">
        <v>1025</v>
      </c>
      <c r="P633" s="1">
        <v>0</v>
      </c>
      <c r="Q633">
        <v>1005</v>
      </c>
      <c r="R633" s="3">
        <v>1677.6</v>
      </c>
      <c r="S633" s="1">
        <v>0</v>
      </c>
    </row>
    <row r="634" spans="1:19" x14ac:dyDescent="0.2">
      <c r="A634" s="12">
        <v>537</v>
      </c>
      <c r="B634" s="12">
        <v>541</v>
      </c>
      <c r="C634" s="12">
        <v>542</v>
      </c>
      <c r="D634" s="3">
        <v>1</v>
      </c>
      <c r="E634" s="3">
        <v>1</v>
      </c>
      <c r="F634" s="3">
        <v>1</v>
      </c>
      <c r="G634" s="3">
        <v>551.6</v>
      </c>
      <c r="H634" s="13">
        <v>0.66039999999999999</v>
      </c>
      <c r="I634" s="13">
        <v>0.58420000000000005</v>
      </c>
      <c r="J634" s="16">
        <v>0</v>
      </c>
      <c r="K634" s="16">
        <v>0</v>
      </c>
      <c r="L634" s="3">
        <v>0</v>
      </c>
      <c r="M634" s="3">
        <v>0</v>
      </c>
      <c r="N634" s="3">
        <v>990</v>
      </c>
      <c r="O634" s="3">
        <v>1025</v>
      </c>
      <c r="P634" s="1">
        <v>0</v>
      </c>
      <c r="Q634">
        <v>1005</v>
      </c>
      <c r="R634" s="3">
        <v>1677.6</v>
      </c>
      <c r="S634" s="1">
        <v>0</v>
      </c>
    </row>
    <row r="635" spans="1:19" x14ac:dyDescent="0.2">
      <c r="A635" s="12">
        <v>538</v>
      </c>
      <c r="B635" s="12">
        <v>542</v>
      </c>
      <c r="C635" s="12">
        <v>543</v>
      </c>
      <c r="D635" s="3">
        <v>1</v>
      </c>
      <c r="E635" s="3">
        <v>1</v>
      </c>
      <c r="F635" s="3">
        <v>1</v>
      </c>
      <c r="G635" s="3">
        <v>551.6</v>
      </c>
      <c r="H635" s="13">
        <v>0.66039999999999999</v>
      </c>
      <c r="I635" s="13">
        <v>0.58420000000000005</v>
      </c>
      <c r="J635" s="16">
        <v>0</v>
      </c>
      <c r="K635" s="16">
        <v>0</v>
      </c>
      <c r="L635" s="3">
        <v>0</v>
      </c>
      <c r="M635" s="3">
        <v>0</v>
      </c>
      <c r="N635" s="3">
        <v>990</v>
      </c>
      <c r="O635" s="3">
        <v>1025</v>
      </c>
      <c r="P635" s="1">
        <v>0</v>
      </c>
      <c r="Q635">
        <v>1005</v>
      </c>
      <c r="R635" s="3">
        <v>1677.6</v>
      </c>
      <c r="S635" s="1">
        <v>0</v>
      </c>
    </row>
    <row r="636" spans="1:19" x14ac:dyDescent="0.2">
      <c r="A636" s="12">
        <v>539</v>
      </c>
      <c r="B636" s="12">
        <v>543</v>
      </c>
      <c r="C636" s="12">
        <v>544</v>
      </c>
      <c r="D636" s="3">
        <v>1</v>
      </c>
      <c r="E636" s="3">
        <v>1</v>
      </c>
      <c r="F636" s="3">
        <v>1</v>
      </c>
      <c r="G636" s="3">
        <v>551.6</v>
      </c>
      <c r="H636" s="13">
        <v>0.66039999999999999</v>
      </c>
      <c r="I636" s="13">
        <v>0.58420000000000005</v>
      </c>
      <c r="J636" s="16">
        <v>0</v>
      </c>
      <c r="K636" s="16">
        <v>0</v>
      </c>
      <c r="L636" s="3">
        <v>0</v>
      </c>
      <c r="M636" s="3">
        <v>0</v>
      </c>
      <c r="N636" s="3">
        <v>990</v>
      </c>
      <c r="O636" s="3">
        <v>1025</v>
      </c>
      <c r="P636" s="1">
        <v>0</v>
      </c>
      <c r="Q636">
        <v>1005</v>
      </c>
      <c r="R636" s="3">
        <v>1677.6</v>
      </c>
      <c r="S636" s="1">
        <v>0</v>
      </c>
    </row>
    <row r="637" spans="1:19" x14ac:dyDescent="0.2">
      <c r="A637" s="12">
        <v>540</v>
      </c>
      <c r="B637" s="12">
        <v>544</v>
      </c>
      <c r="C637" s="12">
        <v>545</v>
      </c>
      <c r="D637" s="3">
        <v>1</v>
      </c>
      <c r="E637" s="3">
        <v>1</v>
      </c>
      <c r="F637" s="3">
        <v>1</v>
      </c>
      <c r="G637" s="3">
        <v>551.6</v>
      </c>
      <c r="H637" s="13">
        <v>0.66039999999999999</v>
      </c>
      <c r="I637" s="13">
        <v>0.58420000000000005</v>
      </c>
      <c r="J637" s="16">
        <v>0</v>
      </c>
      <c r="K637" s="16">
        <v>0</v>
      </c>
      <c r="L637" s="3">
        <v>0</v>
      </c>
      <c r="M637" s="3">
        <v>0</v>
      </c>
      <c r="N637" s="3">
        <v>990</v>
      </c>
      <c r="O637" s="3">
        <v>1025</v>
      </c>
      <c r="P637" s="1">
        <v>0</v>
      </c>
      <c r="Q637">
        <v>1005</v>
      </c>
      <c r="R637" s="3">
        <v>1677.6</v>
      </c>
      <c r="S637" s="1">
        <v>0</v>
      </c>
    </row>
    <row r="638" spans="1:19" x14ac:dyDescent="0.2">
      <c r="A638" s="12">
        <v>541</v>
      </c>
      <c r="B638" s="12">
        <v>545</v>
      </c>
      <c r="C638" s="12">
        <v>546</v>
      </c>
      <c r="D638" s="3">
        <v>1</v>
      </c>
      <c r="E638" s="3">
        <v>1</v>
      </c>
      <c r="F638" s="3">
        <v>1</v>
      </c>
      <c r="G638" s="3">
        <v>551.6</v>
      </c>
      <c r="H638" s="13">
        <v>0.66039999999999999</v>
      </c>
      <c r="I638" s="13">
        <v>0.58420000000000005</v>
      </c>
      <c r="J638" s="16">
        <v>0</v>
      </c>
      <c r="K638" s="16">
        <v>0</v>
      </c>
      <c r="L638" s="3">
        <v>0</v>
      </c>
      <c r="M638" s="3">
        <v>0</v>
      </c>
      <c r="N638" s="3">
        <v>990</v>
      </c>
      <c r="O638" s="3">
        <v>1025</v>
      </c>
      <c r="P638" s="1">
        <v>0</v>
      </c>
      <c r="Q638">
        <v>1005</v>
      </c>
      <c r="R638" s="3">
        <v>1677.6</v>
      </c>
      <c r="S638" s="1">
        <v>0</v>
      </c>
    </row>
    <row r="639" spans="1:19" x14ac:dyDescent="0.2">
      <c r="A639" s="12">
        <v>542</v>
      </c>
      <c r="B639" s="12">
        <v>546</v>
      </c>
      <c r="C639" s="12">
        <v>547</v>
      </c>
      <c r="D639" s="3">
        <v>1</v>
      </c>
      <c r="E639" s="3">
        <v>1</v>
      </c>
      <c r="F639" s="3">
        <v>1</v>
      </c>
      <c r="G639" s="3">
        <v>551.6</v>
      </c>
      <c r="H639" s="13">
        <v>0.66039999999999999</v>
      </c>
      <c r="I639" s="13">
        <v>0.58420000000000005</v>
      </c>
      <c r="J639" s="16">
        <v>0</v>
      </c>
      <c r="K639" s="16">
        <v>0</v>
      </c>
      <c r="L639" s="3">
        <v>0</v>
      </c>
      <c r="M639" s="3">
        <v>0</v>
      </c>
      <c r="N639" s="3">
        <v>990</v>
      </c>
      <c r="O639" s="3">
        <v>1025</v>
      </c>
      <c r="P639" s="1">
        <v>0</v>
      </c>
      <c r="Q639">
        <v>1005</v>
      </c>
      <c r="R639" s="3">
        <v>1677.6</v>
      </c>
      <c r="S639" s="1">
        <v>0</v>
      </c>
    </row>
    <row r="640" spans="1:19" x14ac:dyDescent="0.2">
      <c r="A640" s="12">
        <v>543</v>
      </c>
      <c r="B640" s="12">
        <v>547</v>
      </c>
      <c r="C640" s="12">
        <v>548</v>
      </c>
      <c r="D640" s="3">
        <v>1</v>
      </c>
      <c r="E640" s="3">
        <v>1</v>
      </c>
      <c r="F640" s="3">
        <v>1</v>
      </c>
      <c r="G640" s="3">
        <v>551.6</v>
      </c>
      <c r="H640" s="13">
        <v>0.66039999999999999</v>
      </c>
      <c r="I640" s="13">
        <v>0.58420000000000005</v>
      </c>
      <c r="J640" s="16">
        <v>0</v>
      </c>
      <c r="K640" s="16">
        <v>0</v>
      </c>
      <c r="L640" s="3">
        <v>0</v>
      </c>
      <c r="M640" s="3">
        <v>0</v>
      </c>
      <c r="N640" s="3">
        <v>990</v>
      </c>
      <c r="O640" s="3">
        <v>1025</v>
      </c>
      <c r="P640" s="1">
        <v>0</v>
      </c>
      <c r="Q640">
        <v>1005</v>
      </c>
      <c r="R640" s="3">
        <v>1677.6</v>
      </c>
      <c r="S640" s="1">
        <v>0</v>
      </c>
    </row>
    <row r="641" spans="1:19" x14ac:dyDescent="0.2">
      <c r="A641" s="12">
        <v>544</v>
      </c>
      <c r="B641" s="12">
        <v>548</v>
      </c>
      <c r="C641" s="12">
        <v>549</v>
      </c>
      <c r="D641" s="3">
        <v>1</v>
      </c>
      <c r="E641" s="3">
        <v>1</v>
      </c>
      <c r="F641" s="3">
        <v>1</v>
      </c>
      <c r="G641" s="3">
        <v>551.6</v>
      </c>
      <c r="H641" s="13">
        <v>0.66039999999999999</v>
      </c>
      <c r="I641" s="13">
        <v>0.58420000000000005</v>
      </c>
      <c r="J641" s="16">
        <v>0</v>
      </c>
      <c r="K641" s="16">
        <v>0</v>
      </c>
      <c r="L641" s="3">
        <v>0</v>
      </c>
      <c r="M641" s="3">
        <v>0</v>
      </c>
      <c r="N641" s="3">
        <v>990</v>
      </c>
      <c r="O641" s="3">
        <v>1025</v>
      </c>
      <c r="P641" s="1">
        <v>0</v>
      </c>
      <c r="Q641">
        <v>1005</v>
      </c>
      <c r="R641" s="3">
        <v>1677.6</v>
      </c>
      <c r="S641" s="1">
        <v>0</v>
      </c>
    </row>
    <row r="642" spans="1:19" x14ac:dyDescent="0.2">
      <c r="A642" s="12">
        <v>545</v>
      </c>
      <c r="B642" s="12">
        <v>549</v>
      </c>
      <c r="C642" s="12">
        <v>550</v>
      </c>
      <c r="D642" s="3">
        <v>1</v>
      </c>
      <c r="E642" s="3">
        <v>1</v>
      </c>
      <c r="F642" s="3">
        <v>1</v>
      </c>
      <c r="G642" s="3">
        <v>551.6</v>
      </c>
      <c r="H642" s="13">
        <v>0.66039999999999999</v>
      </c>
      <c r="I642" s="13">
        <v>0.58420000000000005</v>
      </c>
      <c r="J642" s="16">
        <v>0</v>
      </c>
      <c r="K642" s="16">
        <v>0</v>
      </c>
      <c r="L642" s="3">
        <v>0</v>
      </c>
      <c r="M642" s="3">
        <v>0</v>
      </c>
      <c r="N642" s="3">
        <v>990</v>
      </c>
      <c r="O642" s="3">
        <v>1025</v>
      </c>
      <c r="P642" s="1">
        <v>0</v>
      </c>
      <c r="Q642">
        <v>1005</v>
      </c>
      <c r="R642" s="3">
        <v>1677.6</v>
      </c>
      <c r="S642" s="1">
        <v>0</v>
      </c>
    </row>
    <row r="643" spans="1:19" x14ac:dyDescent="0.2">
      <c r="A643" s="12">
        <v>546</v>
      </c>
      <c r="B643" s="12">
        <v>550</v>
      </c>
      <c r="C643" s="12">
        <v>551</v>
      </c>
      <c r="D643" s="3">
        <v>1</v>
      </c>
      <c r="E643" s="3">
        <v>1</v>
      </c>
      <c r="F643" s="3">
        <v>1</v>
      </c>
      <c r="G643" s="3">
        <v>551.6</v>
      </c>
      <c r="H643" s="13">
        <v>0.66039999999999999</v>
      </c>
      <c r="I643" s="13">
        <v>0.58420000000000005</v>
      </c>
      <c r="J643" s="16">
        <v>0</v>
      </c>
      <c r="K643" s="16">
        <v>0</v>
      </c>
      <c r="L643" s="3">
        <v>0</v>
      </c>
      <c r="M643" s="3">
        <v>0</v>
      </c>
      <c r="N643" s="3">
        <v>990</v>
      </c>
      <c r="O643" s="3">
        <v>1025</v>
      </c>
      <c r="P643" s="1">
        <v>0</v>
      </c>
      <c r="Q643">
        <v>1005</v>
      </c>
      <c r="R643" s="3">
        <v>1677.6</v>
      </c>
      <c r="S643" s="1">
        <v>0</v>
      </c>
    </row>
    <row r="644" spans="1:19" x14ac:dyDescent="0.2">
      <c r="A644" s="12">
        <v>547</v>
      </c>
      <c r="B644" s="12">
        <v>551</v>
      </c>
      <c r="C644" s="12">
        <v>552</v>
      </c>
      <c r="D644" s="3">
        <v>1</v>
      </c>
      <c r="E644" s="3">
        <v>1</v>
      </c>
      <c r="F644" s="3">
        <v>1</v>
      </c>
      <c r="G644" s="3">
        <v>551.6</v>
      </c>
      <c r="H644" s="13">
        <v>0.66039999999999999</v>
      </c>
      <c r="I644" s="13">
        <v>0.58420000000000005</v>
      </c>
      <c r="J644" s="16">
        <v>0</v>
      </c>
      <c r="K644" s="16">
        <v>0</v>
      </c>
      <c r="L644" s="3">
        <v>0</v>
      </c>
      <c r="M644" s="3">
        <v>0</v>
      </c>
      <c r="N644" s="3">
        <v>990</v>
      </c>
      <c r="O644" s="3">
        <v>1025</v>
      </c>
      <c r="P644" s="1">
        <v>0</v>
      </c>
      <c r="Q644">
        <v>1005</v>
      </c>
      <c r="R644" s="3">
        <v>1677.6</v>
      </c>
      <c r="S644" s="1">
        <v>0</v>
      </c>
    </row>
    <row r="645" spans="1:19" x14ac:dyDescent="0.2">
      <c r="A645" s="12">
        <v>548</v>
      </c>
      <c r="B645" s="12">
        <v>552</v>
      </c>
      <c r="C645" s="12">
        <v>553</v>
      </c>
      <c r="D645" s="3">
        <v>1</v>
      </c>
      <c r="E645" s="3">
        <v>1</v>
      </c>
      <c r="F645" s="3">
        <v>1</v>
      </c>
      <c r="G645" s="3">
        <v>551.6</v>
      </c>
      <c r="H645" s="13">
        <v>0.66039999999999999</v>
      </c>
      <c r="I645" s="13">
        <v>0.58420000000000005</v>
      </c>
      <c r="J645" s="16">
        <v>0</v>
      </c>
      <c r="K645" s="16">
        <v>0</v>
      </c>
      <c r="L645" s="3">
        <v>0</v>
      </c>
      <c r="M645" s="3">
        <v>0</v>
      </c>
      <c r="N645" s="3">
        <v>990</v>
      </c>
      <c r="O645" s="3">
        <v>1025</v>
      </c>
      <c r="P645" s="1">
        <v>0</v>
      </c>
      <c r="Q645">
        <v>1005</v>
      </c>
      <c r="R645" s="3">
        <v>1677.6</v>
      </c>
      <c r="S645" s="1">
        <v>0</v>
      </c>
    </row>
    <row r="646" spans="1:19" x14ac:dyDescent="0.2">
      <c r="A646" s="12">
        <v>549</v>
      </c>
      <c r="B646" s="12">
        <v>553</v>
      </c>
      <c r="C646" s="12">
        <v>554</v>
      </c>
      <c r="D646" s="3">
        <v>1</v>
      </c>
      <c r="E646" s="3">
        <v>1</v>
      </c>
      <c r="F646" s="3">
        <v>1</v>
      </c>
      <c r="G646" s="3">
        <v>551.6</v>
      </c>
      <c r="H646" s="13">
        <v>0.66039999999999999</v>
      </c>
      <c r="I646" s="13">
        <v>0.58420000000000005</v>
      </c>
      <c r="J646" s="16">
        <v>0</v>
      </c>
      <c r="K646" s="16">
        <v>0</v>
      </c>
      <c r="L646" s="3">
        <v>0</v>
      </c>
      <c r="M646" s="3">
        <v>0</v>
      </c>
      <c r="N646" s="3">
        <v>990</v>
      </c>
      <c r="O646" s="3">
        <v>1025</v>
      </c>
      <c r="P646" s="1">
        <v>0</v>
      </c>
      <c r="Q646">
        <v>1005</v>
      </c>
      <c r="R646" s="3">
        <v>1677.6</v>
      </c>
      <c r="S646" s="1">
        <v>0</v>
      </c>
    </row>
    <row r="647" spans="1:19" x14ac:dyDescent="0.2">
      <c r="A647" s="12">
        <v>550</v>
      </c>
      <c r="B647" s="12">
        <v>554</v>
      </c>
      <c r="C647" s="12">
        <v>555</v>
      </c>
      <c r="D647" s="3">
        <v>1</v>
      </c>
      <c r="E647" s="3">
        <v>1</v>
      </c>
      <c r="F647" s="3">
        <v>1</v>
      </c>
      <c r="G647" s="3">
        <v>551.6</v>
      </c>
      <c r="H647" s="13">
        <v>0.66039999999999999</v>
      </c>
      <c r="I647" s="13">
        <v>0.58420000000000005</v>
      </c>
      <c r="J647" s="16">
        <v>0</v>
      </c>
      <c r="K647" s="16">
        <v>0</v>
      </c>
      <c r="L647" s="3">
        <v>0</v>
      </c>
      <c r="M647" s="3">
        <v>0</v>
      </c>
      <c r="N647" s="3">
        <v>990</v>
      </c>
      <c r="O647" s="3">
        <v>1025</v>
      </c>
      <c r="P647" s="1">
        <v>0</v>
      </c>
      <c r="Q647">
        <v>1005</v>
      </c>
      <c r="R647" s="3">
        <v>1677.6</v>
      </c>
      <c r="S647" s="1">
        <v>0</v>
      </c>
    </row>
    <row r="648" spans="1:19" x14ac:dyDescent="0.2">
      <c r="A648" s="12">
        <v>551</v>
      </c>
      <c r="B648" s="12">
        <v>555</v>
      </c>
      <c r="C648" s="12">
        <v>556</v>
      </c>
      <c r="D648" s="3">
        <v>1</v>
      </c>
      <c r="E648" s="3">
        <v>1</v>
      </c>
      <c r="F648" s="3">
        <v>1</v>
      </c>
      <c r="G648" s="3">
        <v>551.6</v>
      </c>
      <c r="H648" s="13">
        <v>0.66039999999999999</v>
      </c>
      <c r="I648" s="13">
        <v>0.58420000000000005</v>
      </c>
      <c r="J648" s="16">
        <v>0</v>
      </c>
      <c r="K648" s="16">
        <v>0</v>
      </c>
      <c r="L648" s="3">
        <v>0</v>
      </c>
      <c r="M648" s="3">
        <v>0</v>
      </c>
      <c r="N648" s="3">
        <v>990</v>
      </c>
      <c r="O648" s="3">
        <v>1025</v>
      </c>
      <c r="P648" s="1">
        <v>0</v>
      </c>
      <c r="Q648">
        <v>1005</v>
      </c>
      <c r="R648" s="3">
        <v>1677.6</v>
      </c>
      <c r="S648" s="1">
        <v>0</v>
      </c>
    </row>
    <row r="649" spans="1:19" x14ac:dyDescent="0.2">
      <c r="A649" s="12">
        <v>552</v>
      </c>
      <c r="B649" s="12">
        <v>556</v>
      </c>
      <c r="C649" s="12">
        <v>557</v>
      </c>
      <c r="D649" s="3">
        <v>1</v>
      </c>
      <c r="E649" s="3">
        <v>1</v>
      </c>
      <c r="F649" s="3">
        <v>1</v>
      </c>
      <c r="G649" s="3">
        <v>551.6</v>
      </c>
      <c r="H649" s="13">
        <v>0.66039999999999999</v>
      </c>
      <c r="I649" s="13">
        <v>0.58420000000000005</v>
      </c>
      <c r="J649" s="16">
        <v>0</v>
      </c>
      <c r="K649" s="16">
        <v>0</v>
      </c>
      <c r="L649" s="3">
        <v>0</v>
      </c>
      <c r="M649" s="3">
        <v>0</v>
      </c>
      <c r="N649" s="3">
        <v>990</v>
      </c>
      <c r="O649" s="3">
        <v>1025</v>
      </c>
      <c r="P649" s="1">
        <v>0</v>
      </c>
      <c r="Q649">
        <v>1005</v>
      </c>
      <c r="R649" s="3">
        <v>1677.6</v>
      </c>
      <c r="S649" s="1">
        <v>0</v>
      </c>
    </row>
    <row r="650" spans="1:19" x14ac:dyDescent="0.2">
      <c r="A650" s="12">
        <v>553</v>
      </c>
      <c r="B650" s="12">
        <v>557</v>
      </c>
      <c r="C650" s="12">
        <v>558</v>
      </c>
      <c r="D650" s="3">
        <v>1</v>
      </c>
      <c r="E650" s="3">
        <v>1</v>
      </c>
      <c r="F650" s="3">
        <v>1</v>
      </c>
      <c r="G650" s="3">
        <v>551.6</v>
      </c>
      <c r="H650" s="13">
        <v>0.66039999999999999</v>
      </c>
      <c r="I650" s="13">
        <v>0.58420000000000005</v>
      </c>
      <c r="J650" s="16">
        <v>0</v>
      </c>
      <c r="K650" s="16">
        <v>0</v>
      </c>
      <c r="L650" s="3">
        <v>0</v>
      </c>
      <c r="M650" s="3">
        <v>0</v>
      </c>
      <c r="N650" s="3">
        <v>990</v>
      </c>
      <c r="O650" s="3">
        <v>1025</v>
      </c>
      <c r="P650" s="1">
        <v>0</v>
      </c>
      <c r="Q650">
        <v>1005</v>
      </c>
      <c r="R650" s="3">
        <v>1677.6</v>
      </c>
      <c r="S650" s="1">
        <v>0</v>
      </c>
    </row>
    <row r="651" spans="1:19" x14ac:dyDescent="0.2">
      <c r="A651" s="12">
        <v>554</v>
      </c>
      <c r="B651" s="12">
        <v>558</v>
      </c>
      <c r="C651" s="12">
        <v>559</v>
      </c>
      <c r="D651" s="3">
        <v>1</v>
      </c>
      <c r="E651" s="3">
        <v>1</v>
      </c>
      <c r="F651" s="3">
        <v>1</v>
      </c>
      <c r="G651" s="3">
        <v>551.6</v>
      </c>
      <c r="H651" s="13">
        <v>0.66039999999999999</v>
      </c>
      <c r="I651" s="13">
        <v>0.58420000000000005</v>
      </c>
      <c r="J651" s="16">
        <v>0</v>
      </c>
      <c r="K651" s="16">
        <v>0</v>
      </c>
      <c r="L651" s="3">
        <v>0</v>
      </c>
      <c r="M651" s="3">
        <v>0</v>
      </c>
      <c r="N651" s="3">
        <v>990</v>
      </c>
      <c r="O651" s="3">
        <v>1025</v>
      </c>
      <c r="P651" s="1">
        <v>0</v>
      </c>
      <c r="Q651">
        <v>1005</v>
      </c>
      <c r="R651" s="3">
        <v>1677.6</v>
      </c>
      <c r="S651" s="1">
        <v>0</v>
      </c>
    </row>
    <row r="652" spans="1:19" x14ac:dyDescent="0.2">
      <c r="A652" s="12">
        <v>555</v>
      </c>
      <c r="B652" s="12">
        <v>559</v>
      </c>
      <c r="C652" s="12">
        <v>560</v>
      </c>
      <c r="D652" s="3">
        <v>1</v>
      </c>
      <c r="E652" s="3">
        <v>1</v>
      </c>
      <c r="F652" s="3">
        <v>1</v>
      </c>
      <c r="G652" s="3">
        <v>551.6</v>
      </c>
      <c r="H652" s="13">
        <v>0.66039999999999999</v>
      </c>
      <c r="I652" s="13">
        <v>0.58420000000000005</v>
      </c>
      <c r="J652" s="16">
        <v>0</v>
      </c>
      <c r="K652" s="16">
        <v>0</v>
      </c>
      <c r="L652" s="3">
        <v>0</v>
      </c>
      <c r="M652" s="3">
        <v>0</v>
      </c>
      <c r="N652" s="3">
        <v>990</v>
      </c>
      <c r="O652" s="3">
        <v>1025</v>
      </c>
      <c r="P652" s="1">
        <v>0</v>
      </c>
      <c r="Q652">
        <v>1005</v>
      </c>
      <c r="R652" s="3">
        <v>1677.6</v>
      </c>
      <c r="S652" s="1">
        <v>0</v>
      </c>
    </row>
    <row r="653" spans="1:19" x14ac:dyDescent="0.2">
      <c r="A653" s="12">
        <v>556</v>
      </c>
      <c r="B653" s="12">
        <v>560</v>
      </c>
      <c r="C653" s="12">
        <v>561</v>
      </c>
      <c r="D653" s="3">
        <v>1</v>
      </c>
      <c r="E653" s="3">
        <v>1</v>
      </c>
      <c r="F653" s="3">
        <v>1</v>
      </c>
      <c r="G653" s="3">
        <v>551.6</v>
      </c>
      <c r="H653" s="13">
        <v>2E-3</v>
      </c>
      <c r="I653" s="13">
        <v>1E-3</v>
      </c>
      <c r="J653" s="16">
        <v>0</v>
      </c>
      <c r="K653" s="16">
        <v>0</v>
      </c>
      <c r="L653" s="3">
        <v>0</v>
      </c>
      <c r="M653" s="3">
        <v>0</v>
      </c>
      <c r="N653" s="3">
        <v>990</v>
      </c>
      <c r="O653" s="3">
        <v>1025</v>
      </c>
      <c r="P653" s="1">
        <v>0</v>
      </c>
      <c r="Q653">
        <v>1005</v>
      </c>
      <c r="R653" s="3">
        <v>1677.6</v>
      </c>
      <c r="S653" s="1">
        <v>0</v>
      </c>
    </row>
    <row r="654" spans="1:19" x14ac:dyDescent="0.2">
      <c r="A654" s="12">
        <v>557</v>
      </c>
      <c r="B654" s="12">
        <v>561</v>
      </c>
      <c r="C654" s="12">
        <v>562</v>
      </c>
      <c r="D654" s="3">
        <v>1</v>
      </c>
      <c r="E654" s="3">
        <v>1</v>
      </c>
      <c r="F654" s="3">
        <v>1</v>
      </c>
      <c r="G654" s="3">
        <v>551.6</v>
      </c>
      <c r="H654" s="13">
        <v>0.53339999999999999</v>
      </c>
      <c r="I654" s="13">
        <v>0.50170000000000003</v>
      </c>
      <c r="J654" s="16">
        <v>0</v>
      </c>
      <c r="K654" s="16">
        <v>0</v>
      </c>
      <c r="L654" s="3">
        <v>0</v>
      </c>
      <c r="M654" s="3">
        <v>0</v>
      </c>
      <c r="N654" s="3">
        <v>990</v>
      </c>
      <c r="O654" s="3">
        <v>1025</v>
      </c>
      <c r="P654" s="1">
        <v>0</v>
      </c>
      <c r="Q654">
        <v>1005</v>
      </c>
      <c r="R654" s="3">
        <v>1677.6</v>
      </c>
      <c r="S654" s="1">
        <v>0</v>
      </c>
    </row>
    <row r="655" spans="1:19" x14ac:dyDescent="0.2">
      <c r="A655" s="12">
        <v>558</v>
      </c>
      <c r="B655" s="12">
        <v>562</v>
      </c>
      <c r="C655" s="12">
        <v>563</v>
      </c>
      <c r="D655" s="3">
        <v>1</v>
      </c>
      <c r="E655" s="3">
        <v>1</v>
      </c>
      <c r="F655" s="3">
        <v>1</v>
      </c>
      <c r="G655" s="3">
        <v>551.6</v>
      </c>
      <c r="H655" s="13">
        <v>0.53339999999999999</v>
      </c>
      <c r="I655" s="13">
        <v>0.50170000000000003</v>
      </c>
      <c r="J655" s="16">
        <v>0</v>
      </c>
      <c r="K655" s="16">
        <v>0</v>
      </c>
      <c r="L655" s="3">
        <v>0</v>
      </c>
      <c r="M655" s="3">
        <v>0</v>
      </c>
      <c r="N655" s="3">
        <v>990</v>
      </c>
      <c r="O655" s="3">
        <v>1025</v>
      </c>
      <c r="P655" s="1">
        <v>0</v>
      </c>
      <c r="Q655">
        <v>1005</v>
      </c>
      <c r="R655" s="3">
        <v>1677.6</v>
      </c>
      <c r="S655" s="1">
        <v>0</v>
      </c>
    </row>
    <row r="656" spans="1:19" x14ac:dyDescent="0.2">
      <c r="A656" s="12">
        <v>559</v>
      </c>
      <c r="B656" s="12">
        <v>563</v>
      </c>
      <c r="C656" s="12">
        <v>564</v>
      </c>
      <c r="D656" s="3">
        <v>1</v>
      </c>
      <c r="E656" s="3">
        <v>1</v>
      </c>
      <c r="F656" s="3">
        <v>1</v>
      </c>
      <c r="G656" s="3">
        <v>551.6</v>
      </c>
      <c r="H656" s="13">
        <v>0.53339999999999999</v>
      </c>
      <c r="I656" s="13">
        <v>0.50170000000000003</v>
      </c>
      <c r="J656" s="16">
        <v>0</v>
      </c>
      <c r="K656" s="16">
        <v>0</v>
      </c>
      <c r="L656" s="3">
        <v>0</v>
      </c>
      <c r="M656" s="3">
        <v>0</v>
      </c>
      <c r="N656" s="3">
        <v>990</v>
      </c>
      <c r="O656" s="3">
        <v>1025</v>
      </c>
      <c r="P656" s="1">
        <v>0</v>
      </c>
      <c r="Q656">
        <v>1005</v>
      </c>
      <c r="R656" s="3">
        <v>1677.6</v>
      </c>
      <c r="S656" s="1">
        <v>0</v>
      </c>
    </row>
    <row r="657" spans="1:19" x14ac:dyDescent="0.2">
      <c r="A657" s="12">
        <v>560</v>
      </c>
      <c r="B657" s="12">
        <v>564</v>
      </c>
      <c r="C657" s="12">
        <v>565</v>
      </c>
      <c r="D657" s="3">
        <v>1</v>
      </c>
      <c r="E657" s="3">
        <v>1</v>
      </c>
      <c r="F657" s="3">
        <v>1</v>
      </c>
      <c r="G657" s="3">
        <v>551.6</v>
      </c>
      <c r="H657" s="13">
        <v>0.53339999999999999</v>
      </c>
      <c r="I657" s="13">
        <v>0.50170000000000003</v>
      </c>
      <c r="J657" s="16">
        <v>0</v>
      </c>
      <c r="K657" s="16">
        <v>0</v>
      </c>
      <c r="L657" s="3">
        <v>0</v>
      </c>
      <c r="M657" s="3">
        <v>0</v>
      </c>
      <c r="N657" s="3">
        <v>990</v>
      </c>
      <c r="O657" s="3">
        <v>1025</v>
      </c>
      <c r="P657" s="1">
        <v>0</v>
      </c>
      <c r="Q657">
        <v>1005</v>
      </c>
      <c r="R657" s="3">
        <v>1677.6</v>
      </c>
      <c r="S657" s="1">
        <v>0</v>
      </c>
    </row>
    <row r="658" spans="1:19" x14ac:dyDescent="0.2">
      <c r="A658" s="12">
        <v>561</v>
      </c>
      <c r="B658" s="12">
        <v>565</v>
      </c>
      <c r="C658" s="12">
        <v>566</v>
      </c>
      <c r="D658" s="3">
        <v>1</v>
      </c>
      <c r="E658" s="3">
        <v>1</v>
      </c>
      <c r="F658" s="3">
        <v>1</v>
      </c>
      <c r="G658" s="3">
        <v>551.6</v>
      </c>
      <c r="H658" s="13">
        <v>0.53339999999999999</v>
      </c>
      <c r="I658" s="13">
        <v>0.50170000000000003</v>
      </c>
      <c r="J658" s="16">
        <v>0</v>
      </c>
      <c r="K658" s="16">
        <v>0</v>
      </c>
      <c r="L658" s="3">
        <v>0</v>
      </c>
      <c r="M658" s="3">
        <v>0</v>
      </c>
      <c r="N658" s="3">
        <v>990</v>
      </c>
      <c r="O658" s="3">
        <v>1025</v>
      </c>
      <c r="P658" s="1">
        <v>0</v>
      </c>
      <c r="Q658">
        <v>1005</v>
      </c>
      <c r="R658" s="3">
        <v>1677.6</v>
      </c>
      <c r="S658" s="1">
        <v>0</v>
      </c>
    </row>
    <row r="659" spans="1:19" x14ac:dyDescent="0.2">
      <c r="A659" s="12">
        <v>562</v>
      </c>
      <c r="B659" s="12">
        <v>566</v>
      </c>
      <c r="C659" s="12">
        <v>567</v>
      </c>
      <c r="D659" s="3">
        <v>1</v>
      </c>
      <c r="E659" s="3">
        <v>1</v>
      </c>
      <c r="F659" s="3">
        <v>1</v>
      </c>
      <c r="G659" s="3">
        <v>551.6</v>
      </c>
      <c r="H659" s="13">
        <v>0.53339999999999999</v>
      </c>
      <c r="I659" s="13">
        <v>0.50170000000000003</v>
      </c>
      <c r="J659" s="16">
        <v>0</v>
      </c>
      <c r="K659" s="16">
        <v>0</v>
      </c>
      <c r="L659" s="3">
        <v>0</v>
      </c>
      <c r="M659" s="3">
        <v>0</v>
      </c>
      <c r="N659" s="3">
        <v>990</v>
      </c>
      <c r="O659" s="3">
        <v>1025</v>
      </c>
      <c r="P659" s="1">
        <v>0</v>
      </c>
      <c r="Q659">
        <v>1005</v>
      </c>
      <c r="R659" s="3">
        <v>1677.6</v>
      </c>
      <c r="S659" s="1">
        <v>0</v>
      </c>
    </row>
    <row r="660" spans="1:19" x14ac:dyDescent="0.2">
      <c r="A660" s="12">
        <v>563</v>
      </c>
      <c r="B660" s="12">
        <v>567</v>
      </c>
      <c r="C660" s="12">
        <v>568</v>
      </c>
      <c r="D660" s="3">
        <v>1</v>
      </c>
      <c r="E660" s="3">
        <v>1</v>
      </c>
      <c r="F660" s="3">
        <v>1</v>
      </c>
      <c r="G660" s="3">
        <v>551.6</v>
      </c>
      <c r="H660" s="13">
        <v>2E-3</v>
      </c>
      <c r="I660" s="13">
        <v>0</v>
      </c>
      <c r="J660" s="16">
        <v>0</v>
      </c>
      <c r="K660" s="16">
        <v>0</v>
      </c>
      <c r="L660" s="3">
        <v>0</v>
      </c>
      <c r="M660" s="3">
        <v>0</v>
      </c>
      <c r="N660" s="3">
        <v>990</v>
      </c>
      <c r="O660" s="3">
        <v>1025</v>
      </c>
      <c r="P660" s="1">
        <v>0</v>
      </c>
      <c r="Q660">
        <v>1005</v>
      </c>
      <c r="R660" s="3">
        <v>1677.6</v>
      </c>
      <c r="S660" s="1">
        <v>0</v>
      </c>
    </row>
    <row r="661" spans="1:19" x14ac:dyDescent="0.2">
      <c r="A661" s="12">
        <v>564</v>
      </c>
      <c r="B661" s="12">
        <v>568</v>
      </c>
      <c r="C661" s="12">
        <v>569</v>
      </c>
      <c r="D661" s="3">
        <v>1</v>
      </c>
      <c r="E661" s="3">
        <v>1</v>
      </c>
      <c r="F661" s="3">
        <v>1</v>
      </c>
      <c r="G661" s="3">
        <v>551.6</v>
      </c>
      <c r="H661" s="13">
        <v>0.53339999999999999</v>
      </c>
      <c r="I661" s="13">
        <v>0.49209999999999998</v>
      </c>
      <c r="J661" s="16">
        <v>0</v>
      </c>
      <c r="K661" s="16">
        <v>0</v>
      </c>
      <c r="L661" s="3">
        <v>0</v>
      </c>
      <c r="M661" s="3">
        <v>0</v>
      </c>
      <c r="N661" s="3">
        <v>990</v>
      </c>
      <c r="O661" s="3">
        <v>1025</v>
      </c>
      <c r="P661" s="1">
        <v>0</v>
      </c>
      <c r="Q661">
        <v>1005</v>
      </c>
      <c r="R661" s="3">
        <v>1677.6</v>
      </c>
      <c r="S661" s="1">
        <v>0</v>
      </c>
    </row>
    <row r="662" spans="1:19" x14ac:dyDescent="0.2">
      <c r="A662" s="12">
        <v>565</v>
      </c>
      <c r="B662" s="12">
        <v>569</v>
      </c>
      <c r="C662" s="12">
        <v>570</v>
      </c>
      <c r="D662" s="3">
        <v>1</v>
      </c>
      <c r="E662" s="3">
        <v>1</v>
      </c>
      <c r="F662" s="3">
        <v>1</v>
      </c>
      <c r="G662" s="3">
        <v>551.6</v>
      </c>
      <c r="H662" s="13">
        <v>0.53339999999999999</v>
      </c>
      <c r="I662" s="13">
        <v>0.49209999999999998</v>
      </c>
      <c r="J662" s="16">
        <v>0</v>
      </c>
      <c r="K662" s="16">
        <v>0</v>
      </c>
      <c r="L662" s="3">
        <v>0</v>
      </c>
      <c r="M662" s="3">
        <v>0</v>
      </c>
      <c r="N662" s="3">
        <v>990</v>
      </c>
      <c r="O662" s="3">
        <v>1025</v>
      </c>
      <c r="P662" s="1">
        <v>0</v>
      </c>
      <c r="Q662">
        <v>1005</v>
      </c>
      <c r="R662" s="3">
        <v>1677.6</v>
      </c>
      <c r="S662" s="1">
        <v>0</v>
      </c>
    </row>
    <row r="663" spans="1:19" x14ac:dyDescent="0.2">
      <c r="A663" s="12">
        <v>566</v>
      </c>
      <c r="B663" s="12">
        <v>570</v>
      </c>
      <c r="C663" s="12">
        <v>571</v>
      </c>
      <c r="D663" s="3">
        <v>1</v>
      </c>
      <c r="E663" s="3">
        <v>1</v>
      </c>
      <c r="F663" s="3">
        <v>1</v>
      </c>
      <c r="G663" s="3">
        <v>551.6</v>
      </c>
      <c r="H663" s="13">
        <v>0.53339999999999999</v>
      </c>
      <c r="I663" s="13">
        <v>0.49209999999999998</v>
      </c>
      <c r="J663" s="16">
        <v>0</v>
      </c>
      <c r="K663" s="16">
        <v>0</v>
      </c>
      <c r="L663" s="3">
        <v>0</v>
      </c>
      <c r="M663" s="3">
        <v>0</v>
      </c>
      <c r="N663" s="3">
        <v>990</v>
      </c>
      <c r="O663" s="3">
        <v>1025</v>
      </c>
      <c r="P663" s="1">
        <v>0</v>
      </c>
      <c r="Q663">
        <v>1005</v>
      </c>
      <c r="R663" s="3">
        <v>1677.6</v>
      </c>
      <c r="S663" s="1">
        <v>0</v>
      </c>
    </row>
    <row r="664" spans="1:19" x14ac:dyDescent="0.2">
      <c r="A664" s="12">
        <v>567</v>
      </c>
      <c r="B664" s="12">
        <v>571</v>
      </c>
      <c r="C664" s="12">
        <v>572</v>
      </c>
      <c r="D664" s="3">
        <v>1</v>
      </c>
      <c r="E664" s="3">
        <v>1</v>
      </c>
      <c r="F664" s="3">
        <v>1</v>
      </c>
      <c r="G664" s="3">
        <v>551.6</v>
      </c>
      <c r="H664" s="13">
        <v>0.53339999999999999</v>
      </c>
      <c r="I664" s="13">
        <v>0.49209999999999998</v>
      </c>
      <c r="J664" s="16">
        <v>0</v>
      </c>
      <c r="K664" s="16">
        <v>0</v>
      </c>
      <c r="L664" s="3">
        <v>0</v>
      </c>
      <c r="M664" s="3">
        <v>0</v>
      </c>
      <c r="N664" s="3">
        <v>990</v>
      </c>
      <c r="O664" s="3">
        <v>1025</v>
      </c>
      <c r="P664" s="1">
        <v>0</v>
      </c>
      <c r="Q664">
        <v>1005</v>
      </c>
      <c r="R664" s="3">
        <v>1677.6</v>
      </c>
      <c r="S664" s="1">
        <v>0</v>
      </c>
    </row>
    <row r="665" spans="1:19" x14ac:dyDescent="0.2">
      <c r="A665" s="12">
        <v>568</v>
      </c>
      <c r="B665" s="12">
        <v>572</v>
      </c>
      <c r="C665" s="12">
        <v>573</v>
      </c>
      <c r="D665" s="3">
        <v>1</v>
      </c>
      <c r="E665" s="3">
        <v>1</v>
      </c>
      <c r="F665" s="3">
        <v>1</v>
      </c>
      <c r="G665" s="3">
        <v>551.6</v>
      </c>
      <c r="H665" s="13">
        <v>0.53339999999999999</v>
      </c>
      <c r="I665" s="13">
        <v>0.49209999999999998</v>
      </c>
      <c r="J665" s="16">
        <v>0</v>
      </c>
      <c r="K665" s="16">
        <v>0</v>
      </c>
      <c r="L665" s="3">
        <v>0</v>
      </c>
      <c r="M665" s="3">
        <v>0</v>
      </c>
      <c r="N665" s="3">
        <v>990</v>
      </c>
      <c r="O665" s="3">
        <v>1025</v>
      </c>
      <c r="P665" s="1">
        <v>0</v>
      </c>
      <c r="Q665">
        <v>1005</v>
      </c>
      <c r="R665" s="3">
        <v>1677.6</v>
      </c>
      <c r="S665" s="1">
        <v>0</v>
      </c>
    </row>
    <row r="666" spans="1:19" x14ac:dyDescent="0.2">
      <c r="A666" s="12">
        <v>569</v>
      </c>
      <c r="B666" s="12">
        <v>573</v>
      </c>
      <c r="C666" s="12">
        <v>574</v>
      </c>
      <c r="D666" s="3">
        <v>1</v>
      </c>
      <c r="E666" s="3">
        <v>1</v>
      </c>
      <c r="F666" s="3">
        <v>1</v>
      </c>
      <c r="G666" s="3">
        <v>551.6</v>
      </c>
      <c r="H666" s="13">
        <v>0.53339999999999999</v>
      </c>
      <c r="I666" s="13">
        <v>0.49209999999999998</v>
      </c>
      <c r="J666" s="16">
        <v>0</v>
      </c>
      <c r="K666" s="16">
        <v>0</v>
      </c>
      <c r="L666" s="3">
        <v>0</v>
      </c>
      <c r="M666" s="3">
        <v>0</v>
      </c>
      <c r="N666" s="3">
        <v>990</v>
      </c>
      <c r="O666" s="3">
        <v>1025</v>
      </c>
      <c r="P666" s="1">
        <v>0</v>
      </c>
      <c r="Q666">
        <v>1005</v>
      </c>
      <c r="R666" s="3">
        <v>1677.6</v>
      </c>
      <c r="S666" s="1">
        <v>0</v>
      </c>
    </row>
    <row r="667" spans="1:19" x14ac:dyDescent="0.2">
      <c r="A667" s="12">
        <v>570</v>
      </c>
      <c r="B667" s="12">
        <v>574</v>
      </c>
      <c r="C667" s="12">
        <v>575</v>
      </c>
      <c r="D667" s="3">
        <v>1</v>
      </c>
      <c r="E667" s="3">
        <v>1</v>
      </c>
      <c r="F667" s="3">
        <v>1</v>
      </c>
      <c r="G667" s="3">
        <v>551.6</v>
      </c>
      <c r="H667" s="13">
        <v>0.53339999999999999</v>
      </c>
      <c r="I667" s="13">
        <v>0.49209999999999998</v>
      </c>
      <c r="J667" s="16">
        <v>0</v>
      </c>
      <c r="K667" s="16">
        <v>0</v>
      </c>
      <c r="L667" s="3">
        <v>0</v>
      </c>
      <c r="M667" s="3">
        <v>0</v>
      </c>
      <c r="N667" s="3">
        <v>990</v>
      </c>
      <c r="O667" s="3">
        <v>1025</v>
      </c>
      <c r="P667" s="1">
        <v>0</v>
      </c>
      <c r="Q667">
        <v>1005</v>
      </c>
      <c r="R667" s="3">
        <v>1677.6</v>
      </c>
      <c r="S667" s="1">
        <v>0</v>
      </c>
    </row>
    <row r="668" spans="1:19" x14ac:dyDescent="0.2">
      <c r="A668" s="12">
        <v>571</v>
      </c>
      <c r="B668" s="12">
        <v>576</v>
      </c>
      <c r="C668" s="12">
        <v>577</v>
      </c>
      <c r="D668" s="3">
        <v>1</v>
      </c>
      <c r="E668" s="3">
        <v>1</v>
      </c>
      <c r="F668" s="3">
        <v>1</v>
      </c>
      <c r="G668" s="3">
        <v>551.6</v>
      </c>
      <c r="H668" s="13">
        <v>2E-3</v>
      </c>
      <c r="I668" s="13">
        <v>1E-3</v>
      </c>
      <c r="J668" s="16">
        <v>0</v>
      </c>
      <c r="K668" s="16">
        <v>0</v>
      </c>
      <c r="L668" s="3">
        <v>0</v>
      </c>
      <c r="M668" s="3">
        <v>0</v>
      </c>
      <c r="N668" s="3">
        <v>990</v>
      </c>
      <c r="O668" s="3">
        <v>1025</v>
      </c>
      <c r="P668" s="1">
        <v>0</v>
      </c>
      <c r="Q668">
        <v>1005</v>
      </c>
      <c r="R668" s="3">
        <v>0</v>
      </c>
      <c r="S668" s="1">
        <v>0</v>
      </c>
    </row>
    <row r="669" spans="1:19" x14ac:dyDescent="0.2">
      <c r="A669" s="12">
        <v>572</v>
      </c>
      <c r="B669" s="12">
        <v>578</v>
      </c>
      <c r="C669" s="12">
        <v>579</v>
      </c>
      <c r="D669" s="3">
        <v>1</v>
      </c>
      <c r="E669" s="3">
        <v>1</v>
      </c>
      <c r="F669" s="3">
        <v>1</v>
      </c>
      <c r="G669" s="3">
        <v>551.6</v>
      </c>
      <c r="H669" s="13">
        <v>2E-3</v>
      </c>
      <c r="I669" s="13">
        <v>1E-3</v>
      </c>
      <c r="J669" s="16">
        <v>0</v>
      </c>
      <c r="K669" s="16">
        <v>0</v>
      </c>
      <c r="L669" s="3">
        <v>0</v>
      </c>
      <c r="M669" s="3">
        <v>0</v>
      </c>
      <c r="N669" s="3">
        <v>990</v>
      </c>
      <c r="O669" s="3">
        <v>1025</v>
      </c>
      <c r="P669" s="1">
        <v>0</v>
      </c>
      <c r="Q669">
        <v>1005</v>
      </c>
      <c r="R669" s="3">
        <v>0</v>
      </c>
      <c r="S669" s="1">
        <v>0</v>
      </c>
    </row>
    <row r="670" spans="1:19" x14ac:dyDescent="0.2">
      <c r="A670" s="12">
        <v>573</v>
      </c>
      <c r="B670" s="12">
        <v>580</v>
      </c>
      <c r="C670" s="12">
        <v>581</v>
      </c>
      <c r="D670" s="3">
        <v>1</v>
      </c>
      <c r="E670" s="3">
        <v>1</v>
      </c>
      <c r="F670" s="3">
        <v>1</v>
      </c>
      <c r="G670" s="3">
        <v>551.6</v>
      </c>
      <c r="H670" s="13">
        <v>2E-3</v>
      </c>
      <c r="I670" s="13">
        <v>1E-3</v>
      </c>
      <c r="J670" s="16">
        <v>0</v>
      </c>
      <c r="K670" s="16">
        <v>0</v>
      </c>
      <c r="L670" s="3">
        <v>0</v>
      </c>
      <c r="M670" s="3">
        <v>0</v>
      </c>
      <c r="N670" s="3">
        <v>990</v>
      </c>
      <c r="O670" s="3">
        <v>1025</v>
      </c>
      <c r="P670" s="1">
        <v>0</v>
      </c>
      <c r="Q670">
        <v>1005</v>
      </c>
      <c r="R670" s="3">
        <v>0</v>
      </c>
      <c r="S670" s="1">
        <v>0</v>
      </c>
    </row>
    <row r="671" spans="1:19" x14ac:dyDescent="0.2">
      <c r="A671" s="12">
        <v>574</v>
      </c>
      <c r="B671" s="12">
        <v>582</v>
      </c>
      <c r="C671" s="12">
        <v>583</v>
      </c>
      <c r="D671" s="3">
        <v>1</v>
      </c>
      <c r="E671" s="3">
        <v>1</v>
      </c>
      <c r="F671" s="3">
        <v>1</v>
      </c>
      <c r="G671" s="3">
        <v>551.6</v>
      </c>
      <c r="H671" s="13">
        <v>2E-3</v>
      </c>
      <c r="I671" s="13">
        <v>1E-3</v>
      </c>
      <c r="J671" s="16">
        <v>0</v>
      </c>
      <c r="K671" s="16">
        <v>0</v>
      </c>
      <c r="L671" s="3">
        <v>0</v>
      </c>
      <c r="M671" s="3">
        <v>0</v>
      </c>
      <c r="N671" s="3">
        <v>990</v>
      </c>
      <c r="O671" s="3">
        <v>1025</v>
      </c>
      <c r="P671" s="1">
        <v>0</v>
      </c>
      <c r="Q671">
        <v>1005</v>
      </c>
      <c r="R671" s="3">
        <v>0</v>
      </c>
      <c r="S671" s="1">
        <v>0</v>
      </c>
    </row>
    <row r="672" spans="1:19" x14ac:dyDescent="0.2">
      <c r="A672" s="12">
        <v>575</v>
      </c>
      <c r="B672" s="12">
        <v>584</v>
      </c>
      <c r="C672" s="12">
        <v>585</v>
      </c>
      <c r="D672" s="3">
        <v>1</v>
      </c>
      <c r="E672" s="3">
        <v>1</v>
      </c>
      <c r="F672" s="3">
        <v>1</v>
      </c>
      <c r="G672" s="3">
        <v>551.6</v>
      </c>
      <c r="H672" s="13">
        <v>2E-3</v>
      </c>
      <c r="I672" s="13">
        <v>1E-3</v>
      </c>
      <c r="J672" s="16">
        <v>0</v>
      </c>
      <c r="K672" s="16">
        <v>0</v>
      </c>
      <c r="L672" s="3">
        <v>0</v>
      </c>
      <c r="M672" s="3">
        <v>0</v>
      </c>
      <c r="N672" s="3">
        <v>990</v>
      </c>
      <c r="O672" s="3">
        <v>1025</v>
      </c>
      <c r="P672" s="1">
        <v>0</v>
      </c>
      <c r="Q672">
        <v>1005</v>
      </c>
      <c r="R672" s="3">
        <v>0</v>
      </c>
      <c r="S672" s="1">
        <v>0</v>
      </c>
    </row>
    <row r="673" spans="1:19" x14ac:dyDescent="0.2">
      <c r="A673" s="12">
        <v>576</v>
      </c>
      <c r="B673" s="12">
        <v>586</v>
      </c>
      <c r="C673" s="12">
        <v>587</v>
      </c>
      <c r="D673" s="3">
        <v>1</v>
      </c>
      <c r="E673" s="3">
        <v>1</v>
      </c>
      <c r="F673" s="3">
        <v>1</v>
      </c>
      <c r="G673" s="3">
        <v>551.6</v>
      </c>
      <c r="H673" s="13">
        <v>2E-3</v>
      </c>
      <c r="I673" s="13">
        <v>1E-3</v>
      </c>
      <c r="J673" s="16">
        <v>0</v>
      </c>
      <c r="K673" s="16">
        <v>0</v>
      </c>
      <c r="L673" s="3">
        <v>0</v>
      </c>
      <c r="M673" s="3">
        <v>0</v>
      </c>
      <c r="N673" s="3">
        <v>990</v>
      </c>
      <c r="O673" s="3">
        <v>1025</v>
      </c>
      <c r="P673" s="1">
        <v>0</v>
      </c>
      <c r="Q673">
        <v>1005</v>
      </c>
      <c r="R673" s="3">
        <v>0</v>
      </c>
      <c r="S673" s="1">
        <v>0</v>
      </c>
    </row>
    <row r="674" spans="1:19" x14ac:dyDescent="0.2">
      <c r="A674" s="12">
        <v>577</v>
      </c>
      <c r="B674" s="12">
        <v>588</v>
      </c>
      <c r="C674" s="12">
        <v>589</v>
      </c>
      <c r="D674" s="3">
        <v>1</v>
      </c>
      <c r="E674" s="3">
        <v>1</v>
      </c>
      <c r="F674" s="3">
        <v>1</v>
      </c>
      <c r="G674" s="3">
        <v>551.6</v>
      </c>
      <c r="H674" s="13">
        <v>2E-3</v>
      </c>
      <c r="I674" s="13">
        <v>1E-3</v>
      </c>
      <c r="J674" s="16">
        <v>0</v>
      </c>
      <c r="K674" s="16">
        <v>0</v>
      </c>
      <c r="L674" s="3">
        <v>0</v>
      </c>
      <c r="M674" s="3">
        <v>0</v>
      </c>
      <c r="N674" s="3">
        <v>990</v>
      </c>
      <c r="O674" s="3">
        <v>1025</v>
      </c>
      <c r="P674" s="1">
        <v>0</v>
      </c>
      <c r="Q674">
        <v>1005</v>
      </c>
      <c r="R674" s="3">
        <v>0</v>
      </c>
      <c r="S674" s="1">
        <v>0</v>
      </c>
    </row>
    <row r="675" spans="1:19" x14ac:dyDescent="0.2">
      <c r="A675" s="12">
        <v>578</v>
      </c>
      <c r="B675" s="12">
        <v>590</v>
      </c>
      <c r="C675" s="12">
        <v>591</v>
      </c>
      <c r="D675" s="3">
        <v>1</v>
      </c>
      <c r="E675" s="3">
        <v>1</v>
      </c>
      <c r="F675" s="3">
        <v>1</v>
      </c>
      <c r="G675" s="3">
        <v>551.6</v>
      </c>
      <c r="H675" s="13">
        <v>2E-3</v>
      </c>
      <c r="I675" s="13">
        <v>1E-3</v>
      </c>
      <c r="J675" s="16">
        <v>0</v>
      </c>
      <c r="K675" s="16">
        <v>0</v>
      </c>
      <c r="L675" s="3">
        <v>0</v>
      </c>
      <c r="M675" s="3">
        <v>0</v>
      </c>
      <c r="N675" s="3">
        <v>990</v>
      </c>
      <c r="O675" s="3">
        <v>1025</v>
      </c>
      <c r="P675" s="1">
        <v>0</v>
      </c>
      <c r="Q675">
        <v>1005</v>
      </c>
      <c r="R675" s="3">
        <v>0</v>
      </c>
      <c r="S675" s="1">
        <v>0</v>
      </c>
    </row>
    <row r="676" spans="1:19" x14ac:dyDescent="0.2">
      <c r="A676" s="12">
        <v>579</v>
      </c>
      <c r="B676" s="12">
        <v>560</v>
      </c>
      <c r="C676" s="12">
        <v>576</v>
      </c>
      <c r="D676" s="3">
        <v>1</v>
      </c>
      <c r="E676" s="3">
        <v>1</v>
      </c>
      <c r="F676" s="3">
        <v>1</v>
      </c>
      <c r="G676" s="3">
        <v>551.6</v>
      </c>
      <c r="H676" s="13">
        <v>2E-3</v>
      </c>
      <c r="I676" s="13">
        <v>1E-3</v>
      </c>
      <c r="J676" s="16">
        <v>0</v>
      </c>
      <c r="K676" s="16">
        <v>0</v>
      </c>
      <c r="L676" s="3">
        <v>0</v>
      </c>
      <c r="M676" s="3">
        <v>0</v>
      </c>
      <c r="N676" s="3">
        <v>990</v>
      </c>
      <c r="O676" s="3">
        <v>1025</v>
      </c>
      <c r="P676" s="1">
        <v>0</v>
      </c>
      <c r="Q676">
        <v>1005</v>
      </c>
      <c r="R676" s="3">
        <v>0</v>
      </c>
      <c r="S676" s="1">
        <v>0</v>
      </c>
    </row>
    <row r="677" spans="1:19" x14ac:dyDescent="0.2">
      <c r="A677" s="12">
        <v>580</v>
      </c>
      <c r="B677" s="12">
        <v>560</v>
      </c>
      <c r="C677" s="12">
        <v>578</v>
      </c>
      <c r="D677" s="3">
        <v>1</v>
      </c>
      <c r="E677" s="3">
        <v>1</v>
      </c>
      <c r="F677" s="3">
        <v>1</v>
      </c>
      <c r="G677" s="3">
        <v>551.6</v>
      </c>
      <c r="H677" s="13">
        <v>2E-3</v>
      </c>
      <c r="I677" s="13">
        <v>1E-3</v>
      </c>
      <c r="J677" s="16">
        <v>0</v>
      </c>
      <c r="K677" s="16">
        <v>0</v>
      </c>
      <c r="L677" s="3">
        <v>0</v>
      </c>
      <c r="M677" s="3">
        <v>0</v>
      </c>
      <c r="N677" s="3">
        <v>990</v>
      </c>
      <c r="O677" s="3">
        <v>1025</v>
      </c>
      <c r="P677" s="1">
        <v>0</v>
      </c>
      <c r="Q677">
        <v>1005</v>
      </c>
      <c r="R677" s="3">
        <v>0</v>
      </c>
      <c r="S677" s="1">
        <v>0</v>
      </c>
    </row>
    <row r="678" spans="1:19" x14ac:dyDescent="0.2">
      <c r="A678" s="12">
        <v>581</v>
      </c>
      <c r="B678" s="12">
        <v>560</v>
      </c>
      <c r="C678" s="12">
        <v>580</v>
      </c>
      <c r="D678" s="3">
        <v>1</v>
      </c>
      <c r="E678" s="3">
        <v>1</v>
      </c>
      <c r="F678" s="3">
        <v>1</v>
      </c>
      <c r="G678" s="3">
        <v>551.6</v>
      </c>
      <c r="H678" s="13">
        <v>2E-3</v>
      </c>
      <c r="I678" s="13">
        <v>1E-3</v>
      </c>
      <c r="J678" s="16">
        <v>0</v>
      </c>
      <c r="K678" s="16">
        <v>0</v>
      </c>
      <c r="L678" s="3">
        <v>0</v>
      </c>
      <c r="M678" s="3">
        <v>0</v>
      </c>
      <c r="N678" s="3">
        <v>990</v>
      </c>
      <c r="O678" s="3">
        <v>1025</v>
      </c>
      <c r="P678" s="1">
        <v>0</v>
      </c>
      <c r="Q678">
        <v>1005</v>
      </c>
      <c r="R678" s="3">
        <v>0</v>
      </c>
      <c r="S678" s="1">
        <v>0</v>
      </c>
    </row>
    <row r="679" spans="1:19" x14ac:dyDescent="0.2">
      <c r="A679" s="12">
        <v>582</v>
      </c>
      <c r="B679" s="12">
        <v>560</v>
      </c>
      <c r="C679" s="12">
        <v>582</v>
      </c>
      <c r="D679" s="3">
        <v>1</v>
      </c>
      <c r="E679" s="3">
        <v>1</v>
      </c>
      <c r="F679" s="3">
        <v>1</v>
      </c>
      <c r="G679" s="3">
        <v>551.6</v>
      </c>
      <c r="H679" s="13">
        <v>2E-3</v>
      </c>
      <c r="I679" s="13">
        <v>1E-3</v>
      </c>
      <c r="J679" s="16">
        <v>0</v>
      </c>
      <c r="K679" s="16">
        <v>0</v>
      </c>
      <c r="L679" s="3">
        <v>0</v>
      </c>
      <c r="M679" s="3">
        <v>0</v>
      </c>
      <c r="N679" s="3">
        <v>990</v>
      </c>
      <c r="O679" s="3">
        <v>1025</v>
      </c>
      <c r="P679" s="1">
        <v>0</v>
      </c>
      <c r="Q679">
        <v>1005</v>
      </c>
      <c r="R679" s="3">
        <v>0</v>
      </c>
      <c r="S679" s="1">
        <v>0</v>
      </c>
    </row>
    <row r="680" spans="1:19" x14ac:dyDescent="0.2">
      <c r="A680" s="12">
        <v>583</v>
      </c>
      <c r="B680" s="12">
        <v>560</v>
      </c>
      <c r="C680" s="12">
        <v>584</v>
      </c>
      <c r="D680" s="3">
        <v>1</v>
      </c>
      <c r="E680" s="3">
        <v>1</v>
      </c>
      <c r="F680" s="3">
        <v>1</v>
      </c>
      <c r="G680" s="3">
        <v>551.6</v>
      </c>
      <c r="H680" s="13">
        <v>2E-3</v>
      </c>
      <c r="I680" s="13">
        <v>1E-3</v>
      </c>
      <c r="J680" s="16">
        <v>0</v>
      </c>
      <c r="K680" s="16">
        <v>0</v>
      </c>
      <c r="L680" s="3">
        <v>0</v>
      </c>
      <c r="M680" s="3">
        <v>0</v>
      </c>
      <c r="N680" s="3">
        <v>990</v>
      </c>
      <c r="O680" s="3">
        <v>1025</v>
      </c>
      <c r="P680" s="1">
        <v>0</v>
      </c>
      <c r="Q680">
        <v>1005</v>
      </c>
      <c r="R680" s="3">
        <v>0</v>
      </c>
      <c r="S680" s="1">
        <v>0</v>
      </c>
    </row>
    <row r="681" spans="1:19" x14ac:dyDescent="0.2">
      <c r="A681" s="12">
        <v>584</v>
      </c>
      <c r="B681" s="12">
        <v>560</v>
      </c>
      <c r="C681" s="12">
        <v>586</v>
      </c>
      <c r="D681" s="3">
        <v>1</v>
      </c>
      <c r="E681" s="3">
        <v>1</v>
      </c>
      <c r="F681" s="3">
        <v>1</v>
      </c>
      <c r="G681" s="3">
        <v>551.6</v>
      </c>
      <c r="H681" s="13">
        <v>2E-3</v>
      </c>
      <c r="I681" s="13">
        <v>1E-3</v>
      </c>
      <c r="J681" s="16">
        <v>0</v>
      </c>
      <c r="K681" s="16">
        <v>0</v>
      </c>
      <c r="L681" s="3">
        <v>0</v>
      </c>
      <c r="M681" s="3">
        <v>0</v>
      </c>
      <c r="N681" s="3">
        <v>990</v>
      </c>
      <c r="O681" s="3">
        <v>1025</v>
      </c>
      <c r="P681" s="1">
        <v>0</v>
      </c>
      <c r="Q681">
        <v>1005</v>
      </c>
      <c r="R681" s="3">
        <v>0</v>
      </c>
      <c r="S681" s="1">
        <v>0</v>
      </c>
    </row>
    <row r="682" spans="1:19" x14ac:dyDescent="0.2">
      <c r="A682" s="12">
        <v>585</v>
      </c>
      <c r="B682" s="12">
        <v>560</v>
      </c>
      <c r="C682" s="12">
        <v>588</v>
      </c>
      <c r="D682" s="3">
        <v>1</v>
      </c>
      <c r="E682" s="3">
        <v>1</v>
      </c>
      <c r="F682" s="3">
        <v>1</v>
      </c>
      <c r="G682" s="3">
        <v>551.6</v>
      </c>
      <c r="H682" s="13">
        <v>2E-3</v>
      </c>
      <c r="I682" s="13">
        <v>1E-3</v>
      </c>
      <c r="J682" s="16">
        <v>0</v>
      </c>
      <c r="K682" s="16">
        <v>0</v>
      </c>
      <c r="L682" s="3">
        <v>0</v>
      </c>
      <c r="M682" s="3">
        <v>0</v>
      </c>
      <c r="N682" s="3">
        <v>990</v>
      </c>
      <c r="O682" s="3">
        <v>1025</v>
      </c>
      <c r="P682" s="1">
        <v>0</v>
      </c>
      <c r="Q682">
        <v>1005</v>
      </c>
      <c r="R682" s="3">
        <v>0</v>
      </c>
      <c r="S682" s="1">
        <v>0</v>
      </c>
    </row>
    <row r="683" spans="1:19" x14ac:dyDescent="0.2">
      <c r="A683" s="12">
        <v>586</v>
      </c>
      <c r="B683" s="12">
        <v>560</v>
      </c>
      <c r="C683" s="12">
        <v>590</v>
      </c>
      <c r="D683" s="3">
        <v>1</v>
      </c>
      <c r="E683" s="3">
        <v>1</v>
      </c>
      <c r="F683" s="3">
        <v>1</v>
      </c>
      <c r="G683" s="3">
        <v>551.6</v>
      </c>
      <c r="H683" s="13">
        <v>2E-3</v>
      </c>
      <c r="I683" s="13">
        <v>1E-3</v>
      </c>
      <c r="J683" s="16">
        <v>0</v>
      </c>
      <c r="K683" s="16">
        <v>0</v>
      </c>
      <c r="L683" s="3">
        <v>0</v>
      </c>
      <c r="M683" s="3">
        <v>0</v>
      </c>
      <c r="N683" s="3">
        <v>990</v>
      </c>
      <c r="O683" s="3">
        <v>1025</v>
      </c>
      <c r="P683" s="1">
        <v>0</v>
      </c>
      <c r="Q683">
        <v>1005</v>
      </c>
      <c r="R683" s="3">
        <v>0</v>
      </c>
      <c r="S683" s="1">
        <v>0</v>
      </c>
    </row>
    <row r="684" spans="1:19" x14ac:dyDescent="0.2">
      <c r="A684" s="12">
        <v>587</v>
      </c>
      <c r="B684" s="12">
        <v>533</v>
      </c>
      <c r="C684" s="12">
        <v>566</v>
      </c>
      <c r="D684" s="3">
        <v>1</v>
      </c>
      <c r="E684" s="3">
        <v>1</v>
      </c>
      <c r="F684" s="3">
        <v>1</v>
      </c>
      <c r="G684" s="3">
        <v>551.6</v>
      </c>
      <c r="H684" s="13">
        <v>2E-3</v>
      </c>
      <c r="I684" s="13">
        <v>0</v>
      </c>
      <c r="J684" s="16">
        <v>0</v>
      </c>
      <c r="K684" s="16">
        <v>0</v>
      </c>
      <c r="L684" s="3">
        <v>0</v>
      </c>
      <c r="M684" s="3">
        <v>0</v>
      </c>
      <c r="N684" s="3">
        <v>990</v>
      </c>
      <c r="O684" s="3">
        <v>1025</v>
      </c>
      <c r="P684" s="1">
        <v>0</v>
      </c>
      <c r="Q684">
        <v>0</v>
      </c>
      <c r="R684" s="3">
        <v>0</v>
      </c>
      <c r="S684" s="1">
        <v>0</v>
      </c>
    </row>
    <row r="685" spans="1:19" x14ac:dyDescent="0.2">
      <c r="A685" s="12">
        <v>588</v>
      </c>
      <c r="B685" s="12">
        <v>544</v>
      </c>
      <c r="C685" s="12">
        <v>611</v>
      </c>
      <c r="D685" s="3">
        <v>1</v>
      </c>
      <c r="E685" s="3">
        <v>1</v>
      </c>
      <c r="F685" s="3">
        <v>1</v>
      </c>
      <c r="G685" s="3">
        <v>551.6</v>
      </c>
      <c r="H685" s="13">
        <v>2E-3</v>
      </c>
      <c r="I685" s="13">
        <v>0</v>
      </c>
      <c r="J685" s="16">
        <v>0</v>
      </c>
      <c r="K685" s="16">
        <v>0</v>
      </c>
      <c r="L685" s="3">
        <v>0</v>
      </c>
      <c r="M685" s="3">
        <v>0</v>
      </c>
      <c r="N685" s="3">
        <v>990</v>
      </c>
      <c r="O685" s="3">
        <v>1025</v>
      </c>
      <c r="P685" s="1">
        <v>0</v>
      </c>
      <c r="Q685">
        <v>0</v>
      </c>
      <c r="R685" s="3">
        <v>0</v>
      </c>
      <c r="S685" s="1">
        <v>0</v>
      </c>
    </row>
    <row r="686" spans="1:19" x14ac:dyDescent="0.2">
      <c r="A686" s="12">
        <v>589</v>
      </c>
      <c r="B686" s="12">
        <v>544</v>
      </c>
      <c r="C686" s="12">
        <v>613</v>
      </c>
      <c r="D686" s="3">
        <v>1</v>
      </c>
      <c r="E686" s="3">
        <v>1</v>
      </c>
      <c r="F686" s="3">
        <v>1</v>
      </c>
      <c r="G686" s="3">
        <v>551.6</v>
      </c>
      <c r="H686" s="13">
        <v>2E-3</v>
      </c>
      <c r="I686" s="13">
        <v>0</v>
      </c>
      <c r="J686" s="16">
        <v>0</v>
      </c>
      <c r="K686" s="16">
        <v>0</v>
      </c>
      <c r="L686" s="3">
        <v>0</v>
      </c>
      <c r="M686" s="3">
        <v>0</v>
      </c>
      <c r="N686" s="3">
        <v>990</v>
      </c>
      <c r="O686" s="3">
        <v>1025</v>
      </c>
      <c r="P686" s="1">
        <v>0</v>
      </c>
      <c r="Q686">
        <v>0</v>
      </c>
      <c r="R686" s="3">
        <v>0</v>
      </c>
      <c r="S686" s="1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683"/>
  <sheetViews>
    <sheetView workbookViewId="0">
      <pane xSplit="1" ySplit="8" topLeftCell="F9" activePane="bottomRight" state="frozen"/>
      <selection pane="topRight" activeCell="B1" sqref="B1"/>
      <selection pane="bottomLeft" activeCell="A9" sqref="A9"/>
      <selection pane="bottomRight" activeCell="Q9" sqref="Q9"/>
    </sheetView>
  </sheetViews>
  <sheetFormatPr defaultColWidth="10.7109375" defaultRowHeight="12.75" x14ac:dyDescent="0.2"/>
  <cols>
    <col min="1" max="1" width="25.7109375" customWidth="1"/>
    <col min="2" max="2" width="10.85546875" style="12"/>
    <col min="3" max="4" width="10.85546875" style="16"/>
    <col min="5" max="16" width="10.85546875" style="3"/>
    <col min="17" max="18" width="10.7109375" style="3"/>
    <col min="19" max="20" width="10.7109375" style="13"/>
    <col min="21" max="21" width="10.140625" style="13" customWidth="1"/>
    <col min="22" max="22" width="10.28515625" style="13" customWidth="1"/>
    <col min="23" max="24" width="11.140625" style="13" customWidth="1"/>
    <col min="25" max="34" width="10.7109375" style="13"/>
  </cols>
  <sheetData>
    <row r="1" spans="1:21" x14ac:dyDescent="0.2">
      <c r="B1" s="12" t="s">
        <v>34</v>
      </c>
    </row>
    <row r="2" spans="1:21" x14ac:dyDescent="0.2">
      <c r="B2" s="12" t="s">
        <v>35</v>
      </c>
    </row>
    <row r="3" spans="1:21" x14ac:dyDescent="0.2">
      <c r="B3" s="12" t="s">
        <v>36</v>
      </c>
    </row>
    <row r="4" spans="1:21" x14ac:dyDescent="0.2">
      <c r="B4" s="12" t="s">
        <v>37</v>
      </c>
      <c r="F4" s="3" t="s">
        <v>38</v>
      </c>
    </row>
    <row r="5" spans="1:21" x14ac:dyDescent="0.2">
      <c r="F5" s="3" t="s">
        <v>159</v>
      </c>
    </row>
    <row r="6" spans="1:21" x14ac:dyDescent="0.2">
      <c r="C6" s="16" t="s">
        <v>9</v>
      </c>
      <c r="E6" s="3" t="s">
        <v>59</v>
      </c>
      <c r="G6" s="3" t="s">
        <v>160</v>
      </c>
      <c r="I6" s="3" t="s">
        <v>161</v>
      </c>
      <c r="K6" s="3" t="s">
        <v>162</v>
      </c>
      <c r="M6" s="3" t="s">
        <v>163</v>
      </c>
      <c r="O6" s="3" t="s">
        <v>164</v>
      </c>
      <c r="Q6" s="3" t="s">
        <v>10</v>
      </c>
      <c r="S6" s="13" t="s">
        <v>165</v>
      </c>
      <c r="U6" s="13" t="s">
        <v>166</v>
      </c>
    </row>
    <row r="7" spans="1:21" x14ac:dyDescent="0.2">
      <c r="A7" t="s">
        <v>4</v>
      </c>
      <c r="B7" s="12" t="s">
        <v>167</v>
      </c>
      <c r="C7" s="16" t="s">
        <v>17</v>
      </c>
      <c r="D7" s="16" t="s">
        <v>18</v>
      </c>
      <c r="E7" s="3" t="s">
        <v>46</v>
      </c>
      <c r="F7" s="3" t="s">
        <v>47</v>
      </c>
      <c r="G7" s="3" t="s">
        <v>17</v>
      </c>
      <c r="H7" s="3" t="s">
        <v>18</v>
      </c>
      <c r="I7" s="3" t="s">
        <v>17</v>
      </c>
      <c r="J7" s="3" t="s">
        <v>18</v>
      </c>
      <c r="K7" s="3" t="s">
        <v>17</v>
      </c>
      <c r="L7" s="3" t="s">
        <v>18</v>
      </c>
      <c r="M7" s="3" t="s">
        <v>17</v>
      </c>
      <c r="N7" s="3" t="s">
        <v>18</v>
      </c>
      <c r="O7" s="3" t="s">
        <v>17</v>
      </c>
      <c r="P7" s="3" t="s">
        <v>18</v>
      </c>
      <c r="Q7" s="3" t="s">
        <v>17</v>
      </c>
      <c r="R7" s="3" t="s">
        <v>18</v>
      </c>
      <c r="S7" s="13" t="s">
        <v>17</v>
      </c>
      <c r="T7" s="13" t="s">
        <v>18</v>
      </c>
      <c r="U7" s="13" t="s">
        <v>168</v>
      </c>
    </row>
    <row r="8" spans="1:21" x14ac:dyDescent="0.2">
      <c r="A8" t="s">
        <v>169</v>
      </c>
      <c r="B8" s="12" t="s">
        <v>170</v>
      </c>
      <c r="C8" s="16" t="s">
        <v>66</v>
      </c>
      <c r="D8" s="16" t="s">
        <v>66</v>
      </c>
      <c r="E8" s="3" t="s">
        <v>63</v>
      </c>
      <c r="F8" s="3" t="s">
        <v>63</v>
      </c>
      <c r="G8" s="3" t="s">
        <v>66</v>
      </c>
      <c r="H8" s="3" t="s">
        <v>66</v>
      </c>
      <c r="I8" s="3" t="s">
        <v>66</v>
      </c>
      <c r="J8" s="3" t="s">
        <v>66</v>
      </c>
      <c r="K8" s="3" t="s">
        <v>171</v>
      </c>
      <c r="L8" s="3" t="s">
        <v>171</v>
      </c>
      <c r="M8" s="3" t="s">
        <v>171</v>
      </c>
      <c r="N8" s="3" t="s">
        <v>171</v>
      </c>
      <c r="O8" s="3" t="s">
        <v>171</v>
      </c>
      <c r="P8" s="3" t="s">
        <v>171</v>
      </c>
      <c r="Q8" s="3" t="s">
        <v>171</v>
      </c>
      <c r="R8" s="3" t="s">
        <v>171</v>
      </c>
      <c r="S8" s="13" t="s">
        <v>64</v>
      </c>
      <c r="T8" s="13" t="s">
        <v>64</v>
      </c>
      <c r="U8" s="13" t="s">
        <v>172</v>
      </c>
    </row>
    <row r="9" spans="1:21" x14ac:dyDescent="0.2">
      <c r="A9" t="s">
        <v>69</v>
      </c>
      <c r="B9" s="12" t="s">
        <v>70</v>
      </c>
      <c r="C9" s="16">
        <v>-1774</v>
      </c>
      <c r="D9" s="16">
        <v>-1774</v>
      </c>
      <c r="G9" s="3">
        <v>-5.9480000000000001E-7</v>
      </c>
      <c r="H9" s="3">
        <v>4.9850000000000008E-7</v>
      </c>
      <c r="I9" s="3">
        <v>-6.2119999999999998E-7</v>
      </c>
      <c r="J9" s="3">
        <v>4.5849999999999998E-7</v>
      </c>
      <c r="K9" s="3">
        <v>-3.6230000000000003E-10</v>
      </c>
      <c r="L9" s="3">
        <v>4.099E-10</v>
      </c>
      <c r="M9" s="3">
        <v>-2.7970000000000001E-6</v>
      </c>
      <c r="N9" s="3">
        <v>2.0669999999999999E-6</v>
      </c>
      <c r="O9" s="3">
        <v>-2.6929999999999999E-6</v>
      </c>
      <c r="P9" s="3">
        <v>2.2409999999999998E-6</v>
      </c>
      <c r="Q9" s="3">
        <v>1.1349999999999999E-7</v>
      </c>
      <c r="R9" s="3">
        <v>3.8829999999999999E-6</v>
      </c>
      <c r="S9" s="13">
        <v>99999</v>
      </c>
      <c r="T9" s="13">
        <v>99999</v>
      </c>
      <c r="U9" s="13">
        <v>2.3334749536760103E-2</v>
      </c>
    </row>
    <row r="10" spans="1:21" x14ac:dyDescent="0.2">
      <c r="A10" t="s">
        <v>71</v>
      </c>
      <c r="B10" s="12" t="s">
        <v>70</v>
      </c>
      <c r="C10" s="16">
        <v>-1773</v>
      </c>
      <c r="D10" s="16">
        <v>-1773</v>
      </c>
      <c r="G10" s="3">
        <v>-6.0079999999999993E-7</v>
      </c>
      <c r="H10" s="3">
        <v>5.0360000000000004E-7</v>
      </c>
      <c r="I10" s="3">
        <v>-6.2739999999999991E-7</v>
      </c>
      <c r="J10" s="3">
        <v>4.6319999999999997E-7</v>
      </c>
      <c r="K10" s="3">
        <v>-3.622E-10</v>
      </c>
      <c r="L10" s="3">
        <v>4.099E-10</v>
      </c>
      <c r="M10" s="3">
        <v>-2.8549999999999998E-6</v>
      </c>
      <c r="N10" s="3">
        <v>2.1099999999999997E-6</v>
      </c>
      <c r="O10" s="3">
        <v>-2.7490000000000003E-6</v>
      </c>
      <c r="P10" s="3">
        <v>2.2869999999999999E-6</v>
      </c>
      <c r="Q10" s="3">
        <v>1.157E-7</v>
      </c>
      <c r="R10" s="3">
        <v>3.9639999999999997E-6</v>
      </c>
      <c r="S10" s="13">
        <v>99999</v>
      </c>
      <c r="T10" s="13">
        <v>99999</v>
      </c>
      <c r="U10" s="13">
        <v>2.3321595793481292E-2</v>
      </c>
    </row>
    <row r="11" spans="1:21" x14ac:dyDescent="0.2">
      <c r="A11" t="s">
        <v>72</v>
      </c>
      <c r="B11" s="12" t="s">
        <v>70</v>
      </c>
      <c r="C11" s="16">
        <v>-1776</v>
      </c>
      <c r="D11" s="16">
        <v>-1776</v>
      </c>
      <c r="G11" s="3">
        <v>-6.1620000000000003E-7</v>
      </c>
      <c r="H11" s="3">
        <v>5.1619999999999992E-7</v>
      </c>
      <c r="I11" s="3">
        <v>-6.4329999999999994E-7</v>
      </c>
      <c r="J11" s="3">
        <v>4.749E-7</v>
      </c>
      <c r="K11" s="3">
        <v>-3.6250000000000004E-10</v>
      </c>
      <c r="L11" s="3">
        <v>4.0999999999999998E-10</v>
      </c>
      <c r="M11" s="3">
        <v>-2.6730000000000001E-6</v>
      </c>
      <c r="N11" s="3">
        <v>1.9750000000000001E-6</v>
      </c>
      <c r="O11" s="3">
        <v>-2.5739999999999998E-6</v>
      </c>
      <c r="P11" s="3">
        <v>2.1409999999999999E-6</v>
      </c>
      <c r="Q11" s="3">
        <v>1.0859999999999999E-7</v>
      </c>
      <c r="R11" s="3">
        <v>3.7109999999999997E-6</v>
      </c>
      <c r="S11" s="13">
        <v>99999</v>
      </c>
      <c r="T11" s="13">
        <v>99999</v>
      </c>
      <c r="U11" s="13">
        <v>3.0696654634703939E-2</v>
      </c>
    </row>
    <row r="12" spans="1:21" x14ac:dyDescent="0.2">
      <c r="A12" t="s">
        <v>73</v>
      </c>
      <c r="B12" s="12" t="s">
        <v>70</v>
      </c>
      <c r="C12" s="16">
        <v>-1775</v>
      </c>
      <c r="D12" s="16">
        <v>-1775</v>
      </c>
      <c r="G12" s="3">
        <v>-6.2220000000000005E-7</v>
      </c>
      <c r="H12" s="3">
        <v>5.2129999999999999E-7</v>
      </c>
      <c r="I12" s="3">
        <v>-6.4959999999999999E-7</v>
      </c>
      <c r="J12" s="3">
        <v>4.7960000000000003E-7</v>
      </c>
      <c r="K12" s="3">
        <v>-3.6240000000000001E-10</v>
      </c>
      <c r="L12" s="3">
        <v>4.0999999999999998E-10</v>
      </c>
      <c r="M12" s="3">
        <v>-2.728E-6</v>
      </c>
      <c r="N12" s="3">
        <v>2.0159999999999998E-6</v>
      </c>
      <c r="O12" s="3">
        <v>-2.627E-6</v>
      </c>
      <c r="P12" s="3">
        <v>2.1849999999999998E-6</v>
      </c>
      <c r="Q12" s="3">
        <v>1.108E-7</v>
      </c>
      <c r="R12" s="3">
        <v>3.7869999999999999E-6</v>
      </c>
      <c r="S12" s="13">
        <v>99999</v>
      </c>
      <c r="T12" s="13">
        <v>99999</v>
      </c>
      <c r="U12" s="13">
        <v>2.3347903279128186E-2</v>
      </c>
    </row>
    <row r="13" spans="1:21" x14ac:dyDescent="0.2">
      <c r="A13" t="s">
        <v>74</v>
      </c>
      <c r="B13" s="12" t="s">
        <v>70</v>
      </c>
      <c r="C13" s="16">
        <v>-1778</v>
      </c>
      <c r="D13" s="16">
        <v>-1778</v>
      </c>
      <c r="G13" s="3">
        <v>-6.0009999999999998E-7</v>
      </c>
      <c r="H13" s="3">
        <v>5.0270000000000007E-7</v>
      </c>
      <c r="I13" s="3">
        <v>-6.2649999999999995E-7</v>
      </c>
      <c r="J13" s="3">
        <v>4.6250000000000002E-7</v>
      </c>
      <c r="K13" s="3">
        <v>-3.627E-10</v>
      </c>
      <c r="L13" s="3">
        <v>4.1019999999999999E-10</v>
      </c>
      <c r="M13" s="3">
        <v>-2.4789999999999999E-6</v>
      </c>
      <c r="N13" s="3">
        <v>1.832E-6</v>
      </c>
      <c r="O13" s="3">
        <v>-2.3879999999999998E-6</v>
      </c>
      <c r="P13" s="3">
        <v>1.9849999999999996E-6</v>
      </c>
      <c r="Q13" s="3">
        <v>1.011E-7</v>
      </c>
      <c r="R13" s="3">
        <v>3.4420000000000002E-6</v>
      </c>
      <c r="S13" s="13">
        <v>99999</v>
      </c>
      <c r="T13" s="13">
        <v>99999</v>
      </c>
      <c r="U13" s="13">
        <v>3.0731222917960661E-2</v>
      </c>
    </row>
    <row r="14" spans="1:21" x14ac:dyDescent="0.2">
      <c r="A14" t="s">
        <v>75</v>
      </c>
      <c r="B14" s="12" t="s">
        <v>70</v>
      </c>
      <c r="C14" s="16">
        <v>-1776</v>
      </c>
      <c r="D14" s="16">
        <v>-1776</v>
      </c>
      <c r="G14" s="3">
        <v>-6.0989999999999998E-7</v>
      </c>
      <c r="H14" s="3">
        <v>5.1090000000000006E-7</v>
      </c>
      <c r="I14" s="3">
        <v>-6.3669999999999998E-7</v>
      </c>
      <c r="J14" s="3">
        <v>4.7E-7</v>
      </c>
      <c r="K14" s="3">
        <v>-3.6259999999999997E-10</v>
      </c>
      <c r="L14" s="3">
        <v>4.1010000000000001E-10</v>
      </c>
      <c r="M14" s="3">
        <v>-2.5999999999999997E-6</v>
      </c>
      <c r="N14" s="3">
        <v>1.922E-6</v>
      </c>
      <c r="O14" s="3">
        <v>-2.5049999999999997E-6</v>
      </c>
      <c r="P14" s="3">
        <v>2.0830000000000002E-6</v>
      </c>
      <c r="Q14" s="3">
        <v>1.0579999999999999E-7</v>
      </c>
      <c r="R14" s="3">
        <v>3.6099999999999997E-6</v>
      </c>
      <c r="S14" s="13">
        <v>99999</v>
      </c>
      <c r="T14" s="13">
        <v>99999</v>
      </c>
      <c r="U14" s="13">
        <v>3.0696654626750457E-2</v>
      </c>
    </row>
    <row r="15" spans="1:21" x14ac:dyDescent="0.2">
      <c r="A15" t="s">
        <v>76</v>
      </c>
      <c r="B15" s="12" t="s">
        <v>70</v>
      </c>
      <c r="C15" s="16">
        <v>-1861</v>
      </c>
      <c r="D15" s="16">
        <v>-1861</v>
      </c>
      <c r="G15" s="3">
        <v>-2.817E-8</v>
      </c>
      <c r="H15" s="3">
        <v>3.243E-8</v>
      </c>
      <c r="I15" s="3">
        <v>-2.559E-8</v>
      </c>
      <c r="J15" s="3">
        <v>3.4809999999999999E-8</v>
      </c>
      <c r="K15" s="3">
        <v>-3.7849999999999999E-10</v>
      </c>
      <c r="L15" s="3">
        <v>4.1230000000000001E-10</v>
      </c>
      <c r="M15" s="3">
        <v>-6.0699999999999997E-7</v>
      </c>
      <c r="N15" s="3">
        <v>8.2240000000000006E-7</v>
      </c>
      <c r="O15" s="3">
        <v>-6.5990000000000003E-7</v>
      </c>
      <c r="P15" s="3">
        <v>7.8700000000000005E-7</v>
      </c>
      <c r="Q15" s="3">
        <v>3.1600000000000005E-8</v>
      </c>
      <c r="R15" s="3">
        <v>1.1379999999999999E-6</v>
      </c>
      <c r="S15" s="13">
        <v>99999</v>
      </c>
      <c r="T15" s="13">
        <v>99999</v>
      </c>
      <c r="U15" s="13">
        <v>3.2165807370775595E-2</v>
      </c>
    </row>
    <row r="16" spans="1:21" x14ac:dyDescent="0.2">
      <c r="A16" t="s">
        <v>77</v>
      </c>
      <c r="B16" s="12" t="s">
        <v>70</v>
      </c>
      <c r="C16" s="16">
        <v>-1859</v>
      </c>
      <c r="D16" s="16">
        <v>-1859</v>
      </c>
      <c r="G16" s="3">
        <v>-2.4859999999999999E-8</v>
      </c>
      <c r="H16" s="3">
        <v>2.8439999999999999E-8</v>
      </c>
      <c r="I16" s="3">
        <v>-2.257E-8</v>
      </c>
      <c r="J16" s="3">
        <v>3.0670000000000003E-8</v>
      </c>
      <c r="K16" s="3">
        <v>-3.7829999999999998E-10</v>
      </c>
      <c r="L16" s="3">
        <v>4.1230000000000001E-10</v>
      </c>
      <c r="M16" s="3">
        <v>-6.1209999999999993E-7</v>
      </c>
      <c r="N16" s="3">
        <v>8.2939999999999995E-7</v>
      </c>
      <c r="O16" s="3">
        <v>-6.6549999999999992E-7</v>
      </c>
      <c r="P16" s="3">
        <v>7.934E-7</v>
      </c>
      <c r="Q16" s="3">
        <v>3.1810000000000005E-8</v>
      </c>
      <c r="R16" s="3">
        <v>1.1479999999999999E-6</v>
      </c>
      <c r="S16" s="13">
        <v>99999</v>
      </c>
      <c r="T16" s="13">
        <v>99999</v>
      </c>
      <c r="U16" s="13">
        <v>3.2131239067123347E-2</v>
      </c>
    </row>
    <row r="17" spans="1:21" x14ac:dyDescent="0.2">
      <c r="A17" t="s">
        <v>78</v>
      </c>
      <c r="B17" s="12" t="s">
        <v>70</v>
      </c>
      <c r="C17" s="16">
        <v>-1862</v>
      </c>
      <c r="D17" s="16">
        <v>-1862</v>
      </c>
      <c r="G17" s="3">
        <v>-3.243E-8</v>
      </c>
      <c r="H17" s="3">
        <v>3.7549999999999995E-8</v>
      </c>
      <c r="I17" s="3">
        <v>-2.9490000000000001E-8</v>
      </c>
      <c r="J17" s="3">
        <v>4.0129999999999996E-8</v>
      </c>
      <c r="K17" s="3">
        <v>-3.789E-10</v>
      </c>
      <c r="L17" s="3">
        <v>4.1230000000000001E-10</v>
      </c>
      <c r="M17" s="3">
        <v>-6.0099999999999994E-7</v>
      </c>
      <c r="N17" s="3">
        <v>8.1429999999999998E-7</v>
      </c>
      <c r="O17" s="3">
        <v>-6.5329999999999995E-7</v>
      </c>
      <c r="P17" s="3">
        <v>7.794E-7</v>
      </c>
      <c r="Q17" s="3">
        <v>3.1350000000000006E-8</v>
      </c>
      <c r="R17" s="3">
        <v>1.127E-6</v>
      </c>
      <c r="S17" s="13">
        <v>99999</v>
      </c>
      <c r="T17" s="13">
        <v>99999</v>
      </c>
      <c r="U17" s="13">
        <v>3.218309152212924E-2</v>
      </c>
    </row>
    <row r="18" spans="1:21" x14ac:dyDescent="0.2">
      <c r="A18" t="s">
        <v>79</v>
      </c>
      <c r="B18" s="12" t="s">
        <v>70</v>
      </c>
      <c r="C18" s="16">
        <v>-1861</v>
      </c>
      <c r="D18" s="16">
        <v>-1861</v>
      </c>
      <c r="G18" s="3">
        <v>-2.817E-8</v>
      </c>
      <c r="H18" s="3">
        <v>3.243E-8</v>
      </c>
      <c r="I18" s="3">
        <v>-2.559E-8</v>
      </c>
      <c r="J18" s="3">
        <v>3.4809999999999999E-8</v>
      </c>
      <c r="K18" s="3">
        <v>-3.7849999999999999E-10</v>
      </c>
      <c r="L18" s="3">
        <v>4.1230000000000001E-10</v>
      </c>
      <c r="M18" s="3">
        <v>-6.0699999999999997E-7</v>
      </c>
      <c r="N18" s="3">
        <v>8.2240000000000006E-7</v>
      </c>
      <c r="O18" s="3">
        <v>-6.5990000000000003E-7</v>
      </c>
      <c r="P18" s="3">
        <v>7.8700000000000005E-7</v>
      </c>
      <c r="Q18" s="3">
        <v>3.1600000000000005E-8</v>
      </c>
      <c r="R18" s="3">
        <v>1.1379999999999999E-6</v>
      </c>
      <c r="S18" s="13">
        <v>99999</v>
      </c>
      <c r="T18" s="13">
        <v>99999</v>
      </c>
      <c r="U18" s="13">
        <v>3.2165807370775595E-2</v>
      </c>
    </row>
    <row r="19" spans="1:21" x14ac:dyDescent="0.2">
      <c r="A19" t="s">
        <v>80</v>
      </c>
      <c r="B19" s="12" t="s">
        <v>70</v>
      </c>
      <c r="C19" s="16">
        <v>-1866</v>
      </c>
      <c r="D19" s="16">
        <v>-1866</v>
      </c>
      <c r="G19" s="3">
        <v>-3.927E-8</v>
      </c>
      <c r="H19" s="3">
        <v>4.5769999999999999E-8</v>
      </c>
      <c r="I19" s="3">
        <v>-3.5800000000000003E-8</v>
      </c>
      <c r="J19" s="3">
        <v>4.866E-8</v>
      </c>
      <c r="K19" s="3">
        <v>-3.794E-10</v>
      </c>
      <c r="L19" s="3">
        <v>4.1230000000000001E-10</v>
      </c>
      <c r="M19" s="3">
        <v>-5.8309999999999997E-7</v>
      </c>
      <c r="N19" s="3">
        <v>7.9000000000000006E-7</v>
      </c>
      <c r="O19" s="3">
        <v>-6.3369999999999996E-7</v>
      </c>
      <c r="P19" s="3">
        <v>7.5649999999999998E-7</v>
      </c>
      <c r="Q19" s="3">
        <v>3.0549999999999999E-8</v>
      </c>
      <c r="R19" s="3">
        <v>1.0939999999999998E-6</v>
      </c>
      <c r="S19" s="13">
        <v>99999</v>
      </c>
      <c r="T19" s="13">
        <v>99999</v>
      </c>
      <c r="U19" s="13">
        <v>3.2252228128410027E-2</v>
      </c>
    </row>
    <row r="20" spans="1:21" x14ac:dyDescent="0.2">
      <c r="A20" t="s">
        <v>81</v>
      </c>
      <c r="B20" s="12" t="s">
        <v>70</v>
      </c>
      <c r="C20" s="16">
        <v>-1862</v>
      </c>
      <c r="D20" s="16">
        <v>-1862</v>
      </c>
      <c r="G20" s="3">
        <v>-3.243E-8</v>
      </c>
      <c r="H20" s="3">
        <v>3.7549999999999995E-8</v>
      </c>
      <c r="I20" s="3">
        <v>-2.9490000000000001E-8</v>
      </c>
      <c r="J20" s="3">
        <v>4.0129999999999996E-8</v>
      </c>
      <c r="K20" s="3">
        <v>-3.789E-10</v>
      </c>
      <c r="L20" s="3">
        <v>4.1230000000000001E-10</v>
      </c>
      <c r="M20" s="3">
        <v>-6.0099999999999994E-7</v>
      </c>
      <c r="N20" s="3">
        <v>8.1429999999999998E-7</v>
      </c>
      <c r="O20" s="3">
        <v>-6.5329999999999995E-7</v>
      </c>
      <c r="P20" s="3">
        <v>7.794E-7</v>
      </c>
      <c r="Q20" s="3">
        <v>3.1350000000000006E-8</v>
      </c>
      <c r="R20" s="3">
        <v>1.127E-6</v>
      </c>
      <c r="S20" s="13">
        <v>99999</v>
      </c>
      <c r="T20" s="13">
        <v>99999</v>
      </c>
      <c r="U20" s="13">
        <v>3.218309152212924E-2</v>
      </c>
    </row>
    <row r="21" spans="1:21" x14ac:dyDescent="0.2">
      <c r="A21" t="s">
        <v>82</v>
      </c>
      <c r="B21" s="12" t="s">
        <v>70</v>
      </c>
      <c r="C21" s="16">
        <v>-1663</v>
      </c>
      <c r="D21" s="16">
        <v>-1663</v>
      </c>
      <c r="G21" s="3">
        <v>-9.6740000000000005E-7</v>
      </c>
      <c r="H21" s="3">
        <v>1.3470000000000002E-6</v>
      </c>
      <c r="I21" s="3">
        <v>-9.2600000000000001E-7</v>
      </c>
      <c r="J21" s="3">
        <v>1.1789999999999999E-6</v>
      </c>
      <c r="K21" s="3">
        <v>-3.509E-10</v>
      </c>
      <c r="L21" s="3">
        <v>4.0260000000000004E-10</v>
      </c>
      <c r="M21" s="3">
        <v>-1.0139999999999999E-5</v>
      </c>
      <c r="N21" s="3">
        <v>7.5320000000000001E-6</v>
      </c>
      <c r="O21" s="3">
        <v>-8.524E-6</v>
      </c>
      <c r="P21" s="3">
        <v>8.2260000000000005E-6</v>
      </c>
      <c r="Q21" s="3">
        <v>2.156E-7</v>
      </c>
      <c r="R21" s="3">
        <v>1.3209999999999999E-5</v>
      </c>
      <c r="S21" s="13">
        <v>99999</v>
      </c>
      <c r="T21" s="13">
        <v>99999</v>
      </c>
      <c r="U21" s="13">
        <v>1.0937342022500244E-2</v>
      </c>
    </row>
    <row r="22" spans="1:21" x14ac:dyDescent="0.2">
      <c r="A22" t="s">
        <v>83</v>
      </c>
      <c r="B22" s="12" t="s">
        <v>70</v>
      </c>
      <c r="C22" s="16">
        <v>1333</v>
      </c>
      <c r="D22" s="16">
        <v>1333</v>
      </c>
      <c r="G22" s="3">
        <v>-6.0970000000000007E-7</v>
      </c>
      <c r="H22" s="3">
        <v>8.5150000000000002E-7</v>
      </c>
      <c r="I22" s="3">
        <v>-5.8189999999999999E-7</v>
      </c>
      <c r="J22" s="3">
        <v>7.3809999999999997E-7</v>
      </c>
      <c r="K22" s="3">
        <v>-2.2600000000000002E-10</v>
      </c>
      <c r="L22" s="3">
        <v>2.5429999999999999E-10</v>
      </c>
      <c r="M22" s="3">
        <v>-6.7340000000000002E-6</v>
      </c>
      <c r="N22" s="3">
        <v>5.0090000000000007E-6</v>
      </c>
      <c r="O22" s="3">
        <v>-5.6179999999999994E-6</v>
      </c>
      <c r="P22" s="3">
        <v>5.4599999999999994E-6</v>
      </c>
      <c r="Q22" s="3">
        <v>1.4859999999999999E-7</v>
      </c>
      <c r="R22" s="3">
        <v>8.7479999999999999E-6</v>
      </c>
      <c r="S22" s="13">
        <v>99999</v>
      </c>
      <c r="T22" s="13">
        <v>99999</v>
      </c>
      <c r="U22" s="13">
        <v>8.7669734359709112E-3</v>
      </c>
    </row>
    <row r="23" spans="1:21" x14ac:dyDescent="0.2">
      <c r="A23" t="s">
        <v>84</v>
      </c>
      <c r="B23" s="12" t="s">
        <v>70</v>
      </c>
      <c r="C23" s="16">
        <v>54.95</v>
      </c>
      <c r="D23" s="16">
        <v>54.95</v>
      </c>
      <c r="G23" s="3">
        <v>-1.1369999999999999E-7</v>
      </c>
      <c r="H23" s="3">
        <v>9.4730000000000002E-8</v>
      </c>
      <c r="I23" s="3">
        <v>-1.182E-7</v>
      </c>
      <c r="J23" s="3">
        <v>8.7330000000000002E-8</v>
      </c>
      <c r="K23" s="3">
        <v>-9.6609999999999993E-12</v>
      </c>
      <c r="L23" s="3">
        <v>7.8689999999999989E-12</v>
      </c>
      <c r="M23" s="3">
        <v>-8.9229999999999999E-8</v>
      </c>
      <c r="N23" s="3">
        <v>6.5929999999999995E-8</v>
      </c>
      <c r="O23" s="3">
        <v>-8.5909999999999993E-8</v>
      </c>
      <c r="P23" s="3">
        <v>7.1480000000000002E-8</v>
      </c>
      <c r="Q23" s="3">
        <v>3.6129999999999998E-9</v>
      </c>
      <c r="R23" s="3">
        <v>1.2389999999999999E-7</v>
      </c>
      <c r="S23" s="13">
        <v>99999</v>
      </c>
      <c r="T23" s="13">
        <v>99999</v>
      </c>
      <c r="U23" s="13">
        <v>0.15899161094074843</v>
      </c>
    </row>
    <row r="24" spans="1:21" x14ac:dyDescent="0.2">
      <c r="A24" t="s">
        <v>85</v>
      </c>
      <c r="B24" s="12" t="s">
        <v>70</v>
      </c>
      <c r="C24" s="16">
        <v>55.46</v>
      </c>
      <c r="D24" s="16">
        <v>55.46</v>
      </c>
      <c r="G24" s="3">
        <v>-1.1369999999999999E-7</v>
      </c>
      <c r="H24" s="3">
        <v>9.4730000000000002E-8</v>
      </c>
      <c r="I24" s="3">
        <v>-1.182E-7</v>
      </c>
      <c r="J24" s="3">
        <v>8.7320000000000004E-8</v>
      </c>
      <c r="K24" s="3">
        <v>-9.6449999999999994E-12</v>
      </c>
      <c r="L24" s="3">
        <v>7.8709999999999999E-12</v>
      </c>
      <c r="M24" s="3">
        <v>-1.104E-7</v>
      </c>
      <c r="N24" s="3">
        <v>8.1570000000000008E-8</v>
      </c>
      <c r="O24" s="3">
        <v>-1.0629999999999999E-7</v>
      </c>
      <c r="P24" s="3">
        <v>8.8440000000000003E-8</v>
      </c>
      <c r="Q24" s="3">
        <v>4.4610000000000002E-9</v>
      </c>
      <c r="R24" s="3">
        <v>1.5320000000000002E-7</v>
      </c>
      <c r="S24" s="13">
        <v>99999</v>
      </c>
      <c r="T24" s="13">
        <v>99999</v>
      </c>
      <c r="U24" s="13">
        <v>0.15896518667966536</v>
      </c>
    </row>
    <row r="25" spans="1:21" x14ac:dyDescent="0.2">
      <c r="A25" t="s">
        <v>86</v>
      </c>
      <c r="B25" s="12" t="s">
        <v>70</v>
      </c>
      <c r="C25" s="16">
        <v>54.78</v>
      </c>
      <c r="D25" s="16">
        <v>54.78</v>
      </c>
      <c r="G25" s="3">
        <v>-8.0099999999999996E-8</v>
      </c>
      <c r="H25" s="3">
        <v>6.6749999999999999E-8</v>
      </c>
      <c r="I25" s="3">
        <v>-8.329E-8</v>
      </c>
      <c r="J25" s="3">
        <v>6.1529999999999996E-8</v>
      </c>
      <c r="K25" s="3">
        <v>-9.6749999999999999E-12</v>
      </c>
      <c r="L25" s="3">
        <v>7.8669999999999995E-12</v>
      </c>
      <c r="M25" s="3">
        <v>-8.0669999999999994E-8</v>
      </c>
      <c r="N25" s="3">
        <v>5.9610000000000002E-8</v>
      </c>
      <c r="O25" s="3">
        <v>-7.7680000000000005E-8</v>
      </c>
      <c r="P25" s="3">
        <v>6.462999999999999E-8</v>
      </c>
      <c r="Q25" s="3">
        <v>3.2689999999999998E-9</v>
      </c>
      <c r="R25" s="3">
        <v>1.12E-7</v>
      </c>
      <c r="S25" s="13">
        <v>99999</v>
      </c>
      <c r="T25" s="13">
        <v>99999</v>
      </c>
      <c r="U25" s="13">
        <v>0.13078752231973001</v>
      </c>
    </row>
    <row r="26" spans="1:21" x14ac:dyDescent="0.2">
      <c r="A26" t="s">
        <v>87</v>
      </c>
      <c r="B26" s="12" t="s">
        <v>70</v>
      </c>
      <c r="C26" s="16">
        <v>54.89</v>
      </c>
      <c r="D26" s="16">
        <v>54.89</v>
      </c>
      <c r="G26" s="3">
        <v>-8.0110000000000007E-8</v>
      </c>
      <c r="H26" s="3">
        <v>6.6749999999999999E-8</v>
      </c>
      <c r="I26" s="3">
        <v>-8.329E-8</v>
      </c>
      <c r="J26" s="3">
        <v>6.1539999999999994E-8</v>
      </c>
      <c r="K26" s="3">
        <v>-9.6730000000000005E-12</v>
      </c>
      <c r="L26" s="3">
        <v>7.8669999999999995E-12</v>
      </c>
      <c r="M26" s="3">
        <v>-8.748E-8</v>
      </c>
      <c r="N26" s="3">
        <v>6.4640000000000002E-8</v>
      </c>
      <c r="O26" s="3">
        <v>-8.4229999999999994E-8</v>
      </c>
      <c r="P26" s="3">
        <v>7.0080000000000003E-8</v>
      </c>
      <c r="Q26" s="3">
        <v>3.542E-9</v>
      </c>
      <c r="R26" s="3">
        <v>1.2139999999999999E-7</v>
      </c>
      <c r="S26" s="13">
        <v>99999</v>
      </c>
      <c r="T26" s="13">
        <v>99999</v>
      </c>
      <c r="U26" s="13">
        <v>0.1589947112751556</v>
      </c>
    </row>
    <row r="27" spans="1:21" x14ac:dyDescent="0.2">
      <c r="A27" t="s">
        <v>88</v>
      </c>
      <c r="B27" s="12" t="s">
        <v>70</v>
      </c>
      <c r="C27" s="16">
        <v>54.22</v>
      </c>
      <c r="D27" s="16">
        <v>54.22</v>
      </c>
      <c r="G27" s="3">
        <v>-8.0089999999999998E-8</v>
      </c>
      <c r="H27" s="3">
        <v>6.6730000000000003E-8</v>
      </c>
      <c r="I27" s="3">
        <v>-8.3259999999999992E-8</v>
      </c>
      <c r="J27" s="3">
        <v>6.1519999999999998E-8</v>
      </c>
      <c r="K27" s="3">
        <v>-9.6839999999999995E-12</v>
      </c>
      <c r="L27" s="3">
        <v>7.8660000000000006E-12</v>
      </c>
      <c r="M27" s="3">
        <v>-4.7589999999999998E-8</v>
      </c>
      <c r="N27" s="3">
        <v>3.5169999999999997E-8</v>
      </c>
      <c r="O27" s="3">
        <v>-4.5859999999999995E-8</v>
      </c>
      <c r="P27" s="3">
        <v>3.812E-8</v>
      </c>
      <c r="Q27" s="3">
        <v>1.9410000000000002E-9</v>
      </c>
      <c r="R27" s="3">
        <v>6.6090000000000005E-8</v>
      </c>
      <c r="S27" s="13">
        <v>99999</v>
      </c>
      <c r="T27" s="13">
        <v>99999</v>
      </c>
      <c r="U27" s="13">
        <v>0.13083302828214607</v>
      </c>
    </row>
    <row r="28" spans="1:21" x14ac:dyDescent="0.2">
      <c r="A28" t="s">
        <v>89</v>
      </c>
      <c r="B28" s="12" t="s">
        <v>70</v>
      </c>
      <c r="C28" s="16">
        <v>54.61</v>
      </c>
      <c r="D28" s="16">
        <v>54.61</v>
      </c>
      <c r="G28" s="3">
        <v>-8.0099999999999996E-8</v>
      </c>
      <c r="H28" s="3">
        <v>6.6740000000000001E-8</v>
      </c>
      <c r="I28" s="3">
        <v>-8.3280000000000002E-8</v>
      </c>
      <c r="J28" s="3">
        <v>6.1529999999999996E-8</v>
      </c>
      <c r="K28" s="3">
        <v>-9.6780000000000014E-12</v>
      </c>
      <c r="L28" s="3">
        <v>7.8660000000000006E-12</v>
      </c>
      <c r="M28" s="3">
        <v>-7.0820000000000008E-8</v>
      </c>
      <c r="N28" s="3">
        <v>5.2339999999999998E-8</v>
      </c>
      <c r="O28" s="3">
        <v>-6.821E-8</v>
      </c>
      <c r="P28" s="3">
        <v>5.6729999999999999E-8</v>
      </c>
      <c r="Q28" s="3">
        <v>2.8739999999999998E-9</v>
      </c>
      <c r="R28" s="3">
        <v>9.8319999999999996E-8</v>
      </c>
      <c r="S28" s="13">
        <v>99999</v>
      </c>
      <c r="T28" s="13">
        <v>99999</v>
      </c>
      <c r="U28" s="13">
        <v>0.13080101592591822</v>
      </c>
    </row>
    <row r="29" spans="1:21" x14ac:dyDescent="0.2">
      <c r="A29" t="s">
        <v>90</v>
      </c>
      <c r="B29" s="12" t="s">
        <v>70</v>
      </c>
      <c r="C29" s="16">
        <v>37.72</v>
      </c>
      <c r="D29" s="16">
        <v>37.72</v>
      </c>
      <c r="G29" s="3">
        <v>-5.1760000000000005E-10</v>
      </c>
      <c r="H29" s="3">
        <v>5.9719999999999996E-10</v>
      </c>
      <c r="I29" s="3">
        <v>-4.7019999999999999E-10</v>
      </c>
      <c r="J29" s="3">
        <v>6.4000000000000006E-10</v>
      </c>
      <c r="K29" s="3">
        <v>-9.9809999999999996E-12</v>
      </c>
      <c r="L29" s="3">
        <v>7.8999999999999999E-12</v>
      </c>
      <c r="M29" s="3">
        <v>-1.0810000000000001E-8</v>
      </c>
      <c r="N29" s="3">
        <v>1.4640000000000001E-8</v>
      </c>
      <c r="O29" s="3">
        <v>-1.1749999999999999E-8</v>
      </c>
      <c r="P29" s="3">
        <v>1.4009999999999999E-8</v>
      </c>
      <c r="Q29" s="3">
        <v>5.6200000000000002E-10</v>
      </c>
      <c r="R29" s="3">
        <v>2.0260000000000001E-8</v>
      </c>
      <c r="S29" s="13">
        <v>99999</v>
      </c>
      <c r="T29" s="13">
        <v>99999</v>
      </c>
      <c r="U29" s="13">
        <v>0.13219697068169586</v>
      </c>
    </row>
    <row r="30" spans="1:21" x14ac:dyDescent="0.2">
      <c r="A30" t="s">
        <v>91</v>
      </c>
      <c r="B30" s="12" t="s">
        <v>70</v>
      </c>
      <c r="C30" s="16">
        <v>38.01</v>
      </c>
      <c r="D30" s="16">
        <v>38.01</v>
      </c>
      <c r="G30" s="3">
        <v>-5.0829999999999999E-10</v>
      </c>
      <c r="H30" s="3">
        <v>5.8320000000000001E-10</v>
      </c>
      <c r="I30" s="3">
        <v>-4.6139999999999998E-10</v>
      </c>
      <c r="J30" s="3">
        <v>6.2710000000000004E-10</v>
      </c>
      <c r="K30" s="3">
        <v>-9.9779999999999997E-12</v>
      </c>
      <c r="L30" s="3">
        <v>7.8999999999999999E-12</v>
      </c>
      <c r="M30" s="3">
        <v>-1.09E-8</v>
      </c>
      <c r="N30" s="3">
        <v>1.4769999999999999E-8</v>
      </c>
      <c r="O30" s="3">
        <v>-1.185E-8</v>
      </c>
      <c r="P30" s="3">
        <v>1.413E-8</v>
      </c>
      <c r="Q30" s="3">
        <v>5.6589999999999998E-10</v>
      </c>
      <c r="R30" s="3">
        <v>2.044E-8</v>
      </c>
      <c r="S30" s="13">
        <v>99999</v>
      </c>
      <c r="T30" s="13">
        <v>99999</v>
      </c>
      <c r="U30" s="13">
        <v>0.1321733930245757</v>
      </c>
    </row>
    <row r="31" spans="1:21" x14ac:dyDescent="0.2">
      <c r="A31" t="s">
        <v>92</v>
      </c>
      <c r="B31" s="12" t="s">
        <v>70</v>
      </c>
      <c r="C31" s="16">
        <v>37.44</v>
      </c>
      <c r="D31" s="16">
        <v>37.44</v>
      </c>
      <c r="G31" s="3">
        <v>-5.1429999999999997E-10</v>
      </c>
      <c r="H31" s="3">
        <v>5.9240000000000004E-10</v>
      </c>
      <c r="I31" s="3">
        <v>-4.6709999999999997E-10</v>
      </c>
      <c r="J31" s="3">
        <v>6.3550000000000003E-10</v>
      </c>
      <c r="K31" s="3">
        <v>-9.987000000000001E-12</v>
      </c>
      <c r="L31" s="3">
        <v>7.8999999999999999E-12</v>
      </c>
      <c r="M31" s="3">
        <v>-1.0710000000000001E-8</v>
      </c>
      <c r="N31" s="3">
        <v>1.4510000000000001E-8</v>
      </c>
      <c r="O31" s="3">
        <v>-1.164E-8</v>
      </c>
      <c r="P31" s="3">
        <v>1.3890000000000001E-8</v>
      </c>
      <c r="Q31" s="3">
        <v>5.582E-10</v>
      </c>
      <c r="R31" s="3">
        <v>2.009E-8</v>
      </c>
      <c r="S31" s="13">
        <v>99999</v>
      </c>
      <c r="T31" s="13">
        <v>99999</v>
      </c>
      <c r="U31" s="13">
        <v>0.1322206124480832</v>
      </c>
    </row>
    <row r="32" spans="1:21" x14ac:dyDescent="0.2">
      <c r="A32" t="s">
        <v>93</v>
      </c>
      <c r="B32" s="12" t="s">
        <v>70</v>
      </c>
      <c r="C32" s="16">
        <v>37.72</v>
      </c>
      <c r="D32" s="16">
        <v>37.72</v>
      </c>
      <c r="G32" s="3">
        <v>-5.1760000000000005E-10</v>
      </c>
      <c r="H32" s="3">
        <v>5.9719999999999996E-10</v>
      </c>
      <c r="I32" s="3">
        <v>-4.7019999999999999E-10</v>
      </c>
      <c r="J32" s="3">
        <v>6.4000000000000006E-10</v>
      </c>
      <c r="K32" s="3">
        <v>-9.9809999999999996E-12</v>
      </c>
      <c r="L32" s="3">
        <v>7.8999999999999999E-12</v>
      </c>
      <c r="M32" s="3">
        <v>-1.0810000000000001E-8</v>
      </c>
      <c r="N32" s="3">
        <v>1.4640000000000001E-8</v>
      </c>
      <c r="O32" s="3">
        <v>-1.1749999999999999E-8</v>
      </c>
      <c r="P32" s="3">
        <v>1.4009999999999999E-8</v>
      </c>
      <c r="Q32" s="3">
        <v>5.6200000000000002E-10</v>
      </c>
      <c r="R32" s="3">
        <v>2.0260000000000001E-8</v>
      </c>
      <c r="S32" s="13">
        <v>99999</v>
      </c>
      <c r="T32" s="13">
        <v>99999</v>
      </c>
      <c r="U32" s="13">
        <v>0.13219697068169586</v>
      </c>
    </row>
    <row r="33" spans="1:21" x14ac:dyDescent="0.2">
      <c r="A33" t="s">
        <v>94</v>
      </c>
      <c r="B33" s="12" t="s">
        <v>70</v>
      </c>
      <c r="C33" s="16">
        <v>37.32</v>
      </c>
      <c r="D33" s="16">
        <v>37.32</v>
      </c>
      <c r="G33" s="3">
        <v>-5.1369999999999999E-10</v>
      </c>
      <c r="H33" s="3">
        <v>5.9149999999999997E-10</v>
      </c>
      <c r="I33" s="3">
        <v>-4.6649999999999999E-10</v>
      </c>
      <c r="J33" s="3">
        <v>6.3469999999999999E-10</v>
      </c>
      <c r="K33" s="3">
        <v>-9.9909999999999997E-12</v>
      </c>
      <c r="L33" s="3">
        <v>7.8999999999999999E-12</v>
      </c>
      <c r="M33" s="3">
        <v>-1.0669999999999999E-8</v>
      </c>
      <c r="N33" s="3">
        <v>1.446E-8</v>
      </c>
      <c r="O33" s="3">
        <v>-1.1600000000000001E-8</v>
      </c>
      <c r="P33" s="3">
        <v>1.384E-8</v>
      </c>
      <c r="Q33" s="3">
        <v>5.5660000000000002E-10</v>
      </c>
      <c r="R33" s="3">
        <v>2.0009999999999999E-8</v>
      </c>
      <c r="S33" s="13">
        <v>99999</v>
      </c>
      <c r="T33" s="13">
        <v>99999</v>
      </c>
      <c r="U33" s="13">
        <v>0.13223090948742799</v>
      </c>
    </row>
    <row r="34" spans="1:21" x14ac:dyDescent="0.2">
      <c r="A34" t="s">
        <v>95</v>
      </c>
      <c r="B34" s="12" t="s">
        <v>70</v>
      </c>
      <c r="C34" s="16">
        <v>37.44</v>
      </c>
      <c r="D34" s="16">
        <v>37.44</v>
      </c>
      <c r="G34" s="3">
        <v>-5.1429999999999997E-10</v>
      </c>
      <c r="H34" s="3">
        <v>5.9240000000000004E-10</v>
      </c>
      <c r="I34" s="3">
        <v>-4.6709999999999997E-10</v>
      </c>
      <c r="J34" s="3">
        <v>6.3550000000000003E-10</v>
      </c>
      <c r="K34" s="3">
        <v>-9.987000000000001E-12</v>
      </c>
      <c r="L34" s="3">
        <v>7.8999999999999999E-12</v>
      </c>
      <c r="M34" s="3">
        <v>-1.0710000000000001E-8</v>
      </c>
      <c r="N34" s="3">
        <v>1.4510000000000001E-8</v>
      </c>
      <c r="O34" s="3">
        <v>-1.164E-8</v>
      </c>
      <c r="P34" s="3">
        <v>1.3890000000000001E-8</v>
      </c>
      <c r="Q34" s="3">
        <v>5.582E-10</v>
      </c>
      <c r="R34" s="3">
        <v>2.009E-8</v>
      </c>
      <c r="S34" s="13">
        <v>99999</v>
      </c>
      <c r="T34" s="13">
        <v>99999</v>
      </c>
      <c r="U34" s="13">
        <v>0.1322206124480832</v>
      </c>
    </row>
    <row r="35" spans="1:21" x14ac:dyDescent="0.2">
      <c r="A35" t="s">
        <v>96</v>
      </c>
      <c r="B35" s="12" t="s">
        <v>70</v>
      </c>
      <c r="C35" s="16">
        <v>89.34</v>
      </c>
      <c r="D35" s="16">
        <v>89.34</v>
      </c>
      <c r="G35" s="3">
        <v>-1.2930000000000001E-8</v>
      </c>
      <c r="H35" s="3">
        <v>1.486E-8</v>
      </c>
      <c r="I35" s="3">
        <v>-2.6800000000000002E-8</v>
      </c>
      <c r="J35" s="3">
        <v>1.7969999999999998E-8</v>
      </c>
      <c r="K35" s="3">
        <v>-8.5479999999999995E-12</v>
      </c>
      <c r="L35" s="3">
        <v>8.020999999999999E-12</v>
      </c>
      <c r="M35" s="3">
        <v>-7.0529999999999994E-7</v>
      </c>
      <c r="N35" s="3">
        <v>5.2099999999999997E-7</v>
      </c>
      <c r="O35" s="3">
        <v>-6.1060000000000003E-7</v>
      </c>
      <c r="P35" s="3">
        <v>5.7289999999999995E-7</v>
      </c>
      <c r="Q35" s="3">
        <v>1.3819999999999999E-8</v>
      </c>
      <c r="R35" s="3">
        <v>9.2829999999999997E-7</v>
      </c>
      <c r="S35" s="13">
        <v>99999</v>
      </c>
      <c r="T35" s="13">
        <v>99999</v>
      </c>
      <c r="U35" s="13">
        <v>4.1536585076408915E-2</v>
      </c>
    </row>
    <row r="36" spans="1:21" x14ac:dyDescent="0.2">
      <c r="A36" t="s">
        <v>97</v>
      </c>
      <c r="B36" s="12" t="s">
        <v>70</v>
      </c>
      <c r="C36" s="16">
        <v>-2901</v>
      </c>
      <c r="D36" s="16">
        <v>-2901</v>
      </c>
      <c r="G36" s="3">
        <v>-3.5409999999999997E-7</v>
      </c>
      <c r="H36" s="3">
        <v>4.946E-7</v>
      </c>
      <c r="I36" s="3">
        <v>-3.3789999999999998E-7</v>
      </c>
      <c r="J36" s="3">
        <v>4.2850000000000001E-7</v>
      </c>
      <c r="K36" s="3">
        <v>-1.318E-10</v>
      </c>
      <c r="L36" s="3">
        <v>1.4829999999999999E-10</v>
      </c>
      <c r="M36" s="3">
        <v>-3.9230000000000004E-6</v>
      </c>
      <c r="N36" s="3">
        <v>2.9179999999999998E-6</v>
      </c>
      <c r="O36" s="3">
        <v>-3.2729999999999998E-6</v>
      </c>
      <c r="P36" s="3">
        <v>3.1809999999999997E-6</v>
      </c>
      <c r="Q36" s="3">
        <v>8.6600000000000008E-8</v>
      </c>
      <c r="R36" s="3">
        <v>5.096E-6</v>
      </c>
      <c r="S36" s="13">
        <v>99999</v>
      </c>
      <c r="T36" s="13">
        <v>99999</v>
      </c>
      <c r="U36" s="13">
        <v>4.8221569434000619E-2</v>
      </c>
    </row>
    <row r="37" spans="1:21" x14ac:dyDescent="0.2">
      <c r="A37" t="s">
        <v>98</v>
      </c>
      <c r="B37" s="12" t="s">
        <v>70</v>
      </c>
      <c r="C37" s="16">
        <v>82.2</v>
      </c>
      <c r="D37" s="16">
        <v>82.2</v>
      </c>
      <c r="G37" s="3">
        <v>-1.404E-6</v>
      </c>
      <c r="H37" s="3">
        <v>1.1960000000000001E-6</v>
      </c>
      <c r="I37" s="3">
        <v>-1.4809999999999999E-6</v>
      </c>
      <c r="J37" s="3">
        <v>1.5690000000000001E-6</v>
      </c>
      <c r="K37" s="3">
        <v>-1.848E-10</v>
      </c>
      <c r="L37" s="3">
        <v>1.9749999999999999E-10</v>
      </c>
      <c r="M37" s="3">
        <v>-3.3949999999999999E-7</v>
      </c>
      <c r="N37" s="3">
        <v>3.0499999999999999E-7</v>
      </c>
      <c r="O37" s="3">
        <v>-2.4079999999999999E-7</v>
      </c>
      <c r="P37" s="3">
        <v>2.8380000000000004E-7</v>
      </c>
      <c r="Q37" s="3">
        <v>4.6200000000000002E-9</v>
      </c>
      <c r="R37" s="3">
        <v>3.5429999999999999E-7</v>
      </c>
      <c r="S37" s="13">
        <v>99999</v>
      </c>
      <c r="T37" s="13">
        <v>99999</v>
      </c>
      <c r="U37" s="13">
        <v>5.8242205196708885E-3</v>
      </c>
    </row>
    <row r="38" spans="1:21" x14ac:dyDescent="0.2">
      <c r="A38" t="s">
        <v>99</v>
      </c>
      <c r="B38" s="12" t="s">
        <v>70</v>
      </c>
      <c r="C38" s="16">
        <v>90.99</v>
      </c>
      <c r="D38" s="16">
        <v>90.99</v>
      </c>
      <c r="G38" s="3">
        <v>-1.412E-6</v>
      </c>
      <c r="H38" s="3">
        <v>1.2049999999999999E-6</v>
      </c>
      <c r="I38" s="3">
        <v>-1.494E-6</v>
      </c>
      <c r="J38" s="3">
        <v>1.579E-6</v>
      </c>
      <c r="K38" s="3">
        <v>-1.843E-10</v>
      </c>
      <c r="L38" s="3">
        <v>1.9689999999999999E-10</v>
      </c>
      <c r="M38" s="3">
        <v>-2.135E-7</v>
      </c>
      <c r="N38" s="3">
        <v>1.86E-7</v>
      </c>
      <c r="O38" s="3">
        <v>-1.515E-7</v>
      </c>
      <c r="P38" s="3">
        <v>1.7100000000000001E-7</v>
      </c>
      <c r="Q38" s="3">
        <v>5.4709999999999998E-9</v>
      </c>
      <c r="R38" s="3">
        <v>2.2389999999999999E-7</v>
      </c>
      <c r="S38" s="13">
        <v>99999</v>
      </c>
      <c r="T38" s="13">
        <v>99999</v>
      </c>
      <c r="U38" s="13">
        <v>6.4350073993702144E-3</v>
      </c>
    </row>
    <row r="39" spans="1:21" x14ac:dyDescent="0.2">
      <c r="A39" t="s">
        <v>100</v>
      </c>
      <c r="B39" s="12" t="s">
        <v>70</v>
      </c>
      <c r="C39" s="16">
        <v>5022</v>
      </c>
      <c r="D39" s="16">
        <v>5022</v>
      </c>
      <c r="G39" s="3">
        <v>-3.878E-6</v>
      </c>
      <c r="H39" s="3">
        <v>3.7759999999999999E-6</v>
      </c>
      <c r="I39" s="3">
        <v>-4.5229999999999997E-6</v>
      </c>
      <c r="J39" s="3">
        <v>3.563E-6</v>
      </c>
      <c r="K39" s="3">
        <v>-1.3659999999999998E-9</v>
      </c>
      <c r="L39" s="3">
        <v>1.376E-9</v>
      </c>
      <c r="M39" s="3">
        <v>-2.1680000000000002E-5</v>
      </c>
      <c r="N39" s="3">
        <v>1.7590000000000003E-5</v>
      </c>
      <c r="O39" s="3">
        <v>-1.982E-5</v>
      </c>
      <c r="P39" s="3">
        <v>2.2530000000000003E-5</v>
      </c>
      <c r="Q39" s="3">
        <v>1.73E-6</v>
      </c>
      <c r="R39" s="3">
        <v>2.3600000000000001E-5</v>
      </c>
      <c r="S39" s="13">
        <v>99999</v>
      </c>
      <c r="T39" s="13">
        <v>99999</v>
      </c>
      <c r="U39" s="13">
        <v>0.1222472025030166</v>
      </c>
    </row>
    <row r="40" spans="1:21" x14ac:dyDescent="0.2">
      <c r="A40" t="s">
        <v>101</v>
      </c>
      <c r="B40" s="12" t="s">
        <v>70</v>
      </c>
      <c r="C40" s="16">
        <v>-4.4229999999999998E-3</v>
      </c>
      <c r="D40" s="16">
        <v>-4.4229999999999998E-3</v>
      </c>
      <c r="G40" s="3">
        <v>-1.0079999999999999E-6</v>
      </c>
      <c r="H40" s="3">
        <v>1.012E-6</v>
      </c>
      <c r="I40" s="3">
        <v>-1.226E-6</v>
      </c>
      <c r="J40" s="3">
        <v>1.0109999999999999E-6</v>
      </c>
      <c r="K40" s="3">
        <v>-1.8900000000000002E-10</v>
      </c>
      <c r="L40" s="3">
        <v>2.0289999999999999E-10</v>
      </c>
      <c r="M40" s="3">
        <v>-8.3750000000000003E-6</v>
      </c>
      <c r="N40" s="3">
        <v>1.004E-5</v>
      </c>
      <c r="O40" s="3">
        <v>-8.1499999999999999E-6</v>
      </c>
      <c r="P40" s="3">
        <v>7.8910000000000012E-6</v>
      </c>
      <c r="Q40" s="3">
        <v>6.088E-8</v>
      </c>
      <c r="R40" s="3">
        <v>1.1259999999999999E-5</v>
      </c>
      <c r="S40" s="13">
        <v>99999</v>
      </c>
      <c r="T40" s="13">
        <v>99999</v>
      </c>
      <c r="U40" s="13">
        <v>2.4198206473271134E-2</v>
      </c>
    </row>
    <row r="41" spans="1:21" x14ac:dyDescent="0.2">
      <c r="A41" t="s">
        <v>102</v>
      </c>
      <c r="B41" s="12" t="s">
        <v>70</v>
      </c>
      <c r="C41" s="16">
        <v>4889</v>
      </c>
      <c r="D41" s="16">
        <v>4889</v>
      </c>
      <c r="G41" s="3">
        <v>-1.063E-6</v>
      </c>
      <c r="H41" s="3">
        <v>9.4609999999999993E-7</v>
      </c>
      <c r="I41" s="3">
        <v>-1.0899999999999999E-6</v>
      </c>
      <c r="J41" s="3">
        <v>1.3259999999999999E-6</v>
      </c>
      <c r="K41" s="3">
        <v>-8.8660000000000002E-10</v>
      </c>
      <c r="L41" s="3">
        <v>9.4130000000000005E-10</v>
      </c>
      <c r="M41" s="3">
        <v>-5.1989999999999997E-6</v>
      </c>
      <c r="N41" s="3">
        <v>5.4660000000000007E-6</v>
      </c>
      <c r="O41" s="3">
        <v>-5.7340000000000005E-6</v>
      </c>
      <c r="P41" s="3">
        <v>6.0560000000000001E-6</v>
      </c>
      <c r="Q41" s="3">
        <v>2.882E-7</v>
      </c>
      <c r="R41" s="3">
        <v>6.3430000000000001E-6</v>
      </c>
      <c r="S41" s="13">
        <v>99999</v>
      </c>
      <c r="T41" s="13">
        <v>99999</v>
      </c>
      <c r="U41" s="13">
        <v>0.11904730599647452</v>
      </c>
    </row>
    <row r="42" spans="1:21" x14ac:dyDescent="0.2">
      <c r="A42" t="s">
        <v>103</v>
      </c>
      <c r="B42" s="12" t="s">
        <v>70</v>
      </c>
      <c r="C42" s="16">
        <v>4898</v>
      </c>
      <c r="D42" s="16">
        <v>4898</v>
      </c>
      <c r="G42" s="3">
        <v>-1.0250000000000001E-6</v>
      </c>
      <c r="H42" s="3">
        <v>1.2780000000000001E-6</v>
      </c>
      <c r="I42" s="3">
        <v>-1.2979999999999999E-6</v>
      </c>
      <c r="J42" s="3">
        <v>1.2470000000000001E-6</v>
      </c>
      <c r="K42" s="3">
        <v>-9.3340000000000011E-10</v>
      </c>
      <c r="L42" s="3">
        <v>9.8480000000000016E-10</v>
      </c>
      <c r="M42" s="3">
        <v>-5.553E-6</v>
      </c>
      <c r="N42" s="3">
        <v>5.6420000000000004E-6</v>
      </c>
      <c r="O42" s="3">
        <v>-6.0970000000000002E-6</v>
      </c>
      <c r="P42" s="3">
        <v>6.319E-6</v>
      </c>
      <c r="Q42" s="3">
        <v>4.3080000000000002E-7</v>
      </c>
      <c r="R42" s="3">
        <v>6.888E-6</v>
      </c>
      <c r="S42" s="13">
        <v>99999</v>
      </c>
      <c r="T42" s="13">
        <v>99999</v>
      </c>
      <c r="U42" s="13">
        <v>0.11926415544630313</v>
      </c>
    </row>
    <row r="43" spans="1:21" x14ac:dyDescent="0.2">
      <c r="A43" t="s">
        <v>104</v>
      </c>
      <c r="B43" s="12" t="s">
        <v>70</v>
      </c>
      <c r="C43" s="16">
        <v>4812</v>
      </c>
      <c r="D43" s="16">
        <v>4812</v>
      </c>
      <c r="G43" s="3">
        <v>-6.8889999999999998E-7</v>
      </c>
      <c r="H43" s="3">
        <v>6.8759999999999999E-7</v>
      </c>
      <c r="I43" s="3">
        <v>-8.047E-7</v>
      </c>
      <c r="J43" s="3">
        <v>8.0589999999999998E-7</v>
      </c>
      <c r="K43" s="3">
        <v>-5.8400000000000005E-10</v>
      </c>
      <c r="L43" s="3">
        <v>6.3099999999999999E-10</v>
      </c>
      <c r="M43" s="3">
        <v>-2.2050000000000001E-6</v>
      </c>
      <c r="N43" s="3">
        <v>2.7629999999999996E-6</v>
      </c>
      <c r="O43" s="3">
        <v>-2.587E-6</v>
      </c>
      <c r="P43" s="3">
        <v>3.1659999999999998E-6</v>
      </c>
      <c r="Q43" s="3">
        <v>7.8540000000000001E-8</v>
      </c>
      <c r="R43" s="3">
        <v>3.4999999999999999E-6</v>
      </c>
      <c r="S43" s="13">
        <v>99999</v>
      </c>
      <c r="T43" s="13">
        <v>99999</v>
      </c>
      <c r="U43" s="13">
        <v>0.21526803913730716</v>
      </c>
    </row>
    <row r="44" spans="1:21" x14ac:dyDescent="0.2">
      <c r="A44" t="s">
        <v>105</v>
      </c>
      <c r="B44" s="12" t="s">
        <v>70</v>
      </c>
      <c r="C44" s="16">
        <v>4814</v>
      </c>
      <c r="D44" s="16">
        <v>4814</v>
      </c>
      <c r="G44" s="3">
        <v>-7.0240000000000004E-7</v>
      </c>
      <c r="H44" s="3">
        <v>7.0790000000000003E-7</v>
      </c>
      <c r="I44" s="3">
        <v>-8.0739999999999999E-7</v>
      </c>
      <c r="J44" s="3">
        <v>8.103E-7</v>
      </c>
      <c r="K44" s="3">
        <v>-5.8940000000000005E-10</v>
      </c>
      <c r="L44" s="3">
        <v>6.3839999999999999E-10</v>
      </c>
      <c r="M44" s="3">
        <v>-2.2000000000000001E-6</v>
      </c>
      <c r="N44" s="3">
        <v>2.8650000000000001E-6</v>
      </c>
      <c r="O44" s="3">
        <v>-2.6570000000000001E-6</v>
      </c>
      <c r="P44" s="3">
        <v>3.2039999999999997E-6</v>
      </c>
      <c r="Q44" s="3">
        <v>1.339E-7</v>
      </c>
      <c r="R44" s="3">
        <v>3.6340000000000003E-6</v>
      </c>
      <c r="S44" s="13">
        <v>99999</v>
      </c>
      <c r="T44" s="13">
        <v>99999</v>
      </c>
      <c r="U44" s="13">
        <v>0.11724260820706139</v>
      </c>
    </row>
    <row r="45" spans="1:21" x14ac:dyDescent="0.2">
      <c r="A45" t="s">
        <v>106</v>
      </c>
      <c r="B45" s="12" t="s">
        <v>70</v>
      </c>
      <c r="C45" s="16">
        <v>4911</v>
      </c>
      <c r="D45" s="16">
        <v>4911</v>
      </c>
      <c r="G45" s="3">
        <v>-1.2999999999999998E-6</v>
      </c>
      <c r="H45" s="3">
        <v>1.449E-6</v>
      </c>
      <c r="I45" s="3">
        <v>-1.361E-6</v>
      </c>
      <c r="J45" s="3">
        <v>1.1150000000000001E-6</v>
      </c>
      <c r="K45" s="3">
        <v>-9.8879999999999994E-10</v>
      </c>
      <c r="L45" s="3">
        <v>1.0359999999999999E-9</v>
      </c>
      <c r="M45" s="3">
        <v>-5.7250000000000002E-6</v>
      </c>
      <c r="N45" s="3">
        <v>7.2350000000000002E-6</v>
      </c>
      <c r="O45" s="3">
        <v>-6.224E-6</v>
      </c>
      <c r="P45" s="3">
        <v>6.5950000000000004E-6</v>
      </c>
      <c r="Q45" s="3">
        <v>7.4700000000000001E-7</v>
      </c>
      <c r="R45" s="3">
        <v>7.8019999999999992E-6</v>
      </c>
      <c r="S45" s="13">
        <v>99999</v>
      </c>
      <c r="T45" s="13">
        <v>99999</v>
      </c>
      <c r="U45" s="13">
        <v>0.11957738584472978</v>
      </c>
    </row>
    <row r="46" spans="1:21" x14ac:dyDescent="0.2">
      <c r="A46" t="s">
        <v>107</v>
      </c>
      <c r="B46" s="12" t="s">
        <v>70</v>
      </c>
      <c r="C46" s="16">
        <v>4924</v>
      </c>
      <c r="D46" s="16">
        <v>4924</v>
      </c>
      <c r="G46" s="3">
        <v>-1.449E-6</v>
      </c>
      <c r="H46" s="3">
        <v>1.519E-6</v>
      </c>
      <c r="I46" s="3">
        <v>-1.7990000000000001E-6</v>
      </c>
      <c r="J46" s="3">
        <v>1.3769999999999999E-6</v>
      </c>
      <c r="K46" s="3">
        <v>-1.0330000000000001E-9</v>
      </c>
      <c r="L46" s="3">
        <v>1.0770000000000001E-9</v>
      </c>
      <c r="M46" s="3">
        <v>-5.587E-6</v>
      </c>
      <c r="N46" s="3">
        <v>8.5970000000000009E-6</v>
      </c>
      <c r="O46" s="3">
        <v>-6.7869999999999996E-6</v>
      </c>
      <c r="P46" s="3">
        <v>6.5849999999999996E-6</v>
      </c>
      <c r="Q46" s="3">
        <v>2.5890000000000002E-7</v>
      </c>
      <c r="R46" s="3">
        <v>8.6349999999999995E-6</v>
      </c>
      <c r="S46" s="13">
        <v>99999</v>
      </c>
      <c r="T46" s="13">
        <v>99999</v>
      </c>
      <c r="U46" s="13">
        <v>0.11989085086486678</v>
      </c>
    </row>
    <row r="47" spans="1:21" x14ac:dyDescent="0.2">
      <c r="A47" t="s">
        <v>108</v>
      </c>
      <c r="B47" s="12" t="s">
        <v>70</v>
      </c>
      <c r="C47" s="16">
        <v>-1539</v>
      </c>
      <c r="D47" s="16">
        <v>-1539</v>
      </c>
      <c r="G47" s="3">
        <v>-9.64E-7</v>
      </c>
      <c r="H47" s="3">
        <v>1.3459999999999999E-6</v>
      </c>
      <c r="I47" s="3">
        <v>-9.2050000000000002E-7</v>
      </c>
      <c r="J47" s="3">
        <v>1.1680000000000001E-6</v>
      </c>
      <c r="K47" s="3">
        <v>-3.5269999999999998E-10</v>
      </c>
      <c r="L47" s="3">
        <v>3.9799999999999997E-10</v>
      </c>
      <c r="M47" s="3">
        <v>-9.3539999999999989E-6</v>
      </c>
      <c r="N47" s="3">
        <v>6.9539999999999998E-6</v>
      </c>
      <c r="O47" s="3">
        <v>-7.1009999999999994E-6</v>
      </c>
      <c r="P47" s="3">
        <v>7.4159999999999998E-6</v>
      </c>
      <c r="Q47" s="3">
        <v>1.7599999999999999E-7</v>
      </c>
      <c r="R47" s="3">
        <v>1.1610000000000001E-5</v>
      </c>
      <c r="S47" s="13">
        <v>99999</v>
      </c>
      <c r="T47" s="13">
        <v>99999</v>
      </c>
      <c r="U47" s="13">
        <v>4.3458957679889686E-2</v>
      </c>
    </row>
    <row r="48" spans="1:21" x14ac:dyDescent="0.2">
      <c r="A48" t="s">
        <v>109</v>
      </c>
      <c r="B48" s="12" t="s">
        <v>70</v>
      </c>
      <c r="C48" s="16">
        <v>-1536</v>
      </c>
      <c r="D48" s="16">
        <v>-1536</v>
      </c>
      <c r="G48" s="3">
        <v>-9.5819999999999999E-7</v>
      </c>
      <c r="H48" s="3">
        <v>1.3370000000000001E-6</v>
      </c>
      <c r="I48" s="3">
        <v>-9.1529999999999994E-7</v>
      </c>
      <c r="J48" s="3">
        <v>1.1620000000000001E-6</v>
      </c>
      <c r="K48" s="3">
        <v>-3.5010000000000001E-10</v>
      </c>
      <c r="L48" s="3">
        <v>3.949E-10</v>
      </c>
      <c r="M48" s="3">
        <v>-9.1220000000000001E-6</v>
      </c>
      <c r="N48" s="3">
        <v>6.7580000000000003E-6</v>
      </c>
      <c r="O48" s="3">
        <v>-6.7510000000000002E-6</v>
      </c>
      <c r="P48" s="3">
        <v>7.1679999999999998E-6</v>
      </c>
      <c r="Q48" s="3">
        <v>1.568E-7</v>
      </c>
      <c r="R48" s="3">
        <v>1.1220000000000001E-5</v>
      </c>
      <c r="S48" s="13">
        <v>99999</v>
      </c>
      <c r="T48" s="13">
        <v>99999</v>
      </c>
      <c r="U48" s="13">
        <v>1.9600397353709007E-3</v>
      </c>
    </row>
    <row r="49" spans="1:21" x14ac:dyDescent="0.2">
      <c r="A49" t="s">
        <v>110</v>
      </c>
      <c r="B49" s="12" t="s">
        <v>70</v>
      </c>
      <c r="C49" s="16">
        <v>-5.1979999999999996E-9</v>
      </c>
      <c r="D49" s="16">
        <v>6.847E-9</v>
      </c>
      <c r="G49" s="3">
        <v>-3.2010000000000003E-19</v>
      </c>
      <c r="H49" s="3">
        <v>4.1710000000000003E-19</v>
      </c>
      <c r="I49" s="3">
        <v>-2.5300000000000002E-19</v>
      </c>
      <c r="J49" s="3">
        <v>2.4569999999999997E-19</v>
      </c>
      <c r="K49" s="3">
        <v>-1.0490000000000001E-12</v>
      </c>
      <c r="L49" s="3">
        <v>1.274E-12</v>
      </c>
      <c r="M49" s="3">
        <v>-2.827E-19</v>
      </c>
      <c r="N49" s="3">
        <v>2.118E-19</v>
      </c>
      <c r="O49" s="3">
        <v>-3.2520000000000001E-19</v>
      </c>
      <c r="P49" s="3">
        <v>4.2970000000000001E-19</v>
      </c>
      <c r="Q49" s="3">
        <v>4.1409999999999995E-21</v>
      </c>
      <c r="R49" s="3">
        <v>4.4039999999999998E-19</v>
      </c>
      <c r="S49" s="13">
        <v>99999</v>
      </c>
      <c r="T49" s="13">
        <v>99999</v>
      </c>
      <c r="U49" s="13">
        <v>2.2492892202732785E-14</v>
      </c>
    </row>
    <row r="50" spans="1:21" x14ac:dyDescent="0.2">
      <c r="A50" t="s">
        <v>111</v>
      </c>
      <c r="B50" s="12" t="s">
        <v>70</v>
      </c>
      <c r="C50" s="16">
        <v>-1545</v>
      </c>
      <c r="D50" s="16">
        <v>-1545</v>
      </c>
      <c r="G50" s="3">
        <v>-9.625000000000001E-7</v>
      </c>
      <c r="H50" s="3">
        <v>1.344E-6</v>
      </c>
      <c r="I50" s="3">
        <v>-9.1870000000000009E-7</v>
      </c>
      <c r="J50" s="3">
        <v>1.1659999999999999E-6</v>
      </c>
      <c r="K50" s="3">
        <v>-3.5349999999999997E-10</v>
      </c>
      <c r="L50" s="3">
        <v>3.9900000000000002E-10</v>
      </c>
      <c r="M50" s="3">
        <v>-9.9830000000000008E-6</v>
      </c>
      <c r="N50" s="3">
        <v>7.4339999999999995E-6</v>
      </c>
      <c r="O50" s="3">
        <v>-7.9570000000000002E-6</v>
      </c>
      <c r="P50" s="3">
        <v>8.0209999999999999E-6</v>
      </c>
      <c r="Q50" s="3">
        <v>1.673E-7</v>
      </c>
      <c r="R50" s="3">
        <v>1.271E-5</v>
      </c>
      <c r="S50" s="13">
        <v>99999</v>
      </c>
      <c r="T50" s="13">
        <v>99999</v>
      </c>
      <c r="U50" s="13">
        <v>4.3501532672659465E-2</v>
      </c>
    </row>
    <row r="51" spans="1:21" x14ac:dyDescent="0.2">
      <c r="A51" t="s">
        <v>112</v>
      </c>
      <c r="B51" s="12" t="s">
        <v>70</v>
      </c>
      <c r="C51" s="16">
        <v>-2048</v>
      </c>
      <c r="D51" s="16">
        <v>-1776</v>
      </c>
      <c r="G51" s="3">
        <v>-6.412E-7</v>
      </c>
      <c r="H51" s="3">
        <v>5.3669999999999998E-7</v>
      </c>
      <c r="I51" s="3">
        <v>-6.6899999999999997E-7</v>
      </c>
      <c r="J51" s="3">
        <v>4.9399999999999995E-7</v>
      </c>
      <c r="K51" s="3">
        <v>-3.9719999999999998E-10</v>
      </c>
      <c r="L51" s="3">
        <v>4.1239999999999999E-10</v>
      </c>
      <c r="M51" s="3">
        <v>-2.6730000000000001E-6</v>
      </c>
      <c r="N51" s="3">
        <v>1.9750000000000001E-6</v>
      </c>
      <c r="O51" s="3">
        <v>-2.5739999999999998E-6</v>
      </c>
      <c r="P51" s="3">
        <v>2.1409999999999999E-6</v>
      </c>
      <c r="Q51" s="3">
        <v>6.8470000000000002E-12</v>
      </c>
      <c r="R51" s="3">
        <v>3.7109999999999997E-6</v>
      </c>
      <c r="S51" s="13">
        <v>99999</v>
      </c>
      <c r="T51" s="13">
        <v>99999</v>
      </c>
      <c r="U51" s="13">
        <v>3.5397943747176169E-2</v>
      </c>
    </row>
    <row r="52" spans="1:21" x14ac:dyDescent="0.2">
      <c r="A52" t="s">
        <v>113</v>
      </c>
      <c r="B52" s="12" t="s">
        <v>70</v>
      </c>
      <c r="C52" s="16">
        <v>-1775</v>
      </c>
      <c r="D52" s="16">
        <v>-1674</v>
      </c>
      <c r="G52" s="3">
        <v>-2.3540000000000002E-6</v>
      </c>
      <c r="H52" s="3">
        <v>2.0760000000000001E-6</v>
      </c>
      <c r="I52" s="3">
        <v>-2.5620000000000002E-6</v>
      </c>
      <c r="J52" s="3">
        <v>1.8870000000000001E-6</v>
      </c>
      <c r="K52" s="3">
        <v>-3.6240000000000001E-10</v>
      </c>
      <c r="L52" s="3">
        <v>4.0999999999999998E-10</v>
      </c>
      <c r="M52" s="3">
        <v>-1.291E-5</v>
      </c>
      <c r="N52" s="3">
        <v>9.4900000000000006E-6</v>
      </c>
      <c r="O52" s="3">
        <v>-1.203E-5</v>
      </c>
      <c r="P52" s="3">
        <v>1.044E-5</v>
      </c>
      <c r="Q52" s="3">
        <v>1.108E-7</v>
      </c>
      <c r="R52" s="3">
        <v>1.7640000000000001E-5</v>
      </c>
      <c r="S52" s="13">
        <v>99999</v>
      </c>
      <c r="T52" s="13">
        <v>99999</v>
      </c>
      <c r="U52" s="13">
        <v>2.3347903279128186E-2</v>
      </c>
    </row>
    <row r="53" spans="1:21" x14ac:dyDescent="0.2">
      <c r="A53" t="s">
        <v>173</v>
      </c>
      <c r="B53" s="12" t="s">
        <v>70</v>
      </c>
      <c r="C53" s="16">
        <v>-2048</v>
      </c>
      <c r="D53" s="16">
        <v>-1674</v>
      </c>
      <c r="G53" s="3">
        <v>-2.3540000000000002E-6</v>
      </c>
      <c r="H53" s="3">
        <v>2.0760000000000001E-6</v>
      </c>
      <c r="I53" s="3">
        <v>-2.5620000000000002E-6</v>
      </c>
      <c r="J53" s="3">
        <v>1.8870000000000001E-6</v>
      </c>
      <c r="K53" s="3">
        <v>-3.9719999999999998E-10</v>
      </c>
      <c r="L53" s="3">
        <v>4.1239999999999999E-10</v>
      </c>
      <c r="M53" s="3">
        <v>-1.291E-5</v>
      </c>
      <c r="N53" s="3">
        <v>9.4900000000000006E-6</v>
      </c>
      <c r="O53" s="3">
        <v>-1.203E-5</v>
      </c>
      <c r="P53" s="3">
        <v>1.044E-5</v>
      </c>
      <c r="Q53" s="3">
        <v>6.8470000000000002E-12</v>
      </c>
      <c r="R53" s="3">
        <v>1.7640000000000001E-5</v>
      </c>
      <c r="S53" s="13">
        <v>99999</v>
      </c>
      <c r="T53" s="13">
        <v>99999</v>
      </c>
      <c r="U53" s="13">
        <v>3.5397943747176169E-2</v>
      </c>
    </row>
    <row r="54" spans="1:21" x14ac:dyDescent="0.2">
      <c r="A54" t="s">
        <v>114</v>
      </c>
      <c r="B54" s="12" t="s">
        <v>70</v>
      </c>
      <c r="C54" s="16">
        <v>-1673</v>
      </c>
      <c r="D54" s="16">
        <v>-1663</v>
      </c>
      <c r="G54" s="3">
        <v>-9.6730000000000004E-7</v>
      </c>
      <c r="H54" s="3">
        <v>1.3470000000000002E-6</v>
      </c>
      <c r="I54" s="3">
        <v>-9.259E-7</v>
      </c>
      <c r="J54" s="3">
        <v>1.1789999999999999E-6</v>
      </c>
      <c r="K54" s="3">
        <v>-3.521E-10</v>
      </c>
      <c r="L54" s="3">
        <v>4.0359999999999998E-10</v>
      </c>
      <c r="M54" s="3">
        <v>-1.1270000000000001E-5</v>
      </c>
      <c r="N54" s="3">
        <v>8.3320000000000009E-6</v>
      </c>
      <c r="O54" s="3">
        <v>-9.9550000000000004E-6</v>
      </c>
      <c r="P54" s="3">
        <v>9.1629999999999985E-6</v>
      </c>
      <c r="Q54" s="3">
        <v>2.0949999999999999E-7</v>
      </c>
      <c r="R54" s="3">
        <v>1.4999999999999999E-5</v>
      </c>
      <c r="S54" s="13">
        <v>99999</v>
      </c>
      <c r="T54" s="13">
        <v>99999</v>
      </c>
      <c r="U54" s="13">
        <v>2.2006221643859913E-2</v>
      </c>
    </row>
    <row r="55" spans="1:21" x14ac:dyDescent="0.2">
      <c r="A55" t="s">
        <v>115</v>
      </c>
      <c r="B55" s="12" t="s">
        <v>70</v>
      </c>
      <c r="C55" s="16">
        <v>-1663</v>
      </c>
      <c r="D55" s="16">
        <v>1348</v>
      </c>
      <c r="G55" s="3">
        <v>-9.6740000000000005E-7</v>
      </c>
      <c r="H55" s="3">
        <v>1.3470000000000002E-6</v>
      </c>
      <c r="I55" s="3">
        <v>-9.2600000000000001E-7</v>
      </c>
      <c r="J55" s="3">
        <v>1.1789999999999999E-6</v>
      </c>
      <c r="K55" s="3">
        <v>-3.509E-10</v>
      </c>
      <c r="L55" s="3">
        <v>4.0260000000000004E-10</v>
      </c>
      <c r="M55" s="3">
        <v>-1.0139999999999999E-5</v>
      </c>
      <c r="N55" s="3">
        <v>7.5320000000000001E-6</v>
      </c>
      <c r="O55" s="3">
        <v>-8.524E-6</v>
      </c>
      <c r="P55" s="3">
        <v>8.2260000000000005E-6</v>
      </c>
      <c r="Q55" s="3">
        <v>1.108E-7</v>
      </c>
      <c r="R55" s="3">
        <v>1.3209999999999999E-5</v>
      </c>
      <c r="S55" s="13">
        <v>99999</v>
      </c>
      <c r="T55" s="13">
        <v>99999</v>
      </c>
      <c r="U55" s="13">
        <v>1.0937342022500244E-2</v>
      </c>
    </row>
    <row r="56" spans="1:21" x14ac:dyDescent="0.2">
      <c r="A56" t="s">
        <v>174</v>
      </c>
      <c r="B56" s="12" t="s">
        <v>70</v>
      </c>
      <c r="C56" s="16">
        <v>-1673</v>
      </c>
      <c r="D56" s="16">
        <v>1348</v>
      </c>
      <c r="G56" s="3">
        <v>-9.6740000000000005E-7</v>
      </c>
      <c r="H56" s="3">
        <v>1.3470000000000002E-6</v>
      </c>
      <c r="I56" s="3">
        <v>-9.2600000000000001E-7</v>
      </c>
      <c r="J56" s="3">
        <v>1.1789999999999999E-6</v>
      </c>
      <c r="K56" s="3">
        <v>-3.521E-10</v>
      </c>
      <c r="L56" s="3">
        <v>4.0359999999999998E-10</v>
      </c>
      <c r="M56" s="3">
        <v>-1.1270000000000001E-5</v>
      </c>
      <c r="N56" s="3">
        <v>8.3320000000000009E-6</v>
      </c>
      <c r="O56" s="3">
        <v>-9.9550000000000004E-6</v>
      </c>
      <c r="P56" s="3">
        <v>9.1629999999999985E-6</v>
      </c>
      <c r="Q56" s="3">
        <v>1.108E-7</v>
      </c>
      <c r="R56" s="3">
        <v>1.4999999999999999E-5</v>
      </c>
      <c r="S56" s="13">
        <v>99999</v>
      </c>
      <c r="T56" s="13">
        <v>99999</v>
      </c>
      <c r="U56" s="13">
        <v>2.2006221643859913E-2</v>
      </c>
    </row>
    <row r="57" spans="1:21" x14ac:dyDescent="0.2">
      <c r="A57" t="s">
        <v>116</v>
      </c>
      <c r="B57" s="12" t="s">
        <v>70</v>
      </c>
      <c r="C57" s="16">
        <v>-1.052E-6</v>
      </c>
      <c r="D57" s="16">
        <v>54.78</v>
      </c>
      <c r="G57" s="3">
        <v>-8.0099999999999996E-8</v>
      </c>
      <c r="H57" s="3">
        <v>6.6749999999999999E-8</v>
      </c>
      <c r="I57" s="3">
        <v>-8.329E-8</v>
      </c>
      <c r="J57" s="3">
        <v>6.1529999999999996E-8</v>
      </c>
      <c r="K57" s="3">
        <v>-1.047E-11</v>
      </c>
      <c r="L57" s="3">
        <v>7.9149999999999993E-12</v>
      </c>
      <c r="M57" s="3">
        <v>-8.0669999999999994E-8</v>
      </c>
      <c r="N57" s="3">
        <v>5.9610000000000002E-8</v>
      </c>
      <c r="O57" s="3">
        <v>-7.7680000000000005E-8</v>
      </c>
      <c r="P57" s="3">
        <v>6.462999999999999E-8</v>
      </c>
      <c r="Q57" s="3">
        <v>1.2149999999999999E-13</v>
      </c>
      <c r="R57" s="3">
        <v>1.12E-7</v>
      </c>
      <c r="S57" s="13">
        <v>99999</v>
      </c>
      <c r="T57" s="13">
        <v>99999</v>
      </c>
      <c r="U57" s="13">
        <v>0.13546311989525325</v>
      </c>
    </row>
    <row r="58" spans="1:21" x14ac:dyDescent="0.2">
      <c r="A58" t="s">
        <v>117</v>
      </c>
      <c r="B58" s="12" t="s">
        <v>70</v>
      </c>
      <c r="C58" s="16">
        <v>54.89</v>
      </c>
      <c r="D58" s="16">
        <v>85.75</v>
      </c>
      <c r="G58" s="3">
        <v>-1.441E-7</v>
      </c>
      <c r="H58" s="3">
        <v>1.23E-7</v>
      </c>
      <c r="I58" s="3">
        <v>-1.5279999999999999E-7</v>
      </c>
      <c r="J58" s="3">
        <v>1.1249999999999999E-7</v>
      </c>
      <c r="K58" s="3">
        <v>-9.6730000000000005E-12</v>
      </c>
      <c r="L58" s="3">
        <v>8.0040000000000002E-12</v>
      </c>
      <c r="M58" s="3">
        <v>-6.8130000000000005E-7</v>
      </c>
      <c r="N58" s="3">
        <v>5.0409999999999997E-7</v>
      </c>
      <c r="O58" s="3">
        <v>-6.0669999999999995E-7</v>
      </c>
      <c r="P58" s="3">
        <v>5.5440000000000004E-7</v>
      </c>
      <c r="Q58" s="3">
        <v>3.542E-9</v>
      </c>
      <c r="R58" s="3">
        <v>9.1109999999999995E-7</v>
      </c>
      <c r="S58" s="13">
        <v>99999</v>
      </c>
      <c r="T58" s="13">
        <v>99999</v>
      </c>
      <c r="U58" s="13">
        <v>0.1589947112751556</v>
      </c>
    </row>
    <row r="59" spans="1:21" x14ac:dyDescent="0.2">
      <c r="A59" t="s">
        <v>175</v>
      </c>
      <c r="B59" s="12" t="s">
        <v>70</v>
      </c>
      <c r="C59" s="16">
        <v>-1.052E-6</v>
      </c>
      <c r="D59" s="16">
        <v>85.75</v>
      </c>
      <c r="G59" s="3">
        <v>-1.441E-7</v>
      </c>
      <c r="H59" s="3">
        <v>1.23E-7</v>
      </c>
      <c r="I59" s="3">
        <v>-1.5279999999999999E-7</v>
      </c>
      <c r="J59" s="3">
        <v>1.1249999999999999E-7</v>
      </c>
      <c r="K59" s="3">
        <v>-1.047E-11</v>
      </c>
      <c r="L59" s="3">
        <v>8.0040000000000002E-12</v>
      </c>
      <c r="M59" s="3">
        <v>-6.8130000000000005E-7</v>
      </c>
      <c r="N59" s="3">
        <v>5.0409999999999997E-7</v>
      </c>
      <c r="O59" s="3">
        <v>-6.0669999999999995E-7</v>
      </c>
      <c r="P59" s="3">
        <v>5.5440000000000004E-7</v>
      </c>
      <c r="Q59" s="3">
        <v>1.2149999999999999E-13</v>
      </c>
      <c r="R59" s="3">
        <v>9.1109999999999995E-7</v>
      </c>
      <c r="S59" s="13">
        <v>99999</v>
      </c>
      <c r="T59" s="13">
        <v>99999</v>
      </c>
      <c r="U59" s="13">
        <v>0.1589947112751556</v>
      </c>
    </row>
    <row r="60" spans="1:21" x14ac:dyDescent="0.2">
      <c r="A60" t="s">
        <v>118</v>
      </c>
      <c r="B60" s="12" t="s">
        <v>70</v>
      </c>
      <c r="C60" s="16">
        <v>86.03</v>
      </c>
      <c r="D60" s="16">
        <v>88.86</v>
      </c>
      <c r="G60" s="3">
        <v>-1.2919999999999999E-8</v>
      </c>
      <c r="H60" s="3">
        <v>1.479E-8</v>
      </c>
      <c r="I60" s="3">
        <v>-2.6750000000000001E-8</v>
      </c>
      <c r="J60" s="3">
        <v>1.7929999999999999E-8</v>
      </c>
      <c r="K60" s="3">
        <v>-8.6789999999999989E-12</v>
      </c>
      <c r="L60" s="3">
        <v>8.0129999999999999E-12</v>
      </c>
      <c r="M60" s="3">
        <v>-7.0200000000000001E-7</v>
      </c>
      <c r="N60" s="3">
        <v>5.1870000000000001E-7</v>
      </c>
      <c r="O60" s="3">
        <v>-6.0999999999999998E-7</v>
      </c>
      <c r="P60" s="3">
        <v>5.7039999999999997E-7</v>
      </c>
      <c r="Q60" s="3">
        <v>1.3750000000000001E-8</v>
      </c>
      <c r="R60" s="3">
        <v>9.259E-7</v>
      </c>
      <c r="S60" s="13">
        <v>99999</v>
      </c>
      <c r="T60" s="13">
        <v>99999</v>
      </c>
      <c r="U60" s="13">
        <v>0.15738351551444918</v>
      </c>
    </row>
    <row r="61" spans="1:21" x14ac:dyDescent="0.2">
      <c r="A61" t="s">
        <v>119</v>
      </c>
      <c r="B61" s="12" t="s">
        <v>70</v>
      </c>
      <c r="C61" s="16">
        <v>-2901</v>
      </c>
      <c r="D61" s="16">
        <v>89.34</v>
      </c>
      <c r="G61" s="3">
        <v>-3.5499999999999999E-7</v>
      </c>
      <c r="H61" s="3">
        <v>4.9569999999999997E-7</v>
      </c>
      <c r="I61" s="3">
        <v>-3.389E-7</v>
      </c>
      <c r="J61" s="3">
        <v>4.3009999999999997E-7</v>
      </c>
      <c r="K61" s="3">
        <v>-1.318E-10</v>
      </c>
      <c r="L61" s="3">
        <v>1.4829999999999999E-10</v>
      </c>
      <c r="M61" s="3">
        <v>-3.9230000000000004E-6</v>
      </c>
      <c r="N61" s="3">
        <v>2.9179999999999998E-6</v>
      </c>
      <c r="O61" s="3">
        <v>-3.2729999999999998E-6</v>
      </c>
      <c r="P61" s="3">
        <v>3.1809999999999997E-6</v>
      </c>
      <c r="Q61" s="3">
        <v>1.3819999999999999E-8</v>
      </c>
      <c r="R61" s="3">
        <v>5.096E-6</v>
      </c>
      <c r="S61" s="13">
        <v>99999</v>
      </c>
      <c r="T61" s="13">
        <v>99999</v>
      </c>
      <c r="U61" s="13">
        <v>4.8221569434000619E-2</v>
      </c>
    </row>
    <row r="62" spans="1:21" x14ac:dyDescent="0.2">
      <c r="A62" t="s">
        <v>176</v>
      </c>
      <c r="B62" s="12" t="s">
        <v>70</v>
      </c>
      <c r="C62" s="16">
        <v>-2901</v>
      </c>
      <c r="D62" s="16">
        <v>89.34</v>
      </c>
      <c r="G62" s="3">
        <v>-3.5499999999999999E-7</v>
      </c>
      <c r="H62" s="3">
        <v>4.9569999999999997E-7</v>
      </c>
      <c r="I62" s="3">
        <v>-3.389E-7</v>
      </c>
      <c r="J62" s="3">
        <v>4.3009999999999997E-7</v>
      </c>
      <c r="K62" s="3">
        <v>-1.318E-10</v>
      </c>
      <c r="L62" s="3">
        <v>1.4829999999999999E-10</v>
      </c>
      <c r="M62" s="3">
        <v>-3.9230000000000004E-6</v>
      </c>
      <c r="N62" s="3">
        <v>2.9179999999999998E-6</v>
      </c>
      <c r="O62" s="3">
        <v>-3.2729999999999998E-6</v>
      </c>
      <c r="P62" s="3">
        <v>3.1809999999999997E-6</v>
      </c>
      <c r="Q62" s="3">
        <v>1.3750000000000001E-8</v>
      </c>
      <c r="R62" s="3">
        <v>5.096E-6</v>
      </c>
      <c r="S62" s="13">
        <v>99999</v>
      </c>
      <c r="T62" s="13">
        <v>99999</v>
      </c>
      <c r="U62" s="13">
        <v>0.15738351551444918</v>
      </c>
    </row>
    <row r="63" spans="1:21" x14ac:dyDescent="0.2">
      <c r="A63" t="s">
        <v>120</v>
      </c>
      <c r="B63" s="12" t="s">
        <v>70</v>
      </c>
      <c r="C63" s="16">
        <v>-5.1979999999999996E-9</v>
      </c>
      <c r="D63" s="16">
        <v>6.847E-9</v>
      </c>
      <c r="G63" s="3">
        <v>-3.2010000000000003E-19</v>
      </c>
      <c r="H63" s="3">
        <v>4.1710000000000003E-19</v>
      </c>
      <c r="I63" s="3">
        <v>-2.5300000000000002E-19</v>
      </c>
      <c r="J63" s="3">
        <v>2.4569999999999997E-19</v>
      </c>
      <c r="K63" s="3">
        <v>-1.0490000000000001E-12</v>
      </c>
      <c r="L63" s="3">
        <v>1.274E-12</v>
      </c>
      <c r="M63" s="3">
        <v>-2.827E-19</v>
      </c>
      <c r="N63" s="3">
        <v>2.118E-19</v>
      </c>
      <c r="O63" s="3">
        <v>-3.2520000000000001E-19</v>
      </c>
      <c r="P63" s="3">
        <v>4.2970000000000001E-19</v>
      </c>
      <c r="Q63" s="3">
        <v>4.1409999999999995E-21</v>
      </c>
      <c r="R63" s="3">
        <v>4.4039999999999998E-19</v>
      </c>
      <c r="S63" s="13">
        <v>99999</v>
      </c>
      <c r="T63" s="13">
        <v>99999</v>
      </c>
      <c r="U63" s="13">
        <v>2.2492892202732785E-14</v>
      </c>
    </row>
    <row r="64" spans="1:21" x14ac:dyDescent="0.2">
      <c r="A64" t="s">
        <v>121</v>
      </c>
      <c r="B64" s="12" t="s">
        <v>70</v>
      </c>
      <c r="C64" s="16">
        <v>-1545</v>
      </c>
      <c r="D64" s="16">
        <v>-1539</v>
      </c>
      <c r="G64" s="3">
        <v>-9.64E-7</v>
      </c>
      <c r="H64" s="3">
        <v>1.3459999999999999E-6</v>
      </c>
      <c r="I64" s="3">
        <v>-9.2050000000000002E-7</v>
      </c>
      <c r="J64" s="3">
        <v>1.1680000000000001E-6</v>
      </c>
      <c r="K64" s="3">
        <v>-3.5349999999999997E-10</v>
      </c>
      <c r="L64" s="3">
        <v>3.9900000000000002E-10</v>
      </c>
      <c r="M64" s="3">
        <v>-9.9830000000000008E-6</v>
      </c>
      <c r="N64" s="3">
        <v>7.4339999999999995E-6</v>
      </c>
      <c r="O64" s="3">
        <v>-7.9570000000000002E-6</v>
      </c>
      <c r="P64" s="3">
        <v>8.0209999999999999E-6</v>
      </c>
      <c r="Q64" s="3">
        <v>1.5599999999999999E-7</v>
      </c>
      <c r="R64" s="3">
        <v>1.271E-5</v>
      </c>
      <c r="S64" s="13">
        <v>99999</v>
      </c>
      <c r="T64" s="13">
        <v>99999</v>
      </c>
      <c r="U64" s="13">
        <v>4.3501532672659465E-2</v>
      </c>
    </row>
    <row r="65" spans="1:21" x14ac:dyDescent="0.2">
      <c r="A65" t="s">
        <v>122</v>
      </c>
      <c r="B65" s="12" t="s">
        <v>70</v>
      </c>
      <c r="C65" s="16">
        <v>-1536</v>
      </c>
      <c r="D65" s="16">
        <v>633.4</v>
      </c>
      <c r="G65" s="3">
        <v>-9.5819999999999999E-7</v>
      </c>
      <c r="H65" s="3">
        <v>1.3370000000000001E-6</v>
      </c>
      <c r="I65" s="3">
        <v>-9.1529999999999994E-7</v>
      </c>
      <c r="J65" s="3">
        <v>1.1620000000000001E-6</v>
      </c>
      <c r="K65" s="3">
        <v>-3.5010000000000001E-10</v>
      </c>
      <c r="L65" s="3">
        <v>3.949E-10</v>
      </c>
      <c r="M65" s="3">
        <v>-9.1220000000000001E-6</v>
      </c>
      <c r="N65" s="3">
        <v>6.7580000000000003E-6</v>
      </c>
      <c r="O65" s="3">
        <v>-6.7510000000000002E-6</v>
      </c>
      <c r="P65" s="3">
        <v>7.1679999999999998E-6</v>
      </c>
      <c r="Q65" s="3">
        <v>1.4929999999999999E-8</v>
      </c>
      <c r="R65" s="3">
        <v>1.1220000000000001E-5</v>
      </c>
      <c r="S65" s="13">
        <v>99999</v>
      </c>
      <c r="T65" s="13">
        <v>99999</v>
      </c>
      <c r="U65" s="13">
        <v>1.9600397353709007E-3</v>
      </c>
    </row>
    <row r="66" spans="1:21" x14ac:dyDescent="0.2">
      <c r="A66" t="s">
        <v>123</v>
      </c>
      <c r="B66" s="12" t="s">
        <v>70</v>
      </c>
      <c r="C66" s="16">
        <v>709.5</v>
      </c>
      <c r="D66" s="16">
        <v>1823</v>
      </c>
      <c r="G66" s="3">
        <v>-5.7319999999999997E-7</v>
      </c>
      <c r="H66" s="3">
        <v>5.9540000000000005E-7</v>
      </c>
      <c r="I66" s="3">
        <v>-4.5680000000000001E-7</v>
      </c>
      <c r="J66" s="3">
        <v>6.1220000000000004E-7</v>
      </c>
      <c r="K66" s="3">
        <v>-2.262E-10</v>
      </c>
      <c r="L66" s="3">
        <v>2.2300000000000001E-10</v>
      </c>
      <c r="M66" s="3">
        <v>-4.0610000000000006E-6</v>
      </c>
      <c r="N66" s="3">
        <v>2.5500000000000001E-6</v>
      </c>
      <c r="O66" s="3">
        <v>-2.2130000000000002E-6</v>
      </c>
      <c r="P66" s="3">
        <v>2.2929999999999999E-6</v>
      </c>
      <c r="Q66" s="3">
        <v>4.1640000000000001E-9</v>
      </c>
      <c r="R66" s="3">
        <v>4.454E-6</v>
      </c>
      <c r="S66" s="13">
        <v>99999</v>
      </c>
      <c r="T66" s="13">
        <v>99999</v>
      </c>
      <c r="U66" s="13">
        <v>1.9408301796954379E-3</v>
      </c>
    </row>
    <row r="67" spans="1:21" x14ac:dyDescent="0.2">
      <c r="A67" t="s">
        <v>125</v>
      </c>
      <c r="B67" s="12" t="s">
        <v>70</v>
      </c>
      <c r="C67" s="16">
        <v>1842</v>
      </c>
      <c r="D67" s="16">
        <v>1844</v>
      </c>
      <c r="G67" s="3">
        <v>-3.502E-7</v>
      </c>
      <c r="H67" s="3">
        <v>3.7440000000000002E-7</v>
      </c>
      <c r="I67" s="3">
        <v>-2.5980000000000004E-7</v>
      </c>
      <c r="J67" s="3">
        <v>3.2009999999999996E-7</v>
      </c>
      <c r="K67" s="3">
        <v>-1.6540000000000002E-10</v>
      </c>
      <c r="L67" s="3">
        <v>1.469E-10</v>
      </c>
      <c r="M67" s="3">
        <v>-7.85E-7</v>
      </c>
      <c r="N67" s="3">
        <v>3.911E-7</v>
      </c>
      <c r="O67" s="3">
        <v>-6.5180000000000005E-7</v>
      </c>
      <c r="P67" s="3">
        <v>8.1680000000000006E-7</v>
      </c>
      <c r="Q67" s="3">
        <v>2.0940000000000001E-8</v>
      </c>
      <c r="R67" s="3">
        <v>8.4960000000000009E-7</v>
      </c>
      <c r="S67" s="13">
        <v>99999</v>
      </c>
      <c r="T67" s="13">
        <v>99999</v>
      </c>
      <c r="U67" s="13">
        <v>1.9366918895493989E-3</v>
      </c>
    </row>
    <row r="68" spans="1:21" x14ac:dyDescent="0.2">
      <c r="A68" t="s">
        <v>126</v>
      </c>
      <c r="B68" s="12" t="s">
        <v>70</v>
      </c>
      <c r="C68" s="16">
        <v>1838</v>
      </c>
      <c r="D68" s="16">
        <v>2194</v>
      </c>
      <c r="G68" s="3">
        <v>-3.5170000000000001E-7</v>
      </c>
      <c r="H68" s="3">
        <v>3.7780000000000001E-7</v>
      </c>
      <c r="I68" s="3">
        <v>-2.614E-7</v>
      </c>
      <c r="J68" s="3">
        <v>3.1930000000000001E-7</v>
      </c>
      <c r="K68" s="3">
        <v>-1.5730000000000002E-10</v>
      </c>
      <c r="L68" s="3">
        <v>1.4229999999999999E-10</v>
      </c>
      <c r="M68" s="3">
        <v>-1.9120000000000001E-6</v>
      </c>
      <c r="N68" s="3">
        <v>2.463E-6</v>
      </c>
      <c r="O68" s="3">
        <v>-2.8479999999999997E-6</v>
      </c>
      <c r="P68" s="3">
        <v>2.8999999999999998E-6</v>
      </c>
      <c r="Q68" s="3">
        <v>5.7280000000000001E-9</v>
      </c>
      <c r="R68" s="3">
        <v>3.32E-6</v>
      </c>
      <c r="S68" s="13">
        <v>99999</v>
      </c>
      <c r="T68" s="13">
        <v>99999</v>
      </c>
      <c r="U68" s="13">
        <v>0.13957084318762256</v>
      </c>
    </row>
    <row r="69" spans="1:21" x14ac:dyDescent="0.2">
      <c r="A69" t="s">
        <v>127</v>
      </c>
      <c r="B69" s="12" t="s">
        <v>70</v>
      </c>
      <c r="C69" s="16">
        <v>2210</v>
      </c>
      <c r="D69" s="16">
        <v>2593</v>
      </c>
      <c r="G69" s="3">
        <v>-3.0130000000000003E-7</v>
      </c>
      <c r="H69" s="3">
        <v>3.0669999999999996E-7</v>
      </c>
      <c r="I69" s="3">
        <v>-2.579E-7</v>
      </c>
      <c r="J69" s="3">
        <v>2.452E-7</v>
      </c>
      <c r="K69" s="3">
        <v>-1.522E-10</v>
      </c>
      <c r="L69" s="3">
        <v>1.3799999999999999E-10</v>
      </c>
      <c r="M69" s="3">
        <v>-2.1120000000000003E-6</v>
      </c>
      <c r="N69" s="3">
        <v>2.2390000000000001E-6</v>
      </c>
      <c r="O69" s="3">
        <v>-2.7980000000000001E-6</v>
      </c>
      <c r="P69" s="3">
        <v>2.9629999999999998E-6</v>
      </c>
      <c r="Q69" s="3">
        <v>2.384E-8</v>
      </c>
      <c r="R69" s="3">
        <v>3.1319999999999998E-6</v>
      </c>
      <c r="S69" s="13">
        <v>99999</v>
      </c>
      <c r="T69" s="13">
        <v>99999</v>
      </c>
      <c r="U69" s="13">
        <v>0.16024468758527083</v>
      </c>
    </row>
    <row r="70" spans="1:21" x14ac:dyDescent="0.2">
      <c r="A70" t="s">
        <v>128</v>
      </c>
      <c r="B70" s="12" t="s">
        <v>70</v>
      </c>
      <c r="C70" s="16">
        <v>2595</v>
      </c>
      <c r="D70" s="16">
        <v>3198</v>
      </c>
      <c r="G70" s="3">
        <v>-2.378E-7</v>
      </c>
      <c r="H70" s="3">
        <v>2.8019999999999998E-7</v>
      </c>
      <c r="I70" s="3">
        <v>-2.6720000000000001E-7</v>
      </c>
      <c r="J70" s="3">
        <v>2.551E-7</v>
      </c>
      <c r="K70" s="3">
        <v>-1.6680000000000001E-10</v>
      </c>
      <c r="L70" s="3">
        <v>1.4009999999999999E-10</v>
      </c>
      <c r="M70" s="3">
        <v>-2.6630000000000002E-6</v>
      </c>
      <c r="N70" s="3">
        <v>2.39E-6</v>
      </c>
      <c r="O70" s="3">
        <v>-2.6289999999999997E-6</v>
      </c>
      <c r="P70" s="3">
        <v>2.339E-6</v>
      </c>
      <c r="Q70" s="3">
        <v>0</v>
      </c>
      <c r="R70" s="3">
        <v>2.8149999999999997E-6</v>
      </c>
      <c r="S70" s="13">
        <v>99999</v>
      </c>
      <c r="T70" s="13">
        <v>99999</v>
      </c>
      <c r="U70" s="13">
        <v>0.16693735737830034</v>
      </c>
    </row>
    <row r="71" spans="1:21" x14ac:dyDescent="0.2">
      <c r="A71" t="s">
        <v>129</v>
      </c>
      <c r="B71" s="12" t="s">
        <v>70</v>
      </c>
      <c r="C71" s="16">
        <v>3200</v>
      </c>
      <c r="D71" s="16">
        <v>3308</v>
      </c>
      <c r="G71" s="3">
        <v>-2.1019999999999999E-7</v>
      </c>
      <c r="H71" s="3">
        <v>2.202E-7</v>
      </c>
      <c r="I71" s="3">
        <v>-1.9249999999999998E-7</v>
      </c>
      <c r="J71" s="3">
        <v>2.17E-7</v>
      </c>
      <c r="K71" s="3">
        <v>-1.8349999999999999E-10</v>
      </c>
      <c r="L71" s="3">
        <v>1.521E-10</v>
      </c>
      <c r="M71" s="3">
        <v>-1.8730000000000001E-6</v>
      </c>
      <c r="N71" s="3">
        <v>1.8920000000000001E-6</v>
      </c>
      <c r="O71" s="3">
        <v>-1.7229999999999999E-6</v>
      </c>
      <c r="P71" s="3">
        <v>2.244E-6</v>
      </c>
      <c r="Q71" s="3">
        <v>2.2269999999999997E-8</v>
      </c>
      <c r="R71" s="3">
        <v>2.3149999999999999E-6</v>
      </c>
      <c r="S71" s="13">
        <v>99999</v>
      </c>
      <c r="T71" s="13">
        <v>99999</v>
      </c>
      <c r="U71" s="13">
        <v>0.15018918590741157</v>
      </c>
    </row>
    <row r="72" spans="1:21" x14ac:dyDescent="0.2">
      <c r="A72" t="s">
        <v>130</v>
      </c>
      <c r="B72" s="12" t="s">
        <v>70</v>
      </c>
      <c r="C72" s="16">
        <v>3310</v>
      </c>
      <c r="D72" s="16">
        <v>4812</v>
      </c>
      <c r="G72" s="3">
        <v>-6.8889999999999998E-7</v>
      </c>
      <c r="H72" s="3">
        <v>6.8759999999999999E-7</v>
      </c>
      <c r="I72" s="3">
        <v>-8.047E-7</v>
      </c>
      <c r="J72" s="3">
        <v>8.0589999999999998E-7</v>
      </c>
      <c r="K72" s="3">
        <v>-5.8400000000000005E-10</v>
      </c>
      <c r="L72" s="3">
        <v>6.3099999999999999E-10</v>
      </c>
      <c r="M72" s="3">
        <v>-2.711E-6</v>
      </c>
      <c r="N72" s="3">
        <v>2.7629999999999996E-6</v>
      </c>
      <c r="O72" s="3">
        <v>-2.587E-6</v>
      </c>
      <c r="P72" s="3">
        <v>3.1659999999999998E-6</v>
      </c>
      <c r="Q72" s="3">
        <v>1.208E-8</v>
      </c>
      <c r="R72" s="3">
        <v>3.4999999999999999E-6</v>
      </c>
      <c r="S72" s="13">
        <v>99999</v>
      </c>
      <c r="T72" s="13">
        <v>99999</v>
      </c>
      <c r="U72" s="13">
        <v>0.21526803913730716</v>
      </c>
    </row>
    <row r="73" spans="1:21" x14ac:dyDescent="0.2">
      <c r="A73" t="s">
        <v>131</v>
      </c>
      <c r="B73" s="12" t="s">
        <v>70</v>
      </c>
      <c r="C73" s="16">
        <v>4814</v>
      </c>
      <c r="D73" s="16">
        <v>4947</v>
      </c>
      <c r="G73" s="3">
        <v>-1.8649999999999999E-6</v>
      </c>
      <c r="H73" s="3">
        <v>2.3149999999999999E-6</v>
      </c>
      <c r="I73" s="3">
        <v>-2.6029999999999999E-6</v>
      </c>
      <c r="J73" s="3">
        <v>2.2479999999999999E-6</v>
      </c>
      <c r="K73" s="3">
        <v>-1.124E-9</v>
      </c>
      <c r="L73" s="3">
        <v>1.1599999999999999E-9</v>
      </c>
      <c r="M73" s="3">
        <v>-8.7259999999999991E-6</v>
      </c>
      <c r="N73" s="3">
        <v>1.004E-5</v>
      </c>
      <c r="O73" s="3">
        <v>-8.3469999999999999E-6</v>
      </c>
      <c r="P73" s="3">
        <v>7.5630000000000003E-6</v>
      </c>
      <c r="Q73" s="3">
        <v>4.0070000000000001E-8</v>
      </c>
      <c r="R73" s="3">
        <v>1.041E-5</v>
      </c>
      <c r="S73" s="13">
        <v>99999</v>
      </c>
      <c r="T73" s="13">
        <v>99999</v>
      </c>
      <c r="U73" s="13">
        <v>0.12044493511156432</v>
      </c>
    </row>
    <row r="74" spans="1:21" x14ac:dyDescent="0.2">
      <c r="A74" t="s">
        <v>132</v>
      </c>
      <c r="B74" s="12" t="s">
        <v>70</v>
      </c>
      <c r="C74" s="16">
        <v>4951</v>
      </c>
      <c r="D74" s="16">
        <v>5017</v>
      </c>
      <c r="G74" s="3">
        <v>-3.8870000000000002E-6</v>
      </c>
      <c r="H74" s="3">
        <v>3.8330000000000004E-6</v>
      </c>
      <c r="I74" s="3">
        <v>-4.5630000000000002E-6</v>
      </c>
      <c r="J74" s="3">
        <v>3.703E-6</v>
      </c>
      <c r="K74" s="3">
        <v>-1.351E-9</v>
      </c>
      <c r="L74" s="3">
        <v>1.364E-9</v>
      </c>
      <c r="M74" s="3">
        <v>-2.0699999999999998E-5</v>
      </c>
      <c r="N74" s="3">
        <v>1.6629999999999998E-5</v>
      </c>
      <c r="O74" s="3">
        <v>-1.8660000000000001E-5</v>
      </c>
      <c r="P74" s="3">
        <v>2.1520000000000001E-5</v>
      </c>
      <c r="Q74" s="3">
        <v>1.808E-7</v>
      </c>
      <c r="R74" s="3">
        <v>2.2580000000000001E-5</v>
      </c>
      <c r="S74" s="13">
        <v>99999</v>
      </c>
      <c r="T74" s="13">
        <v>99999</v>
      </c>
      <c r="U74" s="13">
        <v>0.12212659295028658</v>
      </c>
    </row>
    <row r="75" spans="1:21" x14ac:dyDescent="0.2">
      <c r="A75" t="s">
        <v>133</v>
      </c>
      <c r="B75" s="12" t="s">
        <v>70</v>
      </c>
      <c r="C75" s="16">
        <v>5022</v>
      </c>
      <c r="D75" s="16">
        <v>5022</v>
      </c>
      <c r="G75" s="3">
        <v>-3.878E-6</v>
      </c>
      <c r="H75" s="3">
        <v>3.7759999999999999E-6</v>
      </c>
      <c r="I75" s="3">
        <v>-4.5229999999999997E-6</v>
      </c>
      <c r="J75" s="3">
        <v>3.563E-6</v>
      </c>
      <c r="K75" s="3">
        <v>-1.3659999999999998E-9</v>
      </c>
      <c r="L75" s="3">
        <v>1.376E-9</v>
      </c>
      <c r="M75" s="3">
        <v>-2.1680000000000002E-5</v>
      </c>
      <c r="N75" s="3">
        <v>1.7590000000000003E-5</v>
      </c>
      <c r="O75" s="3">
        <v>-1.982E-5</v>
      </c>
      <c r="P75" s="3">
        <v>2.2530000000000003E-5</v>
      </c>
      <c r="Q75" s="3">
        <v>1.73E-6</v>
      </c>
      <c r="R75" s="3">
        <v>2.3600000000000001E-5</v>
      </c>
      <c r="S75" s="13">
        <v>99999</v>
      </c>
      <c r="T75" s="13">
        <v>99999</v>
      </c>
      <c r="U75" s="13">
        <v>0.1222472025030166</v>
      </c>
    </row>
    <row r="76" spans="1:21" x14ac:dyDescent="0.2">
      <c r="A76" t="s">
        <v>134</v>
      </c>
      <c r="B76" s="12" t="s">
        <v>70</v>
      </c>
      <c r="C76" s="16">
        <v>-4.4229999999999998E-3</v>
      </c>
      <c r="D76" s="16">
        <v>-4.4229999999999998E-3</v>
      </c>
      <c r="G76" s="3">
        <v>-1.0079999999999999E-6</v>
      </c>
      <c r="H76" s="3">
        <v>1.012E-6</v>
      </c>
      <c r="I76" s="3">
        <v>-1.226E-6</v>
      </c>
      <c r="J76" s="3">
        <v>1.0109999999999999E-6</v>
      </c>
      <c r="K76" s="3">
        <v>-1.8900000000000002E-10</v>
      </c>
      <c r="L76" s="3">
        <v>2.0289999999999999E-10</v>
      </c>
      <c r="M76" s="3">
        <v>-8.3750000000000003E-6</v>
      </c>
      <c r="N76" s="3">
        <v>1.004E-5</v>
      </c>
      <c r="O76" s="3">
        <v>-8.1499999999999999E-6</v>
      </c>
      <c r="P76" s="3">
        <v>7.8910000000000012E-6</v>
      </c>
      <c r="Q76" s="3">
        <v>6.088E-8</v>
      </c>
      <c r="R76" s="3">
        <v>1.1259999999999999E-5</v>
      </c>
      <c r="S76" s="13">
        <v>99999</v>
      </c>
      <c r="T76" s="13">
        <v>99999</v>
      </c>
      <c r="U76" s="13">
        <v>2.4198206473271134E-2</v>
      </c>
    </row>
    <row r="77" spans="1:21" x14ac:dyDescent="0.2">
      <c r="A77" t="s">
        <v>135</v>
      </c>
      <c r="B77" s="12" t="s">
        <v>70</v>
      </c>
      <c r="C77" s="16">
        <v>-4.254E-3</v>
      </c>
      <c r="D77" s="16">
        <v>82.2</v>
      </c>
      <c r="G77" s="3">
        <v>-1.404E-6</v>
      </c>
      <c r="H77" s="3">
        <v>1.1960000000000001E-6</v>
      </c>
      <c r="I77" s="3">
        <v>-1.4809999999999999E-6</v>
      </c>
      <c r="J77" s="3">
        <v>1.5690000000000001E-6</v>
      </c>
      <c r="K77" s="3">
        <v>-1.8830000000000001E-10</v>
      </c>
      <c r="L77" s="3">
        <v>2.0209999999999998E-10</v>
      </c>
      <c r="M77" s="3">
        <v>-1.254E-6</v>
      </c>
      <c r="N77" s="3">
        <v>1.0589999999999999E-6</v>
      </c>
      <c r="O77" s="3">
        <v>-8.5990000000000002E-7</v>
      </c>
      <c r="P77" s="3">
        <v>1.0920000000000001E-6</v>
      </c>
      <c r="Q77" s="3">
        <v>4.6200000000000002E-9</v>
      </c>
      <c r="R77" s="3">
        <v>1.269E-6</v>
      </c>
      <c r="S77" s="13">
        <v>99999</v>
      </c>
      <c r="T77" s="13">
        <v>99999</v>
      </c>
      <c r="U77" s="13">
        <v>5.8242205196708885E-3</v>
      </c>
    </row>
    <row r="78" spans="1:21" x14ac:dyDescent="0.2">
      <c r="A78" t="s">
        <v>136</v>
      </c>
      <c r="B78" s="12" t="s">
        <v>70</v>
      </c>
      <c r="C78" s="16">
        <v>90.99</v>
      </c>
      <c r="D78" s="16">
        <v>90.99</v>
      </c>
      <c r="G78" s="3">
        <v>-1.412E-6</v>
      </c>
      <c r="H78" s="3">
        <v>1.2049999999999999E-6</v>
      </c>
      <c r="I78" s="3">
        <v>-1.494E-6</v>
      </c>
      <c r="J78" s="3">
        <v>1.579E-6</v>
      </c>
      <c r="K78" s="3">
        <v>-1.843E-10</v>
      </c>
      <c r="L78" s="3">
        <v>1.9689999999999999E-10</v>
      </c>
      <c r="M78" s="3">
        <v>-2.135E-7</v>
      </c>
      <c r="N78" s="3">
        <v>1.86E-7</v>
      </c>
      <c r="O78" s="3">
        <v>-1.515E-7</v>
      </c>
      <c r="P78" s="3">
        <v>1.7100000000000001E-7</v>
      </c>
      <c r="Q78" s="3">
        <v>5.4709999999999998E-9</v>
      </c>
      <c r="R78" s="3">
        <v>2.2389999999999999E-7</v>
      </c>
      <c r="S78" s="13">
        <v>99999</v>
      </c>
      <c r="T78" s="13">
        <v>99999</v>
      </c>
      <c r="U78" s="13">
        <v>6.4350073993702144E-3</v>
      </c>
    </row>
    <row r="79" spans="1:21" x14ac:dyDescent="0.2">
      <c r="A79" t="s">
        <v>138</v>
      </c>
      <c r="B79" s="12" t="s">
        <v>70</v>
      </c>
      <c r="C79" s="16">
        <v>135.4</v>
      </c>
      <c r="D79" s="16">
        <v>135.4</v>
      </c>
      <c r="G79" s="3">
        <v>-1.3969999999999999E-6</v>
      </c>
      <c r="H79" s="3">
        <v>1.2580000000000001E-6</v>
      </c>
      <c r="I79" s="3">
        <v>-1.5039999999999999E-6</v>
      </c>
      <c r="J79" s="3">
        <v>1.601E-6</v>
      </c>
      <c r="K79" s="3">
        <v>-1.8400000000000001E-10</v>
      </c>
      <c r="L79" s="3">
        <v>1.9649999999999999E-10</v>
      </c>
      <c r="M79" s="3">
        <v>-1.828E-7</v>
      </c>
      <c r="N79" s="3">
        <v>1.7670000000000001E-7</v>
      </c>
      <c r="O79" s="3">
        <v>-1.198E-7</v>
      </c>
      <c r="P79" s="3">
        <v>1.9189999999999999E-7</v>
      </c>
      <c r="Q79" s="3">
        <v>3.9219999999999995E-9</v>
      </c>
      <c r="R79" s="3">
        <v>1.9220000000000001E-7</v>
      </c>
      <c r="S79" s="13">
        <v>99999</v>
      </c>
      <c r="T79" s="13">
        <v>99999</v>
      </c>
      <c r="U79" s="13">
        <v>7.3924137944486011E-3</v>
      </c>
    </row>
    <row r="80" spans="1:21" x14ac:dyDescent="0.2">
      <c r="A80" t="s">
        <v>139</v>
      </c>
      <c r="B80" s="12" t="s">
        <v>70</v>
      </c>
      <c r="C80" s="16">
        <v>135.80000000000001</v>
      </c>
      <c r="D80" s="16">
        <v>212.1</v>
      </c>
      <c r="G80" s="3">
        <v>-1.3929999999999998E-6</v>
      </c>
      <c r="H80" s="3">
        <v>1.2750000000000001E-6</v>
      </c>
      <c r="I80" s="3">
        <v>-1.502E-6</v>
      </c>
      <c r="J80" s="3">
        <v>1.6050000000000001E-6</v>
      </c>
      <c r="K80" s="3">
        <v>-1.8400000000000001E-10</v>
      </c>
      <c r="L80" s="3">
        <v>1.9649999999999999E-10</v>
      </c>
      <c r="M80" s="3">
        <v>-2.0279999999999999E-6</v>
      </c>
      <c r="N80" s="3">
        <v>2.1500000000000002E-6</v>
      </c>
      <c r="O80" s="3">
        <v>-1.8810000000000001E-6</v>
      </c>
      <c r="P80" s="3">
        <v>1.7710000000000001E-6</v>
      </c>
      <c r="Q80" s="3">
        <v>1.3050000000000001E-8</v>
      </c>
      <c r="R80" s="3">
        <v>2.2450000000000001E-6</v>
      </c>
      <c r="S80" s="13">
        <v>99999</v>
      </c>
      <c r="T80" s="13">
        <v>99999</v>
      </c>
      <c r="U80" s="13">
        <v>1.1559587106945457E-2</v>
      </c>
    </row>
    <row r="81" spans="1:21" x14ac:dyDescent="0.2">
      <c r="A81" t="s">
        <v>177</v>
      </c>
      <c r="B81" s="12" t="s">
        <v>70</v>
      </c>
      <c r="C81" s="16">
        <v>-1545</v>
      </c>
      <c r="D81" s="16">
        <v>5022</v>
      </c>
      <c r="G81" s="3">
        <v>-3.8870000000000002E-6</v>
      </c>
      <c r="H81" s="3">
        <v>3.8330000000000004E-6</v>
      </c>
      <c r="I81" s="3">
        <v>-4.5630000000000002E-6</v>
      </c>
      <c r="J81" s="3">
        <v>3.703E-6</v>
      </c>
      <c r="K81" s="3">
        <v>-1.3659999999999998E-9</v>
      </c>
      <c r="L81" s="3">
        <v>1.376E-9</v>
      </c>
      <c r="M81" s="3">
        <v>-2.1680000000000002E-5</v>
      </c>
      <c r="N81" s="3">
        <v>1.7590000000000003E-5</v>
      </c>
      <c r="O81" s="3">
        <v>-1.982E-5</v>
      </c>
      <c r="P81" s="3">
        <v>2.2530000000000003E-5</v>
      </c>
      <c r="Q81" s="3">
        <v>0</v>
      </c>
      <c r="R81" s="3">
        <v>2.3600000000000001E-5</v>
      </c>
      <c r="S81" s="13">
        <v>99999</v>
      </c>
      <c r="T81" s="13">
        <v>99999</v>
      </c>
      <c r="U81" s="13">
        <v>0.21526803913730716</v>
      </c>
    </row>
    <row r="82" spans="1:21" x14ac:dyDescent="0.2">
      <c r="A82" t="s">
        <v>140</v>
      </c>
      <c r="B82" s="12" t="s">
        <v>70</v>
      </c>
      <c r="C82" s="16">
        <v>658</v>
      </c>
      <c r="D82" s="16">
        <v>658</v>
      </c>
      <c r="G82" s="3">
        <v>-1.093E-4</v>
      </c>
      <c r="H82" s="3">
        <v>-1.093E-4</v>
      </c>
      <c r="I82" s="3">
        <v>-3.6899999999999999E-9</v>
      </c>
      <c r="J82" s="3">
        <v>2.984E-9</v>
      </c>
      <c r="K82" s="3">
        <v>-4.2739999999999998E-7</v>
      </c>
      <c r="L82" s="3">
        <v>3.4519999999999999E-7</v>
      </c>
      <c r="M82" s="3">
        <v>-3.0150000000000002E-8</v>
      </c>
      <c r="N82" s="3">
        <v>3.728E-8</v>
      </c>
      <c r="O82" s="3">
        <v>8.2830000000000002E-4</v>
      </c>
      <c r="P82" s="3">
        <v>8.2830000000000002E-4</v>
      </c>
      <c r="Q82" s="3">
        <v>8.2830000000000002E-4</v>
      </c>
      <c r="R82" s="3">
        <v>8.2830000000000002E-4</v>
      </c>
      <c r="S82" s="13">
        <v>120.72920439454303</v>
      </c>
      <c r="T82" s="13">
        <v>120.72920439454303</v>
      </c>
      <c r="U82" s="13">
        <v>507.80923302847782</v>
      </c>
    </row>
    <row r="83" spans="1:21" x14ac:dyDescent="0.2">
      <c r="A83" t="s">
        <v>141</v>
      </c>
      <c r="B83" s="12" t="s">
        <v>70</v>
      </c>
      <c r="C83" s="16">
        <v>658</v>
      </c>
      <c r="D83" s="16">
        <v>658</v>
      </c>
      <c r="G83" s="3">
        <v>-7.6390000000000006E-5</v>
      </c>
      <c r="H83" s="3">
        <v>-7.6369999999999989E-5</v>
      </c>
      <c r="I83" s="3">
        <v>-7.8129999999999999E-5</v>
      </c>
      <c r="J83" s="3">
        <v>-7.8119999999999991E-5</v>
      </c>
      <c r="K83" s="3">
        <v>-4.6639999999999999E-7</v>
      </c>
      <c r="L83" s="3">
        <v>2.8439999999999998E-7</v>
      </c>
      <c r="M83" s="3">
        <v>5.9209999999999992E-4</v>
      </c>
      <c r="N83" s="3">
        <v>5.9219999999999997E-4</v>
      </c>
      <c r="O83" s="3">
        <v>5.7879999999999997E-4</v>
      </c>
      <c r="P83" s="3">
        <v>5.7899999999999998E-4</v>
      </c>
      <c r="Q83" s="3">
        <v>8.2809999999999991E-4</v>
      </c>
      <c r="R83" s="3">
        <v>8.2809999999999991E-4</v>
      </c>
      <c r="S83" s="13">
        <v>120.75836251660428</v>
      </c>
      <c r="T83" s="13">
        <v>120.75836251660428</v>
      </c>
      <c r="U83" s="13">
        <v>507.80886370591219</v>
      </c>
    </row>
    <row r="84" spans="1:21" x14ac:dyDescent="0.2">
      <c r="A84" t="s">
        <v>142</v>
      </c>
      <c r="B84" s="12" t="s">
        <v>70</v>
      </c>
      <c r="C84" s="16">
        <v>658</v>
      </c>
      <c r="D84" s="16">
        <v>658</v>
      </c>
      <c r="G84" s="3">
        <v>-2.9039999999999999E-9</v>
      </c>
      <c r="H84" s="3">
        <v>3.1219999999999998E-9</v>
      </c>
      <c r="I84" s="3">
        <v>-1.093E-4</v>
      </c>
      <c r="J84" s="3">
        <v>-1.093E-4</v>
      </c>
      <c r="K84" s="3">
        <v>-3.6249999999999997E-7</v>
      </c>
      <c r="L84" s="3">
        <v>3.3510000000000003E-7</v>
      </c>
      <c r="M84" s="3">
        <v>8.2830000000000002E-4</v>
      </c>
      <c r="N84" s="3">
        <v>8.2830000000000002E-4</v>
      </c>
      <c r="O84" s="3">
        <v>-3.1539999999999997E-8</v>
      </c>
      <c r="P84" s="3">
        <v>2.9349999999999998E-8</v>
      </c>
      <c r="Q84" s="3">
        <v>8.2830000000000002E-4</v>
      </c>
      <c r="R84" s="3">
        <v>8.2830000000000002E-4</v>
      </c>
      <c r="S84" s="13">
        <v>120.72920439454303</v>
      </c>
      <c r="T84" s="13">
        <v>120.72920439454303</v>
      </c>
      <c r="U84" s="13">
        <v>507.80923302847782</v>
      </c>
    </row>
    <row r="85" spans="1:21" x14ac:dyDescent="0.2">
      <c r="A85" t="s">
        <v>143</v>
      </c>
      <c r="B85" s="12" t="s">
        <v>70</v>
      </c>
      <c r="C85" s="16">
        <v>658</v>
      </c>
      <c r="D85" s="16">
        <v>658</v>
      </c>
      <c r="G85" s="3">
        <v>7.6379999999999997E-5</v>
      </c>
      <c r="H85" s="3">
        <v>7.6390000000000006E-5</v>
      </c>
      <c r="I85" s="3">
        <v>-7.8129999999999999E-5</v>
      </c>
      <c r="J85" s="3">
        <v>-7.8119999999999991E-5</v>
      </c>
      <c r="K85" s="3">
        <v>-3.0059999999999998E-7</v>
      </c>
      <c r="L85" s="3">
        <v>2.8389999999999999E-7</v>
      </c>
      <c r="M85" s="3">
        <v>5.9209999999999992E-4</v>
      </c>
      <c r="N85" s="3">
        <v>5.9209999999999992E-4</v>
      </c>
      <c r="O85" s="3">
        <v>-5.7899999999999998E-4</v>
      </c>
      <c r="P85" s="3">
        <v>-5.7889999999999992E-4</v>
      </c>
      <c r="Q85" s="3">
        <v>8.2809999999999991E-4</v>
      </c>
      <c r="R85" s="3">
        <v>8.2809999999999991E-4</v>
      </c>
      <c r="S85" s="13">
        <v>120.75836251660428</v>
      </c>
      <c r="T85" s="13">
        <v>120.75836251660428</v>
      </c>
      <c r="U85" s="13">
        <v>507.80886370591219</v>
      </c>
    </row>
    <row r="86" spans="1:21" x14ac:dyDescent="0.2">
      <c r="A86" t="s">
        <v>144</v>
      </c>
      <c r="B86" s="12" t="s">
        <v>70</v>
      </c>
      <c r="C86" s="16">
        <v>658</v>
      </c>
      <c r="D86" s="16">
        <v>658</v>
      </c>
      <c r="G86" s="3">
        <v>1.093E-4</v>
      </c>
      <c r="H86" s="3">
        <v>1.093E-4</v>
      </c>
      <c r="I86" s="3">
        <v>-3.6819999999999999E-9</v>
      </c>
      <c r="J86" s="3">
        <v>2.9870000000000001E-9</v>
      </c>
      <c r="K86" s="3">
        <v>-3.4719999999999999E-7</v>
      </c>
      <c r="L86" s="3">
        <v>4.2240000000000002E-7</v>
      </c>
      <c r="M86" s="3">
        <v>-3.0179999999999996E-8</v>
      </c>
      <c r="N86" s="3">
        <v>3.7200000000000002E-8</v>
      </c>
      <c r="O86" s="3">
        <v>-8.2830000000000002E-4</v>
      </c>
      <c r="P86" s="3">
        <v>-8.2830000000000002E-4</v>
      </c>
      <c r="Q86" s="3">
        <v>8.2830000000000002E-4</v>
      </c>
      <c r="R86" s="3">
        <v>8.2830000000000002E-4</v>
      </c>
      <c r="S86" s="13">
        <v>120.72920439454303</v>
      </c>
      <c r="T86" s="13">
        <v>120.72920439454303</v>
      </c>
      <c r="U86" s="13">
        <v>507.80923302847782</v>
      </c>
    </row>
    <row r="87" spans="1:21" x14ac:dyDescent="0.2">
      <c r="A87" t="s">
        <v>145</v>
      </c>
      <c r="B87" s="12" t="s">
        <v>70</v>
      </c>
      <c r="C87" s="16">
        <v>658</v>
      </c>
      <c r="D87" s="16">
        <v>658</v>
      </c>
      <c r="G87" s="3">
        <v>7.6379999999999997E-5</v>
      </c>
      <c r="H87" s="3">
        <v>7.6390000000000006E-5</v>
      </c>
      <c r="I87" s="3">
        <v>7.8109999999999996E-5</v>
      </c>
      <c r="J87" s="3">
        <v>7.8129999999999999E-5</v>
      </c>
      <c r="K87" s="3">
        <v>-2.8630000000000002E-7</v>
      </c>
      <c r="L87" s="3">
        <v>4.6190000000000003E-7</v>
      </c>
      <c r="M87" s="3">
        <v>-5.9209999999999992E-4</v>
      </c>
      <c r="N87" s="3">
        <v>-5.9199999999999997E-4</v>
      </c>
      <c r="O87" s="3">
        <v>-5.7899999999999998E-4</v>
      </c>
      <c r="P87" s="3">
        <v>-5.7889999999999992E-4</v>
      </c>
      <c r="Q87" s="3">
        <v>8.2809999999999991E-4</v>
      </c>
      <c r="R87" s="3">
        <v>8.2809999999999991E-4</v>
      </c>
      <c r="S87" s="13">
        <v>120.75836251660428</v>
      </c>
      <c r="T87" s="13">
        <v>120.75836251660428</v>
      </c>
      <c r="U87" s="13">
        <v>507.80886370591219</v>
      </c>
    </row>
    <row r="88" spans="1:21" x14ac:dyDescent="0.2">
      <c r="A88" t="s">
        <v>146</v>
      </c>
      <c r="B88" s="12" t="s">
        <v>70</v>
      </c>
      <c r="C88" s="16">
        <v>658</v>
      </c>
      <c r="D88" s="16">
        <v>658</v>
      </c>
      <c r="G88" s="3">
        <v>-2.9009999999999998E-9</v>
      </c>
      <c r="H88" s="3">
        <v>3.1289999999999998E-9</v>
      </c>
      <c r="I88" s="3">
        <v>1.093E-4</v>
      </c>
      <c r="J88" s="3">
        <v>1.093E-4</v>
      </c>
      <c r="K88" s="3">
        <v>-3.3270000000000001E-7</v>
      </c>
      <c r="L88" s="3">
        <v>3.6699999999999999E-7</v>
      </c>
      <c r="M88" s="3">
        <v>-8.2830000000000002E-4</v>
      </c>
      <c r="N88" s="3">
        <v>-8.2830000000000002E-4</v>
      </c>
      <c r="O88" s="3">
        <v>-3.1609999999999997E-8</v>
      </c>
      <c r="P88" s="3">
        <v>2.9309999999999999E-8</v>
      </c>
      <c r="Q88" s="3">
        <v>8.2830000000000002E-4</v>
      </c>
      <c r="R88" s="3">
        <v>8.2830000000000002E-4</v>
      </c>
      <c r="S88" s="13">
        <v>120.72920439454303</v>
      </c>
      <c r="T88" s="13">
        <v>120.72920439454303</v>
      </c>
      <c r="U88" s="13">
        <v>507.80923302847782</v>
      </c>
    </row>
    <row r="89" spans="1:21" x14ac:dyDescent="0.2">
      <c r="A89" t="s">
        <v>147</v>
      </c>
      <c r="B89" s="12" t="s">
        <v>70</v>
      </c>
      <c r="C89" s="16">
        <v>658</v>
      </c>
      <c r="D89" s="16">
        <v>658</v>
      </c>
      <c r="G89" s="3">
        <v>-7.6390000000000006E-5</v>
      </c>
      <c r="H89" s="3">
        <v>-7.6379999999999997E-5</v>
      </c>
      <c r="I89" s="3">
        <v>7.8119999999999991E-5</v>
      </c>
      <c r="J89" s="3">
        <v>7.8129999999999999E-5</v>
      </c>
      <c r="K89" s="3">
        <v>-2.8410000000000001E-7</v>
      </c>
      <c r="L89" s="3">
        <v>2.9690000000000002E-7</v>
      </c>
      <c r="M89" s="3">
        <v>-5.9209999999999992E-4</v>
      </c>
      <c r="N89" s="3">
        <v>-5.9209999999999992E-4</v>
      </c>
      <c r="O89" s="3">
        <v>5.7889999999999992E-4</v>
      </c>
      <c r="P89" s="3">
        <v>5.7899999999999998E-4</v>
      </c>
      <c r="Q89" s="3">
        <v>8.2809999999999991E-4</v>
      </c>
      <c r="R89" s="3">
        <v>8.2809999999999991E-4</v>
      </c>
      <c r="S89" s="13">
        <v>120.75836251660428</v>
      </c>
      <c r="T89" s="13">
        <v>120.75836251660428</v>
      </c>
      <c r="U89" s="13">
        <v>507.80886370591219</v>
      </c>
    </row>
    <row r="90" spans="1:21" x14ac:dyDescent="0.2">
      <c r="A90" t="s">
        <v>148</v>
      </c>
      <c r="B90" s="12" t="s">
        <v>70</v>
      </c>
      <c r="C90" s="16">
        <v>144.9</v>
      </c>
      <c r="D90" s="16">
        <v>144.9</v>
      </c>
      <c r="G90" s="3">
        <v>636.29999999999995</v>
      </c>
      <c r="H90" s="3">
        <v>636.29999999999995</v>
      </c>
      <c r="I90" s="3">
        <v>-1.2239999999999998E-7</v>
      </c>
      <c r="J90" s="3">
        <v>9.9530000000000005E-8</v>
      </c>
      <c r="K90" s="3">
        <v>-1.895E-7</v>
      </c>
      <c r="L90" s="3">
        <v>1.5320000000000002E-7</v>
      </c>
      <c r="M90" s="3">
        <v>-2.35E-7</v>
      </c>
      <c r="N90" s="3">
        <v>1.889E-7</v>
      </c>
      <c r="O90" s="3">
        <v>-888.9</v>
      </c>
      <c r="P90" s="3">
        <v>-888.9</v>
      </c>
      <c r="Q90" s="3">
        <v>888.9</v>
      </c>
      <c r="R90" s="3">
        <v>888.9</v>
      </c>
      <c r="S90" s="13">
        <v>11249.859376757791</v>
      </c>
      <c r="T90" s="13">
        <v>11249.859376757791</v>
      </c>
      <c r="U90" s="13">
        <v>1641565.6318853523</v>
      </c>
    </row>
    <row r="91" spans="1:21" x14ac:dyDescent="0.2">
      <c r="A91" t="s">
        <v>149</v>
      </c>
      <c r="B91" s="12" t="s">
        <v>70</v>
      </c>
      <c r="C91" s="16">
        <v>144.80000000000001</v>
      </c>
      <c r="D91" s="16">
        <v>144.80000000000001</v>
      </c>
      <c r="G91" s="3">
        <v>-8.543999999999999E-8</v>
      </c>
      <c r="H91" s="3">
        <v>1.409E-7</v>
      </c>
      <c r="I91" s="3">
        <v>636.29999999999995</v>
      </c>
      <c r="J91" s="3">
        <v>636.29999999999995</v>
      </c>
      <c r="K91" s="3">
        <v>-4.126E-6</v>
      </c>
      <c r="L91" s="3">
        <v>4.8339999999999998E-6</v>
      </c>
      <c r="M91" s="3">
        <v>-889.1</v>
      </c>
      <c r="N91" s="3">
        <v>-889.1</v>
      </c>
      <c r="O91" s="3">
        <v>-1.5220000000000003E-7</v>
      </c>
      <c r="P91" s="3">
        <v>2.494E-7</v>
      </c>
      <c r="Q91" s="3">
        <v>889.1</v>
      </c>
      <c r="R91" s="3">
        <v>889.1</v>
      </c>
      <c r="S91" s="13">
        <v>11247.328759419637</v>
      </c>
      <c r="T91" s="13">
        <v>11247.328759419637</v>
      </c>
      <c r="U91" s="13">
        <v>1641934.877508712</v>
      </c>
    </row>
    <row r="92" spans="1:21" x14ac:dyDescent="0.2">
      <c r="A92" t="s">
        <v>150</v>
      </c>
      <c r="B92" s="12" t="s">
        <v>70</v>
      </c>
      <c r="C92" s="16">
        <v>144.9</v>
      </c>
      <c r="D92" s="16">
        <v>144.9</v>
      </c>
      <c r="G92" s="3">
        <v>-9.6629999999999999E-8</v>
      </c>
      <c r="H92" s="3">
        <v>1.0260000000000001E-7</v>
      </c>
      <c r="I92" s="3">
        <v>636.29999999999995</v>
      </c>
      <c r="J92" s="3">
        <v>636.29999999999995</v>
      </c>
      <c r="K92" s="3">
        <v>-1.6019999999999999E-7</v>
      </c>
      <c r="L92" s="3">
        <v>1.49E-7</v>
      </c>
      <c r="M92" s="3">
        <v>-888.9</v>
      </c>
      <c r="N92" s="3">
        <v>-888.9</v>
      </c>
      <c r="O92" s="3">
        <v>-1.832E-7</v>
      </c>
      <c r="P92" s="3">
        <v>2.0090000000000001E-7</v>
      </c>
      <c r="Q92" s="3">
        <v>888.9</v>
      </c>
      <c r="R92" s="3">
        <v>888.9</v>
      </c>
      <c r="S92" s="13">
        <v>11249.859376757791</v>
      </c>
      <c r="T92" s="13">
        <v>11249.859376757791</v>
      </c>
      <c r="U92" s="13">
        <v>1641565.6318853523</v>
      </c>
    </row>
    <row r="93" spans="1:21" x14ac:dyDescent="0.2">
      <c r="A93" t="s">
        <v>151</v>
      </c>
      <c r="B93" s="12" t="s">
        <v>70</v>
      </c>
      <c r="C93" s="16">
        <v>144.80000000000001</v>
      </c>
      <c r="D93" s="16">
        <v>144.80000000000001</v>
      </c>
      <c r="G93" s="3">
        <v>-8.3309999999999996E-8</v>
      </c>
      <c r="H93" s="3">
        <v>8.3889999999999992E-8</v>
      </c>
      <c r="I93" s="3">
        <v>636.29999999999995</v>
      </c>
      <c r="J93" s="3">
        <v>636.29999999999995</v>
      </c>
      <c r="K93" s="3">
        <v>-5.1989999999999997E-6</v>
      </c>
      <c r="L93" s="3">
        <v>4.4939999999999997E-6</v>
      </c>
      <c r="M93" s="3">
        <v>-889.1</v>
      </c>
      <c r="N93" s="3">
        <v>-889.1</v>
      </c>
      <c r="O93" s="3">
        <v>-1.575E-7</v>
      </c>
      <c r="P93" s="3">
        <v>1.67E-7</v>
      </c>
      <c r="Q93" s="3">
        <v>889.1</v>
      </c>
      <c r="R93" s="3">
        <v>889.1</v>
      </c>
      <c r="S93" s="13">
        <v>11247.328759419637</v>
      </c>
      <c r="T93" s="13">
        <v>11247.328759419637</v>
      </c>
      <c r="U93" s="13">
        <v>1641934.877508712</v>
      </c>
    </row>
    <row r="94" spans="1:21" x14ac:dyDescent="0.2">
      <c r="A94" t="s">
        <v>152</v>
      </c>
      <c r="B94" s="12" t="s">
        <v>70</v>
      </c>
      <c r="C94" s="16">
        <v>144.9</v>
      </c>
      <c r="D94" s="16">
        <v>144.9</v>
      </c>
      <c r="G94" s="3">
        <v>-636.29999999999995</v>
      </c>
      <c r="H94" s="3">
        <v>-636.29999999999995</v>
      </c>
      <c r="I94" s="3">
        <v>-1.2280000000000001E-7</v>
      </c>
      <c r="J94" s="3">
        <v>9.9519999999999994E-8</v>
      </c>
      <c r="K94" s="3">
        <v>-1.5349999999999999E-7</v>
      </c>
      <c r="L94" s="3">
        <v>1.888E-7</v>
      </c>
      <c r="M94" s="3">
        <v>-2.2959999999999999E-7</v>
      </c>
      <c r="N94" s="3">
        <v>1.909E-7</v>
      </c>
      <c r="O94" s="3">
        <v>888.9</v>
      </c>
      <c r="P94" s="3">
        <v>888.9</v>
      </c>
      <c r="Q94" s="3">
        <v>888.9</v>
      </c>
      <c r="R94" s="3">
        <v>888.9</v>
      </c>
      <c r="S94" s="13">
        <v>11249.859376757791</v>
      </c>
      <c r="T94" s="13">
        <v>11249.859376757791</v>
      </c>
      <c r="U94" s="13">
        <v>1641565.6318853523</v>
      </c>
    </row>
    <row r="95" spans="1:21" x14ac:dyDescent="0.2">
      <c r="A95" t="s">
        <v>153</v>
      </c>
      <c r="B95" s="12" t="s">
        <v>70</v>
      </c>
      <c r="C95" s="16">
        <v>144.80000000000001</v>
      </c>
      <c r="D95" s="16">
        <v>144.80000000000001</v>
      </c>
      <c r="G95" s="3">
        <v>-9.0569999999999996E-8</v>
      </c>
      <c r="H95" s="3">
        <v>1.423E-7</v>
      </c>
      <c r="I95" s="3">
        <v>-636.29999999999995</v>
      </c>
      <c r="J95" s="3">
        <v>-636.29999999999995</v>
      </c>
      <c r="K95" s="3">
        <v>-4.7829999999999998E-6</v>
      </c>
      <c r="L95" s="3">
        <v>4.4010000000000007E-6</v>
      </c>
      <c r="M95" s="3">
        <v>889.1</v>
      </c>
      <c r="N95" s="3">
        <v>889.1</v>
      </c>
      <c r="O95" s="3">
        <v>-1.483E-7</v>
      </c>
      <c r="P95" s="3">
        <v>2.438E-7</v>
      </c>
      <c r="Q95" s="3">
        <v>889.1</v>
      </c>
      <c r="R95" s="3">
        <v>889.1</v>
      </c>
      <c r="S95" s="13">
        <v>11247.328759419637</v>
      </c>
      <c r="T95" s="13">
        <v>11247.328759419637</v>
      </c>
      <c r="U95" s="13">
        <v>1641934.877508712</v>
      </c>
    </row>
    <row r="96" spans="1:21" x14ac:dyDescent="0.2">
      <c r="A96" t="s">
        <v>154</v>
      </c>
      <c r="B96" s="12" t="s">
        <v>70</v>
      </c>
      <c r="C96" s="16">
        <v>144.9</v>
      </c>
      <c r="D96" s="16">
        <v>144.9</v>
      </c>
      <c r="G96" s="3">
        <v>-9.6199999999999988E-8</v>
      </c>
      <c r="H96" s="3">
        <v>1.045E-7</v>
      </c>
      <c r="I96" s="3">
        <v>-636.29999999999995</v>
      </c>
      <c r="J96" s="3">
        <v>-636.29999999999995</v>
      </c>
      <c r="K96" s="3">
        <v>-1.487E-7</v>
      </c>
      <c r="L96" s="3">
        <v>1.6090000000000002E-7</v>
      </c>
      <c r="M96" s="3">
        <v>888.9</v>
      </c>
      <c r="N96" s="3">
        <v>888.9</v>
      </c>
      <c r="O96" s="3">
        <v>-1.8159999999999999E-7</v>
      </c>
      <c r="P96" s="3">
        <v>2.0279999999999999E-7</v>
      </c>
      <c r="Q96" s="3">
        <v>888.9</v>
      </c>
      <c r="R96" s="3">
        <v>888.9</v>
      </c>
      <c r="S96" s="13">
        <v>11249.859376757791</v>
      </c>
      <c r="T96" s="13">
        <v>11249.859376757791</v>
      </c>
      <c r="U96" s="13">
        <v>1641565.6318853523</v>
      </c>
    </row>
    <row r="97" spans="1:21" x14ac:dyDescent="0.2">
      <c r="A97" t="s">
        <v>155</v>
      </c>
      <c r="B97" s="12" t="s">
        <v>70</v>
      </c>
      <c r="C97" s="16">
        <v>144.80000000000001</v>
      </c>
      <c r="D97" s="16">
        <v>144.80000000000001</v>
      </c>
      <c r="G97" s="3">
        <v>-8.3579999999999998E-8</v>
      </c>
      <c r="H97" s="3">
        <v>8.5189999999999997E-8</v>
      </c>
      <c r="I97" s="3">
        <v>-636.29999999999995</v>
      </c>
      <c r="J97" s="3">
        <v>-636.29999999999995</v>
      </c>
      <c r="K97" s="3">
        <v>-5.2430000000000005E-6</v>
      </c>
      <c r="L97" s="3">
        <v>5.1330000000000007E-6</v>
      </c>
      <c r="M97" s="3">
        <v>889.1</v>
      </c>
      <c r="N97" s="3">
        <v>889.1</v>
      </c>
      <c r="O97" s="3">
        <v>-1.5310000000000001E-7</v>
      </c>
      <c r="P97" s="3">
        <v>1.6500000000000001E-7</v>
      </c>
      <c r="Q97" s="3">
        <v>889.1</v>
      </c>
      <c r="R97" s="3">
        <v>889.1</v>
      </c>
      <c r="S97" s="13">
        <v>11247.328759419637</v>
      </c>
      <c r="T97" s="13">
        <v>11247.328759419637</v>
      </c>
      <c r="U97" s="13">
        <v>1641934.877508712</v>
      </c>
    </row>
    <row r="98" spans="1:21" x14ac:dyDescent="0.2">
      <c r="A98" t="s">
        <v>157</v>
      </c>
      <c r="B98" s="12" t="s">
        <v>70</v>
      </c>
    </row>
    <row r="99" spans="1:21" x14ac:dyDescent="0.2">
      <c r="A99" t="s">
        <v>158</v>
      </c>
      <c r="B99" s="12" t="s">
        <v>70</v>
      </c>
    </row>
    <row r="100" spans="1:21" x14ac:dyDescent="0.2">
      <c r="A100">
        <v>1</v>
      </c>
      <c r="B100" s="12">
        <v>1</v>
      </c>
      <c r="C100" s="16">
        <v>-2048</v>
      </c>
      <c r="D100" s="16">
        <v>-2048</v>
      </c>
      <c r="E100" s="3">
        <v>10.457459999999999</v>
      </c>
      <c r="F100" s="3">
        <v>10.457459999999999</v>
      </c>
      <c r="G100" s="3">
        <v>-2.462E-9</v>
      </c>
      <c r="H100" s="3">
        <v>2.0490000000000003E-9</v>
      </c>
      <c r="I100" s="3">
        <v>-2.559E-9</v>
      </c>
      <c r="J100" s="3">
        <v>1.8899999999999999E-9</v>
      </c>
      <c r="K100" s="3">
        <v>-3.9719999999999998E-10</v>
      </c>
      <c r="L100" s="3">
        <v>4.0520000000000001E-10</v>
      </c>
      <c r="M100" s="3">
        <v>-6.0950000000000001E-9</v>
      </c>
      <c r="N100" s="3">
        <v>8.2550000000000001E-9</v>
      </c>
      <c r="O100" s="3">
        <v>-6.6180000000000001E-9</v>
      </c>
      <c r="P100" s="3">
        <v>7.9170000000000007E-9</v>
      </c>
      <c r="Q100" s="3">
        <v>3.2339999999999999E-10</v>
      </c>
      <c r="R100" s="3">
        <v>1.144E-8</v>
      </c>
      <c r="S100" s="13">
        <v>99999</v>
      </c>
      <c r="T100" s="13">
        <v>99999</v>
      </c>
      <c r="U100" s="13">
        <v>3.5397943747176169E-2</v>
      </c>
    </row>
    <row r="101" spans="1:21" x14ac:dyDescent="0.2">
      <c r="A101">
        <v>2</v>
      </c>
      <c r="B101" s="12">
        <v>1</v>
      </c>
      <c r="C101" s="16">
        <v>-2045</v>
      </c>
      <c r="D101" s="16">
        <v>-2045</v>
      </c>
      <c r="E101" s="3">
        <v>10.452432375000001</v>
      </c>
      <c r="F101" s="3">
        <v>10.452432375000001</v>
      </c>
      <c r="G101" s="3">
        <v>-2.4699999999999999E-9</v>
      </c>
      <c r="H101" s="3">
        <v>2.0559999999999999E-9</v>
      </c>
      <c r="I101" s="3">
        <v>-2.5679999999999998E-9</v>
      </c>
      <c r="J101" s="3">
        <v>1.897E-9</v>
      </c>
      <c r="K101" s="3">
        <v>-3.9719999999999998E-10</v>
      </c>
      <c r="L101" s="3">
        <v>4.0520000000000001E-10</v>
      </c>
      <c r="M101" s="3">
        <v>-5.1499999999999998E-9</v>
      </c>
      <c r="N101" s="3">
        <v>6.9759999999999999E-9</v>
      </c>
      <c r="O101" s="3">
        <v>-5.5940000000000003E-9</v>
      </c>
      <c r="P101" s="3">
        <v>6.6860000000000003E-9</v>
      </c>
      <c r="Q101" s="3">
        <v>2.7199999999999999E-10</v>
      </c>
      <c r="R101" s="3">
        <v>9.6630000000000002E-9</v>
      </c>
      <c r="S101" s="13">
        <v>99999</v>
      </c>
      <c r="T101" s="13">
        <v>99999</v>
      </c>
      <c r="U101" s="13">
        <v>3.5346091290376656E-2</v>
      </c>
    </row>
    <row r="102" spans="1:21" x14ac:dyDescent="0.2">
      <c r="A102">
        <v>3</v>
      </c>
      <c r="B102" s="12">
        <v>1</v>
      </c>
      <c r="C102" s="16">
        <v>-2041</v>
      </c>
      <c r="D102" s="16">
        <v>-2041</v>
      </c>
      <c r="E102" s="3">
        <v>10.44740475</v>
      </c>
      <c r="F102" s="3">
        <v>10.44740475</v>
      </c>
      <c r="G102" s="3">
        <v>-2.4909999999999998E-9</v>
      </c>
      <c r="H102" s="3">
        <v>2.0740000000000001E-9</v>
      </c>
      <c r="I102" s="3">
        <v>-2.5900000000000004E-9</v>
      </c>
      <c r="J102" s="3">
        <v>1.9130000000000003E-9</v>
      </c>
      <c r="K102" s="3">
        <v>-3.9719999999999998E-10</v>
      </c>
      <c r="L102" s="3">
        <v>4.0520000000000001E-10</v>
      </c>
      <c r="M102" s="3">
        <v>-4.2019999999999993E-9</v>
      </c>
      <c r="N102" s="3">
        <v>5.6919999999999998E-9</v>
      </c>
      <c r="O102" s="3">
        <v>-4.5660000000000002E-9</v>
      </c>
      <c r="P102" s="3">
        <v>5.4510000000000003E-9</v>
      </c>
      <c r="Q102" s="3">
        <v>2.203E-10</v>
      </c>
      <c r="R102" s="3">
        <v>7.8809999999999996E-9</v>
      </c>
      <c r="S102" s="13">
        <v>99999</v>
      </c>
      <c r="T102" s="13">
        <v>99999</v>
      </c>
      <c r="U102" s="13">
        <v>3.5276954681356887E-2</v>
      </c>
    </row>
    <row r="103" spans="1:21" x14ac:dyDescent="0.2">
      <c r="A103">
        <v>4</v>
      </c>
      <c r="B103" s="12">
        <v>1</v>
      </c>
      <c r="C103" s="16">
        <v>-2038</v>
      </c>
      <c r="D103" s="16">
        <v>-2038</v>
      </c>
      <c r="E103" s="3">
        <v>10.442377125</v>
      </c>
      <c r="F103" s="3">
        <v>10.442377125</v>
      </c>
      <c r="G103" s="3">
        <v>-2.5330000000000002E-9</v>
      </c>
      <c r="H103" s="3">
        <v>2.1090000000000001E-9</v>
      </c>
      <c r="I103" s="3">
        <v>-2.6329999999999999E-9</v>
      </c>
      <c r="J103" s="3">
        <v>1.9450000000000002E-9</v>
      </c>
      <c r="K103" s="3">
        <v>-3.9719999999999998E-10</v>
      </c>
      <c r="L103" s="3">
        <v>4.0520000000000001E-10</v>
      </c>
      <c r="M103" s="3">
        <v>-3.2449999999999999E-9</v>
      </c>
      <c r="N103" s="3">
        <v>4.3970000000000004E-9</v>
      </c>
      <c r="O103" s="3">
        <v>-3.5290000000000001E-9</v>
      </c>
      <c r="P103" s="3">
        <v>4.2050000000000003E-9</v>
      </c>
      <c r="Q103" s="3">
        <v>1.683E-10</v>
      </c>
      <c r="R103" s="3">
        <v>6.0840000000000001E-9</v>
      </c>
      <c r="S103" s="13">
        <v>99999</v>
      </c>
      <c r="T103" s="13">
        <v>99999</v>
      </c>
      <c r="U103" s="13">
        <v>3.5225102224555785E-2</v>
      </c>
    </row>
    <row r="104" spans="1:21" x14ac:dyDescent="0.2">
      <c r="A104">
        <v>5</v>
      </c>
      <c r="B104" s="12">
        <v>1</v>
      </c>
      <c r="C104" s="16">
        <v>-2034</v>
      </c>
      <c r="D104" s="16">
        <v>-2034</v>
      </c>
      <c r="E104" s="3">
        <v>10.4373495</v>
      </c>
      <c r="F104" s="3">
        <v>10.4373495</v>
      </c>
      <c r="G104" s="3">
        <v>-2.5989999999999998E-9</v>
      </c>
      <c r="H104" s="3">
        <v>2.1649999999999999E-9</v>
      </c>
      <c r="I104" s="3">
        <v>-2.7030000000000003E-9</v>
      </c>
      <c r="J104" s="3">
        <v>1.997E-9</v>
      </c>
      <c r="K104" s="3">
        <v>-3.9719999999999998E-10</v>
      </c>
      <c r="L104" s="3">
        <v>4.0520000000000001E-10</v>
      </c>
      <c r="M104" s="3">
        <v>-2.272E-9</v>
      </c>
      <c r="N104" s="3">
        <v>3.081E-9</v>
      </c>
      <c r="O104" s="3">
        <v>-2.4739999999999999E-9</v>
      </c>
      <c r="P104" s="3">
        <v>2.9390000000000003E-9</v>
      </c>
      <c r="Q104" s="3">
        <v>1.154E-10</v>
      </c>
      <c r="R104" s="3">
        <v>4.258E-9</v>
      </c>
      <c r="S104" s="13">
        <v>99999</v>
      </c>
      <c r="T104" s="13">
        <v>99999</v>
      </c>
      <c r="U104" s="13">
        <v>3.5155965615532546E-2</v>
      </c>
    </row>
    <row r="105" spans="1:21" x14ac:dyDescent="0.2">
      <c r="A105">
        <v>6</v>
      </c>
      <c r="B105" s="12">
        <v>1</v>
      </c>
      <c r="C105" s="16">
        <v>-2031</v>
      </c>
      <c r="D105" s="16">
        <v>-2031</v>
      </c>
      <c r="E105" s="3">
        <v>10.432321875</v>
      </c>
      <c r="F105" s="3">
        <v>10.432321875</v>
      </c>
      <c r="G105" s="3">
        <v>-2.6949999999999999E-9</v>
      </c>
      <c r="H105" s="3">
        <v>2.245E-9</v>
      </c>
      <c r="I105" s="3">
        <v>-2.8029999999999999E-9</v>
      </c>
      <c r="J105" s="3">
        <v>2.071E-9</v>
      </c>
      <c r="K105" s="3">
        <v>-3.9719999999999998E-10</v>
      </c>
      <c r="L105" s="3">
        <v>4.0520000000000001E-10</v>
      </c>
      <c r="M105" s="3">
        <v>-1.2739999999999999E-9</v>
      </c>
      <c r="N105" s="3">
        <v>1.7290000000000001E-9</v>
      </c>
      <c r="O105" s="3">
        <v>-1.3919999999999999E-9</v>
      </c>
      <c r="P105" s="3">
        <v>1.639E-9</v>
      </c>
      <c r="Q105" s="3">
        <v>6.1270000000000012E-11</v>
      </c>
      <c r="R105" s="3">
        <v>2.3829999999999997E-9</v>
      </c>
      <c r="S105" s="13">
        <v>99999</v>
      </c>
      <c r="T105" s="13">
        <v>99999</v>
      </c>
      <c r="U105" s="13">
        <v>3.5104113158725317E-2</v>
      </c>
    </row>
    <row r="106" spans="1:21" x14ac:dyDescent="0.2">
      <c r="A106">
        <v>7</v>
      </c>
      <c r="B106" s="12">
        <v>1</v>
      </c>
      <c r="C106" s="16">
        <v>-2027</v>
      </c>
      <c r="D106" s="16">
        <v>-2027</v>
      </c>
      <c r="E106" s="3">
        <v>10.427294249999999</v>
      </c>
      <c r="F106" s="3">
        <v>10.427294249999999</v>
      </c>
      <c r="G106" s="3">
        <v>-2.8229999999999999E-9</v>
      </c>
      <c r="H106" s="3">
        <v>2.3509999999999998E-9</v>
      </c>
      <c r="I106" s="3">
        <v>-2.9359999999999998E-9</v>
      </c>
      <c r="J106" s="3">
        <v>2.1689999999999999E-9</v>
      </c>
      <c r="K106" s="3">
        <v>-3.9719999999999998E-10</v>
      </c>
      <c r="L106" s="3">
        <v>4.0520000000000001E-10</v>
      </c>
      <c r="M106" s="3">
        <v>-2.4410000000000002E-10</v>
      </c>
      <c r="N106" s="3">
        <v>3.2909999999999998E-10</v>
      </c>
      <c r="O106" s="3">
        <v>-2.695E-10</v>
      </c>
      <c r="P106" s="3">
        <v>2.9169999999999999E-10</v>
      </c>
      <c r="Q106" s="3">
        <v>6.8470000000000002E-12</v>
      </c>
      <c r="R106" s="3">
        <v>4.3860000000000002E-10</v>
      </c>
      <c r="S106" s="13">
        <v>99999</v>
      </c>
      <c r="T106" s="13">
        <v>99999</v>
      </c>
      <c r="U106" s="13">
        <v>3.5034976549692752E-2</v>
      </c>
    </row>
    <row r="107" spans="1:21" x14ac:dyDescent="0.2">
      <c r="A107">
        <v>8</v>
      </c>
      <c r="B107" s="12">
        <v>1</v>
      </c>
      <c r="C107" s="16">
        <v>-2024</v>
      </c>
      <c r="D107" s="16">
        <v>-2024</v>
      </c>
      <c r="E107" s="3">
        <v>10.42227668025</v>
      </c>
      <c r="F107" s="3">
        <v>10.42227668025</v>
      </c>
      <c r="G107" s="3">
        <v>-2.9809999999999999E-9</v>
      </c>
      <c r="H107" s="3">
        <v>2.4839999999999997E-9</v>
      </c>
      <c r="I107" s="3">
        <v>-3.1009999999999999E-9</v>
      </c>
      <c r="J107" s="3">
        <v>2.2910000000000001E-9</v>
      </c>
      <c r="K107" s="3">
        <v>-3.9719999999999998E-10</v>
      </c>
      <c r="L107" s="3">
        <v>4.0520000000000001E-10</v>
      </c>
      <c r="M107" s="3">
        <v>-1.1400000000000002E-9</v>
      </c>
      <c r="N107" s="3">
        <v>8.4559999999999995E-10</v>
      </c>
      <c r="O107" s="3">
        <v>-1.1200000000000001E-9</v>
      </c>
      <c r="P107" s="3">
        <v>9.0620000000000003E-10</v>
      </c>
      <c r="Q107" s="3">
        <v>5.4079999999999996E-11</v>
      </c>
      <c r="R107" s="3">
        <v>1.5980000000000001E-9</v>
      </c>
      <c r="S107" s="13">
        <v>99999</v>
      </c>
      <c r="T107" s="13">
        <v>99999</v>
      </c>
      <c r="U107" s="13">
        <v>3.4983124093124471E-2</v>
      </c>
    </row>
    <row r="108" spans="1:21" x14ac:dyDescent="0.2">
      <c r="A108">
        <v>9</v>
      </c>
      <c r="B108" s="12">
        <v>1</v>
      </c>
      <c r="C108" s="16">
        <v>-2020</v>
      </c>
      <c r="D108" s="16">
        <v>-2020</v>
      </c>
      <c r="E108" s="3">
        <v>10.41724905525</v>
      </c>
      <c r="F108" s="3">
        <v>10.41724905525</v>
      </c>
      <c r="G108" s="3">
        <v>-3.1690000000000001E-9</v>
      </c>
      <c r="H108" s="3">
        <v>2.6419999999999998E-9</v>
      </c>
      <c r="I108" s="3">
        <v>-3.298E-9</v>
      </c>
      <c r="J108" s="3">
        <v>2.4359999999999999E-9</v>
      </c>
      <c r="K108" s="3">
        <v>-3.9719999999999998E-10</v>
      </c>
      <c r="L108" s="3">
        <v>4.0509999999999998E-10</v>
      </c>
      <c r="M108" s="3">
        <v>-2.6910000000000003E-9</v>
      </c>
      <c r="N108" s="3">
        <v>1.9910000000000003E-9</v>
      </c>
      <c r="O108" s="3">
        <v>-2.6099999999999999E-9</v>
      </c>
      <c r="P108" s="3">
        <v>2.148E-9</v>
      </c>
      <c r="Q108" s="3">
        <v>1.159E-10</v>
      </c>
      <c r="R108" s="3">
        <v>3.7490000000000002E-9</v>
      </c>
      <c r="S108" s="13">
        <v>99999</v>
      </c>
      <c r="T108" s="13">
        <v>99999</v>
      </c>
      <c r="U108" s="13">
        <v>3.4913987484414419E-2</v>
      </c>
    </row>
    <row r="109" spans="1:21" x14ac:dyDescent="0.2">
      <c r="A109">
        <v>10</v>
      </c>
      <c r="B109" s="12">
        <v>1</v>
      </c>
      <c r="C109" s="16">
        <v>-2017</v>
      </c>
      <c r="D109" s="16">
        <v>-2017</v>
      </c>
      <c r="E109" s="3">
        <v>10.41222143025</v>
      </c>
      <c r="F109" s="3">
        <v>10.41222143025</v>
      </c>
      <c r="G109" s="3">
        <v>-3.383E-9</v>
      </c>
      <c r="H109" s="3">
        <v>2.822E-9</v>
      </c>
      <c r="I109" s="3">
        <v>-3.522E-9</v>
      </c>
      <c r="J109" s="3">
        <v>2.601E-9</v>
      </c>
      <c r="K109" s="3">
        <v>-3.9719999999999998E-10</v>
      </c>
      <c r="L109" s="3">
        <v>4.0509999999999998E-10</v>
      </c>
      <c r="M109" s="3">
        <v>-4.3400000000000003E-9</v>
      </c>
      <c r="N109" s="3">
        <v>3.209E-9</v>
      </c>
      <c r="O109" s="3">
        <v>-4.1949999999999997E-9</v>
      </c>
      <c r="P109" s="3">
        <v>3.4690000000000003E-9</v>
      </c>
      <c r="Q109" s="3">
        <v>1.8160000000000002E-10</v>
      </c>
      <c r="R109" s="3">
        <v>6.0360000000000002E-9</v>
      </c>
      <c r="S109" s="13">
        <v>99999</v>
      </c>
      <c r="T109" s="13">
        <v>99999</v>
      </c>
      <c r="U109" s="13">
        <v>3.4862135027934928E-2</v>
      </c>
    </row>
    <row r="110" spans="1:21" x14ac:dyDescent="0.2">
      <c r="A110">
        <v>11</v>
      </c>
      <c r="B110" s="12">
        <v>1</v>
      </c>
      <c r="C110" s="16">
        <v>-2013</v>
      </c>
      <c r="D110" s="16">
        <v>-2013</v>
      </c>
      <c r="E110" s="3">
        <v>10.407193805249999</v>
      </c>
      <c r="F110" s="3">
        <v>10.407193805249999</v>
      </c>
      <c r="G110" s="3">
        <v>-3.6169999999999998E-9</v>
      </c>
      <c r="H110" s="3">
        <v>3.0189999999999996E-9</v>
      </c>
      <c r="I110" s="3">
        <v>-3.7669999999999999E-9</v>
      </c>
      <c r="J110" s="3">
        <v>2.7819999999999997E-9</v>
      </c>
      <c r="K110" s="3">
        <v>-3.9719999999999998E-10</v>
      </c>
      <c r="L110" s="3">
        <v>4.0509999999999998E-10</v>
      </c>
      <c r="M110" s="3">
        <v>-6.1009999999999995E-9</v>
      </c>
      <c r="N110" s="3">
        <v>4.509E-9</v>
      </c>
      <c r="O110" s="3">
        <v>-5.8859999999999997E-9</v>
      </c>
      <c r="P110" s="3">
        <v>4.8799999999999997E-9</v>
      </c>
      <c r="Q110" s="3">
        <v>2.5150000000000001E-10</v>
      </c>
      <c r="R110" s="3">
        <v>8.4770000000000004E-9</v>
      </c>
      <c r="S110" s="13">
        <v>99999</v>
      </c>
      <c r="T110" s="13">
        <v>99999</v>
      </c>
      <c r="U110" s="13">
        <v>3.4792998419247705E-2</v>
      </c>
    </row>
    <row r="111" spans="1:21" x14ac:dyDescent="0.2">
      <c r="A111">
        <v>12</v>
      </c>
      <c r="B111" s="12">
        <v>1</v>
      </c>
      <c r="C111" s="16">
        <v>-2010</v>
      </c>
      <c r="D111" s="16">
        <v>-2010</v>
      </c>
      <c r="E111" s="3">
        <v>10.402166180250001</v>
      </c>
      <c r="F111" s="3">
        <v>10.402166180250001</v>
      </c>
      <c r="G111" s="3">
        <v>-3.8650000000000002E-9</v>
      </c>
      <c r="H111" s="3">
        <v>3.2270000000000001E-9</v>
      </c>
      <c r="I111" s="3">
        <v>-4.026E-9</v>
      </c>
      <c r="J111" s="3">
        <v>2.973E-9</v>
      </c>
      <c r="K111" s="3">
        <v>-3.9719999999999998E-10</v>
      </c>
      <c r="L111" s="3">
        <v>4.0509999999999998E-10</v>
      </c>
      <c r="M111" s="3">
        <v>-7.9840000000000006E-9</v>
      </c>
      <c r="N111" s="3">
        <v>5.8999999999999999E-9</v>
      </c>
      <c r="O111" s="3">
        <v>-7.6950000000000004E-9</v>
      </c>
      <c r="P111" s="3">
        <v>6.3890000000000002E-9</v>
      </c>
      <c r="Q111" s="3">
        <v>3.2620000000000002E-10</v>
      </c>
      <c r="R111" s="3">
        <v>1.109E-8</v>
      </c>
      <c r="S111" s="13">
        <v>99999</v>
      </c>
      <c r="T111" s="13">
        <v>99999</v>
      </c>
      <c r="U111" s="13">
        <v>3.4741145962793894E-2</v>
      </c>
    </row>
    <row r="112" spans="1:21" x14ac:dyDescent="0.2">
      <c r="A112">
        <v>13</v>
      </c>
      <c r="B112" s="12">
        <v>1</v>
      </c>
      <c r="C112" s="16">
        <v>-2006</v>
      </c>
      <c r="D112" s="16">
        <v>-2006</v>
      </c>
      <c r="E112" s="3">
        <v>10.397138555250001</v>
      </c>
      <c r="F112" s="3">
        <v>10.397138555250001</v>
      </c>
      <c r="G112" s="3">
        <v>-4.1150000000000008E-9</v>
      </c>
      <c r="H112" s="3">
        <v>3.437E-9</v>
      </c>
      <c r="I112" s="3">
        <v>-4.2880000000000001E-9</v>
      </c>
      <c r="J112" s="3">
        <v>3.166E-9</v>
      </c>
      <c r="K112" s="3">
        <v>-3.9719999999999998E-10</v>
      </c>
      <c r="L112" s="3">
        <v>4.0509999999999998E-10</v>
      </c>
      <c r="M112" s="3">
        <v>-9.9970000000000001E-9</v>
      </c>
      <c r="N112" s="3">
        <v>7.3869999999999994E-9</v>
      </c>
      <c r="O112" s="3">
        <v>-9.6269999999999991E-9</v>
      </c>
      <c r="P112" s="3">
        <v>8.0029999999999989E-9</v>
      </c>
      <c r="Q112" s="3">
        <v>4.0570000000000001E-10</v>
      </c>
      <c r="R112" s="3">
        <v>1.3879999999999999E-8</v>
      </c>
      <c r="S112" s="13">
        <v>99999</v>
      </c>
      <c r="T112" s="13">
        <v>99999</v>
      </c>
      <c r="U112" s="13">
        <v>3.4672009354134149E-2</v>
      </c>
    </row>
    <row r="113" spans="1:21" x14ac:dyDescent="0.2">
      <c r="A113">
        <v>14</v>
      </c>
      <c r="B113" s="12">
        <v>1</v>
      </c>
      <c r="C113" s="16">
        <v>-2003</v>
      </c>
      <c r="D113" s="16">
        <v>-2003</v>
      </c>
      <c r="E113" s="3">
        <v>10.39211093025</v>
      </c>
      <c r="F113" s="3">
        <v>10.39211093025</v>
      </c>
      <c r="G113" s="3">
        <v>-4.355E-9</v>
      </c>
      <c r="H113" s="3">
        <v>3.6399999999999998E-9</v>
      </c>
      <c r="I113" s="3">
        <v>-4.5409999999999999E-9</v>
      </c>
      <c r="J113" s="3">
        <v>3.3529999999999999E-9</v>
      </c>
      <c r="K113" s="3">
        <v>-3.9709999999999995E-10</v>
      </c>
      <c r="L113" s="3">
        <v>4.0520000000000001E-10</v>
      </c>
      <c r="M113" s="3">
        <v>-1.214E-8</v>
      </c>
      <c r="N113" s="3">
        <v>8.9700000000000003E-9</v>
      </c>
      <c r="O113" s="3">
        <v>-1.1679999999999999E-8</v>
      </c>
      <c r="P113" s="3">
        <v>9.7209999999999998E-9</v>
      </c>
      <c r="Q113" s="3">
        <v>4.8999999999999996E-10</v>
      </c>
      <c r="R113" s="3">
        <v>1.6849999999999999E-8</v>
      </c>
      <c r="S113" s="13">
        <v>99999</v>
      </c>
      <c r="T113" s="13">
        <v>99999</v>
      </c>
      <c r="U113" s="13">
        <v>3.4620156897708441E-2</v>
      </c>
    </row>
    <row r="114" spans="1:21" x14ac:dyDescent="0.2">
      <c r="A114">
        <v>15</v>
      </c>
      <c r="B114" s="12">
        <v>1</v>
      </c>
      <c r="C114" s="16">
        <v>-1999</v>
      </c>
      <c r="D114" s="16">
        <v>-1999</v>
      </c>
      <c r="E114" s="3">
        <v>10.38708330525</v>
      </c>
      <c r="F114" s="3">
        <v>10.38708330525</v>
      </c>
      <c r="G114" s="3">
        <v>-4.571E-9</v>
      </c>
      <c r="H114" s="3">
        <v>3.8229999999999997E-9</v>
      </c>
      <c r="I114" s="3">
        <v>-4.7680000000000001E-9</v>
      </c>
      <c r="J114" s="3">
        <v>3.5200000000000003E-9</v>
      </c>
      <c r="K114" s="3">
        <v>-3.9689999999999999E-10</v>
      </c>
      <c r="L114" s="3">
        <v>4.0540000000000002E-10</v>
      </c>
      <c r="M114" s="3">
        <v>-1.441E-8</v>
      </c>
      <c r="N114" s="3">
        <v>1.0649999999999999E-8</v>
      </c>
      <c r="O114" s="3">
        <v>-1.386E-8</v>
      </c>
      <c r="P114" s="3">
        <v>1.1539999999999999E-8</v>
      </c>
      <c r="Q114" s="3">
        <v>5.791E-10</v>
      </c>
      <c r="R114" s="3">
        <v>2E-8</v>
      </c>
      <c r="S114" s="13">
        <v>99999</v>
      </c>
      <c r="T114" s="13">
        <v>99999</v>
      </c>
      <c r="U114" s="13">
        <v>3.4551020289077056E-2</v>
      </c>
    </row>
    <row r="115" spans="1:21" x14ac:dyDescent="0.2">
      <c r="A115">
        <v>16</v>
      </c>
      <c r="B115" s="12">
        <v>1</v>
      </c>
      <c r="C115" s="16">
        <v>-1996</v>
      </c>
      <c r="D115" s="16">
        <v>-1996</v>
      </c>
      <c r="E115" s="3">
        <v>10.38205568025</v>
      </c>
      <c r="F115" s="3">
        <v>10.38205568025</v>
      </c>
      <c r="G115" s="3">
        <v>-4.7440000000000002E-9</v>
      </c>
      <c r="H115" s="3">
        <v>3.9709999999999996E-9</v>
      </c>
      <c r="I115" s="3">
        <v>-4.9520000000000003E-9</v>
      </c>
      <c r="J115" s="3">
        <v>3.6550000000000003E-9</v>
      </c>
      <c r="K115" s="3">
        <v>-3.9680000000000002E-10</v>
      </c>
      <c r="L115" s="3">
        <v>4.0559999999999997E-10</v>
      </c>
      <c r="M115" s="3">
        <v>-1.6799999999999998E-8</v>
      </c>
      <c r="N115" s="3">
        <v>1.241E-8</v>
      </c>
      <c r="O115" s="3">
        <v>-1.6149999999999999E-8</v>
      </c>
      <c r="P115" s="3">
        <v>1.345E-8</v>
      </c>
      <c r="Q115" s="3">
        <v>6.7220000000000002E-10</v>
      </c>
      <c r="R115" s="3">
        <v>2.33E-8</v>
      </c>
      <c r="S115" s="13">
        <v>99999</v>
      </c>
      <c r="T115" s="13">
        <v>99999</v>
      </c>
      <c r="U115" s="13">
        <v>3.4499167832677327E-2</v>
      </c>
    </row>
    <row r="116" spans="1:21" x14ac:dyDescent="0.2">
      <c r="A116">
        <v>17</v>
      </c>
      <c r="B116" s="12">
        <v>1</v>
      </c>
      <c r="C116" s="16">
        <v>-1992</v>
      </c>
      <c r="D116" s="16">
        <v>-1992</v>
      </c>
      <c r="E116" s="3">
        <v>10.377028055249999</v>
      </c>
      <c r="F116" s="3">
        <v>10.377028055249999</v>
      </c>
      <c r="G116" s="3">
        <v>-4.8559999999999998E-9</v>
      </c>
      <c r="H116" s="3">
        <v>4.0679999999999996E-9</v>
      </c>
      <c r="I116" s="3">
        <v>-5.0710000000000004E-9</v>
      </c>
      <c r="J116" s="3">
        <v>3.743E-9</v>
      </c>
      <c r="K116" s="3">
        <v>-3.9660000000000001E-10</v>
      </c>
      <c r="L116" s="3">
        <v>4.0570000000000001E-10</v>
      </c>
      <c r="M116" s="3">
        <v>-1.927E-8</v>
      </c>
      <c r="N116" s="3">
        <v>1.4229999999999999E-8</v>
      </c>
      <c r="O116" s="3">
        <v>-1.852E-8</v>
      </c>
      <c r="P116" s="3">
        <v>1.5440000000000001E-8</v>
      </c>
      <c r="Q116" s="3">
        <v>7.6840000000000006E-10</v>
      </c>
      <c r="R116" s="3">
        <v>2.6729999999999998E-8</v>
      </c>
      <c r="S116" s="13">
        <v>99999</v>
      </c>
      <c r="T116" s="13">
        <v>99999</v>
      </c>
      <c r="U116" s="13">
        <v>3.4430031224068E-2</v>
      </c>
    </row>
    <row r="117" spans="1:21" x14ac:dyDescent="0.2">
      <c r="A117">
        <v>18</v>
      </c>
      <c r="B117" s="12">
        <v>1</v>
      </c>
      <c r="C117" s="16">
        <v>-1988</v>
      </c>
      <c r="D117" s="16">
        <v>-1988</v>
      </c>
      <c r="E117" s="3">
        <v>10.372000430250001</v>
      </c>
      <c r="F117" s="3">
        <v>10.372000430250001</v>
      </c>
      <c r="G117" s="3">
        <v>-4.8820000000000003E-9</v>
      </c>
      <c r="H117" s="3">
        <v>4.0940000000000001E-9</v>
      </c>
      <c r="I117" s="3">
        <v>-5.102E-9</v>
      </c>
      <c r="J117" s="3">
        <v>3.7650000000000001E-9</v>
      </c>
      <c r="K117" s="3">
        <v>-3.9630000000000002E-10</v>
      </c>
      <c r="L117" s="3">
        <v>4.0590000000000001E-10</v>
      </c>
      <c r="M117" s="3">
        <v>-2.1809999999999998E-8</v>
      </c>
      <c r="N117" s="3">
        <v>1.611E-8</v>
      </c>
      <c r="O117" s="3">
        <v>-2.0950000000000002E-8</v>
      </c>
      <c r="P117" s="3">
        <v>1.747E-8</v>
      </c>
      <c r="Q117" s="3">
        <v>8.6640000000000003E-10</v>
      </c>
      <c r="R117" s="3">
        <v>3.0239999999999998E-8</v>
      </c>
      <c r="S117" s="13">
        <v>99999</v>
      </c>
      <c r="T117" s="13">
        <v>99999</v>
      </c>
      <c r="U117" s="13">
        <v>3.4360894615464953E-2</v>
      </c>
    </row>
    <row r="118" spans="1:21" x14ac:dyDescent="0.2">
      <c r="A118">
        <v>19</v>
      </c>
      <c r="B118" s="12">
        <v>1</v>
      </c>
      <c r="C118" s="16">
        <v>-1985</v>
      </c>
      <c r="D118" s="16">
        <v>-1985</v>
      </c>
      <c r="E118" s="3">
        <v>10.366972805250001</v>
      </c>
      <c r="F118" s="3">
        <v>10.366972805250001</v>
      </c>
      <c r="G118" s="3">
        <v>-4.7960000000000004E-9</v>
      </c>
      <c r="H118" s="3">
        <v>4.0269999999999994E-9</v>
      </c>
      <c r="I118" s="3">
        <v>-5.0170000000000004E-9</v>
      </c>
      <c r="J118" s="3">
        <v>3.7019999999999998E-9</v>
      </c>
      <c r="K118" s="3">
        <v>-3.9599999999999998E-10</v>
      </c>
      <c r="L118" s="3">
        <v>4.062E-10</v>
      </c>
      <c r="M118" s="3">
        <v>-2.4360000000000001E-8</v>
      </c>
      <c r="N118" s="3">
        <v>1.7989999999999998E-8</v>
      </c>
      <c r="O118" s="3">
        <v>-2.3390000000000003E-8</v>
      </c>
      <c r="P118" s="3">
        <v>1.9519999999999999E-8</v>
      </c>
      <c r="Q118" s="3">
        <v>9.644000000000001E-10</v>
      </c>
      <c r="R118" s="3">
        <v>3.3769999999999997E-8</v>
      </c>
      <c r="S118" s="13">
        <v>99999</v>
      </c>
      <c r="T118" s="13">
        <v>99999</v>
      </c>
      <c r="U118" s="13">
        <v>3.4309042159083349E-2</v>
      </c>
    </row>
    <row r="119" spans="1:21" x14ac:dyDescent="0.2">
      <c r="A119">
        <v>20</v>
      </c>
      <c r="B119" s="12">
        <v>1</v>
      </c>
      <c r="C119" s="16">
        <v>-1981</v>
      </c>
      <c r="D119" s="16">
        <v>-1981</v>
      </c>
      <c r="E119" s="3">
        <v>10.36194518025</v>
      </c>
      <c r="F119" s="3">
        <v>10.36194518025</v>
      </c>
      <c r="G119" s="3">
        <v>-4.571E-9</v>
      </c>
      <c r="H119" s="3">
        <v>3.8439999999999995E-9</v>
      </c>
      <c r="I119" s="3">
        <v>-4.7879999999999996E-9</v>
      </c>
      <c r="J119" s="3">
        <v>3.5319999999999998E-9</v>
      </c>
      <c r="K119" s="3">
        <v>-3.9579999999999997E-10</v>
      </c>
      <c r="L119" s="3">
        <v>4.0639999999999996E-10</v>
      </c>
      <c r="M119" s="3">
        <v>-2.6869999999999998E-8</v>
      </c>
      <c r="N119" s="3">
        <v>1.9840000000000001E-8</v>
      </c>
      <c r="O119" s="3">
        <v>-2.5789999999999998E-8</v>
      </c>
      <c r="P119" s="3">
        <v>2.1529999999999998E-8</v>
      </c>
      <c r="Q119" s="3">
        <v>1.0600000000000001E-9</v>
      </c>
      <c r="R119" s="3">
        <v>3.7240000000000001E-8</v>
      </c>
      <c r="S119" s="13">
        <v>99999</v>
      </c>
      <c r="T119" s="13">
        <v>99999</v>
      </c>
      <c r="U119" s="13">
        <v>3.4239905550477158E-2</v>
      </c>
    </row>
    <row r="120" spans="1:21" x14ac:dyDescent="0.2">
      <c r="A120">
        <v>21</v>
      </c>
      <c r="B120" s="12">
        <v>1</v>
      </c>
      <c r="C120" s="16">
        <v>-1978</v>
      </c>
      <c r="D120" s="16">
        <v>-1978</v>
      </c>
      <c r="E120" s="3">
        <v>10.35691755525</v>
      </c>
      <c r="F120" s="3">
        <v>10.35691755525</v>
      </c>
      <c r="G120" s="3">
        <v>-4.1750000000000002E-9</v>
      </c>
      <c r="H120" s="3">
        <v>3.5189999999999999E-9</v>
      </c>
      <c r="I120" s="3">
        <v>-4.3800000000000002E-9</v>
      </c>
      <c r="J120" s="3">
        <v>3.2299999999999998E-9</v>
      </c>
      <c r="K120" s="3">
        <v>-3.9550000000000003E-10</v>
      </c>
      <c r="L120" s="3">
        <v>4.0660000000000002E-10</v>
      </c>
      <c r="M120" s="3">
        <v>-2.9260000000000002E-8</v>
      </c>
      <c r="N120" s="3">
        <v>2.1610000000000003E-8</v>
      </c>
      <c r="O120" s="3">
        <v>-2.8069999999999999E-8</v>
      </c>
      <c r="P120" s="3">
        <v>2.3450000000000002E-8</v>
      </c>
      <c r="Q120" s="3">
        <v>1.15E-9</v>
      </c>
      <c r="R120" s="3">
        <v>4.0550000000000002E-8</v>
      </c>
      <c r="S120" s="13">
        <v>99999</v>
      </c>
      <c r="T120" s="13">
        <v>99999</v>
      </c>
      <c r="U120" s="13">
        <v>3.4188053094078227E-2</v>
      </c>
    </row>
    <row r="121" spans="1:21" x14ac:dyDescent="0.2">
      <c r="A121">
        <v>22</v>
      </c>
      <c r="B121" s="12">
        <v>1</v>
      </c>
      <c r="C121" s="16">
        <v>-1974</v>
      </c>
      <c r="D121" s="16">
        <v>-1974</v>
      </c>
      <c r="E121" s="3">
        <v>10.351899985500001</v>
      </c>
      <c r="F121" s="3">
        <v>10.351899985500001</v>
      </c>
      <c r="G121" s="3">
        <v>-3.573E-9</v>
      </c>
      <c r="H121" s="3">
        <v>3.023E-9</v>
      </c>
      <c r="I121" s="3">
        <v>-3.7589999999999999E-9</v>
      </c>
      <c r="J121" s="3">
        <v>2.7709999999999996E-9</v>
      </c>
      <c r="K121" s="3">
        <v>-3.9519999999999999E-10</v>
      </c>
      <c r="L121" s="3">
        <v>4.0690000000000001E-10</v>
      </c>
      <c r="M121" s="3">
        <v>-3.145E-8</v>
      </c>
      <c r="N121" s="3">
        <v>2.3220000000000002E-8</v>
      </c>
      <c r="O121" s="3">
        <v>-3.016E-8</v>
      </c>
      <c r="P121" s="3">
        <v>2.5210000000000002E-8</v>
      </c>
      <c r="Q121" s="3">
        <v>1.2320000000000001E-9</v>
      </c>
      <c r="R121" s="3">
        <v>4.3569999999999999E-8</v>
      </c>
      <c r="S121" s="13">
        <v>99999</v>
      </c>
      <c r="T121" s="13">
        <v>99999</v>
      </c>
      <c r="U121" s="13">
        <v>3.41189164854366E-2</v>
      </c>
    </row>
    <row r="122" spans="1:21" x14ac:dyDescent="0.2">
      <c r="A122">
        <v>23</v>
      </c>
      <c r="B122" s="12">
        <v>1</v>
      </c>
      <c r="C122" s="16">
        <v>-1971</v>
      </c>
      <c r="D122" s="16">
        <v>-1971</v>
      </c>
      <c r="E122" s="3">
        <v>10.346872360500001</v>
      </c>
      <c r="F122" s="3">
        <v>10.346872360500001</v>
      </c>
      <c r="G122" s="3">
        <v>-2.7300000000000003E-9</v>
      </c>
      <c r="H122" s="3">
        <v>2.3250000000000001E-9</v>
      </c>
      <c r="I122" s="3">
        <v>-2.8860000000000002E-9</v>
      </c>
      <c r="J122" s="3">
        <v>2.1259999999999999E-9</v>
      </c>
      <c r="K122" s="3">
        <v>-3.9499999999999998E-10</v>
      </c>
      <c r="L122" s="3">
        <v>4.072E-10</v>
      </c>
      <c r="M122" s="3">
        <v>-3.3330000000000001E-8</v>
      </c>
      <c r="N122" s="3">
        <v>2.461E-8</v>
      </c>
      <c r="O122" s="3">
        <v>-3.1949999999999998E-8</v>
      </c>
      <c r="P122" s="3">
        <v>2.6729999999999998E-8</v>
      </c>
      <c r="Q122" s="3">
        <v>1.3000000000000001E-9</v>
      </c>
      <c r="R122" s="3">
        <v>4.6170000000000002E-8</v>
      </c>
      <c r="S122" s="13">
        <v>99999</v>
      </c>
      <c r="T122" s="13">
        <v>99999</v>
      </c>
      <c r="U122" s="13">
        <v>3.4067064028981756E-2</v>
      </c>
    </row>
    <row r="123" spans="1:21" x14ac:dyDescent="0.2">
      <c r="A123">
        <v>24</v>
      </c>
      <c r="B123" s="12">
        <v>1</v>
      </c>
      <c r="C123" s="16">
        <v>-1967</v>
      </c>
      <c r="D123" s="16">
        <v>-1967</v>
      </c>
      <c r="E123" s="3">
        <v>10.3418447355</v>
      </c>
      <c r="F123" s="3">
        <v>10.3418447355</v>
      </c>
      <c r="G123" s="3">
        <v>-1.608E-9</v>
      </c>
      <c r="H123" s="3">
        <v>1.3960000000000001E-9</v>
      </c>
      <c r="I123" s="3">
        <v>-1.7239999999999998E-9</v>
      </c>
      <c r="J123" s="3">
        <v>1.2669999999999999E-9</v>
      </c>
      <c r="K123" s="3">
        <v>-3.9469999999999999E-10</v>
      </c>
      <c r="L123" s="3">
        <v>4.0740000000000001E-10</v>
      </c>
      <c r="M123" s="3">
        <v>-3.477E-8</v>
      </c>
      <c r="N123" s="3">
        <v>2.5670000000000001E-8</v>
      </c>
      <c r="O123" s="3">
        <v>-3.3309999999999999E-8</v>
      </c>
      <c r="P123" s="3">
        <v>2.789E-8</v>
      </c>
      <c r="Q123" s="3">
        <v>1.3500000000000001E-9</v>
      </c>
      <c r="R123" s="3">
        <v>4.8149999999999998E-8</v>
      </c>
      <c r="S123" s="13">
        <v>99999</v>
      </c>
      <c r="T123" s="13">
        <v>99999</v>
      </c>
      <c r="U123" s="13">
        <v>3.3997927420258235E-2</v>
      </c>
    </row>
    <row r="124" spans="1:21" x14ac:dyDescent="0.2">
      <c r="A124">
        <v>25</v>
      </c>
      <c r="B124" s="12">
        <v>1</v>
      </c>
      <c r="C124" s="16">
        <v>-1964</v>
      </c>
      <c r="D124" s="16">
        <v>-1964</v>
      </c>
      <c r="E124" s="3">
        <v>10.3368171105</v>
      </c>
      <c r="F124" s="3">
        <v>10.3368171105</v>
      </c>
      <c r="G124" s="3">
        <v>-1.7750000000000001E-10</v>
      </c>
      <c r="H124" s="3">
        <v>2.0220000000000001E-10</v>
      </c>
      <c r="I124" s="3">
        <v>-2.6179999999999996E-10</v>
      </c>
      <c r="J124" s="3">
        <v>1.94E-10</v>
      </c>
      <c r="K124" s="3">
        <v>-3.9449999999999998E-10</v>
      </c>
      <c r="L124" s="3">
        <v>4.077E-10</v>
      </c>
      <c r="M124" s="3">
        <v>-3.5630000000000002E-8</v>
      </c>
      <c r="N124" s="3">
        <v>2.6299999999999997E-8</v>
      </c>
      <c r="O124" s="3">
        <v>-3.4109999999999999E-8</v>
      </c>
      <c r="P124" s="3">
        <v>2.859E-8</v>
      </c>
      <c r="Q124" s="3">
        <v>1.3749999999999999E-9</v>
      </c>
      <c r="R124" s="3">
        <v>4.9329999999999999E-8</v>
      </c>
      <c r="S124" s="13">
        <v>99999</v>
      </c>
      <c r="T124" s="13">
        <v>99999</v>
      </c>
      <c r="U124" s="13">
        <v>3.3946074963691571E-2</v>
      </c>
    </row>
    <row r="125" spans="1:21" x14ac:dyDescent="0.2">
      <c r="A125">
        <v>26</v>
      </c>
      <c r="B125" s="12">
        <v>1</v>
      </c>
      <c r="C125" s="16">
        <v>-1960</v>
      </c>
      <c r="D125" s="16">
        <v>-1960</v>
      </c>
      <c r="E125" s="3">
        <v>10.3317894855</v>
      </c>
      <c r="F125" s="3">
        <v>10.3317894855</v>
      </c>
      <c r="G125" s="3">
        <v>-1.293E-9</v>
      </c>
      <c r="H125" s="3">
        <v>1.626E-9</v>
      </c>
      <c r="I125" s="3">
        <v>-1.2130000000000001E-9</v>
      </c>
      <c r="J125" s="3">
        <v>1.6309999999999998E-9</v>
      </c>
      <c r="K125" s="3">
        <v>-3.9420000000000004E-10</v>
      </c>
      <c r="L125" s="3">
        <v>4.0799999999999999E-10</v>
      </c>
      <c r="M125" s="3">
        <v>-3.5749999999999999E-8</v>
      </c>
      <c r="N125" s="3">
        <v>2.6380000000000002E-8</v>
      </c>
      <c r="O125" s="3">
        <v>-3.4199999999999995E-8</v>
      </c>
      <c r="P125" s="3">
        <v>2.8690000000000001E-8</v>
      </c>
      <c r="Q125" s="3">
        <v>1.3710000000000001E-9</v>
      </c>
      <c r="R125" s="3">
        <v>4.9469999999999999E-8</v>
      </c>
      <c r="S125" s="13">
        <v>99999</v>
      </c>
      <c r="T125" s="13">
        <v>99999</v>
      </c>
      <c r="U125" s="13">
        <v>3.3876938354823152E-2</v>
      </c>
    </row>
    <row r="126" spans="1:21" x14ac:dyDescent="0.2">
      <c r="A126">
        <v>27</v>
      </c>
      <c r="B126" s="12">
        <v>1</v>
      </c>
      <c r="C126" s="16">
        <v>-1957</v>
      </c>
      <c r="D126" s="16">
        <v>-1957</v>
      </c>
      <c r="E126" s="3">
        <v>10.3267618605</v>
      </c>
      <c r="F126" s="3">
        <v>10.3267618605</v>
      </c>
      <c r="G126" s="3">
        <v>-3.1129999999999999E-9</v>
      </c>
      <c r="H126" s="3">
        <v>3.8179999999999998E-9</v>
      </c>
      <c r="I126" s="3">
        <v>-2.8959999999999999E-9</v>
      </c>
      <c r="J126" s="3">
        <v>3.9090000000000005E-9</v>
      </c>
      <c r="K126" s="3">
        <v>-3.939E-10</v>
      </c>
      <c r="L126" s="3">
        <v>4.0830000000000003E-10</v>
      </c>
      <c r="M126" s="3">
        <v>-3.4940000000000001E-8</v>
      </c>
      <c r="N126" s="3">
        <v>2.578E-8</v>
      </c>
      <c r="O126" s="3">
        <v>-3.3389999999999997E-8</v>
      </c>
      <c r="P126" s="3">
        <v>2.8039999999999998E-8</v>
      </c>
      <c r="Q126" s="3">
        <v>1.328E-9</v>
      </c>
      <c r="R126" s="3">
        <v>4.8319999999999999E-8</v>
      </c>
      <c r="S126" s="13">
        <v>99999</v>
      </c>
      <c r="T126" s="13">
        <v>99999</v>
      </c>
      <c r="U126" s="13">
        <v>3.3825085898073017E-2</v>
      </c>
    </row>
    <row r="127" spans="1:21" x14ac:dyDescent="0.2">
      <c r="A127">
        <v>28</v>
      </c>
      <c r="B127" s="12">
        <v>1</v>
      </c>
      <c r="C127" s="16">
        <v>-1953</v>
      </c>
      <c r="D127" s="16">
        <v>-1953</v>
      </c>
      <c r="E127" s="3">
        <v>10.321734235500001</v>
      </c>
      <c r="F127" s="3">
        <v>10.321734235500001</v>
      </c>
      <c r="G127" s="3">
        <v>-5.2989999999999992E-9</v>
      </c>
      <c r="H127" s="3">
        <v>6.4439999999999997E-9</v>
      </c>
      <c r="I127" s="3">
        <v>-4.9129999999999999E-9</v>
      </c>
      <c r="J127" s="3">
        <v>6.6389999999999999E-9</v>
      </c>
      <c r="K127" s="3">
        <v>-3.9350000000000004E-10</v>
      </c>
      <c r="L127" s="3">
        <v>4.0849999999999999E-10</v>
      </c>
      <c r="M127" s="3">
        <v>-3.2980000000000002E-8</v>
      </c>
      <c r="N127" s="3">
        <v>2.433E-8</v>
      </c>
      <c r="O127" s="3">
        <v>-3.1479999999999995E-8</v>
      </c>
      <c r="P127" s="3">
        <v>2.6489999999999998E-8</v>
      </c>
      <c r="Q127" s="3">
        <v>1.2400000000000001E-9</v>
      </c>
      <c r="R127" s="3">
        <v>4.559E-8</v>
      </c>
      <c r="S127" s="13">
        <v>99999</v>
      </c>
      <c r="T127" s="13">
        <v>99999</v>
      </c>
      <c r="U127" s="13">
        <v>3.3755949288978584E-2</v>
      </c>
    </row>
    <row r="128" spans="1:21" x14ac:dyDescent="0.2">
      <c r="A128">
        <v>29</v>
      </c>
      <c r="B128" s="12">
        <v>1</v>
      </c>
      <c r="C128" s="16">
        <v>-1950</v>
      </c>
      <c r="D128" s="16">
        <v>-1950</v>
      </c>
      <c r="E128" s="3">
        <v>10.316706610500001</v>
      </c>
      <c r="F128" s="3">
        <v>10.316706610500001</v>
      </c>
      <c r="G128" s="3">
        <v>-7.8779999999999995E-9</v>
      </c>
      <c r="H128" s="3">
        <v>9.5410000000000009E-9</v>
      </c>
      <c r="I128" s="3">
        <v>-7.2910000000000006E-9</v>
      </c>
      <c r="J128" s="3">
        <v>9.8579999999999997E-9</v>
      </c>
      <c r="K128" s="3">
        <v>-3.9310000000000002E-10</v>
      </c>
      <c r="L128" s="3">
        <v>4.0880000000000003E-10</v>
      </c>
      <c r="M128" s="3">
        <v>-2.9660000000000002E-8</v>
      </c>
      <c r="N128" s="3">
        <v>2.187E-8</v>
      </c>
      <c r="O128" s="3">
        <v>-2.826E-8</v>
      </c>
      <c r="P128" s="3">
        <v>2.384E-8</v>
      </c>
      <c r="Q128" s="3">
        <v>1.0959999999999999E-9</v>
      </c>
      <c r="R128" s="3">
        <v>4.0970000000000002E-8</v>
      </c>
      <c r="S128" s="13">
        <v>99999</v>
      </c>
      <c r="T128" s="13">
        <v>99999</v>
      </c>
      <c r="U128" s="13">
        <v>3.3704096831955202E-2</v>
      </c>
    </row>
    <row r="129" spans="1:21" x14ac:dyDescent="0.2">
      <c r="A129">
        <v>30</v>
      </c>
      <c r="B129" s="12">
        <v>1</v>
      </c>
      <c r="C129" s="16">
        <v>-1946</v>
      </c>
      <c r="D129" s="16">
        <v>-1946</v>
      </c>
      <c r="E129" s="3">
        <v>10.3116789855</v>
      </c>
      <c r="F129" s="3">
        <v>10.3116789855</v>
      </c>
      <c r="G129" s="3">
        <v>-1.0869999999999999E-8</v>
      </c>
      <c r="H129" s="3">
        <v>1.3139999999999999E-8</v>
      </c>
      <c r="I129" s="3">
        <v>-1.0050000000000001E-8</v>
      </c>
      <c r="J129" s="3">
        <v>1.3600000000000001E-8</v>
      </c>
      <c r="K129" s="3">
        <v>-3.927E-10</v>
      </c>
      <c r="L129" s="3">
        <v>4.0900000000000004E-10</v>
      </c>
      <c r="M129" s="3">
        <v>-2.4729999999999997E-8</v>
      </c>
      <c r="N129" s="3">
        <v>1.8229999999999998E-8</v>
      </c>
      <c r="O129" s="3">
        <v>-2.3490000000000001E-8</v>
      </c>
      <c r="P129" s="3">
        <v>1.99E-8</v>
      </c>
      <c r="Q129" s="3">
        <v>8.8859999999999991E-10</v>
      </c>
      <c r="R129" s="3">
        <v>3.4109999999999999E-8</v>
      </c>
      <c r="S129" s="13">
        <v>99999</v>
      </c>
      <c r="T129" s="13">
        <v>99999</v>
      </c>
      <c r="U129" s="13">
        <v>3.3634960222535537E-2</v>
      </c>
    </row>
    <row r="130" spans="1:21" x14ac:dyDescent="0.2">
      <c r="A130">
        <v>31</v>
      </c>
      <c r="B130" s="12">
        <v>1</v>
      </c>
      <c r="C130" s="16">
        <v>-1943</v>
      </c>
      <c r="D130" s="16">
        <v>-1943</v>
      </c>
      <c r="E130" s="3">
        <v>10.3066513605</v>
      </c>
      <c r="F130" s="3">
        <v>10.3066513605</v>
      </c>
      <c r="G130" s="3">
        <v>-1.431E-8</v>
      </c>
      <c r="H130" s="3">
        <v>1.726E-8</v>
      </c>
      <c r="I130" s="3">
        <v>-1.322E-8</v>
      </c>
      <c r="J130" s="3">
        <v>1.789E-8</v>
      </c>
      <c r="K130" s="3">
        <v>-3.9229999999999998E-10</v>
      </c>
      <c r="L130" s="3">
        <v>4.0919999999999999E-10</v>
      </c>
      <c r="M130" s="3">
        <v>-1.7929999999999999E-8</v>
      </c>
      <c r="N130" s="3">
        <v>1.3200000000000001E-8</v>
      </c>
      <c r="O130" s="3">
        <v>-1.6920000000000002E-8</v>
      </c>
      <c r="P130" s="3">
        <v>1.446E-8</v>
      </c>
      <c r="Q130" s="3">
        <v>6.0720000000000003E-10</v>
      </c>
      <c r="R130" s="3">
        <v>2.4649999999999999E-8</v>
      </c>
      <c r="S130" s="13">
        <v>99999</v>
      </c>
      <c r="T130" s="13">
        <v>99999</v>
      </c>
      <c r="U130" s="13">
        <v>3.3583107765131008E-2</v>
      </c>
    </row>
    <row r="131" spans="1:21" x14ac:dyDescent="0.2">
      <c r="A131">
        <v>32</v>
      </c>
      <c r="B131" s="12">
        <v>1</v>
      </c>
      <c r="C131" s="16">
        <v>-1939</v>
      </c>
      <c r="D131" s="16">
        <v>-1939</v>
      </c>
      <c r="E131" s="3">
        <v>10.3016237355</v>
      </c>
      <c r="F131" s="3">
        <v>10.3016237355</v>
      </c>
      <c r="G131" s="3">
        <v>-1.8199999999999998E-8</v>
      </c>
      <c r="H131" s="3">
        <v>2.192E-8</v>
      </c>
      <c r="I131" s="3">
        <v>-1.681E-8</v>
      </c>
      <c r="J131" s="3">
        <v>2.274E-8</v>
      </c>
      <c r="K131" s="3">
        <v>-3.9179999999999998E-10</v>
      </c>
      <c r="L131" s="3">
        <v>4.094E-10</v>
      </c>
      <c r="M131" s="3">
        <v>-8.9890000000000003E-9</v>
      </c>
      <c r="N131" s="3">
        <v>6.6290000000000002E-9</v>
      </c>
      <c r="O131" s="3">
        <v>-8.288999999999999E-9</v>
      </c>
      <c r="P131" s="3">
        <v>7.3050000000000007E-9</v>
      </c>
      <c r="Q131" s="3">
        <v>2.4600000000000003E-10</v>
      </c>
      <c r="R131" s="3">
        <v>1.2229999999999999E-8</v>
      </c>
      <c r="S131" s="13">
        <v>99999</v>
      </c>
      <c r="T131" s="13">
        <v>99999</v>
      </c>
      <c r="U131" s="13">
        <v>3.3513971155273534E-2</v>
      </c>
    </row>
    <row r="132" spans="1:21" x14ac:dyDescent="0.2">
      <c r="A132">
        <v>33</v>
      </c>
      <c r="B132" s="12">
        <v>1</v>
      </c>
      <c r="C132" s="16">
        <v>-1936</v>
      </c>
      <c r="D132" s="16">
        <v>-1936</v>
      </c>
      <c r="E132" s="3">
        <v>10.296596110500001</v>
      </c>
      <c r="F132" s="3">
        <v>10.296596110500001</v>
      </c>
      <c r="G132" s="3">
        <v>-2.2540000000000002E-8</v>
      </c>
      <c r="H132" s="3">
        <v>2.7120000000000001E-8</v>
      </c>
      <c r="I132" s="3">
        <v>-2.0809999999999999E-8</v>
      </c>
      <c r="J132" s="3">
        <v>2.8160000000000002E-8</v>
      </c>
      <c r="K132" s="3">
        <v>-3.9130000000000003E-10</v>
      </c>
      <c r="L132" s="3">
        <v>4.0960000000000001E-10</v>
      </c>
      <c r="M132" s="3">
        <v>-1.9030000000000001E-9</v>
      </c>
      <c r="N132" s="3">
        <v>2.4530000000000001E-9</v>
      </c>
      <c r="O132" s="3">
        <v>-1.97E-9</v>
      </c>
      <c r="P132" s="3">
        <v>2.7199999999999997E-9</v>
      </c>
      <c r="Q132" s="3">
        <v>1.1750000000000001E-10</v>
      </c>
      <c r="R132" s="3">
        <v>3.6629999999999999E-9</v>
      </c>
      <c r="S132" s="13">
        <v>99999</v>
      </c>
      <c r="T132" s="13">
        <v>99999</v>
      </c>
      <c r="U132" s="13">
        <v>3.3462118697939316E-2</v>
      </c>
    </row>
    <row r="133" spans="1:21" x14ac:dyDescent="0.2">
      <c r="A133">
        <v>34</v>
      </c>
      <c r="B133" s="12">
        <v>1</v>
      </c>
      <c r="C133" s="16">
        <v>-1932</v>
      </c>
      <c r="D133" s="16">
        <v>-1932</v>
      </c>
      <c r="E133" s="3">
        <v>10.291568485500001</v>
      </c>
      <c r="F133" s="3">
        <v>10.291568485500001</v>
      </c>
      <c r="G133" s="3">
        <v>-2.7339999999999999E-8</v>
      </c>
      <c r="H133" s="3">
        <v>3.2859999999999998E-8</v>
      </c>
      <c r="I133" s="3">
        <v>-2.5230000000000002E-8</v>
      </c>
      <c r="J133" s="3">
        <v>3.4150000000000005E-8</v>
      </c>
      <c r="K133" s="3">
        <v>-3.9079999999999998E-10</v>
      </c>
      <c r="L133" s="3">
        <v>4.0979999999999997E-10</v>
      </c>
      <c r="M133" s="3">
        <v>-1.222E-8</v>
      </c>
      <c r="N133" s="3">
        <v>1.6460000000000003E-8</v>
      </c>
      <c r="O133" s="3">
        <v>-1.3070000000000001E-8</v>
      </c>
      <c r="P133" s="3">
        <v>1.623E-8</v>
      </c>
      <c r="Q133" s="3">
        <v>8.0549999999999996E-10</v>
      </c>
      <c r="R133" s="3">
        <v>2.3119999999999998E-8</v>
      </c>
      <c r="S133" s="13">
        <v>99999</v>
      </c>
      <c r="T133" s="13">
        <v>99999</v>
      </c>
      <c r="U133" s="13">
        <v>3.3392982090592063E-2</v>
      </c>
    </row>
    <row r="134" spans="1:21" x14ac:dyDescent="0.2">
      <c r="A134">
        <v>35</v>
      </c>
      <c r="B134" s="12">
        <v>1</v>
      </c>
      <c r="C134" s="16">
        <v>-1929</v>
      </c>
      <c r="D134" s="16">
        <v>-1929</v>
      </c>
      <c r="E134" s="3">
        <v>10.286540860500001</v>
      </c>
      <c r="F134" s="3">
        <v>10.286540860500001</v>
      </c>
      <c r="G134" s="3">
        <v>-3.257E-8</v>
      </c>
      <c r="H134" s="3">
        <v>3.9119999999999996E-8</v>
      </c>
      <c r="I134" s="3">
        <v>-3.0040000000000003E-8</v>
      </c>
      <c r="J134" s="3">
        <v>4.067E-8</v>
      </c>
      <c r="K134" s="3">
        <v>-3.9029999999999999E-10</v>
      </c>
      <c r="L134" s="3">
        <v>4.0999999999999998E-10</v>
      </c>
      <c r="M134" s="3">
        <v>-2.4830000000000001E-8</v>
      </c>
      <c r="N134" s="3">
        <v>3.3529999999999997E-8</v>
      </c>
      <c r="O134" s="3">
        <v>-2.674E-8</v>
      </c>
      <c r="P134" s="3">
        <v>3.2660000000000003E-8</v>
      </c>
      <c r="Q134" s="3">
        <v>1.4929999999999999E-9</v>
      </c>
      <c r="R134" s="3">
        <v>4.681E-8</v>
      </c>
      <c r="S134" s="13">
        <v>99999</v>
      </c>
      <c r="T134" s="13">
        <v>99999</v>
      </c>
      <c r="U134" s="13">
        <v>3.3341129635797995E-2</v>
      </c>
    </row>
    <row r="135" spans="1:21" x14ac:dyDescent="0.2">
      <c r="A135">
        <v>36</v>
      </c>
      <c r="B135" s="12">
        <v>1</v>
      </c>
      <c r="C135" s="16">
        <v>-1925</v>
      </c>
      <c r="D135" s="16">
        <v>-1925</v>
      </c>
      <c r="E135" s="3">
        <v>10.2815132355</v>
      </c>
      <c r="F135" s="3">
        <v>10.2815132355</v>
      </c>
      <c r="G135" s="3">
        <v>-3.819E-8</v>
      </c>
      <c r="H135" s="3">
        <v>4.5839999999999999E-8</v>
      </c>
      <c r="I135" s="3">
        <v>-3.522E-8</v>
      </c>
      <c r="J135" s="3">
        <v>4.7680000000000001E-8</v>
      </c>
      <c r="K135" s="3">
        <v>-3.8979999999999999E-10</v>
      </c>
      <c r="L135" s="3">
        <v>4.1019999999999999E-10</v>
      </c>
      <c r="M135" s="3">
        <v>-3.9850000000000003E-8</v>
      </c>
      <c r="N135" s="3">
        <v>5.3869999999999999E-8</v>
      </c>
      <c r="O135" s="3">
        <v>-4.3019999999999997E-8</v>
      </c>
      <c r="P135" s="3">
        <v>5.222E-8</v>
      </c>
      <c r="Q135" s="3">
        <v>2.3100000000000001E-9</v>
      </c>
      <c r="R135" s="3">
        <v>7.5030000000000004E-8</v>
      </c>
      <c r="S135" s="13">
        <v>99999</v>
      </c>
      <c r="T135" s="13">
        <v>99999</v>
      </c>
      <c r="U135" s="13">
        <v>3.3271993029140794E-2</v>
      </c>
    </row>
    <row r="136" spans="1:21" x14ac:dyDescent="0.2">
      <c r="A136">
        <v>37</v>
      </c>
      <c r="B136" s="12">
        <v>1</v>
      </c>
      <c r="C136" s="16">
        <v>-1922</v>
      </c>
      <c r="D136" s="16">
        <v>-1922</v>
      </c>
      <c r="E136" s="3">
        <v>10.276495665750002</v>
      </c>
      <c r="F136" s="3">
        <v>10.276495665750002</v>
      </c>
      <c r="G136" s="3">
        <v>-4.4150000000000002E-8</v>
      </c>
      <c r="H136" s="3">
        <v>5.2970000000000004E-8</v>
      </c>
      <c r="I136" s="3">
        <v>-4.0709999999999999E-8</v>
      </c>
      <c r="J136" s="3">
        <v>5.5110000000000002E-8</v>
      </c>
      <c r="K136" s="3">
        <v>-3.8930000000000004E-10</v>
      </c>
      <c r="L136" s="3">
        <v>4.1049999999999998E-10</v>
      </c>
      <c r="M136" s="3">
        <v>-5.746E-8</v>
      </c>
      <c r="N136" s="3">
        <v>7.7709999999999999E-8</v>
      </c>
      <c r="O136" s="3">
        <v>-6.211999999999999E-8</v>
      </c>
      <c r="P136" s="3">
        <v>7.5139999999999997E-8</v>
      </c>
      <c r="Q136" s="3">
        <v>3.2639999999999999E-9</v>
      </c>
      <c r="R136" s="3">
        <v>1.081E-7</v>
      </c>
      <c r="S136" s="13">
        <v>99999</v>
      </c>
      <c r="T136" s="13">
        <v>99999</v>
      </c>
      <c r="U136" s="13">
        <v>3.3220140575085384E-2</v>
      </c>
    </row>
    <row r="137" spans="1:21" x14ac:dyDescent="0.2">
      <c r="A137">
        <v>38</v>
      </c>
      <c r="B137" s="12">
        <v>1</v>
      </c>
      <c r="C137" s="16">
        <v>-1918</v>
      </c>
      <c r="D137" s="16">
        <v>-1918</v>
      </c>
      <c r="E137" s="3">
        <v>10.271468040750001</v>
      </c>
      <c r="F137" s="3">
        <v>10.271468040750001</v>
      </c>
      <c r="G137" s="3">
        <v>-5.037E-8</v>
      </c>
      <c r="H137" s="3">
        <v>6.0399999999999998E-8</v>
      </c>
      <c r="I137" s="3">
        <v>-4.643E-8</v>
      </c>
      <c r="J137" s="3">
        <v>6.2869999999999993E-8</v>
      </c>
      <c r="K137" s="3">
        <v>-3.8889999999999997E-10</v>
      </c>
      <c r="L137" s="3">
        <v>4.1069999999999999E-10</v>
      </c>
      <c r="M137" s="3">
        <v>-7.7819999999999991E-8</v>
      </c>
      <c r="N137" s="3">
        <v>1.053E-7</v>
      </c>
      <c r="O137" s="3">
        <v>-8.4190000000000001E-8</v>
      </c>
      <c r="P137" s="3">
        <v>1.016E-7</v>
      </c>
      <c r="Q137" s="3">
        <v>4.3630000000000008E-9</v>
      </c>
      <c r="R137" s="3">
        <v>1.4630000000000001E-7</v>
      </c>
      <c r="S137" s="13">
        <v>99999</v>
      </c>
      <c r="T137" s="13">
        <v>99999</v>
      </c>
      <c r="U137" s="13">
        <v>3.3151003969214089E-2</v>
      </c>
    </row>
    <row r="138" spans="1:21" x14ac:dyDescent="0.2">
      <c r="A138">
        <v>39</v>
      </c>
      <c r="B138" s="12">
        <v>1</v>
      </c>
      <c r="C138" s="16">
        <v>-1915</v>
      </c>
      <c r="D138" s="16">
        <v>-1915</v>
      </c>
      <c r="E138" s="3">
        <v>10.266440415750001</v>
      </c>
      <c r="F138" s="3">
        <v>10.266440415750001</v>
      </c>
      <c r="G138" s="3">
        <v>-5.676E-8</v>
      </c>
      <c r="H138" s="3">
        <v>6.8009999999999998E-8</v>
      </c>
      <c r="I138" s="3">
        <v>-5.2299999999999998E-8</v>
      </c>
      <c r="J138" s="3">
        <v>7.0820000000000008E-8</v>
      </c>
      <c r="K138" s="3">
        <v>-3.8829999999999999E-10</v>
      </c>
      <c r="L138" s="3">
        <v>4.109E-10</v>
      </c>
      <c r="M138" s="3">
        <v>-1.01E-7</v>
      </c>
      <c r="N138" s="3">
        <v>1.367E-7</v>
      </c>
      <c r="O138" s="3">
        <v>-1.094E-7</v>
      </c>
      <c r="P138" s="3">
        <v>1.318E-7</v>
      </c>
      <c r="Q138" s="3">
        <v>5.6120000000000001E-9</v>
      </c>
      <c r="R138" s="3">
        <v>1.899E-7</v>
      </c>
      <c r="S138" s="13">
        <v>99999</v>
      </c>
      <c r="T138" s="13">
        <v>99999</v>
      </c>
      <c r="U138" s="13">
        <v>3.3099151515987878E-2</v>
      </c>
    </row>
    <row r="139" spans="1:21" x14ac:dyDescent="0.2">
      <c r="A139">
        <v>40</v>
      </c>
      <c r="B139" s="12">
        <v>1</v>
      </c>
      <c r="C139" s="16">
        <v>-1911</v>
      </c>
      <c r="D139" s="16">
        <v>-1911</v>
      </c>
      <c r="E139" s="3">
        <v>10.261412790750001</v>
      </c>
      <c r="F139" s="3">
        <v>10.261412790750001</v>
      </c>
      <c r="G139" s="3">
        <v>-6.3160000000000004E-8</v>
      </c>
      <c r="H139" s="3">
        <v>7.5639999999999994E-8</v>
      </c>
      <c r="I139" s="3">
        <v>-5.8199999999999998E-8</v>
      </c>
      <c r="J139" s="3">
        <v>7.8810000000000002E-8</v>
      </c>
      <c r="K139" s="3">
        <v>-3.8779999999999999E-10</v>
      </c>
      <c r="L139" s="3">
        <v>4.1110000000000001E-10</v>
      </c>
      <c r="M139" s="3">
        <v>-1.272E-7</v>
      </c>
      <c r="N139" s="3">
        <v>1.7210000000000001E-7</v>
      </c>
      <c r="O139" s="3">
        <v>-1.3779999999999998E-7</v>
      </c>
      <c r="P139" s="3">
        <v>1.6579999999999999E-7</v>
      </c>
      <c r="Q139" s="3">
        <v>7.0149999999999995E-9</v>
      </c>
      <c r="R139" s="3">
        <v>2.3900000000000001E-7</v>
      </c>
      <c r="S139" s="13">
        <v>99999</v>
      </c>
      <c r="T139" s="13">
        <v>99999</v>
      </c>
      <c r="U139" s="13">
        <v>3.3030014910974924E-2</v>
      </c>
    </row>
    <row r="140" spans="1:21" x14ac:dyDescent="0.2">
      <c r="A140">
        <v>41</v>
      </c>
      <c r="B140" s="12">
        <v>1</v>
      </c>
      <c r="C140" s="16">
        <v>-1908</v>
      </c>
      <c r="D140" s="16">
        <v>-1908</v>
      </c>
      <c r="E140" s="3">
        <v>10.25638516575</v>
      </c>
      <c r="F140" s="3">
        <v>10.25638516575</v>
      </c>
      <c r="G140" s="3">
        <v>-6.9430000000000007E-8</v>
      </c>
      <c r="H140" s="3">
        <v>8.3099999999999996E-8</v>
      </c>
      <c r="I140" s="3">
        <v>-6.3959999999999998E-8</v>
      </c>
      <c r="J140" s="3">
        <v>8.6609999999999993E-8</v>
      </c>
      <c r="K140" s="3">
        <v>-3.873E-10</v>
      </c>
      <c r="L140" s="3">
        <v>4.1129999999999997E-10</v>
      </c>
      <c r="M140" s="3">
        <v>-1.5630000000000002E-7</v>
      </c>
      <c r="N140" s="3">
        <v>2.1149999999999998E-7</v>
      </c>
      <c r="O140" s="3">
        <v>-1.6929999999999999E-7</v>
      </c>
      <c r="P140" s="3">
        <v>2.036E-7</v>
      </c>
      <c r="Q140" s="3">
        <v>8.57E-9</v>
      </c>
      <c r="R140" s="3">
        <v>2.9359999999999998E-7</v>
      </c>
      <c r="S140" s="13">
        <v>99999</v>
      </c>
      <c r="T140" s="13">
        <v>99999</v>
      </c>
      <c r="U140" s="13">
        <v>3.2978162458614943E-2</v>
      </c>
    </row>
    <row r="141" spans="1:21" x14ac:dyDescent="0.2">
      <c r="A141">
        <v>42</v>
      </c>
      <c r="B141" s="12">
        <v>1</v>
      </c>
      <c r="C141" s="16">
        <v>-1904</v>
      </c>
      <c r="D141" s="16">
        <v>-1904</v>
      </c>
      <c r="E141" s="3">
        <v>10.25135754075</v>
      </c>
      <c r="F141" s="3">
        <v>10.25135754075</v>
      </c>
      <c r="G141" s="3">
        <v>-7.5359999999999995E-8</v>
      </c>
      <c r="H141" s="3">
        <v>9.0149999999999997E-8</v>
      </c>
      <c r="I141" s="3">
        <v>-6.9400000000000013E-8</v>
      </c>
      <c r="J141" s="3">
        <v>9.3999999999999995E-8</v>
      </c>
      <c r="K141" s="3">
        <v>-3.8669999999999997E-10</v>
      </c>
      <c r="L141" s="3">
        <v>4.1149999999999997E-10</v>
      </c>
      <c r="M141" s="3">
        <v>-1.8829999999999999E-7</v>
      </c>
      <c r="N141" s="3">
        <v>2.5480000000000003E-7</v>
      </c>
      <c r="O141" s="3">
        <v>-2.0410000000000001E-7</v>
      </c>
      <c r="P141" s="3">
        <v>2.452E-7</v>
      </c>
      <c r="Q141" s="3">
        <v>1.027E-8</v>
      </c>
      <c r="R141" s="3">
        <v>3.5359999999999999E-7</v>
      </c>
      <c r="S141" s="13">
        <v>99999</v>
      </c>
      <c r="T141" s="13">
        <v>99999</v>
      </c>
      <c r="U141" s="13">
        <v>3.2909025854460323E-2</v>
      </c>
    </row>
    <row r="142" spans="1:21" x14ac:dyDescent="0.2">
      <c r="A142">
        <v>43</v>
      </c>
      <c r="B142" s="12">
        <v>1</v>
      </c>
      <c r="C142" s="16">
        <v>-1901</v>
      </c>
      <c r="D142" s="16">
        <v>-1901</v>
      </c>
      <c r="E142" s="3">
        <v>10.246329915750001</v>
      </c>
      <c r="F142" s="3">
        <v>10.246329915750001</v>
      </c>
      <c r="G142" s="3">
        <v>-8.0709999999999999E-8</v>
      </c>
      <c r="H142" s="3">
        <v>9.6499999999999997E-8</v>
      </c>
      <c r="I142" s="3">
        <v>-7.4309999999999995E-8</v>
      </c>
      <c r="J142" s="3">
        <v>1.007E-7</v>
      </c>
      <c r="K142" s="3">
        <v>-3.8620000000000002E-10</v>
      </c>
      <c r="L142" s="3">
        <v>4.1170000000000004E-10</v>
      </c>
      <c r="M142" s="3">
        <v>-2.23E-7</v>
      </c>
      <c r="N142" s="3">
        <v>3.0180000000000002E-7</v>
      </c>
      <c r="O142" s="3">
        <v>-2.417E-7</v>
      </c>
      <c r="P142" s="3">
        <v>2.903E-7</v>
      </c>
      <c r="Q142" s="3">
        <v>1.2119999999999999E-8</v>
      </c>
      <c r="R142" s="3">
        <v>4.1879999999999996E-7</v>
      </c>
      <c r="S142" s="13">
        <v>99999</v>
      </c>
      <c r="T142" s="13">
        <v>99999</v>
      </c>
      <c r="U142" s="13">
        <v>3.285717340293505E-2</v>
      </c>
    </row>
    <row r="143" spans="1:21" x14ac:dyDescent="0.2">
      <c r="A143">
        <v>44</v>
      </c>
      <c r="B143" s="12">
        <v>1</v>
      </c>
      <c r="C143" s="16">
        <v>-1897</v>
      </c>
      <c r="D143" s="16">
        <v>-1897</v>
      </c>
      <c r="E143" s="3">
        <v>10.241302290750001</v>
      </c>
      <c r="F143" s="3">
        <v>10.241302290750001</v>
      </c>
      <c r="G143" s="3">
        <v>-8.5199999999999995E-8</v>
      </c>
      <c r="H143" s="3">
        <v>1.018E-7</v>
      </c>
      <c r="I143" s="3">
        <v>-7.8430000000000008E-8</v>
      </c>
      <c r="J143" s="3">
        <v>1.0620000000000001E-7</v>
      </c>
      <c r="K143" s="3">
        <v>-3.8559999999999999E-10</v>
      </c>
      <c r="L143" s="3">
        <v>4.1189999999999999E-10</v>
      </c>
      <c r="M143" s="3">
        <v>-2.6009999999999995E-7</v>
      </c>
      <c r="N143" s="3">
        <v>3.5209999999999998E-7</v>
      </c>
      <c r="O143" s="3">
        <v>-2.8210000000000002E-7</v>
      </c>
      <c r="P143" s="3">
        <v>3.3849999999999997E-7</v>
      </c>
      <c r="Q143" s="3">
        <v>1.4080000000000001E-8</v>
      </c>
      <c r="R143" s="3">
        <v>4.8849999999999996E-7</v>
      </c>
      <c r="S143" s="13">
        <v>99999</v>
      </c>
      <c r="T143" s="13">
        <v>99999</v>
      </c>
      <c r="U143" s="13">
        <v>3.2788036799544291E-2</v>
      </c>
    </row>
    <row r="144" spans="1:21" x14ac:dyDescent="0.2">
      <c r="A144">
        <v>45</v>
      </c>
      <c r="B144" s="12">
        <v>1</v>
      </c>
      <c r="C144" s="16">
        <v>-1894</v>
      </c>
      <c r="D144" s="16">
        <v>-1894</v>
      </c>
      <c r="E144" s="3">
        <v>10.236274665750001</v>
      </c>
      <c r="F144" s="3">
        <v>10.236274665750001</v>
      </c>
      <c r="G144" s="3">
        <v>-8.8520000000000001E-8</v>
      </c>
      <c r="H144" s="3">
        <v>1.057E-7</v>
      </c>
      <c r="I144" s="3">
        <v>-8.145999999999999E-8</v>
      </c>
      <c r="J144" s="3">
        <v>1.104E-7</v>
      </c>
      <c r="K144" s="3">
        <v>-3.8509999999999999E-10</v>
      </c>
      <c r="L144" s="3">
        <v>4.1199999999999997E-10</v>
      </c>
      <c r="M144" s="3">
        <v>-2.9929999999999999E-7</v>
      </c>
      <c r="N144" s="3">
        <v>4.0530000000000001E-7</v>
      </c>
      <c r="O144" s="3">
        <v>-3.2469999999999999E-7</v>
      </c>
      <c r="P144" s="3">
        <v>3.8939999999999998E-7</v>
      </c>
      <c r="Q144" s="3">
        <v>1.6149999999999999E-8</v>
      </c>
      <c r="R144" s="3">
        <v>5.6199999999999998E-7</v>
      </c>
      <c r="S144" s="13">
        <v>99999</v>
      </c>
      <c r="T144" s="13">
        <v>99999</v>
      </c>
      <c r="U144" s="13">
        <v>3.2736184348672627E-2</v>
      </c>
    </row>
    <row r="145" spans="1:21" x14ac:dyDescent="0.2">
      <c r="A145">
        <v>46</v>
      </c>
      <c r="B145" s="12">
        <v>1</v>
      </c>
      <c r="C145" s="16">
        <v>-1890</v>
      </c>
      <c r="D145" s="16">
        <v>-1890</v>
      </c>
      <c r="E145" s="3">
        <v>10.23124704075</v>
      </c>
      <c r="F145" s="3">
        <v>10.23124704075</v>
      </c>
      <c r="G145" s="3">
        <v>-9.0279999999999998E-8</v>
      </c>
      <c r="H145" s="3">
        <v>1.077E-7</v>
      </c>
      <c r="I145" s="3">
        <v>-8.3050000000000006E-8</v>
      </c>
      <c r="J145" s="3">
        <v>1.1249999999999999E-7</v>
      </c>
      <c r="K145" s="3">
        <v>-3.8449999999999996E-10</v>
      </c>
      <c r="L145" s="3">
        <v>4.121E-10</v>
      </c>
      <c r="M145" s="3">
        <v>-3.4010000000000003E-7</v>
      </c>
      <c r="N145" s="3">
        <v>4.6040000000000002E-7</v>
      </c>
      <c r="O145" s="3">
        <v>-3.6890000000000003E-7</v>
      </c>
      <c r="P145" s="3">
        <v>4.4230000000000004E-7</v>
      </c>
      <c r="Q145" s="3">
        <v>1.8280000000000002E-8</v>
      </c>
      <c r="R145" s="3">
        <v>6.384E-7</v>
      </c>
      <c r="S145" s="13">
        <v>99999</v>
      </c>
      <c r="T145" s="13">
        <v>99999</v>
      </c>
      <c r="U145" s="13">
        <v>3.2667047745809467E-2</v>
      </c>
    </row>
    <row r="146" spans="1:21" x14ac:dyDescent="0.2">
      <c r="A146">
        <v>47</v>
      </c>
      <c r="B146" s="12">
        <v>1</v>
      </c>
      <c r="C146" s="16">
        <v>-1887</v>
      </c>
      <c r="D146" s="16">
        <v>-1887</v>
      </c>
      <c r="E146" s="3">
        <v>10.22621941575</v>
      </c>
      <c r="F146" s="3">
        <v>10.22621941575</v>
      </c>
      <c r="G146" s="3">
        <v>-9.0069999999999999E-8</v>
      </c>
      <c r="H146" s="3">
        <v>1.073E-7</v>
      </c>
      <c r="I146" s="3">
        <v>-8.2830000000000008E-8</v>
      </c>
      <c r="J146" s="3">
        <v>1.122E-7</v>
      </c>
      <c r="K146" s="3">
        <v>-3.8379999999999996E-10</v>
      </c>
      <c r="L146" s="3">
        <v>4.121E-10</v>
      </c>
      <c r="M146" s="3">
        <v>-3.8160000000000003E-7</v>
      </c>
      <c r="N146" s="3">
        <v>5.1670000000000007E-7</v>
      </c>
      <c r="O146" s="3">
        <v>-4.1409999999999998E-7</v>
      </c>
      <c r="P146" s="3">
        <v>4.961E-7</v>
      </c>
      <c r="Q146" s="3">
        <v>2.0449999999999998E-8</v>
      </c>
      <c r="R146" s="3">
        <v>7.1630000000000003E-7</v>
      </c>
      <c r="S146" s="13">
        <v>99999</v>
      </c>
      <c r="T146" s="13">
        <v>99999</v>
      </c>
      <c r="U146" s="13">
        <v>3.2615195295284297E-2</v>
      </c>
    </row>
    <row r="147" spans="1:21" x14ac:dyDescent="0.2">
      <c r="A147">
        <v>48</v>
      </c>
      <c r="B147" s="12">
        <v>1</v>
      </c>
      <c r="C147" s="16">
        <v>-1883</v>
      </c>
      <c r="D147" s="16">
        <v>-1883</v>
      </c>
      <c r="E147" s="3">
        <v>10.22119179075</v>
      </c>
      <c r="F147" s="3">
        <v>10.22119179075</v>
      </c>
      <c r="G147" s="3">
        <v>-8.7440000000000007E-8</v>
      </c>
      <c r="H147" s="3">
        <v>1.041E-7</v>
      </c>
      <c r="I147" s="3">
        <v>-8.036E-8</v>
      </c>
      <c r="J147" s="3">
        <v>1.089E-7</v>
      </c>
      <c r="K147" s="3">
        <v>-3.831E-10</v>
      </c>
      <c r="L147" s="3">
        <v>4.121E-10</v>
      </c>
      <c r="M147" s="3">
        <v>-4.2299999999999996E-7</v>
      </c>
      <c r="N147" s="3">
        <v>5.7280000000000005E-7</v>
      </c>
      <c r="O147" s="3">
        <v>-4.5909999999999998E-7</v>
      </c>
      <c r="P147" s="3">
        <v>5.4980000000000001E-7</v>
      </c>
      <c r="Q147" s="3">
        <v>2.2589999999999999E-8</v>
      </c>
      <c r="R147" s="3">
        <v>7.9400000000000004E-7</v>
      </c>
      <c r="S147" s="13">
        <v>99999</v>
      </c>
      <c r="T147" s="13">
        <v>99999</v>
      </c>
      <c r="U147" s="13">
        <v>3.25460586925235E-2</v>
      </c>
    </row>
    <row r="148" spans="1:21" x14ac:dyDescent="0.2">
      <c r="A148">
        <v>49</v>
      </c>
      <c r="B148" s="12">
        <v>1</v>
      </c>
      <c r="C148" s="16">
        <v>-1880</v>
      </c>
      <c r="D148" s="16">
        <v>-1880</v>
      </c>
      <c r="E148" s="3">
        <v>10.216164165750001</v>
      </c>
      <c r="F148" s="3">
        <v>10.216164165750001</v>
      </c>
      <c r="G148" s="3">
        <v>-8.1860000000000006E-8</v>
      </c>
      <c r="H148" s="3">
        <v>9.7240000000000003E-8</v>
      </c>
      <c r="I148" s="3">
        <v>-7.519E-8</v>
      </c>
      <c r="J148" s="3">
        <v>1.0189999999999999E-7</v>
      </c>
      <c r="K148" s="3">
        <v>-3.8239999999999999E-10</v>
      </c>
      <c r="L148" s="3">
        <v>4.1219999999999998E-10</v>
      </c>
      <c r="M148" s="3">
        <v>-4.6319999999999997E-7</v>
      </c>
      <c r="N148" s="3">
        <v>6.2730000000000001E-7</v>
      </c>
      <c r="O148" s="3">
        <v>-5.0279999999999998E-7</v>
      </c>
      <c r="P148" s="3">
        <v>6.018E-7</v>
      </c>
      <c r="Q148" s="3">
        <v>2.466E-8</v>
      </c>
      <c r="R148" s="3">
        <v>8.6930000000000009E-7</v>
      </c>
      <c r="S148" s="13">
        <v>99999</v>
      </c>
      <c r="T148" s="13">
        <v>99999</v>
      </c>
      <c r="U148" s="13">
        <v>3.249420624179359E-2</v>
      </c>
    </row>
    <row r="149" spans="1:21" x14ac:dyDescent="0.2">
      <c r="A149">
        <v>50</v>
      </c>
      <c r="B149" s="12">
        <v>1</v>
      </c>
      <c r="C149" s="16">
        <v>-1876</v>
      </c>
      <c r="D149" s="16">
        <v>-1876</v>
      </c>
      <c r="E149" s="3">
        <v>10.211136540750001</v>
      </c>
      <c r="F149" s="3">
        <v>10.211136540750001</v>
      </c>
      <c r="G149" s="3">
        <v>-7.2790000000000005E-8</v>
      </c>
      <c r="H149" s="3">
        <v>8.6230000000000012E-8</v>
      </c>
      <c r="I149" s="3">
        <v>-6.6779999999999993E-8</v>
      </c>
      <c r="J149" s="3">
        <v>9.0569999999999996E-8</v>
      </c>
      <c r="K149" s="3">
        <v>-3.8169999999999998E-10</v>
      </c>
      <c r="L149" s="3">
        <v>4.1219999999999998E-10</v>
      </c>
      <c r="M149" s="3">
        <v>-5.0080000000000004E-7</v>
      </c>
      <c r="N149" s="3">
        <v>6.7829999999999993E-7</v>
      </c>
      <c r="O149" s="3">
        <v>-5.4379999999999999E-7</v>
      </c>
      <c r="P149" s="3">
        <v>6.5039999999999995E-7</v>
      </c>
      <c r="Q149" s="3">
        <v>2.6570000000000002E-8</v>
      </c>
      <c r="R149" s="3">
        <v>9.3969999999999998E-7</v>
      </c>
      <c r="S149" s="13">
        <v>99999</v>
      </c>
      <c r="T149" s="13">
        <v>99999</v>
      </c>
      <c r="U149" s="13">
        <v>3.242506963845794E-2</v>
      </c>
    </row>
    <row r="150" spans="1:21" x14ac:dyDescent="0.2">
      <c r="A150">
        <v>51</v>
      </c>
      <c r="B150" s="12">
        <v>1</v>
      </c>
      <c r="C150" s="16">
        <v>-1873</v>
      </c>
      <c r="D150" s="16">
        <v>-1873</v>
      </c>
      <c r="E150" s="3">
        <v>10.206118971</v>
      </c>
      <c r="F150" s="3">
        <v>10.206118971</v>
      </c>
      <c r="G150" s="3">
        <v>-5.959E-8</v>
      </c>
      <c r="H150" s="3">
        <v>7.0270000000000007E-8</v>
      </c>
      <c r="I150" s="3">
        <v>-5.4580000000000003E-8</v>
      </c>
      <c r="J150" s="3">
        <v>7.4060000000000003E-8</v>
      </c>
      <c r="K150" s="3">
        <v>-3.809E-10</v>
      </c>
      <c r="L150" s="3">
        <v>4.1219999999999998E-10</v>
      </c>
      <c r="M150" s="3">
        <v>-5.3420000000000001E-7</v>
      </c>
      <c r="N150" s="3">
        <v>7.2349999999999993E-7</v>
      </c>
      <c r="O150" s="3">
        <v>-5.8019999999999997E-7</v>
      </c>
      <c r="P150" s="3">
        <v>6.9350000000000001E-7</v>
      </c>
      <c r="Q150" s="3">
        <v>2.8229999999999999E-8</v>
      </c>
      <c r="R150" s="3">
        <v>1.0020000000000001E-6</v>
      </c>
      <c r="S150" s="13">
        <v>99999</v>
      </c>
      <c r="T150" s="13">
        <v>99999</v>
      </c>
      <c r="U150" s="13">
        <v>3.2373217186704308E-2</v>
      </c>
    </row>
    <row r="151" spans="1:21" x14ac:dyDescent="0.2">
      <c r="A151">
        <v>52</v>
      </c>
      <c r="B151" s="12">
        <v>1</v>
      </c>
      <c r="C151" s="16">
        <v>-1869</v>
      </c>
      <c r="D151" s="16">
        <v>-1869</v>
      </c>
      <c r="E151" s="3">
        <v>10.201091346</v>
      </c>
      <c r="F151" s="3">
        <v>10.201091346</v>
      </c>
      <c r="G151" s="3">
        <v>-4.7450000000000005E-8</v>
      </c>
      <c r="H151" s="3">
        <v>5.561E-8</v>
      </c>
      <c r="I151" s="3">
        <v>-4.3350000000000001E-8</v>
      </c>
      <c r="J151" s="3">
        <v>5.8880000000000002E-8</v>
      </c>
      <c r="K151" s="3">
        <v>-3.8019999999999999E-10</v>
      </c>
      <c r="L151" s="3">
        <v>4.1230000000000001E-10</v>
      </c>
      <c r="M151" s="3">
        <v>-5.6150000000000005E-7</v>
      </c>
      <c r="N151" s="3">
        <v>7.6059999999999997E-7</v>
      </c>
      <c r="O151" s="3">
        <v>-6.0999999999999998E-7</v>
      </c>
      <c r="P151" s="3">
        <v>7.2870000000000001E-7</v>
      </c>
      <c r="Q151" s="3">
        <v>2.955E-8</v>
      </c>
      <c r="R151" s="3">
        <v>1.0529999999999999E-6</v>
      </c>
      <c r="S151" s="13">
        <v>99999</v>
      </c>
      <c r="T151" s="13">
        <v>99999</v>
      </c>
      <c r="U151" s="13">
        <v>3.230408058184097E-2</v>
      </c>
    </row>
    <row r="152" spans="1:21" x14ac:dyDescent="0.2">
      <c r="A152">
        <v>53</v>
      </c>
      <c r="B152" s="12">
        <v>1</v>
      </c>
      <c r="C152" s="16">
        <v>-1866</v>
      </c>
      <c r="D152" s="16">
        <v>-1866</v>
      </c>
      <c r="E152" s="3">
        <v>10.196063721000002</v>
      </c>
      <c r="F152" s="3">
        <v>10.196063721000002</v>
      </c>
      <c r="G152" s="3">
        <v>-3.927E-8</v>
      </c>
      <c r="H152" s="3">
        <v>4.5769999999999999E-8</v>
      </c>
      <c r="I152" s="3">
        <v>-3.5800000000000003E-8</v>
      </c>
      <c r="J152" s="3">
        <v>4.866E-8</v>
      </c>
      <c r="K152" s="3">
        <v>-3.794E-10</v>
      </c>
      <c r="L152" s="3">
        <v>4.1230000000000001E-10</v>
      </c>
      <c r="M152" s="3">
        <v>-5.8309999999999997E-7</v>
      </c>
      <c r="N152" s="3">
        <v>7.9000000000000006E-7</v>
      </c>
      <c r="O152" s="3">
        <v>-6.3369999999999996E-7</v>
      </c>
      <c r="P152" s="3">
        <v>7.5649999999999998E-7</v>
      </c>
      <c r="Q152" s="3">
        <v>3.0549999999999999E-8</v>
      </c>
      <c r="R152" s="3">
        <v>1.0939999999999998E-6</v>
      </c>
      <c r="S152" s="13">
        <v>99999</v>
      </c>
      <c r="T152" s="13">
        <v>99999</v>
      </c>
      <c r="U152" s="13">
        <v>3.2252228128410027E-2</v>
      </c>
    </row>
    <row r="153" spans="1:21" x14ac:dyDescent="0.2">
      <c r="A153">
        <v>54</v>
      </c>
      <c r="B153" s="12">
        <v>1</v>
      </c>
      <c r="C153" s="16">
        <v>-1862</v>
      </c>
      <c r="D153" s="16">
        <v>-1862</v>
      </c>
      <c r="E153" s="3">
        <v>10.191036096000001</v>
      </c>
      <c r="F153" s="3">
        <v>10.191036096000001</v>
      </c>
      <c r="G153" s="3">
        <v>-3.243E-8</v>
      </c>
      <c r="H153" s="3">
        <v>3.7549999999999995E-8</v>
      </c>
      <c r="I153" s="3">
        <v>-2.9490000000000001E-8</v>
      </c>
      <c r="J153" s="3">
        <v>4.0129999999999996E-8</v>
      </c>
      <c r="K153" s="3">
        <v>-3.789E-10</v>
      </c>
      <c r="L153" s="3">
        <v>4.1230000000000001E-10</v>
      </c>
      <c r="M153" s="3">
        <v>-6.0099999999999994E-7</v>
      </c>
      <c r="N153" s="3">
        <v>8.1429999999999998E-7</v>
      </c>
      <c r="O153" s="3">
        <v>-6.5329999999999995E-7</v>
      </c>
      <c r="P153" s="3">
        <v>7.794E-7</v>
      </c>
      <c r="Q153" s="3">
        <v>3.1350000000000006E-8</v>
      </c>
      <c r="R153" s="3">
        <v>1.127E-6</v>
      </c>
      <c r="S153" s="13">
        <v>99999</v>
      </c>
      <c r="T153" s="13">
        <v>99999</v>
      </c>
      <c r="U153" s="13">
        <v>3.218309152212924E-2</v>
      </c>
    </row>
    <row r="154" spans="1:21" x14ac:dyDescent="0.2">
      <c r="A154">
        <v>55</v>
      </c>
      <c r="B154" s="12">
        <v>1</v>
      </c>
      <c r="C154" s="16">
        <v>-1861</v>
      </c>
      <c r="D154" s="16">
        <v>-1861</v>
      </c>
      <c r="E154" s="3">
        <v>10.1890049355</v>
      </c>
      <c r="F154" s="3">
        <v>10.1890049355</v>
      </c>
      <c r="G154" s="3">
        <v>-2.817E-8</v>
      </c>
      <c r="H154" s="3">
        <v>3.243E-8</v>
      </c>
      <c r="I154" s="3">
        <v>-2.559E-8</v>
      </c>
      <c r="J154" s="3">
        <v>3.4809999999999999E-8</v>
      </c>
      <c r="K154" s="3">
        <v>-3.7849999999999999E-10</v>
      </c>
      <c r="L154" s="3">
        <v>4.1230000000000001E-10</v>
      </c>
      <c r="M154" s="3">
        <v>-6.0699999999999997E-7</v>
      </c>
      <c r="N154" s="3">
        <v>8.2240000000000006E-7</v>
      </c>
      <c r="O154" s="3">
        <v>-6.5990000000000003E-7</v>
      </c>
      <c r="P154" s="3">
        <v>7.8700000000000005E-7</v>
      </c>
      <c r="Q154" s="3">
        <v>3.1600000000000005E-8</v>
      </c>
      <c r="R154" s="3">
        <v>1.1379999999999999E-6</v>
      </c>
      <c r="S154" s="13">
        <v>99999</v>
      </c>
      <c r="T154" s="13">
        <v>99999</v>
      </c>
      <c r="U154" s="13">
        <v>3.2165807370775595E-2</v>
      </c>
    </row>
    <row r="155" spans="1:21" x14ac:dyDescent="0.2">
      <c r="A155">
        <v>56</v>
      </c>
      <c r="B155" s="12">
        <v>1</v>
      </c>
      <c r="C155" s="16">
        <v>-1859</v>
      </c>
      <c r="D155" s="16">
        <v>-1859</v>
      </c>
      <c r="E155" s="3">
        <v>10.186993885500002</v>
      </c>
      <c r="F155" s="3">
        <v>10.186993885500002</v>
      </c>
      <c r="G155" s="3">
        <v>-2.4859999999999999E-8</v>
      </c>
      <c r="H155" s="3">
        <v>2.8439999999999999E-8</v>
      </c>
      <c r="I155" s="3">
        <v>-2.257E-8</v>
      </c>
      <c r="J155" s="3">
        <v>3.0670000000000003E-8</v>
      </c>
      <c r="K155" s="3">
        <v>-3.7829999999999998E-10</v>
      </c>
      <c r="L155" s="3">
        <v>4.1230000000000001E-10</v>
      </c>
      <c r="M155" s="3">
        <v>-6.1209999999999993E-7</v>
      </c>
      <c r="N155" s="3">
        <v>8.2939999999999995E-7</v>
      </c>
      <c r="O155" s="3">
        <v>-6.6549999999999992E-7</v>
      </c>
      <c r="P155" s="3">
        <v>7.934E-7</v>
      </c>
      <c r="Q155" s="3">
        <v>3.1810000000000005E-8</v>
      </c>
      <c r="R155" s="3">
        <v>1.1479999999999999E-6</v>
      </c>
      <c r="S155" s="13">
        <v>99999</v>
      </c>
      <c r="T155" s="13">
        <v>99999</v>
      </c>
      <c r="U155" s="13">
        <v>3.2131239067123347E-2</v>
      </c>
    </row>
    <row r="156" spans="1:21" x14ac:dyDescent="0.2">
      <c r="A156">
        <v>57</v>
      </c>
      <c r="B156" s="12">
        <v>1</v>
      </c>
      <c r="C156" s="16">
        <v>-1859</v>
      </c>
      <c r="D156" s="16">
        <v>-1859</v>
      </c>
      <c r="E156" s="3">
        <v>10.186008471000001</v>
      </c>
      <c r="F156" s="3">
        <v>10.186008471000001</v>
      </c>
      <c r="G156" s="3">
        <v>-1.8070000000000002E-8</v>
      </c>
      <c r="H156" s="3">
        <v>2.03E-8</v>
      </c>
      <c r="I156" s="3">
        <v>-1.6409999999999999E-8</v>
      </c>
      <c r="J156" s="3">
        <v>2.22E-8</v>
      </c>
      <c r="K156" s="3">
        <v>-3.7780000000000003E-10</v>
      </c>
      <c r="L156" s="3">
        <v>4.1239999999999999E-10</v>
      </c>
      <c r="M156" s="3">
        <v>-6.1429999999999999E-7</v>
      </c>
      <c r="N156" s="3">
        <v>8.3239999999999996E-7</v>
      </c>
      <c r="O156" s="3">
        <v>-6.6789999999999999E-7</v>
      </c>
      <c r="P156" s="3">
        <v>7.962E-7</v>
      </c>
      <c r="Q156" s="3">
        <v>3.1890000000000003E-8</v>
      </c>
      <c r="R156" s="3">
        <v>1.1519999999999999E-6</v>
      </c>
      <c r="S156" s="13">
        <v>99999</v>
      </c>
      <c r="T156" s="13">
        <v>99999</v>
      </c>
      <c r="U156" s="13">
        <v>3.2131239067438339E-2</v>
      </c>
    </row>
    <row r="157" spans="1:21" x14ac:dyDescent="0.2">
      <c r="A157">
        <v>58</v>
      </c>
      <c r="B157" s="12">
        <v>1</v>
      </c>
      <c r="C157" s="16">
        <v>-1855</v>
      </c>
      <c r="D157" s="16">
        <v>-1855</v>
      </c>
      <c r="E157" s="3">
        <v>10.180980846000001</v>
      </c>
      <c r="F157" s="3">
        <v>10.180980846000001</v>
      </c>
      <c r="G157" s="3">
        <v>-4.9609999999999997E-9</v>
      </c>
      <c r="H157" s="3">
        <v>4.6500000000000003E-9</v>
      </c>
      <c r="I157" s="3">
        <v>-4.649E-9</v>
      </c>
      <c r="J157" s="3">
        <v>6.2460000000000001E-9</v>
      </c>
      <c r="K157" s="3">
        <v>-3.7710000000000002E-10</v>
      </c>
      <c r="L157" s="3">
        <v>4.1239999999999999E-10</v>
      </c>
      <c r="M157" s="3">
        <v>-6.2239999999999996E-7</v>
      </c>
      <c r="N157" s="3">
        <v>8.4349999999999995E-7</v>
      </c>
      <c r="O157" s="3">
        <v>-6.7699999999999993E-7</v>
      </c>
      <c r="P157" s="3">
        <v>8.0640000000000002E-7</v>
      </c>
      <c r="Q157" s="3">
        <v>3.215E-8</v>
      </c>
      <c r="R157" s="3">
        <v>1.167E-6</v>
      </c>
      <c r="S157" s="13">
        <v>99999</v>
      </c>
      <c r="T157" s="13">
        <v>99999</v>
      </c>
      <c r="U157" s="13">
        <v>3.2062102459740102E-2</v>
      </c>
    </row>
    <row r="158" spans="1:21" x14ac:dyDescent="0.2">
      <c r="A158">
        <v>59</v>
      </c>
      <c r="B158" s="12">
        <v>1</v>
      </c>
      <c r="C158" s="16">
        <v>-1852</v>
      </c>
      <c r="D158" s="16">
        <v>-1852</v>
      </c>
      <c r="E158" s="3">
        <v>10.175953221</v>
      </c>
      <c r="F158" s="3">
        <v>10.175953221</v>
      </c>
      <c r="G158" s="3">
        <v>-1.3190000000000001E-8</v>
      </c>
      <c r="H158" s="3">
        <v>1.001E-8</v>
      </c>
      <c r="I158" s="3">
        <v>-1.27E-8</v>
      </c>
      <c r="J158" s="3">
        <v>9.5879999999999996E-9</v>
      </c>
      <c r="K158" s="3">
        <v>-3.7629999999999998E-10</v>
      </c>
      <c r="L158" s="3">
        <v>4.1239999999999999E-10</v>
      </c>
      <c r="M158" s="3">
        <v>-6.2449999999999991E-7</v>
      </c>
      <c r="N158" s="3">
        <v>8.4639999999999996E-7</v>
      </c>
      <c r="O158" s="3">
        <v>-6.7950000000000002E-7</v>
      </c>
      <c r="P158" s="3">
        <v>8.0869999999999998E-7</v>
      </c>
      <c r="Q158" s="3">
        <v>3.2089999999999998E-8</v>
      </c>
      <c r="R158" s="3">
        <v>1.1709999999999999E-6</v>
      </c>
      <c r="S158" s="13">
        <v>99999</v>
      </c>
      <c r="T158" s="13">
        <v>99999</v>
      </c>
      <c r="U158" s="13">
        <v>3.2010250003395496E-2</v>
      </c>
    </row>
    <row r="159" spans="1:21" x14ac:dyDescent="0.2">
      <c r="A159">
        <v>60</v>
      </c>
      <c r="B159" s="12">
        <v>1</v>
      </c>
      <c r="C159" s="16">
        <v>-1848</v>
      </c>
      <c r="D159" s="16">
        <v>-1848</v>
      </c>
      <c r="E159" s="3">
        <v>10.170925596</v>
      </c>
      <c r="F159" s="3">
        <v>10.170925596</v>
      </c>
      <c r="G159" s="3">
        <v>-3.2830000000000003E-8</v>
      </c>
      <c r="H159" s="3">
        <v>2.6239999999999999E-8</v>
      </c>
      <c r="I159" s="3">
        <v>-3.3069999999999998E-8</v>
      </c>
      <c r="J159" s="3">
        <v>2.4579999999999999E-8</v>
      </c>
      <c r="K159" s="3">
        <v>-3.755E-10</v>
      </c>
      <c r="L159" s="3">
        <v>4.1239999999999999E-10</v>
      </c>
      <c r="M159" s="3">
        <v>-6.1979999999999998E-7</v>
      </c>
      <c r="N159" s="3">
        <v>8.4010000000000001E-7</v>
      </c>
      <c r="O159" s="3">
        <v>-6.7460000000000007E-7</v>
      </c>
      <c r="P159" s="3">
        <v>8.0210000000000002E-7</v>
      </c>
      <c r="Q159" s="3">
        <v>3.166E-8</v>
      </c>
      <c r="R159" s="3">
        <v>1.1620000000000001E-6</v>
      </c>
      <c r="S159" s="13">
        <v>99999</v>
      </c>
      <c r="T159" s="13">
        <v>99999</v>
      </c>
      <c r="U159" s="13">
        <v>3.1941113393807334E-2</v>
      </c>
    </row>
    <row r="160" spans="1:21" x14ac:dyDescent="0.2">
      <c r="A160">
        <v>61</v>
      </c>
      <c r="B160" s="12">
        <v>1</v>
      </c>
      <c r="C160" s="16">
        <v>-1845</v>
      </c>
      <c r="D160" s="16">
        <v>-1845</v>
      </c>
      <c r="E160" s="3">
        <v>10.165897971000001</v>
      </c>
      <c r="F160" s="3">
        <v>10.165897971000001</v>
      </c>
      <c r="G160" s="3">
        <v>-5.4410000000000002E-8</v>
      </c>
      <c r="H160" s="3">
        <v>4.4240000000000004E-8</v>
      </c>
      <c r="I160" s="3">
        <v>-5.5550000000000004E-8</v>
      </c>
      <c r="J160" s="3">
        <v>4.1180000000000002E-8</v>
      </c>
      <c r="K160" s="3">
        <v>-3.7470000000000001E-10</v>
      </c>
      <c r="L160" s="3">
        <v>4.1230000000000001E-10</v>
      </c>
      <c r="M160" s="3">
        <v>-6.0750000000000001E-7</v>
      </c>
      <c r="N160" s="3">
        <v>8.2359999999999994E-7</v>
      </c>
      <c r="O160" s="3">
        <v>-6.6149999999999993E-7</v>
      </c>
      <c r="P160" s="3">
        <v>7.8569999999999995E-7</v>
      </c>
      <c r="Q160" s="3">
        <v>3.0820000000000001E-8</v>
      </c>
      <c r="R160" s="3">
        <v>1.1379999999999999E-6</v>
      </c>
      <c r="S160" s="13">
        <v>99999</v>
      </c>
      <c r="T160" s="13">
        <v>99999</v>
      </c>
      <c r="U160" s="13">
        <v>3.1889260935257818E-2</v>
      </c>
    </row>
    <row r="161" spans="1:21" x14ac:dyDescent="0.2">
      <c r="A161">
        <v>62</v>
      </c>
      <c r="B161" s="12">
        <v>1</v>
      </c>
      <c r="C161" s="16">
        <v>-1841</v>
      </c>
      <c r="D161" s="16">
        <v>-1841</v>
      </c>
      <c r="E161" s="3">
        <v>10.160870346000001</v>
      </c>
      <c r="F161" s="3">
        <v>10.160870346000001</v>
      </c>
      <c r="G161" s="3">
        <v>-7.7970000000000003E-8</v>
      </c>
      <c r="H161" s="3">
        <v>6.3910000000000008E-8</v>
      </c>
      <c r="I161" s="3">
        <v>-8.008E-8</v>
      </c>
      <c r="J161" s="3">
        <v>5.9299999999999995E-8</v>
      </c>
      <c r="K161" s="3">
        <v>-3.7389999999999997E-10</v>
      </c>
      <c r="L161" s="3">
        <v>4.1230000000000001E-10</v>
      </c>
      <c r="M161" s="3">
        <v>-5.8690000000000005E-7</v>
      </c>
      <c r="N161" s="3">
        <v>7.9580000000000007E-7</v>
      </c>
      <c r="O161" s="3">
        <v>-6.3929999999999996E-7</v>
      </c>
      <c r="P161" s="3">
        <v>7.5849999999999992E-7</v>
      </c>
      <c r="Q161" s="3">
        <v>2.953E-8</v>
      </c>
      <c r="R161" s="3">
        <v>1.099E-6</v>
      </c>
      <c r="S161" s="13">
        <v>99999</v>
      </c>
      <c r="T161" s="13">
        <v>99999</v>
      </c>
      <c r="U161" s="13">
        <v>3.1820124323307233E-2</v>
      </c>
    </row>
    <row r="162" spans="1:21" x14ac:dyDescent="0.2">
      <c r="A162">
        <v>63</v>
      </c>
      <c r="B162" s="12">
        <v>1</v>
      </c>
      <c r="C162" s="16">
        <v>-1838</v>
      </c>
      <c r="D162" s="16">
        <v>-1838</v>
      </c>
      <c r="E162" s="3">
        <v>10.155842721000001</v>
      </c>
      <c r="F162" s="3">
        <v>10.155842721000001</v>
      </c>
      <c r="G162" s="3">
        <v>-1.0340000000000001E-7</v>
      </c>
      <c r="H162" s="3">
        <v>8.5130000000000009E-8</v>
      </c>
      <c r="I162" s="3">
        <v>-1.0649999999999999E-7</v>
      </c>
      <c r="J162" s="3">
        <v>7.8839999999999997E-8</v>
      </c>
      <c r="K162" s="3">
        <v>-3.7310000000000004E-10</v>
      </c>
      <c r="L162" s="3">
        <v>4.1230000000000001E-10</v>
      </c>
      <c r="M162" s="3">
        <v>-5.5730000000000005E-7</v>
      </c>
      <c r="N162" s="3">
        <v>7.5580000000000003E-7</v>
      </c>
      <c r="O162" s="3">
        <v>-6.074E-7</v>
      </c>
      <c r="P162" s="3">
        <v>7.1949999999999995E-7</v>
      </c>
      <c r="Q162" s="3">
        <v>2.777E-8</v>
      </c>
      <c r="R162" s="3">
        <v>1.043E-6</v>
      </c>
      <c r="S162" s="13">
        <v>99999</v>
      </c>
      <c r="T162" s="13">
        <v>99999</v>
      </c>
      <c r="U162" s="13">
        <v>3.1768271862237817E-2</v>
      </c>
    </row>
    <row r="163" spans="1:21" x14ac:dyDescent="0.2">
      <c r="A163">
        <v>64</v>
      </c>
      <c r="B163" s="12">
        <v>1</v>
      </c>
      <c r="C163" s="16">
        <v>-1834</v>
      </c>
      <c r="D163" s="16">
        <v>-1834</v>
      </c>
      <c r="E163" s="3">
        <v>10.150815096000001</v>
      </c>
      <c r="F163" s="3">
        <v>10.150815096000001</v>
      </c>
      <c r="G163" s="3">
        <v>-1.3059999999999999E-7</v>
      </c>
      <c r="H163" s="3">
        <v>1.0789999999999999E-7</v>
      </c>
      <c r="I163" s="3">
        <v>-1.349E-7</v>
      </c>
      <c r="J163" s="3">
        <v>9.9799999999999994E-8</v>
      </c>
      <c r="K163" s="3">
        <v>-3.7240000000000003E-10</v>
      </c>
      <c r="L163" s="3">
        <v>4.1230000000000001E-10</v>
      </c>
      <c r="M163" s="3">
        <v>-5.1789999999999995E-7</v>
      </c>
      <c r="N163" s="3">
        <v>7.0250000000000005E-7</v>
      </c>
      <c r="O163" s="3">
        <v>-5.6479999999999998E-7</v>
      </c>
      <c r="P163" s="3">
        <v>6.6779999999999998E-7</v>
      </c>
      <c r="Q163" s="3">
        <v>2.5480000000000001E-8</v>
      </c>
      <c r="R163" s="3">
        <v>9.6929999999999998E-7</v>
      </c>
      <c r="S163" s="13">
        <v>99999</v>
      </c>
      <c r="T163" s="13">
        <v>99999</v>
      </c>
      <c r="U163" s="13">
        <v>3.1699135247554702E-2</v>
      </c>
    </row>
    <row r="164" spans="1:21" x14ac:dyDescent="0.2">
      <c r="A164">
        <v>65</v>
      </c>
      <c r="B164" s="12">
        <v>1</v>
      </c>
      <c r="C164" s="16">
        <v>-1830</v>
      </c>
      <c r="D164" s="16">
        <v>-1830</v>
      </c>
      <c r="E164" s="3">
        <v>10.145787471</v>
      </c>
      <c r="F164" s="3">
        <v>10.145787471</v>
      </c>
      <c r="G164" s="3">
        <v>-1.5949999999999999E-7</v>
      </c>
      <c r="H164" s="3">
        <v>1.3210000000000002E-7</v>
      </c>
      <c r="I164" s="3">
        <v>-1.6509999999999999E-7</v>
      </c>
      <c r="J164" s="3">
        <v>1.2210000000000001E-7</v>
      </c>
      <c r="K164" s="3">
        <v>-3.7170000000000002E-10</v>
      </c>
      <c r="L164" s="3">
        <v>4.1219999999999998E-10</v>
      </c>
      <c r="M164" s="3">
        <v>-4.679E-7</v>
      </c>
      <c r="N164" s="3">
        <v>6.3509999999999996E-7</v>
      </c>
      <c r="O164" s="3">
        <v>-5.1090000000000006E-7</v>
      </c>
      <c r="P164" s="3">
        <v>6.0249999999999995E-7</v>
      </c>
      <c r="Q164" s="3">
        <v>2.264E-8</v>
      </c>
      <c r="R164" s="3">
        <v>8.7540000000000002E-7</v>
      </c>
      <c r="S164" s="13">
        <v>99999</v>
      </c>
      <c r="T164" s="13">
        <v>99999</v>
      </c>
      <c r="U164" s="13">
        <v>3.1629998631280895E-2</v>
      </c>
    </row>
    <row r="165" spans="1:21" x14ac:dyDescent="0.2">
      <c r="A165">
        <v>66</v>
      </c>
      <c r="B165" s="12">
        <v>1</v>
      </c>
      <c r="C165" s="16">
        <v>-1827</v>
      </c>
      <c r="D165" s="16">
        <v>-1827</v>
      </c>
      <c r="E165" s="3">
        <v>10.140759846000002</v>
      </c>
      <c r="F165" s="3">
        <v>10.140759846000002</v>
      </c>
      <c r="G165" s="3">
        <v>-1.9000000000000001E-7</v>
      </c>
      <c r="H165" s="3">
        <v>1.5760000000000001E-7</v>
      </c>
      <c r="I165" s="3">
        <v>-1.969E-7</v>
      </c>
      <c r="J165" s="3">
        <v>1.4550000000000003E-7</v>
      </c>
      <c r="K165" s="3">
        <v>-3.7099999999999996E-10</v>
      </c>
      <c r="L165" s="3">
        <v>4.121E-10</v>
      </c>
      <c r="M165" s="3">
        <v>-4.0690000000000002E-7</v>
      </c>
      <c r="N165" s="3">
        <v>5.525E-7</v>
      </c>
      <c r="O165" s="3">
        <v>-4.4480000000000001E-7</v>
      </c>
      <c r="P165" s="3">
        <v>5.228E-7</v>
      </c>
      <c r="Q165" s="3">
        <v>1.9219999999999999E-8</v>
      </c>
      <c r="R165" s="3">
        <v>7.6059999999999997E-7</v>
      </c>
      <c r="S165" s="13">
        <v>99999</v>
      </c>
      <c r="T165" s="13">
        <v>99999</v>
      </c>
      <c r="U165" s="13">
        <v>3.1578146165581127E-2</v>
      </c>
    </row>
    <row r="166" spans="1:21" x14ac:dyDescent="0.2">
      <c r="A166">
        <v>67</v>
      </c>
      <c r="B166" s="12">
        <v>1</v>
      </c>
      <c r="C166" s="16">
        <v>-1823</v>
      </c>
      <c r="D166" s="16">
        <v>-1823</v>
      </c>
      <c r="E166" s="3">
        <v>10.135732221000001</v>
      </c>
      <c r="F166" s="3">
        <v>10.135732221000001</v>
      </c>
      <c r="G166" s="3">
        <v>-2.2179999999999999E-7</v>
      </c>
      <c r="H166" s="3">
        <v>1.842E-7</v>
      </c>
      <c r="I166" s="3">
        <v>-2.301E-7</v>
      </c>
      <c r="J166" s="3">
        <v>1.7009999999999999E-7</v>
      </c>
      <c r="K166" s="3">
        <v>-3.7029999999999995E-10</v>
      </c>
      <c r="L166" s="3">
        <v>4.1199999999999997E-10</v>
      </c>
      <c r="M166" s="3">
        <v>-3.3420000000000001E-7</v>
      </c>
      <c r="N166" s="3">
        <v>4.5409999999999997E-7</v>
      </c>
      <c r="O166" s="3">
        <v>-3.6610000000000003E-7</v>
      </c>
      <c r="P166" s="3">
        <v>4.2780000000000001E-7</v>
      </c>
      <c r="Q166" s="3">
        <v>1.5189999999999999E-8</v>
      </c>
      <c r="R166" s="3">
        <v>6.2390000000000007E-7</v>
      </c>
      <c r="S166" s="13">
        <v>99999</v>
      </c>
      <c r="T166" s="13">
        <v>99999</v>
      </c>
      <c r="U166" s="13">
        <v>3.1509009545936946E-2</v>
      </c>
    </row>
    <row r="167" spans="1:21" x14ac:dyDescent="0.2">
      <c r="A167">
        <v>68</v>
      </c>
      <c r="B167" s="12">
        <v>1</v>
      </c>
      <c r="C167" s="16">
        <v>-1820</v>
      </c>
      <c r="D167" s="16">
        <v>-1820</v>
      </c>
      <c r="E167" s="3">
        <v>10.130714651249999</v>
      </c>
      <c r="F167" s="3">
        <v>10.130714651249999</v>
      </c>
      <c r="G167" s="3">
        <v>-2.5499999999999999E-7</v>
      </c>
      <c r="H167" s="3">
        <v>2.1199999999999999E-7</v>
      </c>
      <c r="I167" s="3">
        <v>-2.6469999999999998E-7</v>
      </c>
      <c r="J167" s="3">
        <v>1.956E-7</v>
      </c>
      <c r="K167" s="3">
        <v>-3.6969999999999997E-10</v>
      </c>
      <c r="L167" s="3">
        <v>4.1199999999999997E-10</v>
      </c>
      <c r="M167" s="3">
        <v>-2.4909999999999997E-7</v>
      </c>
      <c r="N167" s="3">
        <v>3.3910000000000001E-7</v>
      </c>
      <c r="O167" s="3">
        <v>-2.7389999999999998E-7</v>
      </c>
      <c r="P167" s="3">
        <v>3.1689999999999999E-7</v>
      </c>
      <c r="Q167" s="3">
        <v>1.054E-8</v>
      </c>
      <c r="R167" s="3">
        <v>4.6409999999999998E-7</v>
      </c>
      <c r="S167" s="13">
        <v>99999</v>
      </c>
      <c r="T167" s="13">
        <v>99999</v>
      </c>
      <c r="U167" s="13">
        <v>3.1457157076693561E-2</v>
      </c>
    </row>
    <row r="168" spans="1:21" x14ac:dyDescent="0.2">
      <c r="A168">
        <v>69</v>
      </c>
      <c r="B168" s="12">
        <v>1</v>
      </c>
      <c r="C168" s="16">
        <v>-1816</v>
      </c>
      <c r="D168" s="16">
        <v>-1816</v>
      </c>
      <c r="E168" s="3">
        <v>10.125687026249999</v>
      </c>
      <c r="F168" s="3">
        <v>10.125687026249999</v>
      </c>
      <c r="G168" s="3">
        <v>-2.8919999999999997E-7</v>
      </c>
      <c r="H168" s="3">
        <v>2.4069999999999998E-7</v>
      </c>
      <c r="I168" s="3">
        <v>-3.0049999999999997E-7</v>
      </c>
      <c r="J168" s="3">
        <v>2.22E-7</v>
      </c>
      <c r="K168" s="3">
        <v>-3.6899999999999997E-10</v>
      </c>
      <c r="L168" s="3">
        <v>4.1189999999999999E-10</v>
      </c>
      <c r="M168" s="3">
        <v>-1.525E-7</v>
      </c>
      <c r="N168" s="3">
        <v>2.0670000000000002E-7</v>
      </c>
      <c r="O168" s="3">
        <v>-1.6789999999999999E-7</v>
      </c>
      <c r="P168" s="3">
        <v>1.8939999999999999E-7</v>
      </c>
      <c r="Q168" s="3">
        <v>5.342E-9</v>
      </c>
      <c r="R168" s="3">
        <v>2.8029999999999999E-7</v>
      </c>
      <c r="S168" s="13">
        <v>99999</v>
      </c>
      <c r="T168" s="13">
        <v>99999</v>
      </c>
      <c r="U168" s="13">
        <v>3.1388020453340389E-2</v>
      </c>
    </row>
    <row r="169" spans="1:21" x14ac:dyDescent="0.2">
      <c r="A169">
        <v>70</v>
      </c>
      <c r="B169" s="12">
        <v>1</v>
      </c>
      <c r="C169" s="16">
        <v>-1813</v>
      </c>
      <c r="D169" s="16">
        <v>-1813</v>
      </c>
      <c r="E169" s="3">
        <v>10.120659401249998</v>
      </c>
      <c r="F169" s="3">
        <v>10.120659401249998</v>
      </c>
      <c r="G169" s="3">
        <v>-3.2449999999999997E-7</v>
      </c>
      <c r="H169" s="3">
        <v>2.7030000000000003E-7</v>
      </c>
      <c r="I169" s="3">
        <v>-3.3730000000000004E-7</v>
      </c>
      <c r="J169" s="3">
        <v>2.4919999999999998E-7</v>
      </c>
      <c r="K169" s="3">
        <v>-3.6829999999999996E-10</v>
      </c>
      <c r="L169" s="3">
        <v>4.1180000000000002E-10</v>
      </c>
      <c r="M169" s="3">
        <v>-4.4450000000000004E-8</v>
      </c>
      <c r="N169" s="3">
        <v>5.959E-8</v>
      </c>
      <c r="O169" s="3">
        <v>-4.758E-8</v>
      </c>
      <c r="P169" s="3">
        <v>4.545E-8</v>
      </c>
      <c r="Q169" s="3">
        <v>1.1990000000000001E-9</v>
      </c>
      <c r="R169" s="3">
        <v>7.4109999999999993E-8</v>
      </c>
      <c r="S169" s="13">
        <v>99999</v>
      </c>
      <c r="T169" s="13">
        <v>99999</v>
      </c>
      <c r="U169" s="13">
        <v>3.1336167980443926E-2</v>
      </c>
    </row>
    <row r="170" spans="1:21" x14ac:dyDescent="0.2">
      <c r="A170">
        <v>71</v>
      </c>
      <c r="B170" s="12">
        <v>1</v>
      </c>
      <c r="C170" s="16">
        <v>-1809</v>
      </c>
      <c r="D170" s="16">
        <v>-1809</v>
      </c>
      <c r="E170" s="3">
        <v>10.11563177625</v>
      </c>
      <c r="F170" s="3">
        <v>10.11563177625</v>
      </c>
      <c r="G170" s="3">
        <v>-3.6039999999999997E-7</v>
      </c>
      <c r="H170" s="3">
        <v>3.0039999999999996E-7</v>
      </c>
      <c r="I170" s="3">
        <v>-3.749E-7</v>
      </c>
      <c r="J170" s="3">
        <v>2.7700000000000001E-7</v>
      </c>
      <c r="K170" s="3">
        <v>-3.6769999999999998E-10</v>
      </c>
      <c r="L170" s="3">
        <v>4.1170000000000004E-10</v>
      </c>
      <c r="M170" s="3">
        <v>-1.1340000000000001E-7</v>
      </c>
      <c r="N170" s="3">
        <v>8.5609999999999997E-8</v>
      </c>
      <c r="O170" s="3">
        <v>-1.1780000000000001E-7</v>
      </c>
      <c r="P170" s="3">
        <v>8.945000000000001E-8</v>
      </c>
      <c r="Q170" s="3">
        <v>6.3970000000000001E-9</v>
      </c>
      <c r="R170" s="3">
        <v>1.635E-7</v>
      </c>
      <c r="S170" s="13">
        <v>99999</v>
      </c>
      <c r="T170" s="13">
        <v>99999</v>
      </c>
      <c r="U170" s="13">
        <v>3.1267031378603691E-2</v>
      </c>
    </row>
    <row r="171" spans="1:21" x14ac:dyDescent="0.2">
      <c r="A171">
        <v>72</v>
      </c>
      <c r="B171" s="12">
        <v>1</v>
      </c>
      <c r="C171" s="16">
        <v>-1806</v>
      </c>
      <c r="D171" s="16">
        <v>-1806</v>
      </c>
      <c r="E171" s="3">
        <v>10.11060415125</v>
      </c>
      <c r="F171" s="3">
        <v>10.11060415125</v>
      </c>
      <c r="G171" s="3">
        <v>-3.9690000000000001E-7</v>
      </c>
      <c r="H171" s="3">
        <v>3.3100000000000004E-7</v>
      </c>
      <c r="I171" s="3">
        <v>-4.1300000000000001E-7</v>
      </c>
      <c r="J171" s="3">
        <v>3.051E-7</v>
      </c>
      <c r="K171" s="3">
        <v>-3.6699999999999997E-10</v>
      </c>
      <c r="L171" s="3">
        <v>4.1149999999999997E-10</v>
      </c>
      <c r="M171" s="3">
        <v>-2.9970000000000002E-7</v>
      </c>
      <c r="N171" s="3">
        <v>2.2279999999999998E-7</v>
      </c>
      <c r="O171" s="3">
        <v>-2.9770000000000003E-7</v>
      </c>
      <c r="P171" s="3">
        <v>2.3800000000000001E-7</v>
      </c>
      <c r="Q171" s="3">
        <v>1.5460000000000001E-8</v>
      </c>
      <c r="R171" s="3">
        <v>4.2240000000000002E-7</v>
      </c>
      <c r="S171" s="13">
        <v>99999</v>
      </c>
      <c r="T171" s="13">
        <v>99999</v>
      </c>
      <c r="U171" s="13">
        <v>3.1215178942331751E-2</v>
      </c>
    </row>
    <row r="172" spans="1:21" x14ac:dyDescent="0.2">
      <c r="A172">
        <v>73</v>
      </c>
      <c r="B172" s="12">
        <v>1</v>
      </c>
      <c r="C172" s="16">
        <v>-1802</v>
      </c>
      <c r="D172" s="16">
        <v>-1802</v>
      </c>
      <c r="E172" s="3">
        <v>10.105576526249999</v>
      </c>
      <c r="F172" s="3">
        <v>10.105576526249999</v>
      </c>
      <c r="G172" s="3">
        <v>-4.3350000000000001E-7</v>
      </c>
      <c r="H172" s="3">
        <v>3.6180000000000002E-7</v>
      </c>
      <c r="I172" s="3">
        <v>-4.5130000000000002E-7</v>
      </c>
      <c r="J172" s="3">
        <v>3.333E-7</v>
      </c>
      <c r="K172" s="3">
        <v>-3.664E-10</v>
      </c>
      <c r="L172" s="3">
        <v>4.114E-10</v>
      </c>
      <c r="M172" s="3">
        <v>-5.0620000000000002E-7</v>
      </c>
      <c r="N172" s="3">
        <v>3.7530000000000003E-7</v>
      </c>
      <c r="O172" s="3">
        <v>-4.961E-7</v>
      </c>
      <c r="P172" s="3">
        <v>4.0329999999999997E-7</v>
      </c>
      <c r="Q172" s="3">
        <v>2.365E-8</v>
      </c>
      <c r="R172" s="3">
        <v>7.0879999999999999E-7</v>
      </c>
      <c r="S172" s="13">
        <v>99999</v>
      </c>
      <c r="T172" s="13">
        <v>99999</v>
      </c>
      <c r="U172" s="13">
        <v>3.1146042356005505E-2</v>
      </c>
    </row>
    <row r="173" spans="1:21" x14ac:dyDescent="0.2">
      <c r="A173">
        <v>74</v>
      </c>
      <c r="B173" s="12">
        <v>1</v>
      </c>
      <c r="C173" s="16">
        <v>-1799</v>
      </c>
      <c r="D173" s="16">
        <v>-1799</v>
      </c>
      <c r="E173" s="3">
        <v>10.100548901249999</v>
      </c>
      <c r="F173" s="3">
        <v>10.100548901249999</v>
      </c>
      <c r="G173" s="3">
        <v>-4.7020000000000001E-7</v>
      </c>
      <c r="H173" s="3">
        <v>3.9260000000000001E-7</v>
      </c>
      <c r="I173" s="3">
        <v>-4.8970000000000005E-7</v>
      </c>
      <c r="J173" s="3">
        <v>3.6170000000000002E-7</v>
      </c>
      <c r="K173" s="3">
        <v>-3.6569999999999999E-10</v>
      </c>
      <c r="L173" s="3">
        <v>4.1119999999999999E-10</v>
      </c>
      <c r="M173" s="3">
        <v>-7.3180000000000003E-7</v>
      </c>
      <c r="N173" s="3">
        <v>5.4199999999999996E-7</v>
      </c>
      <c r="O173" s="3">
        <v>-7.1289999999999998E-7</v>
      </c>
      <c r="P173" s="3">
        <v>5.8419999999999995E-7</v>
      </c>
      <c r="Q173" s="3">
        <v>3.2580000000000005E-8</v>
      </c>
      <c r="R173" s="3">
        <v>1.0219999999999999E-6</v>
      </c>
      <c r="S173" s="13">
        <v>99999</v>
      </c>
      <c r="T173" s="13">
        <v>99999</v>
      </c>
      <c r="U173" s="13">
        <v>3.109418992400954E-2</v>
      </c>
    </row>
    <row r="174" spans="1:21" x14ac:dyDescent="0.2">
      <c r="A174">
        <v>75</v>
      </c>
      <c r="B174" s="12">
        <v>1</v>
      </c>
      <c r="C174" s="16">
        <v>-1795</v>
      </c>
      <c r="D174" s="16">
        <v>-1795</v>
      </c>
      <c r="E174" s="3">
        <v>10.095521276249999</v>
      </c>
      <c r="F174" s="3">
        <v>10.095521276249999</v>
      </c>
      <c r="G174" s="3">
        <v>-5.0689999999999997E-7</v>
      </c>
      <c r="H174" s="3">
        <v>4.2339999999999999E-7</v>
      </c>
      <c r="I174" s="3">
        <v>-5.2809999999999997E-7</v>
      </c>
      <c r="J174" s="3">
        <v>3.8999999999999997E-7</v>
      </c>
      <c r="K174" s="3">
        <v>-3.6510000000000001E-10</v>
      </c>
      <c r="L174" s="3">
        <v>4.1110000000000001E-10</v>
      </c>
      <c r="M174" s="3">
        <v>-9.7670000000000011E-7</v>
      </c>
      <c r="N174" s="3">
        <v>7.2279999999999999E-7</v>
      </c>
      <c r="O174" s="3">
        <v>-9.4789999999999996E-7</v>
      </c>
      <c r="P174" s="3">
        <v>7.8050000000000009E-7</v>
      </c>
      <c r="Q174" s="3">
        <v>4.2259999999999996E-8</v>
      </c>
      <c r="R174" s="3">
        <v>1.361E-6</v>
      </c>
      <c r="S174" s="13">
        <v>99999</v>
      </c>
      <c r="T174" s="13">
        <v>99999</v>
      </c>
      <c r="U174" s="13">
        <v>3.1025053341825405E-2</v>
      </c>
    </row>
    <row r="175" spans="1:21" x14ac:dyDescent="0.2">
      <c r="A175">
        <v>76</v>
      </c>
      <c r="B175" s="12">
        <v>1</v>
      </c>
      <c r="C175" s="16">
        <v>-1792</v>
      </c>
      <c r="D175" s="16">
        <v>-1792</v>
      </c>
      <c r="E175" s="3">
        <v>10.090493651249998</v>
      </c>
      <c r="F175" s="3">
        <v>10.090493651249998</v>
      </c>
      <c r="G175" s="3">
        <v>-5.4420000000000002E-7</v>
      </c>
      <c r="H175" s="3">
        <v>4.5479999999999997E-7</v>
      </c>
      <c r="I175" s="3">
        <v>-5.6720000000000005E-7</v>
      </c>
      <c r="J175" s="3">
        <v>4.1879999999999996E-7</v>
      </c>
      <c r="K175" s="3">
        <v>-3.644E-10</v>
      </c>
      <c r="L175" s="3">
        <v>4.109E-10</v>
      </c>
      <c r="M175" s="3">
        <v>-1.2409999999999998E-6</v>
      </c>
      <c r="N175" s="3">
        <v>9.1780000000000003E-7</v>
      </c>
      <c r="O175" s="3">
        <v>-1.201E-6</v>
      </c>
      <c r="P175" s="3">
        <v>9.922E-7</v>
      </c>
      <c r="Q175" s="3">
        <v>5.2660000000000003E-8</v>
      </c>
      <c r="R175" s="3">
        <v>1.7269999999999999E-6</v>
      </c>
      <c r="S175" s="13">
        <v>99999</v>
      </c>
      <c r="T175" s="13">
        <v>99999</v>
      </c>
      <c r="U175" s="13">
        <v>3.0973200913987288E-2</v>
      </c>
    </row>
    <row r="176" spans="1:21" x14ac:dyDescent="0.2">
      <c r="A176">
        <v>77</v>
      </c>
      <c r="B176" s="12">
        <v>1</v>
      </c>
      <c r="C176" s="16">
        <v>-1788</v>
      </c>
      <c r="D176" s="16">
        <v>-1788</v>
      </c>
      <c r="E176" s="3">
        <v>10.08546602625</v>
      </c>
      <c r="F176" s="3">
        <v>10.08546602625</v>
      </c>
      <c r="G176" s="3">
        <v>-5.8219999999999991E-7</v>
      </c>
      <c r="H176" s="3">
        <v>4.8680000000000004E-7</v>
      </c>
      <c r="I176" s="3">
        <v>-6.0699999999999997E-7</v>
      </c>
      <c r="J176" s="3">
        <v>4.482E-7</v>
      </c>
      <c r="K176" s="3">
        <v>-3.6380000000000003E-10</v>
      </c>
      <c r="L176" s="3">
        <v>4.1069999999999999E-10</v>
      </c>
      <c r="M176" s="3">
        <v>-1.5239999999999999E-6</v>
      </c>
      <c r="N176" s="3">
        <v>1.127E-6</v>
      </c>
      <c r="O176" s="3">
        <v>-1.4729999999999999E-6</v>
      </c>
      <c r="P176" s="3">
        <v>1.22E-6</v>
      </c>
      <c r="Q176" s="3">
        <v>6.381E-8</v>
      </c>
      <c r="R176" s="3">
        <v>2.12E-6</v>
      </c>
      <c r="S176" s="13">
        <v>99999</v>
      </c>
      <c r="T176" s="13">
        <v>99999</v>
      </c>
      <c r="U176" s="13">
        <v>3.0904064336055491E-2</v>
      </c>
    </row>
    <row r="177" spans="1:21" x14ac:dyDescent="0.2">
      <c r="A177">
        <v>78</v>
      </c>
      <c r="B177" s="12">
        <v>1</v>
      </c>
      <c r="C177" s="16">
        <v>-1785</v>
      </c>
      <c r="D177" s="16">
        <v>-1785</v>
      </c>
      <c r="E177" s="3">
        <v>10.080438401249999</v>
      </c>
      <c r="F177" s="3">
        <v>10.080438401249999</v>
      </c>
      <c r="G177" s="3">
        <v>-6.1649999999999994E-7</v>
      </c>
      <c r="H177" s="3">
        <v>5.1569999999999999E-7</v>
      </c>
      <c r="I177" s="3">
        <v>-6.4289999999999991E-7</v>
      </c>
      <c r="J177" s="3">
        <v>4.7469999999999998E-7</v>
      </c>
      <c r="K177" s="3">
        <v>-3.6329999999999998E-10</v>
      </c>
      <c r="L177" s="3">
        <v>4.1049999999999998E-10</v>
      </c>
      <c r="M177" s="3">
        <v>-1.8279999999999999E-6</v>
      </c>
      <c r="N177" s="3">
        <v>1.3510000000000001E-6</v>
      </c>
      <c r="O177" s="3">
        <v>-1.765E-6</v>
      </c>
      <c r="P177" s="3">
        <v>1.463E-6</v>
      </c>
      <c r="Q177" s="3">
        <v>7.5710000000000008E-8</v>
      </c>
      <c r="R177" s="3">
        <v>2.5409999999999999E-6</v>
      </c>
      <c r="S177" s="13">
        <v>99999</v>
      </c>
      <c r="T177" s="13">
        <v>99999</v>
      </c>
      <c r="U177" s="13">
        <v>3.0852211912548475E-2</v>
      </c>
    </row>
    <row r="178" spans="1:21" x14ac:dyDescent="0.2">
      <c r="A178">
        <v>79</v>
      </c>
      <c r="B178" s="12">
        <v>1</v>
      </c>
      <c r="C178" s="16">
        <v>-1781</v>
      </c>
      <c r="D178" s="16">
        <v>-1781</v>
      </c>
      <c r="E178" s="3">
        <v>10.075410776249999</v>
      </c>
      <c r="F178" s="3">
        <v>10.075410776249999</v>
      </c>
      <c r="G178" s="3">
        <v>-6.2469999999999992E-7</v>
      </c>
      <c r="H178" s="3">
        <v>5.228E-7</v>
      </c>
      <c r="I178" s="3">
        <v>-6.5169999999999994E-7</v>
      </c>
      <c r="J178" s="3">
        <v>4.8119999999999994E-7</v>
      </c>
      <c r="K178" s="3">
        <v>-3.6299999999999999E-10</v>
      </c>
      <c r="L178" s="3">
        <v>4.104E-10</v>
      </c>
      <c r="M178" s="3">
        <v>-2.1489999999999997E-6</v>
      </c>
      <c r="N178" s="3">
        <v>1.5889999999999999E-6</v>
      </c>
      <c r="O178" s="3">
        <v>-2.0730000000000003E-6</v>
      </c>
      <c r="P178" s="3">
        <v>1.7210000000000001E-6</v>
      </c>
      <c r="Q178" s="3">
        <v>8.8280000000000007E-8</v>
      </c>
      <c r="R178" s="3">
        <v>2.9859999999999999E-6</v>
      </c>
      <c r="S178" s="13">
        <v>99999</v>
      </c>
      <c r="T178" s="13">
        <v>99999</v>
      </c>
      <c r="U178" s="13">
        <v>3.0783075338711514E-2</v>
      </c>
    </row>
    <row r="179" spans="1:21" x14ac:dyDescent="0.2">
      <c r="A179">
        <v>80</v>
      </c>
      <c r="B179" s="12">
        <v>1</v>
      </c>
      <c r="C179" s="16">
        <v>-1779</v>
      </c>
      <c r="D179" s="16">
        <v>-1779</v>
      </c>
      <c r="E179" s="3">
        <v>10.072384145999999</v>
      </c>
      <c r="F179" s="3">
        <v>10.072384145999999</v>
      </c>
      <c r="G179" s="3">
        <v>-6.412E-7</v>
      </c>
      <c r="H179" s="3">
        <v>5.3669999999999998E-7</v>
      </c>
      <c r="I179" s="3">
        <v>-6.6899999999999997E-7</v>
      </c>
      <c r="J179" s="3">
        <v>4.9399999999999995E-7</v>
      </c>
      <c r="K179" s="3">
        <v>-3.6279999999999998E-10</v>
      </c>
      <c r="L179" s="3">
        <v>4.1019999999999999E-10</v>
      </c>
      <c r="M179" s="3">
        <v>-2.3460000000000001E-6</v>
      </c>
      <c r="N179" s="3">
        <v>1.734E-6</v>
      </c>
      <c r="O179" s="3">
        <v>-2.261E-6</v>
      </c>
      <c r="P179" s="3">
        <v>1.8789999999999999E-6</v>
      </c>
      <c r="Q179" s="3">
        <v>9.5949999999999996E-8</v>
      </c>
      <c r="R179" s="3">
        <v>3.258E-6</v>
      </c>
      <c r="S179" s="13">
        <v>99999</v>
      </c>
      <c r="T179" s="13">
        <v>99999</v>
      </c>
      <c r="U179" s="13">
        <v>3.0748507055691036E-2</v>
      </c>
    </row>
    <row r="180" spans="1:21" x14ac:dyDescent="0.2">
      <c r="A180">
        <v>81</v>
      </c>
      <c r="B180" s="12">
        <v>1</v>
      </c>
      <c r="C180" s="16">
        <v>-1778</v>
      </c>
      <c r="D180" s="16">
        <v>-1778</v>
      </c>
      <c r="E180" s="3">
        <v>10.070383151249999</v>
      </c>
      <c r="F180" s="3">
        <v>10.070383151249999</v>
      </c>
      <c r="G180" s="3">
        <v>-6.0009999999999998E-7</v>
      </c>
      <c r="H180" s="3">
        <v>5.0270000000000007E-7</v>
      </c>
      <c r="I180" s="3">
        <v>-6.2649999999999995E-7</v>
      </c>
      <c r="J180" s="3">
        <v>4.6250000000000002E-7</v>
      </c>
      <c r="K180" s="3">
        <v>-3.627E-10</v>
      </c>
      <c r="L180" s="3">
        <v>4.1019999999999999E-10</v>
      </c>
      <c r="M180" s="3">
        <v>-2.4789999999999999E-6</v>
      </c>
      <c r="N180" s="3">
        <v>1.832E-6</v>
      </c>
      <c r="O180" s="3">
        <v>-2.3879999999999998E-6</v>
      </c>
      <c r="P180" s="3">
        <v>1.9849999999999996E-6</v>
      </c>
      <c r="Q180" s="3">
        <v>1.011E-7</v>
      </c>
      <c r="R180" s="3">
        <v>3.4420000000000002E-6</v>
      </c>
      <c r="S180" s="13">
        <v>99999</v>
      </c>
      <c r="T180" s="13">
        <v>99999</v>
      </c>
      <c r="U180" s="13">
        <v>3.0731222917960661E-2</v>
      </c>
    </row>
    <row r="181" spans="1:21" x14ac:dyDescent="0.2">
      <c r="A181">
        <v>82</v>
      </c>
      <c r="B181" s="12">
        <v>1</v>
      </c>
      <c r="C181" s="16">
        <v>-1776</v>
      </c>
      <c r="D181" s="16">
        <v>-1776</v>
      </c>
      <c r="E181" s="3">
        <v>10.068432432749999</v>
      </c>
      <c r="F181" s="3">
        <v>10.068432432749999</v>
      </c>
      <c r="G181" s="3">
        <v>-6.0989999999999998E-7</v>
      </c>
      <c r="H181" s="3">
        <v>5.1090000000000006E-7</v>
      </c>
      <c r="I181" s="3">
        <v>-6.3669999999999998E-7</v>
      </c>
      <c r="J181" s="3">
        <v>4.7E-7</v>
      </c>
      <c r="K181" s="3">
        <v>-3.6259999999999997E-10</v>
      </c>
      <c r="L181" s="3">
        <v>4.1010000000000001E-10</v>
      </c>
      <c r="M181" s="3">
        <v>-2.5999999999999997E-6</v>
      </c>
      <c r="N181" s="3">
        <v>1.922E-6</v>
      </c>
      <c r="O181" s="3">
        <v>-2.5049999999999997E-6</v>
      </c>
      <c r="P181" s="3">
        <v>2.0830000000000002E-6</v>
      </c>
      <c r="Q181" s="3">
        <v>1.0579999999999999E-7</v>
      </c>
      <c r="R181" s="3">
        <v>3.6099999999999997E-6</v>
      </c>
      <c r="S181" s="13">
        <v>99999</v>
      </c>
      <c r="T181" s="13">
        <v>99999</v>
      </c>
      <c r="U181" s="13">
        <v>3.0696654626750457E-2</v>
      </c>
    </row>
    <row r="182" spans="1:21" x14ac:dyDescent="0.2">
      <c r="A182">
        <v>83</v>
      </c>
      <c r="B182" s="12">
        <v>1</v>
      </c>
      <c r="C182" s="16">
        <v>-1776</v>
      </c>
      <c r="D182" s="16">
        <v>-1776</v>
      </c>
      <c r="E182" s="3">
        <v>10.067286134250001</v>
      </c>
      <c r="F182" s="3">
        <v>10.067286134250001</v>
      </c>
      <c r="G182" s="3">
        <v>-6.1620000000000003E-7</v>
      </c>
      <c r="H182" s="3">
        <v>5.1619999999999992E-7</v>
      </c>
      <c r="I182" s="3">
        <v>-6.4329999999999994E-7</v>
      </c>
      <c r="J182" s="3">
        <v>4.749E-7</v>
      </c>
      <c r="K182" s="3">
        <v>-3.6250000000000004E-10</v>
      </c>
      <c r="L182" s="3">
        <v>4.0999999999999998E-10</v>
      </c>
      <c r="M182" s="3">
        <v>-2.6730000000000001E-6</v>
      </c>
      <c r="N182" s="3">
        <v>1.9750000000000001E-6</v>
      </c>
      <c r="O182" s="3">
        <v>-2.5739999999999998E-6</v>
      </c>
      <c r="P182" s="3">
        <v>2.1409999999999999E-6</v>
      </c>
      <c r="Q182" s="3">
        <v>1.0859999999999999E-7</v>
      </c>
      <c r="R182" s="3">
        <v>3.7109999999999997E-6</v>
      </c>
      <c r="S182" s="13">
        <v>99999</v>
      </c>
      <c r="T182" s="13">
        <v>99999</v>
      </c>
      <c r="U182" s="13">
        <v>3.0696654634703939E-2</v>
      </c>
    </row>
    <row r="183" spans="1:21" x14ac:dyDescent="0.2">
      <c r="A183">
        <v>84</v>
      </c>
      <c r="B183" s="12">
        <v>1</v>
      </c>
      <c r="C183" s="16">
        <v>-1775</v>
      </c>
      <c r="D183" s="16">
        <v>-1775</v>
      </c>
      <c r="E183" s="3">
        <v>10.066421382750001</v>
      </c>
      <c r="F183" s="3">
        <v>10.066421382750001</v>
      </c>
      <c r="G183" s="3">
        <v>-6.2220000000000005E-7</v>
      </c>
      <c r="H183" s="3">
        <v>5.2129999999999999E-7</v>
      </c>
      <c r="I183" s="3">
        <v>-6.4959999999999999E-7</v>
      </c>
      <c r="J183" s="3">
        <v>4.7960000000000003E-7</v>
      </c>
      <c r="K183" s="3">
        <v>-3.6240000000000001E-10</v>
      </c>
      <c r="L183" s="3">
        <v>4.0999999999999998E-10</v>
      </c>
      <c r="M183" s="3">
        <v>-2.728E-6</v>
      </c>
      <c r="N183" s="3">
        <v>2.0159999999999998E-6</v>
      </c>
      <c r="O183" s="3">
        <v>-2.627E-6</v>
      </c>
      <c r="P183" s="3">
        <v>2.1849999999999998E-6</v>
      </c>
      <c r="Q183" s="3">
        <v>1.108E-7</v>
      </c>
      <c r="R183" s="3">
        <v>3.7869999999999999E-6</v>
      </c>
      <c r="S183" s="13">
        <v>99999</v>
      </c>
      <c r="T183" s="13">
        <v>99999</v>
      </c>
      <c r="U183" s="13">
        <v>2.3347903279128186E-2</v>
      </c>
    </row>
    <row r="184" spans="1:21" x14ac:dyDescent="0.2">
      <c r="A184">
        <v>85</v>
      </c>
      <c r="B184" s="12">
        <v>1</v>
      </c>
      <c r="C184" s="16">
        <v>-1774</v>
      </c>
      <c r="D184" s="16">
        <v>-1774</v>
      </c>
      <c r="E184" s="3">
        <v>10.065355526249999</v>
      </c>
      <c r="F184" s="3">
        <v>10.065355526249999</v>
      </c>
      <c r="G184" s="3">
        <v>-5.9480000000000001E-7</v>
      </c>
      <c r="H184" s="3">
        <v>4.9850000000000008E-7</v>
      </c>
      <c r="I184" s="3">
        <v>-6.2119999999999998E-7</v>
      </c>
      <c r="J184" s="3">
        <v>4.5849999999999998E-7</v>
      </c>
      <c r="K184" s="3">
        <v>-3.6230000000000003E-10</v>
      </c>
      <c r="L184" s="3">
        <v>4.099E-10</v>
      </c>
      <c r="M184" s="3">
        <v>-2.7970000000000001E-6</v>
      </c>
      <c r="N184" s="3">
        <v>2.0669999999999999E-6</v>
      </c>
      <c r="O184" s="3">
        <v>-2.6929999999999999E-6</v>
      </c>
      <c r="P184" s="3">
        <v>2.2409999999999998E-6</v>
      </c>
      <c r="Q184" s="3">
        <v>1.1349999999999999E-7</v>
      </c>
      <c r="R184" s="3">
        <v>3.8829999999999999E-6</v>
      </c>
      <c r="S184" s="13">
        <v>99999</v>
      </c>
      <c r="T184" s="13">
        <v>99999</v>
      </c>
      <c r="U184" s="13">
        <v>2.3334749536760103E-2</v>
      </c>
    </row>
    <row r="185" spans="1:21" x14ac:dyDescent="0.2">
      <c r="A185">
        <v>86</v>
      </c>
      <c r="B185" s="12">
        <v>1</v>
      </c>
      <c r="C185" s="16">
        <v>-1773</v>
      </c>
      <c r="D185" s="16">
        <v>-1773</v>
      </c>
      <c r="E185" s="3">
        <v>10.064410332750001</v>
      </c>
      <c r="F185" s="3">
        <v>10.064410332750001</v>
      </c>
      <c r="G185" s="3">
        <v>-6.0079999999999993E-7</v>
      </c>
      <c r="H185" s="3">
        <v>5.0360000000000004E-7</v>
      </c>
      <c r="I185" s="3">
        <v>-6.2739999999999991E-7</v>
      </c>
      <c r="J185" s="3">
        <v>4.6319999999999997E-7</v>
      </c>
      <c r="K185" s="3">
        <v>-3.622E-10</v>
      </c>
      <c r="L185" s="3">
        <v>4.099E-10</v>
      </c>
      <c r="M185" s="3">
        <v>-2.8549999999999998E-6</v>
      </c>
      <c r="N185" s="3">
        <v>2.1099999999999997E-6</v>
      </c>
      <c r="O185" s="3">
        <v>-2.7490000000000003E-6</v>
      </c>
      <c r="P185" s="3">
        <v>2.2869999999999999E-6</v>
      </c>
      <c r="Q185" s="3">
        <v>1.157E-7</v>
      </c>
      <c r="R185" s="3">
        <v>3.9639999999999997E-6</v>
      </c>
      <c r="S185" s="13">
        <v>99999</v>
      </c>
      <c r="T185" s="13">
        <v>99999</v>
      </c>
      <c r="U185" s="13">
        <v>2.3321595793481292E-2</v>
      </c>
    </row>
    <row r="186" spans="1:21" x14ac:dyDescent="0.2">
      <c r="A186">
        <v>87</v>
      </c>
      <c r="B186" s="12">
        <v>1</v>
      </c>
      <c r="C186" s="16">
        <v>-1772</v>
      </c>
      <c r="D186" s="16">
        <v>-1772</v>
      </c>
      <c r="E186" s="3">
        <v>10.06342491825</v>
      </c>
      <c r="F186" s="3">
        <v>10.06342491825</v>
      </c>
      <c r="G186" s="3">
        <v>-6.13E-7</v>
      </c>
      <c r="H186" s="3">
        <v>5.1389999999999996E-7</v>
      </c>
      <c r="I186" s="3">
        <v>-6.4030000000000004E-7</v>
      </c>
      <c r="J186" s="3">
        <v>4.7269999999999999E-7</v>
      </c>
      <c r="K186" s="3">
        <v>-3.6199999999999999E-10</v>
      </c>
      <c r="L186" s="3">
        <v>4.0979999999999997E-10</v>
      </c>
      <c r="M186" s="3">
        <v>-2.9169999999999998E-6</v>
      </c>
      <c r="N186" s="3">
        <v>2.1559999999999998E-6</v>
      </c>
      <c r="O186" s="3">
        <v>-2.8089999999999997E-6</v>
      </c>
      <c r="P186" s="3">
        <v>2.3370000000000002E-6</v>
      </c>
      <c r="Q186" s="3">
        <v>1.1809999999999999E-7</v>
      </c>
      <c r="R186" s="3">
        <v>4.0500000000000002E-6</v>
      </c>
      <c r="S186" s="13">
        <v>99999</v>
      </c>
      <c r="T186" s="13">
        <v>99999</v>
      </c>
      <c r="U186" s="13">
        <v>2.3308442050506053E-2</v>
      </c>
    </row>
    <row r="187" spans="1:21" x14ac:dyDescent="0.2">
      <c r="A187">
        <v>88</v>
      </c>
      <c r="B187" s="12">
        <v>1</v>
      </c>
      <c r="C187" s="16">
        <v>-1769</v>
      </c>
      <c r="D187" s="16">
        <v>-1769</v>
      </c>
      <c r="E187" s="3">
        <v>10.06032790125</v>
      </c>
      <c r="F187" s="3">
        <v>10.06032790125</v>
      </c>
      <c r="G187" s="3">
        <v>-6.6110000000000001E-7</v>
      </c>
      <c r="H187" s="3">
        <v>5.5420000000000003E-7</v>
      </c>
      <c r="I187" s="3">
        <v>-6.905E-7</v>
      </c>
      <c r="J187" s="3">
        <v>5.0969999999999996E-7</v>
      </c>
      <c r="K187" s="3">
        <v>-3.617E-10</v>
      </c>
      <c r="L187" s="3">
        <v>4.0949999999999998E-10</v>
      </c>
      <c r="M187" s="3">
        <v>-3.1140000000000002E-6</v>
      </c>
      <c r="N187" s="3">
        <v>2.3010000000000001E-6</v>
      </c>
      <c r="O187" s="3">
        <v>-2.9970000000000003E-6</v>
      </c>
      <c r="P187" s="3">
        <v>2.4949999999999998E-6</v>
      </c>
      <c r="Q187" s="3">
        <v>1.2569999999999999E-7</v>
      </c>
      <c r="R187" s="3">
        <v>4.3220000000000003E-6</v>
      </c>
      <c r="S187" s="13">
        <v>99999</v>
      </c>
      <c r="T187" s="13">
        <v>99999</v>
      </c>
      <c r="U187" s="13">
        <v>2.3268980822430365E-2</v>
      </c>
    </row>
    <row r="188" spans="1:21" x14ac:dyDescent="0.2">
      <c r="A188">
        <v>89</v>
      </c>
      <c r="B188" s="12">
        <v>1</v>
      </c>
      <c r="C188" s="16">
        <v>-1765</v>
      </c>
      <c r="D188" s="16">
        <v>-1765</v>
      </c>
      <c r="E188" s="3">
        <v>10.05530027625</v>
      </c>
      <c r="F188" s="3">
        <v>10.05530027625</v>
      </c>
      <c r="G188" s="3">
        <v>-7.1549999999999997E-7</v>
      </c>
      <c r="H188" s="3">
        <v>5.9980000000000006E-7</v>
      </c>
      <c r="I188" s="3">
        <v>-7.4730000000000003E-7</v>
      </c>
      <c r="J188" s="3">
        <v>5.5170000000000005E-7</v>
      </c>
      <c r="K188" s="3">
        <v>-3.612E-10</v>
      </c>
      <c r="L188" s="3">
        <v>4.0929999999999997E-10</v>
      </c>
      <c r="M188" s="3">
        <v>-3.4589999999999998E-6</v>
      </c>
      <c r="N188" s="3">
        <v>2.5560000000000002E-6</v>
      </c>
      <c r="O188" s="3">
        <v>-3.3270000000000001E-6</v>
      </c>
      <c r="P188" s="3">
        <v>2.7720000000000003E-6</v>
      </c>
      <c r="Q188" s="3">
        <v>1.3899999999999999E-7</v>
      </c>
      <c r="R188" s="3">
        <v>4.7999999999999998E-6</v>
      </c>
      <c r="S188" s="13">
        <v>99999</v>
      </c>
      <c r="T188" s="13">
        <v>99999</v>
      </c>
      <c r="U188" s="13">
        <v>2.3216365858665256E-2</v>
      </c>
    </row>
    <row r="189" spans="1:21" x14ac:dyDescent="0.2">
      <c r="A189">
        <v>90</v>
      </c>
      <c r="B189" s="12">
        <v>1</v>
      </c>
      <c r="C189" s="16">
        <v>-1760</v>
      </c>
      <c r="D189" s="16">
        <v>-1760</v>
      </c>
      <c r="E189" s="3">
        <v>10.050282706499999</v>
      </c>
      <c r="F189" s="3">
        <v>10.050282706499999</v>
      </c>
      <c r="G189" s="3">
        <v>-7.5550000000000001E-7</v>
      </c>
      <c r="H189" s="3">
        <v>6.3349999999999995E-7</v>
      </c>
      <c r="I189" s="3">
        <v>-7.8930000000000001E-7</v>
      </c>
      <c r="J189" s="3">
        <v>5.8259999999999994E-7</v>
      </c>
      <c r="K189" s="3">
        <v>-3.6070000000000001E-10</v>
      </c>
      <c r="L189" s="3">
        <v>4.0900000000000004E-10</v>
      </c>
      <c r="M189" s="3">
        <v>-3.8330000000000004E-6</v>
      </c>
      <c r="N189" s="3">
        <v>2.8319999999999997E-6</v>
      </c>
      <c r="O189" s="3">
        <v>-3.6849999999999999E-6</v>
      </c>
      <c r="P189" s="3">
        <v>3.072E-6</v>
      </c>
      <c r="Q189" s="3">
        <v>1.5339999999999998E-7</v>
      </c>
      <c r="R189" s="3">
        <v>5.3170000000000001E-6</v>
      </c>
      <c r="S189" s="13">
        <v>99999</v>
      </c>
      <c r="T189" s="13">
        <v>99999</v>
      </c>
      <c r="U189" s="13">
        <v>2.3150597149071302E-2</v>
      </c>
    </row>
    <row r="190" spans="1:21" x14ac:dyDescent="0.2">
      <c r="A190">
        <v>91</v>
      </c>
      <c r="B190" s="12">
        <v>1</v>
      </c>
      <c r="C190" s="16">
        <v>-1756</v>
      </c>
      <c r="D190" s="16">
        <v>-1756</v>
      </c>
      <c r="E190" s="3">
        <v>10.045255081499999</v>
      </c>
      <c r="F190" s="3">
        <v>10.045255081499999</v>
      </c>
      <c r="G190" s="3">
        <v>-7.8309999999999996E-7</v>
      </c>
      <c r="H190" s="3">
        <v>6.5680000000000001E-7</v>
      </c>
      <c r="I190" s="3">
        <v>-8.1820000000000006E-7</v>
      </c>
      <c r="J190" s="3">
        <v>6.0389999999999995E-7</v>
      </c>
      <c r="K190" s="3">
        <v>-3.6030000000000004E-10</v>
      </c>
      <c r="L190" s="3">
        <v>4.0880000000000003E-10</v>
      </c>
      <c r="M190" s="3">
        <v>-4.2269999999999995E-6</v>
      </c>
      <c r="N190" s="3">
        <v>3.123E-6</v>
      </c>
      <c r="O190" s="3">
        <v>-4.0629999999999999E-6</v>
      </c>
      <c r="P190" s="3">
        <v>3.3890000000000001E-6</v>
      </c>
      <c r="Q190" s="3">
        <v>1.6860000000000001E-7</v>
      </c>
      <c r="R190" s="3">
        <v>5.8630000000000004E-6</v>
      </c>
      <c r="S190" s="13">
        <v>99999</v>
      </c>
      <c r="T190" s="13">
        <v>99999</v>
      </c>
      <c r="U190" s="13">
        <v>2.3097982189434815E-2</v>
      </c>
    </row>
    <row r="191" spans="1:21" x14ac:dyDescent="0.2">
      <c r="A191">
        <v>92</v>
      </c>
      <c r="B191" s="12">
        <v>1</v>
      </c>
      <c r="C191" s="16">
        <v>-1751</v>
      </c>
      <c r="D191" s="16">
        <v>-1751</v>
      </c>
      <c r="E191" s="3">
        <v>10.0402274565</v>
      </c>
      <c r="F191" s="3">
        <v>10.0402274565</v>
      </c>
      <c r="G191" s="3">
        <v>-8.0380000000000004E-7</v>
      </c>
      <c r="H191" s="3">
        <v>6.7440000000000006E-7</v>
      </c>
      <c r="I191" s="3">
        <v>-8.4E-7</v>
      </c>
      <c r="J191" s="3">
        <v>6.1999999999999999E-7</v>
      </c>
      <c r="K191" s="3">
        <v>-3.5979999999999999E-10</v>
      </c>
      <c r="L191" s="3">
        <v>4.0849999999999999E-10</v>
      </c>
      <c r="M191" s="3">
        <v>-4.6369999999999998E-6</v>
      </c>
      <c r="N191" s="3">
        <v>3.4250000000000002E-6</v>
      </c>
      <c r="O191" s="3">
        <v>-4.4549999999999997E-6</v>
      </c>
      <c r="P191" s="3">
        <v>3.7169999999999997E-6</v>
      </c>
      <c r="Q191" s="3">
        <v>1.8440000000000001E-7</v>
      </c>
      <c r="R191" s="3">
        <v>6.4300000000000003E-6</v>
      </c>
      <c r="S191" s="13">
        <v>99999</v>
      </c>
      <c r="T191" s="13">
        <v>99999</v>
      </c>
      <c r="U191" s="13">
        <v>2.3032213482876623E-2</v>
      </c>
    </row>
    <row r="192" spans="1:21" x14ac:dyDescent="0.2">
      <c r="A192">
        <v>93</v>
      </c>
      <c r="B192" s="12">
        <v>1</v>
      </c>
      <c r="C192" s="16">
        <v>-1746</v>
      </c>
      <c r="D192" s="16">
        <v>-1746</v>
      </c>
      <c r="E192" s="3">
        <v>10.0351998315</v>
      </c>
      <c r="F192" s="3">
        <v>10.0351998315</v>
      </c>
      <c r="G192" s="3">
        <v>-8.2170000000000001E-7</v>
      </c>
      <c r="H192" s="3">
        <v>6.8959999999999993E-7</v>
      </c>
      <c r="I192" s="3">
        <v>-8.5899999999999995E-7</v>
      </c>
      <c r="J192" s="3">
        <v>6.3399999999999999E-7</v>
      </c>
      <c r="K192" s="3">
        <v>-3.5940000000000002E-10</v>
      </c>
      <c r="L192" s="3">
        <v>4.0830000000000003E-10</v>
      </c>
      <c r="M192" s="3">
        <v>-5.057E-6</v>
      </c>
      <c r="N192" s="3">
        <v>3.7350000000000002E-6</v>
      </c>
      <c r="O192" s="3">
        <v>-4.8559999999999998E-6</v>
      </c>
      <c r="P192" s="3">
        <v>4.0540000000000005E-6</v>
      </c>
      <c r="Q192" s="3">
        <v>2.005E-7</v>
      </c>
      <c r="R192" s="3">
        <v>7.0109999999999995E-6</v>
      </c>
      <c r="S192" s="13">
        <v>99999</v>
      </c>
      <c r="T192" s="13">
        <v>99999</v>
      </c>
      <c r="U192" s="13">
        <v>2.2966444777168426E-2</v>
      </c>
    </row>
    <row r="193" spans="1:21" x14ac:dyDescent="0.2">
      <c r="A193">
        <v>94</v>
      </c>
      <c r="B193" s="12">
        <v>1</v>
      </c>
      <c r="C193" s="16">
        <v>-1742</v>
      </c>
      <c r="D193" s="16">
        <v>-1742</v>
      </c>
      <c r="E193" s="3">
        <v>10.0301722065</v>
      </c>
      <c r="F193" s="3">
        <v>10.0301722065</v>
      </c>
      <c r="G193" s="3">
        <v>-8.3830000000000009E-7</v>
      </c>
      <c r="H193" s="3">
        <v>7.0379999999999994E-7</v>
      </c>
      <c r="I193" s="3">
        <v>-8.766E-7</v>
      </c>
      <c r="J193" s="3">
        <v>6.4700000000000001E-7</v>
      </c>
      <c r="K193" s="3">
        <v>-3.5890000000000002E-10</v>
      </c>
      <c r="L193" s="3">
        <v>4.0799999999999999E-10</v>
      </c>
      <c r="M193" s="3">
        <v>-5.4860000000000005E-6</v>
      </c>
      <c r="N193" s="3">
        <v>4.0520000000000003E-6</v>
      </c>
      <c r="O193" s="3">
        <v>-5.2669999999999997E-6</v>
      </c>
      <c r="P193" s="3">
        <v>4.3989999999999997E-6</v>
      </c>
      <c r="Q193" s="3">
        <v>2.17E-7</v>
      </c>
      <c r="R193" s="3">
        <v>7.605E-6</v>
      </c>
      <c r="S193" s="13">
        <v>99999</v>
      </c>
      <c r="T193" s="13">
        <v>99999</v>
      </c>
      <c r="U193" s="13">
        <v>2.291382982044627E-2</v>
      </c>
    </row>
    <row r="194" spans="1:21" x14ac:dyDescent="0.2">
      <c r="A194">
        <v>95</v>
      </c>
      <c r="B194" s="12">
        <v>1</v>
      </c>
      <c r="C194" s="16">
        <v>-1737</v>
      </c>
      <c r="D194" s="16">
        <v>-1737</v>
      </c>
      <c r="E194" s="3">
        <v>10.025144581499999</v>
      </c>
      <c r="F194" s="3">
        <v>10.025144581499999</v>
      </c>
      <c r="G194" s="3">
        <v>-8.526E-7</v>
      </c>
      <c r="H194" s="3">
        <v>7.1619999999999991E-7</v>
      </c>
      <c r="I194" s="3">
        <v>-8.9179999999999998E-7</v>
      </c>
      <c r="J194" s="3">
        <v>6.582E-7</v>
      </c>
      <c r="K194" s="3">
        <v>-3.5839999999999997E-10</v>
      </c>
      <c r="L194" s="3">
        <v>4.0779999999999998E-10</v>
      </c>
      <c r="M194" s="3">
        <v>-5.9239999999999995E-6</v>
      </c>
      <c r="N194" s="3">
        <v>4.3750000000000005E-6</v>
      </c>
      <c r="O194" s="3">
        <v>-5.6860000000000003E-6</v>
      </c>
      <c r="P194" s="3">
        <v>4.7509999999999999E-6</v>
      </c>
      <c r="Q194" s="3">
        <v>2.3369999999999998E-7</v>
      </c>
      <c r="R194" s="3">
        <v>8.2120000000000003E-6</v>
      </c>
      <c r="S194" s="13">
        <v>99999</v>
      </c>
      <c r="T194" s="13">
        <v>99999</v>
      </c>
      <c r="U194" s="13">
        <v>2.2848061116316674E-2</v>
      </c>
    </row>
    <row r="195" spans="1:21" x14ac:dyDescent="0.2">
      <c r="A195">
        <v>96</v>
      </c>
      <c r="B195" s="12">
        <v>1</v>
      </c>
      <c r="C195" s="16">
        <v>-1733</v>
      </c>
      <c r="D195" s="16">
        <v>-1733</v>
      </c>
      <c r="E195" s="3">
        <v>10.020116956499999</v>
      </c>
      <c r="F195" s="3">
        <v>10.020116956499999</v>
      </c>
      <c r="G195" s="3">
        <v>-8.6030000000000005E-7</v>
      </c>
      <c r="H195" s="3">
        <v>7.2320000000000002E-7</v>
      </c>
      <c r="I195" s="3">
        <v>-9.005E-7</v>
      </c>
      <c r="J195" s="3">
        <v>6.6440000000000005E-7</v>
      </c>
      <c r="K195" s="3">
        <v>-3.58E-10</v>
      </c>
      <c r="L195" s="3">
        <v>4.0750000000000004E-10</v>
      </c>
      <c r="M195" s="3">
        <v>-6.37E-6</v>
      </c>
      <c r="N195" s="3">
        <v>4.7040000000000002E-6</v>
      </c>
      <c r="O195" s="3">
        <v>-6.1130000000000006E-6</v>
      </c>
      <c r="P195" s="3">
        <v>5.1089999999999997E-6</v>
      </c>
      <c r="Q195" s="3">
        <v>2.5070000000000004E-7</v>
      </c>
      <c r="R195" s="3">
        <v>8.8289999999999997E-6</v>
      </c>
      <c r="S195" s="13">
        <v>99999</v>
      </c>
      <c r="T195" s="13">
        <v>99999</v>
      </c>
      <c r="U195" s="13">
        <v>2.2795446160990961E-2</v>
      </c>
    </row>
    <row r="196" spans="1:21" x14ac:dyDescent="0.2">
      <c r="A196">
        <v>97</v>
      </c>
      <c r="B196" s="12">
        <v>1</v>
      </c>
      <c r="C196" s="16">
        <v>-1728</v>
      </c>
      <c r="D196" s="16">
        <v>-1728</v>
      </c>
      <c r="E196" s="3">
        <v>10.015089331499999</v>
      </c>
      <c r="F196" s="3">
        <v>10.015089331499999</v>
      </c>
      <c r="G196" s="3">
        <v>-8.5430000000000002E-7</v>
      </c>
      <c r="H196" s="3">
        <v>7.1900000000000002E-7</v>
      </c>
      <c r="I196" s="3">
        <v>-8.9500000000000001E-7</v>
      </c>
      <c r="J196" s="3">
        <v>6.6029999999999995E-7</v>
      </c>
      <c r="K196" s="3">
        <v>-3.5750000000000001E-10</v>
      </c>
      <c r="L196" s="3">
        <v>4.0729999999999998E-10</v>
      </c>
      <c r="M196" s="3">
        <v>-6.8209999999999996E-6</v>
      </c>
      <c r="N196" s="3">
        <v>5.0370000000000002E-6</v>
      </c>
      <c r="O196" s="3">
        <v>-6.5429999999999999E-6</v>
      </c>
      <c r="P196" s="3">
        <v>5.4709999999999998E-6</v>
      </c>
      <c r="Q196" s="3">
        <v>2.678E-7</v>
      </c>
      <c r="R196" s="3">
        <v>9.4509999999999998E-6</v>
      </c>
      <c r="S196" s="13">
        <v>99999</v>
      </c>
      <c r="T196" s="13">
        <v>99999</v>
      </c>
      <c r="U196" s="13">
        <v>2.2729677457772098E-2</v>
      </c>
    </row>
    <row r="197" spans="1:21" x14ac:dyDescent="0.2">
      <c r="A197">
        <v>98</v>
      </c>
      <c r="B197" s="12">
        <v>1</v>
      </c>
      <c r="C197" s="16">
        <v>-1723</v>
      </c>
      <c r="D197" s="16">
        <v>-1723</v>
      </c>
      <c r="E197" s="3">
        <v>10.0100617065</v>
      </c>
      <c r="F197" s="3">
        <v>10.0100617065</v>
      </c>
      <c r="G197" s="3">
        <v>-8.2799999999999995E-7</v>
      </c>
      <c r="H197" s="3">
        <v>6.9780000000000001E-7</v>
      </c>
      <c r="I197" s="3">
        <v>-8.6839999999999991E-7</v>
      </c>
      <c r="J197" s="3">
        <v>6.4050000000000005E-7</v>
      </c>
      <c r="K197" s="3">
        <v>-3.5709999999999999E-10</v>
      </c>
      <c r="L197" s="3">
        <v>4.0699999999999999E-10</v>
      </c>
      <c r="M197" s="3">
        <v>-7.2680000000000005E-6</v>
      </c>
      <c r="N197" s="3">
        <v>5.3670000000000005E-6</v>
      </c>
      <c r="O197" s="3">
        <v>-6.9699999999999993E-6</v>
      </c>
      <c r="P197" s="3">
        <v>5.8300000000000001E-6</v>
      </c>
      <c r="Q197" s="3">
        <v>2.8459999999999999E-7</v>
      </c>
      <c r="R197" s="3">
        <v>1.007E-5</v>
      </c>
      <c r="S197" s="13">
        <v>99999</v>
      </c>
      <c r="T197" s="13">
        <v>99999</v>
      </c>
      <c r="U197" s="13">
        <v>2.2663908754371076E-2</v>
      </c>
    </row>
    <row r="198" spans="1:21" x14ac:dyDescent="0.2">
      <c r="A198">
        <v>99</v>
      </c>
      <c r="B198" s="12">
        <v>1</v>
      </c>
      <c r="C198" s="16">
        <v>-1719</v>
      </c>
      <c r="D198" s="16">
        <v>-1719</v>
      </c>
      <c r="E198" s="3">
        <v>10.0050340815</v>
      </c>
      <c r="F198" s="3">
        <v>10.0050340815</v>
      </c>
      <c r="G198" s="3">
        <v>-7.8909999999999999E-7</v>
      </c>
      <c r="H198" s="3">
        <v>6.652E-7</v>
      </c>
      <c r="I198" s="3">
        <v>-8.2779999999999993E-7</v>
      </c>
      <c r="J198" s="3">
        <v>6.1050000000000002E-7</v>
      </c>
      <c r="K198" s="3">
        <v>-3.5659999999999999E-10</v>
      </c>
      <c r="L198" s="3">
        <v>4.0680000000000003E-10</v>
      </c>
      <c r="M198" s="3">
        <v>-7.7020000000000001E-6</v>
      </c>
      <c r="N198" s="3">
        <v>5.6869999999999999E-6</v>
      </c>
      <c r="O198" s="3">
        <v>-7.3839999999999999E-6</v>
      </c>
      <c r="P198" s="3">
        <v>6.1789999999999996E-6</v>
      </c>
      <c r="Q198" s="3">
        <v>3.0079999999999999E-7</v>
      </c>
      <c r="R198" s="3">
        <v>1.0670000000000001E-5</v>
      </c>
      <c r="S198" s="13">
        <v>99999</v>
      </c>
      <c r="T198" s="13">
        <v>99999</v>
      </c>
      <c r="U198" s="13">
        <v>2.2611293798013216E-2</v>
      </c>
    </row>
    <row r="199" spans="1:21" x14ac:dyDescent="0.2">
      <c r="A199">
        <v>100</v>
      </c>
      <c r="B199" s="12">
        <v>1</v>
      </c>
      <c r="C199" s="16">
        <v>-1714</v>
      </c>
      <c r="D199" s="16">
        <v>-1714</v>
      </c>
      <c r="E199" s="3">
        <v>10.0000064565</v>
      </c>
      <c r="F199" s="3">
        <v>10.0000064565</v>
      </c>
      <c r="G199" s="3">
        <v>-1.889E-6</v>
      </c>
      <c r="H199" s="3">
        <v>1.6440000000000001E-6</v>
      </c>
      <c r="I199" s="3">
        <v>-2.0330000000000003E-6</v>
      </c>
      <c r="J199" s="3">
        <v>1.494E-6</v>
      </c>
      <c r="K199" s="3">
        <v>-3.5610000000000004E-10</v>
      </c>
      <c r="L199" s="3">
        <v>4.0649999999999999E-10</v>
      </c>
      <c r="M199" s="3">
        <v>-8.1159999999999999E-6</v>
      </c>
      <c r="N199" s="3">
        <v>5.9919999999999996E-6</v>
      </c>
      <c r="O199" s="3">
        <v>-7.7789999999999996E-6</v>
      </c>
      <c r="P199" s="3">
        <v>6.5120000000000005E-6</v>
      </c>
      <c r="Q199" s="3">
        <v>3.1619999999999999E-7</v>
      </c>
      <c r="R199" s="3">
        <v>1.1240000000000001E-5</v>
      </c>
      <c r="S199" s="13">
        <v>99999</v>
      </c>
      <c r="T199" s="13">
        <v>99999</v>
      </c>
      <c r="U199" s="13">
        <v>2.2545525091637153E-2</v>
      </c>
    </row>
    <row r="200" spans="1:21" x14ac:dyDescent="0.2">
      <c r="A200">
        <v>101</v>
      </c>
      <c r="B200" s="12">
        <v>1</v>
      </c>
      <c r="C200" s="16">
        <v>-1709</v>
      </c>
      <c r="D200" s="16">
        <v>-1709</v>
      </c>
      <c r="E200" s="3">
        <v>9.9949788314999992</v>
      </c>
      <c r="F200" s="3">
        <v>9.9949788314999992</v>
      </c>
      <c r="G200" s="3">
        <v>-2.3540000000000002E-6</v>
      </c>
      <c r="H200" s="3">
        <v>2.0760000000000001E-6</v>
      </c>
      <c r="I200" s="3">
        <v>-2.5620000000000002E-6</v>
      </c>
      <c r="J200" s="3">
        <v>1.8870000000000001E-6</v>
      </c>
      <c r="K200" s="3">
        <v>-3.5569999999999997E-10</v>
      </c>
      <c r="L200" s="3">
        <v>4.0629999999999998E-10</v>
      </c>
      <c r="M200" s="3">
        <v>-9.1330000000000005E-6</v>
      </c>
      <c r="N200" s="3">
        <v>6.7379999999999997E-6</v>
      </c>
      <c r="O200" s="3">
        <v>-8.7229999999999993E-6</v>
      </c>
      <c r="P200" s="3">
        <v>7.3340000000000004E-6</v>
      </c>
      <c r="Q200" s="3">
        <v>3.4540000000000001E-7</v>
      </c>
      <c r="R200" s="3">
        <v>1.2630000000000001E-5</v>
      </c>
      <c r="S200" s="13">
        <v>99999</v>
      </c>
      <c r="T200" s="13">
        <v>99999</v>
      </c>
      <c r="U200" s="13">
        <v>2.2479756435047484E-2</v>
      </c>
    </row>
    <row r="201" spans="1:21" x14ac:dyDescent="0.2">
      <c r="A201">
        <v>102</v>
      </c>
      <c r="B201" s="12">
        <v>1</v>
      </c>
      <c r="C201" s="16">
        <v>-1705</v>
      </c>
      <c r="D201" s="16">
        <v>-1705</v>
      </c>
      <c r="E201" s="3">
        <v>9.9899512064999989</v>
      </c>
      <c r="F201" s="3">
        <v>9.9899512064999989</v>
      </c>
      <c r="G201" s="3">
        <v>-2.103E-6</v>
      </c>
      <c r="H201" s="3">
        <v>1.9099999999999999E-6</v>
      </c>
      <c r="I201" s="3">
        <v>-2.3460000000000001E-6</v>
      </c>
      <c r="J201" s="3">
        <v>1.736E-6</v>
      </c>
      <c r="K201" s="3">
        <v>-3.5520000000000002E-10</v>
      </c>
      <c r="L201" s="3">
        <v>4.0599999999999999E-10</v>
      </c>
      <c r="M201" s="3">
        <v>-1.041E-5</v>
      </c>
      <c r="N201" s="3">
        <v>7.675999999999999E-6</v>
      </c>
      <c r="O201" s="3">
        <v>-9.9000000000000001E-6</v>
      </c>
      <c r="P201" s="3">
        <v>8.3719999999999988E-6</v>
      </c>
      <c r="Q201" s="3">
        <v>3.7800000000000002E-7</v>
      </c>
      <c r="R201" s="3">
        <v>1.4370000000000001E-5</v>
      </c>
      <c r="S201" s="13">
        <v>99999</v>
      </c>
      <c r="T201" s="13">
        <v>99999</v>
      </c>
      <c r="U201" s="13">
        <v>2.2427141547904827E-2</v>
      </c>
    </row>
    <row r="202" spans="1:21" x14ac:dyDescent="0.2">
      <c r="A202">
        <v>103</v>
      </c>
      <c r="B202" s="12">
        <v>1</v>
      </c>
      <c r="C202" s="16">
        <v>-1700</v>
      </c>
      <c r="D202" s="16">
        <v>-1700</v>
      </c>
      <c r="E202" s="3">
        <v>9.9849235814999986</v>
      </c>
      <c r="F202" s="3">
        <v>9.9849235814999986</v>
      </c>
      <c r="G202" s="3">
        <v>-1.4809999999999999E-6</v>
      </c>
      <c r="H202" s="3">
        <v>1.423E-6</v>
      </c>
      <c r="I202" s="3">
        <v>-1.7539999999999999E-6</v>
      </c>
      <c r="J202" s="3">
        <v>1.302E-6</v>
      </c>
      <c r="K202" s="3">
        <v>-3.5470000000000003E-10</v>
      </c>
      <c r="L202" s="3">
        <v>4.0570000000000001E-10</v>
      </c>
      <c r="M202" s="3">
        <v>-1.1589999999999999E-5</v>
      </c>
      <c r="N202" s="3">
        <v>8.5310000000000001E-6</v>
      </c>
      <c r="O202" s="3">
        <v>-1.095E-5</v>
      </c>
      <c r="P202" s="3">
        <v>9.3259999999999985E-6</v>
      </c>
      <c r="Q202" s="3">
        <v>3.9970000000000001E-7</v>
      </c>
      <c r="R202" s="3">
        <v>1.594E-5</v>
      </c>
      <c r="S202" s="13">
        <v>99999</v>
      </c>
      <c r="T202" s="13">
        <v>99999</v>
      </c>
      <c r="U202" s="13">
        <v>2.2361372902243874E-2</v>
      </c>
    </row>
    <row r="203" spans="1:21" x14ac:dyDescent="0.2">
      <c r="A203">
        <v>104</v>
      </c>
      <c r="B203" s="12">
        <v>1</v>
      </c>
      <c r="C203" s="16">
        <v>-1696</v>
      </c>
      <c r="D203" s="16">
        <v>-1696</v>
      </c>
      <c r="E203" s="3">
        <v>9.9798959565000001</v>
      </c>
      <c r="F203" s="3">
        <v>9.9798959565000001</v>
      </c>
      <c r="G203" s="3">
        <v>-7.0019999999999998E-7</v>
      </c>
      <c r="H203" s="3">
        <v>7.7479999999999998E-7</v>
      </c>
      <c r="I203" s="3">
        <v>-1.0100000000000001E-6</v>
      </c>
      <c r="J203" s="3">
        <v>7.4440000000000002E-7</v>
      </c>
      <c r="K203" s="3">
        <v>-3.5419999999999998E-10</v>
      </c>
      <c r="L203" s="3">
        <v>4.0540000000000002E-10</v>
      </c>
      <c r="M203" s="3">
        <v>-1.2449999999999999E-5</v>
      </c>
      <c r="N203" s="3">
        <v>9.1549999999999996E-6</v>
      </c>
      <c r="O203" s="3">
        <v>-1.1690000000000002E-5</v>
      </c>
      <c r="P203" s="3">
        <v>1.004E-5</v>
      </c>
      <c r="Q203" s="3">
        <v>4.0460000000000001E-7</v>
      </c>
      <c r="R203" s="3">
        <v>1.7080000000000002E-5</v>
      </c>
      <c r="S203" s="13">
        <v>99999</v>
      </c>
      <c r="T203" s="13">
        <v>99999</v>
      </c>
      <c r="U203" s="13">
        <v>2.2308757978672166E-2</v>
      </c>
    </row>
    <row r="204" spans="1:21" x14ac:dyDescent="0.2">
      <c r="A204">
        <v>105</v>
      </c>
      <c r="B204" s="12">
        <v>1</v>
      </c>
      <c r="C204" s="16">
        <v>-1691</v>
      </c>
      <c r="D204" s="16">
        <v>-1691</v>
      </c>
      <c r="E204" s="3">
        <v>9.9748683314999997</v>
      </c>
      <c r="F204" s="3">
        <v>9.9748683314999997</v>
      </c>
      <c r="G204" s="3">
        <v>-2.769E-7</v>
      </c>
      <c r="H204" s="3">
        <v>2.8860000000000003E-7</v>
      </c>
      <c r="I204" s="3">
        <v>-2.5590000000000001E-7</v>
      </c>
      <c r="J204" s="3">
        <v>1.7880000000000001E-7</v>
      </c>
      <c r="K204" s="3">
        <v>-3.5380000000000001E-10</v>
      </c>
      <c r="L204" s="3">
        <v>4.05E-10</v>
      </c>
      <c r="M204" s="3">
        <v>-1.291E-5</v>
      </c>
      <c r="N204" s="3">
        <v>9.4779999999999997E-6</v>
      </c>
      <c r="O204" s="3">
        <v>-1.203E-5</v>
      </c>
      <c r="P204" s="3">
        <v>1.043E-5</v>
      </c>
      <c r="Q204" s="3">
        <v>3.9099999999999999E-7</v>
      </c>
      <c r="R204" s="3">
        <v>1.7640000000000001E-5</v>
      </c>
      <c r="S204" s="13">
        <v>99999</v>
      </c>
      <c r="T204" s="13">
        <v>99999</v>
      </c>
      <c r="U204" s="13">
        <v>2.2242989271688957E-2</v>
      </c>
    </row>
    <row r="205" spans="1:21" x14ac:dyDescent="0.2">
      <c r="A205">
        <v>106</v>
      </c>
      <c r="B205" s="12">
        <v>1</v>
      </c>
      <c r="C205" s="16">
        <v>-1686</v>
      </c>
      <c r="D205" s="16">
        <v>-1686</v>
      </c>
      <c r="E205" s="3">
        <v>9.9698407064999994</v>
      </c>
      <c r="F205" s="3">
        <v>9.9698407064999994</v>
      </c>
      <c r="G205" s="3">
        <v>-9.484E-7</v>
      </c>
      <c r="H205" s="3">
        <v>1.3229999999999999E-6</v>
      </c>
      <c r="I205" s="3">
        <v>-9.0640000000000002E-7</v>
      </c>
      <c r="J205" s="3">
        <v>1.1519999999999999E-6</v>
      </c>
      <c r="K205" s="3">
        <v>-3.5330000000000001E-10</v>
      </c>
      <c r="L205" s="3">
        <v>4.0460000000000003E-10</v>
      </c>
      <c r="M205" s="3">
        <v>-1.29E-5</v>
      </c>
      <c r="N205" s="3">
        <v>9.4900000000000006E-6</v>
      </c>
      <c r="O205" s="3">
        <v>-1.1910000000000001E-5</v>
      </c>
      <c r="P205" s="3">
        <v>1.044E-5</v>
      </c>
      <c r="Q205" s="3">
        <v>3.5849999999999999E-7</v>
      </c>
      <c r="R205" s="3">
        <v>1.755E-5</v>
      </c>
      <c r="S205" s="13">
        <v>99999</v>
      </c>
      <c r="T205" s="13">
        <v>99999</v>
      </c>
      <c r="U205" s="13">
        <v>2.2177220525240935E-2</v>
      </c>
    </row>
    <row r="206" spans="1:21" x14ac:dyDescent="0.2">
      <c r="A206">
        <v>107</v>
      </c>
      <c r="B206" s="12">
        <v>1</v>
      </c>
      <c r="C206" s="16">
        <v>-1682</v>
      </c>
      <c r="D206" s="16">
        <v>-1682</v>
      </c>
      <c r="E206" s="3">
        <v>9.9648130814999991</v>
      </c>
      <c r="F206" s="3">
        <v>9.9648130814999991</v>
      </c>
      <c r="G206" s="3">
        <v>-9.5570000000000001E-7</v>
      </c>
      <c r="H206" s="3">
        <v>1.3320000000000001E-6</v>
      </c>
      <c r="I206" s="3">
        <v>-9.1379999999999994E-7</v>
      </c>
      <c r="J206" s="3">
        <v>1.1620000000000001E-6</v>
      </c>
      <c r="K206" s="3">
        <v>-3.5279999999999996E-10</v>
      </c>
      <c r="L206" s="3">
        <v>4.0419999999999996E-10</v>
      </c>
      <c r="M206" s="3">
        <v>-1.234E-5</v>
      </c>
      <c r="N206" s="3">
        <v>9.1079999999999999E-6</v>
      </c>
      <c r="O206" s="3">
        <v>-1.1259999999999999E-5</v>
      </c>
      <c r="P206" s="3">
        <v>1.0019999999999999E-5</v>
      </c>
      <c r="Q206" s="3">
        <v>3.0740000000000001E-7</v>
      </c>
      <c r="R206" s="3">
        <v>1.6709999999999998E-5</v>
      </c>
      <c r="S206" s="13">
        <v>99999</v>
      </c>
      <c r="T206" s="13">
        <v>99999</v>
      </c>
      <c r="U206" s="13">
        <v>2.212460548145332E-2</v>
      </c>
    </row>
    <row r="207" spans="1:21" x14ac:dyDescent="0.2">
      <c r="A207">
        <v>108</v>
      </c>
      <c r="B207" s="12">
        <v>1</v>
      </c>
      <c r="C207" s="16">
        <v>-1677</v>
      </c>
      <c r="D207" s="16">
        <v>-1677</v>
      </c>
      <c r="E207" s="3">
        <v>9.9597955117500003</v>
      </c>
      <c r="F207" s="3">
        <v>9.9597955117500003</v>
      </c>
      <c r="G207" s="3">
        <v>-9.611E-7</v>
      </c>
      <c r="H207" s="3">
        <v>1.3400000000000001E-6</v>
      </c>
      <c r="I207" s="3">
        <v>-9.1929999999999993E-7</v>
      </c>
      <c r="J207" s="3">
        <v>1.17E-6</v>
      </c>
      <c r="K207" s="3">
        <v>-3.5250000000000002E-10</v>
      </c>
      <c r="L207" s="3">
        <v>4.0390000000000002E-10</v>
      </c>
      <c r="M207" s="3">
        <v>-1.1780000000000001E-5</v>
      </c>
      <c r="N207" s="3">
        <v>8.721E-6</v>
      </c>
      <c r="O207" s="3">
        <v>-1.061E-5</v>
      </c>
      <c r="P207" s="3">
        <v>9.5920000000000007E-6</v>
      </c>
      <c r="Q207" s="3">
        <v>2.629E-7</v>
      </c>
      <c r="R207" s="3">
        <v>1.5860000000000001E-5</v>
      </c>
      <c r="S207" s="13">
        <v>99999</v>
      </c>
      <c r="T207" s="13">
        <v>99999</v>
      </c>
      <c r="U207" s="13">
        <v>2.205883668886182E-2</v>
      </c>
    </row>
    <row r="208" spans="1:21" x14ac:dyDescent="0.2">
      <c r="A208">
        <v>109</v>
      </c>
      <c r="B208" s="12">
        <v>1</v>
      </c>
      <c r="C208" s="16">
        <v>-1675</v>
      </c>
      <c r="D208" s="16">
        <v>-1675</v>
      </c>
      <c r="E208" s="3">
        <v>9.9572615887499989</v>
      </c>
      <c r="F208" s="3">
        <v>9.9572615887499989</v>
      </c>
      <c r="G208" s="3">
        <v>-9.6299999999999993E-7</v>
      </c>
      <c r="H208" s="3">
        <v>1.342E-6</v>
      </c>
      <c r="I208" s="3">
        <v>-9.2119999999999996E-7</v>
      </c>
      <c r="J208" s="3">
        <v>1.1720000000000002E-6</v>
      </c>
      <c r="K208" s="3">
        <v>-3.5230000000000001E-10</v>
      </c>
      <c r="L208" s="3">
        <v>4.0379999999999999E-10</v>
      </c>
      <c r="M208" s="3">
        <v>-1.1520000000000002E-5</v>
      </c>
      <c r="N208" s="3">
        <v>8.526000000000001E-6</v>
      </c>
      <c r="O208" s="3">
        <v>-1.028E-5</v>
      </c>
      <c r="P208" s="3">
        <v>9.3770000000000002E-6</v>
      </c>
      <c r="Q208" s="3">
        <v>2.4420000000000003E-7</v>
      </c>
      <c r="R208" s="3">
        <v>1.543E-5</v>
      </c>
      <c r="S208" s="13">
        <v>99999</v>
      </c>
      <c r="T208" s="13">
        <v>99999</v>
      </c>
      <c r="U208" s="13">
        <v>2.2032529166360868E-2</v>
      </c>
    </row>
    <row r="209" spans="1:21" x14ac:dyDescent="0.2">
      <c r="A209">
        <v>110</v>
      </c>
      <c r="B209" s="12">
        <v>1</v>
      </c>
      <c r="C209" s="16">
        <v>-1674</v>
      </c>
      <c r="D209" s="16">
        <v>-1674</v>
      </c>
      <c r="E209" s="3">
        <v>9.9557633565000003</v>
      </c>
      <c r="F209" s="3">
        <v>9.9557633565000003</v>
      </c>
      <c r="G209" s="3">
        <v>-9.6369999999999998E-7</v>
      </c>
      <c r="H209" s="3">
        <v>1.3430000000000001E-6</v>
      </c>
      <c r="I209" s="3">
        <v>-9.2199999999999992E-7</v>
      </c>
      <c r="J209" s="3">
        <v>1.173E-6</v>
      </c>
      <c r="K209" s="3">
        <v>-3.5219999999999998E-10</v>
      </c>
      <c r="L209" s="3">
        <v>4.0359999999999998E-10</v>
      </c>
      <c r="M209" s="3">
        <v>-1.137E-5</v>
      </c>
      <c r="N209" s="3">
        <v>8.4100000000000008E-6</v>
      </c>
      <c r="O209" s="3">
        <v>-1.009E-5</v>
      </c>
      <c r="P209" s="3">
        <v>9.2490000000000007E-6</v>
      </c>
      <c r="Q209" s="3">
        <v>2.3460000000000002E-7</v>
      </c>
      <c r="R209" s="3">
        <v>1.5169999999999999E-5</v>
      </c>
      <c r="S209" s="13">
        <v>99999</v>
      </c>
      <c r="T209" s="13">
        <v>99999</v>
      </c>
      <c r="U209" s="13">
        <v>2.2019375402378208E-2</v>
      </c>
    </row>
    <row r="210" spans="1:21" x14ac:dyDescent="0.2">
      <c r="A210">
        <v>111</v>
      </c>
      <c r="B210" s="12">
        <v>1</v>
      </c>
      <c r="C210" s="16">
        <v>-1673</v>
      </c>
      <c r="D210" s="16">
        <v>-1673</v>
      </c>
      <c r="E210" s="3">
        <v>9.95476788675</v>
      </c>
      <c r="F210" s="3">
        <v>9.95476788675</v>
      </c>
      <c r="G210" s="3">
        <v>-9.64E-7</v>
      </c>
      <c r="H210" s="3">
        <v>1.3430000000000001E-6</v>
      </c>
      <c r="I210" s="3">
        <v>-9.2230000000000005E-7</v>
      </c>
      <c r="J210" s="3">
        <v>1.1739999999999999E-6</v>
      </c>
      <c r="K210" s="3">
        <v>-3.521E-10</v>
      </c>
      <c r="L210" s="3">
        <v>4.0359999999999998E-10</v>
      </c>
      <c r="M210" s="3">
        <v>-1.1270000000000001E-5</v>
      </c>
      <c r="N210" s="3">
        <v>8.3320000000000009E-6</v>
      </c>
      <c r="O210" s="3">
        <v>-9.9550000000000004E-6</v>
      </c>
      <c r="P210" s="3">
        <v>9.1629999999999985E-6</v>
      </c>
      <c r="Q210" s="3">
        <v>2.29E-7</v>
      </c>
      <c r="R210" s="3">
        <v>1.4999999999999999E-5</v>
      </c>
      <c r="S210" s="13">
        <v>99999</v>
      </c>
      <c r="T210" s="13">
        <v>99999</v>
      </c>
      <c r="U210" s="13">
        <v>2.2006221643859913E-2</v>
      </c>
    </row>
    <row r="211" spans="1:21" x14ac:dyDescent="0.2">
      <c r="A211">
        <v>112</v>
      </c>
      <c r="B211" s="12">
        <v>1</v>
      </c>
      <c r="C211" s="16">
        <v>-1672</v>
      </c>
      <c r="D211" s="16">
        <v>-1672</v>
      </c>
      <c r="E211" s="3">
        <v>9.9538226932500002</v>
      </c>
      <c r="F211" s="3">
        <v>9.9538226932500002</v>
      </c>
      <c r="G211" s="3">
        <v>-9.6440000000000003E-7</v>
      </c>
      <c r="H211" s="3">
        <v>1.344E-6</v>
      </c>
      <c r="I211" s="3">
        <v>-9.2270000000000008E-7</v>
      </c>
      <c r="J211" s="3">
        <v>1.1739999999999999E-6</v>
      </c>
      <c r="K211" s="3">
        <v>-3.5199999999999997E-10</v>
      </c>
      <c r="L211" s="3">
        <v>4.035E-10</v>
      </c>
      <c r="M211" s="3">
        <v>-1.117E-5</v>
      </c>
      <c r="N211" s="3">
        <v>8.259E-6</v>
      </c>
      <c r="O211" s="3">
        <v>-9.8320000000000001E-6</v>
      </c>
      <c r="P211" s="3">
        <v>9.083000000000001E-6</v>
      </c>
      <c r="Q211" s="3">
        <v>2.2430000000000002E-7</v>
      </c>
      <c r="R211" s="3">
        <v>1.484E-5</v>
      </c>
      <c r="S211" s="13">
        <v>99999</v>
      </c>
      <c r="T211" s="13">
        <v>99999</v>
      </c>
      <c r="U211" s="13">
        <v>2.199306788594876E-2</v>
      </c>
    </row>
    <row r="212" spans="1:21" x14ac:dyDescent="0.2">
      <c r="A212">
        <v>113</v>
      </c>
      <c r="B212" s="12">
        <v>1</v>
      </c>
      <c r="C212" s="16">
        <v>-1670</v>
      </c>
      <c r="D212" s="16">
        <v>-1670</v>
      </c>
      <c r="E212" s="3">
        <v>9.9524149582499994</v>
      </c>
      <c r="F212" s="3">
        <v>9.9524149582499994</v>
      </c>
      <c r="G212" s="3">
        <v>-9.6520000000000009E-7</v>
      </c>
      <c r="H212" s="3">
        <v>1.345E-6</v>
      </c>
      <c r="I212" s="3">
        <v>-9.2349999999999992E-7</v>
      </c>
      <c r="J212" s="3">
        <v>1.176E-6</v>
      </c>
      <c r="K212" s="3">
        <v>-3.5180000000000002E-10</v>
      </c>
      <c r="L212" s="3">
        <v>4.0329999999999999E-10</v>
      </c>
      <c r="M212" s="3">
        <v>-1.102E-5</v>
      </c>
      <c r="N212" s="3">
        <v>8.1489999999999994E-6</v>
      </c>
      <c r="O212" s="3">
        <v>-9.6469999999999993E-6</v>
      </c>
      <c r="P212" s="3">
        <v>8.9619999999999999E-6</v>
      </c>
      <c r="Q212" s="3">
        <v>2.1829999999999999E-7</v>
      </c>
      <c r="R212" s="3">
        <v>1.4600000000000001E-5</v>
      </c>
      <c r="S212" s="13">
        <v>99999</v>
      </c>
      <c r="T212" s="13">
        <v>99999</v>
      </c>
      <c r="U212" s="13">
        <v>2.1966760374983671E-2</v>
      </c>
    </row>
    <row r="213" spans="1:21" x14ac:dyDescent="0.2">
      <c r="A213">
        <v>114</v>
      </c>
      <c r="B213" s="12">
        <v>1</v>
      </c>
      <c r="C213" s="16">
        <v>-1668</v>
      </c>
      <c r="D213" s="16">
        <v>-1668</v>
      </c>
      <c r="E213" s="3">
        <v>9.9497402617499997</v>
      </c>
      <c r="F213" s="3">
        <v>9.9497402617499997</v>
      </c>
      <c r="G213" s="3">
        <v>-9.6609999999999995E-7</v>
      </c>
      <c r="H213" s="3">
        <v>1.3459999999999999E-6</v>
      </c>
      <c r="I213" s="3">
        <v>-9.245E-7</v>
      </c>
      <c r="J213" s="3">
        <v>1.1770000000000001E-6</v>
      </c>
      <c r="K213" s="3">
        <v>-3.5149999999999998E-10</v>
      </c>
      <c r="L213" s="3">
        <v>4.0309999999999998E-10</v>
      </c>
      <c r="M213" s="3">
        <v>-1.0749999999999999E-5</v>
      </c>
      <c r="N213" s="3">
        <v>7.9410000000000007E-6</v>
      </c>
      <c r="O213" s="3">
        <v>-9.2969999999999992E-6</v>
      </c>
      <c r="P213" s="3">
        <v>8.7329999999999992E-6</v>
      </c>
      <c r="Q213" s="3">
        <v>2.111E-7</v>
      </c>
      <c r="R213" s="3">
        <v>1.414E-5</v>
      </c>
      <c r="S213" s="13">
        <v>99999</v>
      </c>
      <c r="T213" s="13">
        <v>99999</v>
      </c>
      <c r="U213" s="13">
        <v>2.1940452850661252E-2</v>
      </c>
    </row>
    <row r="214" spans="1:21" x14ac:dyDescent="0.2">
      <c r="A214">
        <v>115</v>
      </c>
      <c r="B214" s="12">
        <v>1</v>
      </c>
      <c r="C214" s="16">
        <v>-1666</v>
      </c>
      <c r="D214" s="16">
        <v>-1666</v>
      </c>
      <c r="E214" s="3">
        <v>9.9472666702500003</v>
      </c>
      <c r="F214" s="3">
        <v>9.9472666702500003</v>
      </c>
      <c r="G214" s="3">
        <v>-9.6669999999999999E-7</v>
      </c>
      <c r="H214" s="3">
        <v>1.3470000000000002E-6</v>
      </c>
      <c r="I214" s="3">
        <v>-9.2520000000000005E-7</v>
      </c>
      <c r="J214" s="3">
        <v>1.178E-6</v>
      </c>
      <c r="K214" s="3">
        <v>-3.5129999999999997E-10</v>
      </c>
      <c r="L214" s="3">
        <v>4.03E-10</v>
      </c>
      <c r="M214" s="3">
        <v>-1.049E-5</v>
      </c>
      <c r="N214" s="3">
        <v>7.7670000000000003E-6</v>
      </c>
      <c r="O214" s="3">
        <v>-8.9730000000000003E-6</v>
      </c>
      <c r="P214" s="3">
        <v>8.5199999999999997E-6</v>
      </c>
      <c r="Q214" s="3">
        <v>2.0949999999999999E-7</v>
      </c>
      <c r="R214" s="3">
        <v>1.3740000000000001E-5</v>
      </c>
      <c r="S214" s="13">
        <v>99999</v>
      </c>
      <c r="T214" s="13">
        <v>99999</v>
      </c>
      <c r="U214" s="13">
        <v>2.1914145329981753E-2</v>
      </c>
    </row>
    <row r="215" spans="1:21" x14ac:dyDescent="0.2">
      <c r="A215">
        <v>116</v>
      </c>
      <c r="B215" s="12">
        <v>1</v>
      </c>
      <c r="C215" s="16">
        <v>-1664</v>
      </c>
      <c r="D215" s="16">
        <v>-1664</v>
      </c>
      <c r="E215" s="3">
        <v>9.945728217000001</v>
      </c>
      <c r="F215" s="3">
        <v>9.945728217000001</v>
      </c>
      <c r="G215" s="3">
        <v>-9.6710000000000002E-7</v>
      </c>
      <c r="H215" s="3">
        <v>1.3470000000000002E-6</v>
      </c>
      <c r="I215" s="3">
        <v>-9.2559999999999998E-7</v>
      </c>
      <c r="J215" s="3">
        <v>1.1789999999999999E-6</v>
      </c>
      <c r="K215" s="3">
        <v>-3.5120000000000004E-10</v>
      </c>
      <c r="L215" s="3">
        <v>4.0289999999999997E-10</v>
      </c>
      <c r="M215" s="3">
        <v>-1.0340000000000001E-5</v>
      </c>
      <c r="N215" s="3">
        <v>7.6620000000000005E-6</v>
      </c>
      <c r="O215" s="3">
        <v>-8.772E-6</v>
      </c>
      <c r="P215" s="3">
        <v>8.3890000000000005E-6</v>
      </c>
      <c r="Q215" s="3">
        <v>2.111E-7</v>
      </c>
      <c r="R215" s="3">
        <v>1.3499999999999999E-5</v>
      </c>
      <c r="S215" s="13">
        <v>99999</v>
      </c>
      <c r="T215" s="13">
        <v>99999</v>
      </c>
      <c r="U215" s="13">
        <v>2.1887837819016657E-2</v>
      </c>
    </row>
    <row r="216" spans="1:21" x14ac:dyDescent="0.2">
      <c r="A216">
        <v>117</v>
      </c>
      <c r="B216" s="12">
        <v>1</v>
      </c>
      <c r="C216" s="16">
        <v>-1663</v>
      </c>
      <c r="D216" s="16">
        <v>-1663</v>
      </c>
      <c r="E216" s="3">
        <v>9.9447126367499994</v>
      </c>
      <c r="F216" s="3">
        <v>9.9447126367499994</v>
      </c>
      <c r="G216" s="3">
        <v>-9.6730000000000004E-7</v>
      </c>
      <c r="H216" s="3">
        <v>1.3470000000000002E-6</v>
      </c>
      <c r="I216" s="3">
        <v>-9.259E-7</v>
      </c>
      <c r="J216" s="3">
        <v>1.1789999999999999E-6</v>
      </c>
      <c r="K216" s="3">
        <v>-3.5110000000000001E-10</v>
      </c>
      <c r="L216" s="3">
        <v>4.0279999999999999E-10</v>
      </c>
      <c r="M216" s="3">
        <v>-1.023E-5</v>
      </c>
      <c r="N216" s="3">
        <v>7.5909999999999998E-6</v>
      </c>
      <c r="O216" s="3">
        <v>-8.6379999999999993E-6</v>
      </c>
      <c r="P216" s="3">
        <v>8.300999999999999E-6</v>
      </c>
      <c r="Q216" s="3">
        <v>2.132E-7</v>
      </c>
      <c r="R216" s="3">
        <v>1.3339999999999999E-5</v>
      </c>
      <c r="S216" s="13">
        <v>99999</v>
      </c>
      <c r="T216" s="13">
        <v>99999</v>
      </c>
      <c r="U216" s="13">
        <v>2.1874684061105511E-2</v>
      </c>
    </row>
    <row r="217" spans="1:21" x14ac:dyDescent="0.2">
      <c r="A217">
        <v>118</v>
      </c>
      <c r="B217" s="12">
        <v>1</v>
      </c>
      <c r="C217" s="16">
        <v>-1663</v>
      </c>
      <c r="D217" s="16">
        <v>-1663</v>
      </c>
      <c r="E217" s="3">
        <v>9.9438478852499994</v>
      </c>
      <c r="F217" s="3">
        <v>9.9438478852499994</v>
      </c>
      <c r="G217" s="3">
        <v>-9.6740000000000005E-7</v>
      </c>
      <c r="H217" s="3">
        <v>1.3470000000000002E-6</v>
      </c>
      <c r="I217" s="3">
        <v>-9.2600000000000001E-7</v>
      </c>
      <c r="J217" s="3">
        <v>1.1789999999999999E-6</v>
      </c>
      <c r="K217" s="3">
        <v>-3.509E-10</v>
      </c>
      <c r="L217" s="3">
        <v>4.0260000000000004E-10</v>
      </c>
      <c r="M217" s="3">
        <v>-1.0139999999999999E-5</v>
      </c>
      <c r="N217" s="3">
        <v>7.5320000000000001E-6</v>
      </c>
      <c r="O217" s="3">
        <v>-8.524E-6</v>
      </c>
      <c r="P217" s="3">
        <v>8.2260000000000005E-6</v>
      </c>
      <c r="Q217" s="3">
        <v>2.156E-7</v>
      </c>
      <c r="R217" s="3">
        <v>1.3209999999999999E-5</v>
      </c>
      <c r="S217" s="13">
        <v>99999</v>
      </c>
      <c r="T217" s="13">
        <v>99999</v>
      </c>
      <c r="U217" s="13">
        <v>1.0937342022500244E-2</v>
      </c>
    </row>
    <row r="218" spans="1:21" x14ac:dyDescent="0.2">
      <c r="A218">
        <v>119</v>
      </c>
      <c r="B218" s="12">
        <v>1</v>
      </c>
      <c r="C218" s="16">
        <v>1333</v>
      </c>
      <c r="D218" s="16">
        <v>1333</v>
      </c>
      <c r="E218" s="3">
        <v>9.9419876640000009</v>
      </c>
      <c r="F218" s="3">
        <v>9.9419876640000009</v>
      </c>
      <c r="G218" s="3">
        <v>-6.0970000000000007E-7</v>
      </c>
      <c r="H218" s="3">
        <v>8.5150000000000002E-7</v>
      </c>
      <c r="I218" s="3">
        <v>-5.8189999999999999E-7</v>
      </c>
      <c r="J218" s="3">
        <v>7.3809999999999997E-7</v>
      </c>
      <c r="K218" s="3">
        <v>-2.2600000000000002E-10</v>
      </c>
      <c r="L218" s="3">
        <v>2.5429999999999999E-10</v>
      </c>
      <c r="M218" s="3">
        <v>-6.7340000000000002E-6</v>
      </c>
      <c r="N218" s="3">
        <v>5.0090000000000007E-6</v>
      </c>
      <c r="O218" s="3">
        <v>-5.6179999999999994E-6</v>
      </c>
      <c r="P218" s="3">
        <v>5.4599999999999994E-6</v>
      </c>
      <c r="Q218" s="3">
        <v>1.4859999999999999E-7</v>
      </c>
      <c r="R218" s="3">
        <v>8.7479999999999999E-6</v>
      </c>
      <c r="S218" s="13">
        <v>99999</v>
      </c>
      <c r="T218" s="13">
        <v>99999</v>
      </c>
      <c r="U218" s="13">
        <v>8.7669734359709112E-3</v>
      </c>
    </row>
    <row r="219" spans="1:21" x14ac:dyDescent="0.2">
      <c r="A219">
        <v>120</v>
      </c>
      <c r="B219" s="12">
        <v>1</v>
      </c>
      <c r="C219" s="16">
        <v>1336</v>
      </c>
      <c r="D219" s="16">
        <v>1336</v>
      </c>
      <c r="E219" s="3">
        <v>9.9407106472500004</v>
      </c>
      <c r="F219" s="3">
        <v>9.9407106472500004</v>
      </c>
      <c r="G219" s="3">
        <v>-6.0910000000000002E-7</v>
      </c>
      <c r="H219" s="3">
        <v>8.5070000000000007E-7</v>
      </c>
      <c r="I219" s="3">
        <v>-5.8140000000000006E-7</v>
      </c>
      <c r="J219" s="3">
        <v>7.3750000000000003E-7</v>
      </c>
      <c r="K219" s="3">
        <v>-2.2569999999999998E-10</v>
      </c>
      <c r="L219" s="3">
        <v>2.54E-10</v>
      </c>
      <c r="M219" s="3">
        <v>-6.6529999999999997E-6</v>
      </c>
      <c r="N219" s="3">
        <v>4.9540000000000003E-6</v>
      </c>
      <c r="O219" s="3">
        <v>-5.5120000000000008E-6</v>
      </c>
      <c r="P219" s="3">
        <v>5.3920000000000002E-6</v>
      </c>
      <c r="Q219" s="3">
        <v>1.525E-7</v>
      </c>
      <c r="R219" s="3">
        <v>8.6230000000000003E-6</v>
      </c>
      <c r="S219" s="13">
        <v>99999</v>
      </c>
      <c r="T219" s="13">
        <v>99999</v>
      </c>
      <c r="U219" s="13">
        <v>8.7867040545101666E-3</v>
      </c>
    </row>
    <row r="220" spans="1:21" x14ac:dyDescent="0.2">
      <c r="A220">
        <v>121</v>
      </c>
      <c r="B220" s="12">
        <v>1</v>
      </c>
      <c r="C220" s="16">
        <v>1340</v>
      </c>
      <c r="D220" s="16">
        <v>1340</v>
      </c>
      <c r="E220" s="3">
        <v>9.9387900944999998</v>
      </c>
      <c r="F220" s="3">
        <v>9.9387900944999998</v>
      </c>
      <c r="G220" s="3">
        <v>-6.0840000000000007E-7</v>
      </c>
      <c r="H220" s="3">
        <v>8.498E-7</v>
      </c>
      <c r="I220" s="3">
        <v>-5.8070000000000001E-7</v>
      </c>
      <c r="J220" s="3">
        <v>7.3659999999999997E-7</v>
      </c>
      <c r="K220" s="3">
        <v>-2.2539999999999999E-10</v>
      </c>
      <c r="L220" s="3">
        <v>2.5370000000000001E-10</v>
      </c>
      <c r="M220" s="3">
        <v>-6.5380000000000008E-6</v>
      </c>
      <c r="N220" s="3">
        <v>4.8729999999999998E-6</v>
      </c>
      <c r="O220" s="3">
        <v>-5.3539999999999999E-6</v>
      </c>
      <c r="P220" s="3">
        <v>5.2890000000000005E-6</v>
      </c>
      <c r="Q220" s="3">
        <v>1.3729999999999999E-7</v>
      </c>
      <c r="R220" s="3">
        <v>8.4360000000000002E-6</v>
      </c>
      <c r="S220" s="13">
        <v>99999</v>
      </c>
      <c r="T220" s="13">
        <v>99999</v>
      </c>
      <c r="U220" s="13">
        <v>8.8130115452848962E-3</v>
      </c>
    </row>
    <row r="221" spans="1:21" x14ac:dyDescent="0.2">
      <c r="A221">
        <v>122</v>
      </c>
      <c r="B221" s="12">
        <v>1</v>
      </c>
      <c r="C221" s="16">
        <v>1344</v>
      </c>
      <c r="D221" s="16">
        <v>1344</v>
      </c>
      <c r="E221" s="3">
        <v>9.936869541750001</v>
      </c>
      <c r="F221" s="3">
        <v>9.936869541750001</v>
      </c>
      <c r="G221" s="3">
        <v>-6.0789999999999993E-7</v>
      </c>
      <c r="H221" s="3">
        <v>8.4889999999999993E-7</v>
      </c>
      <c r="I221" s="3">
        <v>-5.8019999999999997E-7</v>
      </c>
      <c r="J221" s="3">
        <v>7.3590000000000002E-7</v>
      </c>
      <c r="K221" s="3">
        <v>-2.251E-10</v>
      </c>
      <c r="L221" s="3">
        <v>2.535E-10</v>
      </c>
      <c r="M221" s="3">
        <v>-6.4320000000000004E-6</v>
      </c>
      <c r="N221" s="3">
        <v>4.792E-6</v>
      </c>
      <c r="O221" s="3">
        <v>-5.1950000000000002E-6</v>
      </c>
      <c r="P221" s="3">
        <v>5.186E-6</v>
      </c>
      <c r="Q221" s="3">
        <v>1.2029999999999999E-7</v>
      </c>
      <c r="R221" s="3">
        <v>8.2490000000000001E-6</v>
      </c>
      <c r="S221" s="13">
        <v>99999</v>
      </c>
      <c r="T221" s="13">
        <v>99999</v>
      </c>
      <c r="U221" s="13">
        <v>8.839319036059624E-3</v>
      </c>
    </row>
    <row r="222" spans="1:21" x14ac:dyDescent="0.2">
      <c r="A222">
        <v>123</v>
      </c>
      <c r="B222" s="12">
        <v>1</v>
      </c>
      <c r="C222" s="16">
        <v>1348</v>
      </c>
      <c r="D222" s="16">
        <v>1348</v>
      </c>
      <c r="E222" s="3">
        <v>9.93554224875</v>
      </c>
      <c r="F222" s="3">
        <v>9.93554224875</v>
      </c>
      <c r="G222" s="3">
        <v>-6.0750000000000001E-7</v>
      </c>
      <c r="H222" s="3">
        <v>8.484E-7</v>
      </c>
      <c r="I222" s="3">
        <v>-5.7980000000000004E-7</v>
      </c>
      <c r="J222" s="3">
        <v>7.3550000000000009E-7</v>
      </c>
      <c r="K222" s="3">
        <v>-2.2479999999999999E-10</v>
      </c>
      <c r="L222" s="3">
        <v>2.5330000000000005E-10</v>
      </c>
      <c r="M222" s="3">
        <v>-6.3579999999999999E-6</v>
      </c>
      <c r="N222" s="3">
        <v>4.7349999999999996E-6</v>
      </c>
      <c r="O222" s="3">
        <v>-5.0949999999999995E-6</v>
      </c>
      <c r="P222" s="3">
        <v>5.1150000000000002E-6</v>
      </c>
      <c r="Q222" s="3">
        <v>1.108E-7</v>
      </c>
      <c r="R222" s="3">
        <v>8.1189999999999997E-6</v>
      </c>
      <c r="S222" s="13">
        <v>99999</v>
      </c>
      <c r="T222" s="13">
        <v>99999</v>
      </c>
      <c r="U222" s="13">
        <v>8.8656265285470166E-3</v>
      </c>
    </row>
    <row r="223" spans="1:21" x14ac:dyDescent="0.2">
      <c r="A223">
        <v>124</v>
      </c>
      <c r="B223" s="12">
        <v>1</v>
      </c>
      <c r="C223" s="16">
        <v>-1.052E-6</v>
      </c>
      <c r="D223" s="16">
        <v>-1.0380000000000001E-6</v>
      </c>
      <c r="E223" s="3">
        <v>17.362651938839999</v>
      </c>
      <c r="F223" s="3">
        <v>10.457610828749999</v>
      </c>
      <c r="G223" s="3">
        <v>-4.373E-11</v>
      </c>
      <c r="H223" s="3">
        <v>3.6400000000000005E-11</v>
      </c>
      <c r="I223" s="3">
        <v>-4.5459999999999997E-11</v>
      </c>
      <c r="J223" s="3">
        <v>3.3580000000000002E-11</v>
      </c>
      <c r="K223" s="3">
        <v>-1.047E-11</v>
      </c>
      <c r="L223" s="3">
        <v>7.8709999999999999E-12</v>
      </c>
      <c r="M223" s="3">
        <v>-1.082E-10</v>
      </c>
      <c r="N223" s="3">
        <v>1.4649999999999999E-10</v>
      </c>
      <c r="O223" s="3">
        <v>-1.1750000000000001E-10</v>
      </c>
      <c r="P223" s="3">
        <v>1.4050000000000001E-10</v>
      </c>
      <c r="Q223" s="3">
        <v>5.7399999999999994E-12</v>
      </c>
      <c r="R223" s="3">
        <v>2.03E-10</v>
      </c>
      <c r="S223" s="13">
        <v>99999</v>
      </c>
      <c r="T223" s="13">
        <v>99999</v>
      </c>
      <c r="U223" s="13">
        <v>0.13546311989525325</v>
      </c>
    </row>
    <row r="224" spans="1:21" x14ac:dyDescent="0.2">
      <c r="A224">
        <v>125</v>
      </c>
      <c r="B224" s="12">
        <v>1</v>
      </c>
      <c r="C224" s="16">
        <v>0.70410000000000006</v>
      </c>
      <c r="D224" s="16">
        <v>0.70410000000000006</v>
      </c>
      <c r="E224" s="3">
        <v>17.354423310839998</v>
      </c>
      <c r="F224" s="3">
        <v>10.452583203749999</v>
      </c>
      <c r="G224" s="3">
        <v>-4.3840000000000001E-11</v>
      </c>
      <c r="H224" s="3">
        <v>3.6500000000000003E-11</v>
      </c>
      <c r="I224" s="3">
        <v>-4.5579999999999999E-11</v>
      </c>
      <c r="J224" s="3">
        <v>3.3670000000000005E-11</v>
      </c>
      <c r="K224" s="3">
        <v>-1.047E-11</v>
      </c>
      <c r="L224" s="3">
        <v>7.8709999999999999E-12</v>
      </c>
      <c r="M224" s="3">
        <v>-9.1409999999999998E-11</v>
      </c>
      <c r="N224" s="3">
        <v>1.238E-10</v>
      </c>
      <c r="O224" s="3">
        <v>-9.9280000000000005E-11</v>
      </c>
      <c r="P224" s="3">
        <v>1.1869999999999999E-10</v>
      </c>
      <c r="Q224" s="3">
        <v>4.8259999999999998E-12</v>
      </c>
      <c r="R224" s="3">
        <v>1.715E-10</v>
      </c>
      <c r="S224" s="13">
        <v>99999</v>
      </c>
      <c r="T224" s="13">
        <v>99999</v>
      </c>
      <c r="U224" s="13">
        <v>0.13540035615692006</v>
      </c>
    </row>
    <row r="225" spans="1:21" x14ac:dyDescent="0.2">
      <c r="A225">
        <v>126</v>
      </c>
      <c r="B225" s="12">
        <v>1</v>
      </c>
      <c r="C225" s="16">
        <v>1.4079999999999999</v>
      </c>
      <c r="D225" s="16">
        <v>1.4079999999999999</v>
      </c>
      <c r="E225" s="3">
        <v>17.34619468284</v>
      </c>
      <c r="F225" s="3">
        <v>10.447555578749999</v>
      </c>
      <c r="G225" s="3">
        <v>-4.4209999999999995E-11</v>
      </c>
      <c r="H225" s="3">
        <v>3.6809999999999994E-11</v>
      </c>
      <c r="I225" s="3">
        <v>-4.5960000000000002E-11</v>
      </c>
      <c r="J225" s="3">
        <v>3.3959999999999998E-11</v>
      </c>
      <c r="K225" s="3">
        <v>-1.047E-11</v>
      </c>
      <c r="L225" s="3">
        <v>7.8709999999999999E-12</v>
      </c>
      <c r="M225" s="3">
        <v>-7.4569999999999994E-11</v>
      </c>
      <c r="N225" s="3">
        <v>1.01E-10</v>
      </c>
      <c r="O225" s="3">
        <v>-8.1030000000000003E-11</v>
      </c>
      <c r="P225" s="3">
        <v>9.6750000000000002E-11</v>
      </c>
      <c r="Q225" s="3">
        <v>3.9100000000000001E-12</v>
      </c>
      <c r="R225" s="3">
        <v>1.399E-10</v>
      </c>
      <c r="S225" s="13">
        <v>99999</v>
      </c>
      <c r="T225" s="13">
        <v>99999</v>
      </c>
      <c r="U225" s="13">
        <v>0.13533765954140542</v>
      </c>
    </row>
    <row r="226" spans="1:21" x14ac:dyDescent="0.2">
      <c r="A226">
        <v>127</v>
      </c>
      <c r="B226" s="12">
        <v>1</v>
      </c>
      <c r="C226" s="16">
        <v>2.1120000000000001</v>
      </c>
      <c r="D226" s="16">
        <v>2.1120000000000001</v>
      </c>
      <c r="E226" s="3">
        <v>17.337966054839999</v>
      </c>
      <c r="F226" s="3">
        <v>10.44252795375</v>
      </c>
      <c r="G226" s="3">
        <v>-4.4950000000000004E-11</v>
      </c>
      <c r="H226" s="3">
        <v>3.743E-11</v>
      </c>
      <c r="I226" s="3">
        <v>-4.6730000000000003E-11</v>
      </c>
      <c r="J226" s="3">
        <v>3.4520000000000001E-11</v>
      </c>
      <c r="K226" s="3">
        <v>-1.047E-11</v>
      </c>
      <c r="L226" s="3">
        <v>7.8709999999999999E-12</v>
      </c>
      <c r="M226" s="3">
        <v>-5.76E-11</v>
      </c>
      <c r="N226" s="3">
        <v>7.8050000000000004E-11</v>
      </c>
      <c r="O226" s="3">
        <v>-6.2629999999999995E-11</v>
      </c>
      <c r="P226" s="3">
        <v>7.464E-11</v>
      </c>
      <c r="Q226" s="3">
        <v>2.9870000000000001E-12</v>
      </c>
      <c r="R226" s="3">
        <v>1.08E-10</v>
      </c>
      <c r="S226" s="13">
        <v>99999</v>
      </c>
      <c r="T226" s="13">
        <v>99999</v>
      </c>
      <c r="U226" s="13">
        <v>0.13527503017065218</v>
      </c>
    </row>
    <row r="227" spans="1:21" x14ac:dyDescent="0.2">
      <c r="A227">
        <v>128</v>
      </c>
      <c r="B227" s="12">
        <v>1</v>
      </c>
      <c r="C227" s="16">
        <v>2.8170000000000002</v>
      </c>
      <c r="D227" s="16">
        <v>2.8170000000000002</v>
      </c>
      <c r="E227" s="3">
        <v>17.329737426840001</v>
      </c>
      <c r="F227" s="3">
        <v>10.43750032875</v>
      </c>
      <c r="G227" s="3">
        <v>-4.6140000000000002E-11</v>
      </c>
      <c r="H227" s="3">
        <v>3.8420000000000001E-11</v>
      </c>
      <c r="I227" s="3">
        <v>-4.7969999999999997E-11</v>
      </c>
      <c r="J227" s="3">
        <v>3.5439999999999996E-11</v>
      </c>
      <c r="K227" s="3">
        <v>-1.047E-11</v>
      </c>
      <c r="L227" s="3">
        <v>7.8709999999999999E-12</v>
      </c>
      <c r="M227" s="3">
        <v>-4.0329999999999998E-11</v>
      </c>
      <c r="N227" s="3">
        <v>5.4679999999999999E-11</v>
      </c>
      <c r="O227" s="3">
        <v>-4.3920000000000002E-11</v>
      </c>
      <c r="P227" s="3">
        <v>5.2170000000000006E-11</v>
      </c>
      <c r="Q227" s="3">
        <v>2.0489999999999999E-12</v>
      </c>
      <c r="R227" s="3">
        <v>7.5569999999999991E-11</v>
      </c>
      <c r="S227" s="13">
        <v>99999</v>
      </c>
      <c r="T227" s="13">
        <v>99999</v>
      </c>
      <c r="U227" s="13">
        <v>0.13521246851029181</v>
      </c>
    </row>
    <row r="228" spans="1:21" x14ac:dyDescent="0.2">
      <c r="A228">
        <v>129</v>
      </c>
      <c r="B228" s="12">
        <v>1</v>
      </c>
      <c r="C228" s="16">
        <v>3.5209999999999999</v>
      </c>
      <c r="D228" s="16">
        <v>3.5209999999999999</v>
      </c>
      <c r="E228" s="3">
        <v>17.321492341584001</v>
      </c>
      <c r="F228" s="3">
        <v>10.4324626485</v>
      </c>
      <c r="G228" s="3">
        <v>-4.784E-11</v>
      </c>
      <c r="H228" s="3">
        <v>3.9850000000000003E-11</v>
      </c>
      <c r="I228" s="3">
        <v>-4.9749999999999996E-11</v>
      </c>
      <c r="J228" s="3">
        <v>3.6750000000000002E-11</v>
      </c>
      <c r="K228" s="3">
        <v>-1.047E-11</v>
      </c>
      <c r="L228" s="3">
        <v>7.8709999999999999E-12</v>
      </c>
      <c r="M228" s="3">
        <v>-2.261E-11</v>
      </c>
      <c r="N228" s="3">
        <v>3.0689999999999999E-11</v>
      </c>
      <c r="O228" s="3">
        <v>-2.4710000000000001E-11</v>
      </c>
      <c r="P228" s="3">
        <v>2.9099999999999998E-11</v>
      </c>
      <c r="Q228" s="3">
        <v>1.0870000000000001E-12</v>
      </c>
      <c r="R228" s="3">
        <v>4.2289999999999997E-11</v>
      </c>
      <c r="S228" s="13">
        <v>99999</v>
      </c>
      <c r="T228" s="13">
        <v>99999</v>
      </c>
      <c r="U228" s="13">
        <v>0.13514984839220387</v>
      </c>
    </row>
    <row r="229" spans="1:21" x14ac:dyDescent="0.2">
      <c r="A229">
        <v>130</v>
      </c>
      <c r="B229" s="12">
        <v>1</v>
      </c>
      <c r="C229" s="16">
        <v>4.2249999999999996</v>
      </c>
      <c r="D229" s="16">
        <v>4.2249999999999996</v>
      </c>
      <c r="E229" s="3">
        <v>17.313263713584</v>
      </c>
      <c r="F229" s="3">
        <v>10.427435023499999</v>
      </c>
      <c r="G229" s="3">
        <v>-5.01E-11</v>
      </c>
      <c r="H229" s="3">
        <v>4.1740000000000003E-11</v>
      </c>
      <c r="I229" s="3">
        <v>-5.2110000000000002E-11</v>
      </c>
      <c r="J229" s="3">
        <v>3.8490000000000001E-11</v>
      </c>
      <c r="K229" s="3">
        <v>-1.047E-11</v>
      </c>
      <c r="L229" s="3">
        <v>7.8709999999999999E-12</v>
      </c>
      <c r="M229" s="3">
        <v>-4.3320000000000005E-12</v>
      </c>
      <c r="N229" s="3">
        <v>5.8399999999999993E-12</v>
      </c>
      <c r="O229" s="3">
        <v>-4.7830000000000001E-12</v>
      </c>
      <c r="P229" s="3">
        <v>5.1769999999999994E-12</v>
      </c>
      <c r="Q229" s="3">
        <v>1.2149999999999999E-13</v>
      </c>
      <c r="R229" s="3">
        <v>7.7850000000000005E-12</v>
      </c>
      <c r="S229" s="13">
        <v>99999</v>
      </c>
      <c r="T229" s="13">
        <v>99999</v>
      </c>
      <c r="U229" s="13">
        <v>0.135087421384078</v>
      </c>
    </row>
    <row r="230" spans="1:21" x14ac:dyDescent="0.2">
      <c r="A230">
        <v>131</v>
      </c>
      <c r="B230" s="12">
        <v>1</v>
      </c>
      <c r="C230" s="16">
        <v>4.9290000000000003</v>
      </c>
      <c r="D230" s="16">
        <v>4.9290000000000003</v>
      </c>
      <c r="E230" s="3">
        <v>17.305035085583999</v>
      </c>
      <c r="F230" s="3">
        <v>10.422407398499999</v>
      </c>
      <c r="G230" s="3">
        <v>-5.2910000000000001E-11</v>
      </c>
      <c r="H230" s="3">
        <v>4.409E-11</v>
      </c>
      <c r="I230" s="3">
        <v>-5.505E-11</v>
      </c>
      <c r="J230" s="3">
        <v>4.0659999999999998E-11</v>
      </c>
      <c r="K230" s="3">
        <v>-1.047E-11</v>
      </c>
      <c r="L230" s="3">
        <v>7.870000000000001E-12</v>
      </c>
      <c r="M230" s="3">
        <v>-2.0240000000000003E-11</v>
      </c>
      <c r="N230" s="3">
        <v>1.5010000000000002E-11</v>
      </c>
      <c r="O230" s="3">
        <v>-1.9869999999999998E-11</v>
      </c>
      <c r="P230" s="3">
        <v>1.6089999999999999E-11</v>
      </c>
      <c r="Q230" s="3">
        <v>9.5969999999999984E-13</v>
      </c>
      <c r="R230" s="3">
        <v>2.8369999999999998E-11</v>
      </c>
      <c r="S230" s="13">
        <v>99999</v>
      </c>
      <c r="T230" s="13">
        <v>99999</v>
      </c>
      <c r="U230" s="13">
        <v>0.13502506198548414</v>
      </c>
    </row>
    <row r="231" spans="1:21" x14ac:dyDescent="0.2">
      <c r="A231">
        <v>132</v>
      </c>
      <c r="B231" s="12">
        <v>1</v>
      </c>
      <c r="C231" s="16">
        <v>5.633</v>
      </c>
      <c r="D231" s="16">
        <v>5.633</v>
      </c>
      <c r="E231" s="3">
        <v>17.296806457583997</v>
      </c>
      <c r="F231" s="3">
        <v>10.417379773499999</v>
      </c>
      <c r="G231" s="3">
        <v>-5.625E-11</v>
      </c>
      <c r="H231" s="3">
        <v>4.6889999999999999E-11</v>
      </c>
      <c r="I231" s="3">
        <v>-5.8539999999999999E-11</v>
      </c>
      <c r="J231" s="3">
        <v>4.3229999999999996E-11</v>
      </c>
      <c r="K231" s="3">
        <v>-1.046E-11</v>
      </c>
      <c r="L231" s="3">
        <v>7.870000000000001E-12</v>
      </c>
      <c r="M231" s="3">
        <v>-4.7759999999999998E-11</v>
      </c>
      <c r="N231" s="3">
        <v>3.5339999999999998E-11</v>
      </c>
      <c r="O231" s="3">
        <v>-4.6329999999999997E-11</v>
      </c>
      <c r="P231" s="3">
        <v>3.8129999999999995E-11</v>
      </c>
      <c r="Q231" s="3">
        <v>2.0569999999999998E-12</v>
      </c>
      <c r="R231" s="3">
        <v>6.6539999999999997E-11</v>
      </c>
      <c r="S231" s="13">
        <v>99999</v>
      </c>
      <c r="T231" s="13">
        <v>99999</v>
      </c>
      <c r="U231" s="13">
        <v>0.13496277029013867</v>
      </c>
    </row>
    <row r="232" spans="1:21" x14ac:dyDescent="0.2">
      <c r="A232">
        <v>133</v>
      </c>
      <c r="B232" s="12">
        <v>1</v>
      </c>
      <c r="C232" s="16">
        <v>6.3369999999999997</v>
      </c>
      <c r="D232" s="16">
        <v>6.3369999999999997</v>
      </c>
      <c r="E232" s="3">
        <v>17.288577829584</v>
      </c>
      <c r="F232" s="3">
        <v>10.412352148499998</v>
      </c>
      <c r="G232" s="3">
        <v>-6.0050000000000002E-11</v>
      </c>
      <c r="H232" s="3">
        <v>5.0080000000000003E-11</v>
      </c>
      <c r="I232" s="3">
        <v>-6.2509999999999999E-11</v>
      </c>
      <c r="J232" s="3">
        <v>4.6170000000000001E-11</v>
      </c>
      <c r="K232" s="3">
        <v>-1.046E-11</v>
      </c>
      <c r="L232" s="3">
        <v>7.8719999999999988E-12</v>
      </c>
      <c r="M232" s="3">
        <v>-7.7029999999999991E-11</v>
      </c>
      <c r="N232" s="3">
        <v>5.6960000000000003E-11</v>
      </c>
      <c r="O232" s="3">
        <v>-7.4449999999999999E-11</v>
      </c>
      <c r="P232" s="3">
        <v>6.1579999999999996E-11</v>
      </c>
      <c r="Q232" s="3">
        <v>3.2219999999999998E-12</v>
      </c>
      <c r="R232" s="3">
        <v>1.071E-10</v>
      </c>
      <c r="S232" s="13">
        <v>99999</v>
      </c>
      <c r="T232" s="13">
        <v>99999</v>
      </c>
      <c r="U232" s="13">
        <v>0.13490054639182969</v>
      </c>
    </row>
    <row r="233" spans="1:21" x14ac:dyDescent="0.2">
      <c r="A233">
        <v>134</v>
      </c>
      <c r="B233" s="12">
        <v>1</v>
      </c>
      <c r="C233" s="16">
        <v>7.0410000000000004</v>
      </c>
      <c r="D233" s="16">
        <v>7.0410000000000004</v>
      </c>
      <c r="E233" s="3">
        <v>17.280349201583999</v>
      </c>
      <c r="F233" s="3">
        <v>10.4073245235</v>
      </c>
      <c r="G233" s="3">
        <v>-6.4210000000000004E-11</v>
      </c>
      <c r="H233" s="3">
        <v>5.3579999999999997E-11</v>
      </c>
      <c r="I233" s="3">
        <v>-6.6860000000000002E-11</v>
      </c>
      <c r="J233" s="3">
        <v>4.9380000000000002E-11</v>
      </c>
      <c r="K233" s="3">
        <v>-1.0449999999999998E-11</v>
      </c>
      <c r="L233" s="3">
        <v>7.8749999999999987E-12</v>
      </c>
      <c r="M233" s="3">
        <v>-1.083E-10</v>
      </c>
      <c r="N233" s="3">
        <v>8.0039999999999989E-11</v>
      </c>
      <c r="O233" s="3">
        <v>-1.045E-10</v>
      </c>
      <c r="P233" s="3">
        <v>8.6620000000000007E-11</v>
      </c>
      <c r="Q233" s="3">
        <v>4.4640000000000004E-12</v>
      </c>
      <c r="R233" s="3">
        <v>1.505E-10</v>
      </c>
      <c r="S233" s="13">
        <v>99999</v>
      </c>
      <c r="T233" s="13">
        <v>99999</v>
      </c>
      <c r="U233" s="13">
        <v>0.13483839038441603</v>
      </c>
    </row>
    <row r="234" spans="1:21" x14ac:dyDescent="0.2">
      <c r="A234">
        <v>135</v>
      </c>
      <c r="B234" s="12">
        <v>1</v>
      </c>
      <c r="C234" s="16">
        <v>7.7460000000000004</v>
      </c>
      <c r="D234" s="16">
        <v>7.7460000000000004</v>
      </c>
      <c r="E234" s="3">
        <v>17.272120573583997</v>
      </c>
      <c r="F234" s="3">
        <v>10.4022968985</v>
      </c>
      <c r="G234" s="3">
        <v>-6.8600000000000001E-11</v>
      </c>
      <c r="H234" s="3">
        <v>5.727E-11</v>
      </c>
      <c r="I234" s="3">
        <v>-7.1460000000000004E-11</v>
      </c>
      <c r="J234" s="3">
        <v>5.2770000000000002E-11</v>
      </c>
      <c r="K234" s="3">
        <v>-1.0449999999999998E-11</v>
      </c>
      <c r="L234" s="3">
        <v>7.8769999999999997E-12</v>
      </c>
      <c r="M234" s="3">
        <v>-1.4170000000000001E-10</v>
      </c>
      <c r="N234" s="3">
        <v>1.0470000000000001E-10</v>
      </c>
      <c r="O234" s="3">
        <v>-1.366E-10</v>
      </c>
      <c r="P234" s="3">
        <v>1.1339999999999999E-10</v>
      </c>
      <c r="Q234" s="3">
        <v>5.788E-12</v>
      </c>
      <c r="R234" s="3">
        <v>1.9679999999999998E-10</v>
      </c>
      <c r="S234" s="13">
        <v>99999</v>
      </c>
      <c r="T234" s="13">
        <v>99999</v>
      </c>
      <c r="U234" s="13">
        <v>0.13477630341500402</v>
      </c>
    </row>
    <row r="235" spans="1:21" x14ac:dyDescent="0.2">
      <c r="A235">
        <v>136</v>
      </c>
      <c r="B235" s="12">
        <v>1</v>
      </c>
      <c r="C235" s="16">
        <v>8.4499999999999993</v>
      </c>
      <c r="D235" s="16">
        <v>8.4499999999999993</v>
      </c>
      <c r="E235" s="3">
        <v>17.263891945584</v>
      </c>
      <c r="F235" s="3">
        <v>10.397269273499999</v>
      </c>
      <c r="G235" s="3">
        <v>-7.3030000000000005E-11</v>
      </c>
      <c r="H235" s="3">
        <v>6.1010000000000004E-11</v>
      </c>
      <c r="I235" s="3">
        <v>-7.6109999999999996E-11</v>
      </c>
      <c r="J235" s="3">
        <v>5.6199999999999997E-11</v>
      </c>
      <c r="K235" s="3">
        <v>-1.044E-11</v>
      </c>
      <c r="L235" s="3">
        <v>7.8790000000000007E-12</v>
      </c>
      <c r="M235" s="3">
        <v>-1.7750000000000001E-10</v>
      </c>
      <c r="N235" s="3">
        <v>1.3109999999999999E-10</v>
      </c>
      <c r="O235" s="3">
        <v>-1.709E-10</v>
      </c>
      <c r="P235" s="3">
        <v>1.42E-10</v>
      </c>
      <c r="Q235" s="3">
        <v>7.1989999999999995E-12</v>
      </c>
      <c r="R235" s="3">
        <v>2.4629999999999997E-10</v>
      </c>
      <c r="S235" s="13">
        <v>99999</v>
      </c>
      <c r="T235" s="13">
        <v>99999</v>
      </c>
      <c r="U235" s="13">
        <v>0.13471428356749379</v>
      </c>
    </row>
    <row r="236" spans="1:21" x14ac:dyDescent="0.2">
      <c r="A236">
        <v>137</v>
      </c>
      <c r="B236" s="12">
        <v>1</v>
      </c>
      <c r="C236" s="16">
        <v>9.1539999999999999</v>
      </c>
      <c r="D236" s="16">
        <v>9.1539999999999999</v>
      </c>
      <c r="E236" s="3">
        <v>17.255663317584002</v>
      </c>
      <c r="F236" s="3">
        <v>10.392241648499999</v>
      </c>
      <c r="G236" s="3">
        <v>-7.7299999999999994E-11</v>
      </c>
      <c r="H236" s="3">
        <v>6.4609999999999997E-11</v>
      </c>
      <c r="I236" s="3">
        <v>-8.058999999999999E-11</v>
      </c>
      <c r="J236" s="3">
        <v>5.9509999999999997E-11</v>
      </c>
      <c r="K236" s="3">
        <v>-1.044E-11</v>
      </c>
      <c r="L236" s="3">
        <v>7.8799999999999995E-12</v>
      </c>
      <c r="M236" s="3">
        <v>-2.1549999999999998E-10</v>
      </c>
      <c r="N236" s="3">
        <v>1.592E-10</v>
      </c>
      <c r="O236" s="3">
        <v>-2.074E-10</v>
      </c>
      <c r="P236" s="3">
        <v>1.725E-10</v>
      </c>
      <c r="Q236" s="3">
        <v>8.6960000000000009E-12</v>
      </c>
      <c r="R236" s="3">
        <v>2.9910000000000003E-10</v>
      </c>
      <c r="S236" s="13">
        <v>99999</v>
      </c>
      <c r="T236" s="13">
        <v>99999</v>
      </c>
      <c r="U236" s="13">
        <v>0.13465233189296641</v>
      </c>
    </row>
    <row r="237" spans="1:21" x14ac:dyDescent="0.2">
      <c r="A237">
        <v>138</v>
      </c>
      <c r="B237" s="12">
        <v>1</v>
      </c>
      <c r="C237" s="16">
        <v>9.8580000000000005</v>
      </c>
      <c r="D237" s="16">
        <v>9.8580000000000005</v>
      </c>
      <c r="E237" s="3">
        <v>17.247434689583997</v>
      </c>
      <c r="F237" s="3">
        <v>10.387214023499999</v>
      </c>
      <c r="G237" s="3">
        <v>-8.1129999999999995E-11</v>
      </c>
      <c r="H237" s="3">
        <v>6.7850000000000004E-11</v>
      </c>
      <c r="I237" s="3">
        <v>-8.4620000000000001E-11</v>
      </c>
      <c r="J237" s="3">
        <v>6.248E-11</v>
      </c>
      <c r="K237" s="3">
        <v>-1.044E-11</v>
      </c>
      <c r="L237" s="3">
        <v>7.8820000000000005E-12</v>
      </c>
      <c r="M237" s="3">
        <v>-2.5579999999999999E-10</v>
      </c>
      <c r="N237" s="3">
        <v>1.8900000000000002E-10</v>
      </c>
      <c r="O237" s="3">
        <v>-2.4600000000000003E-10</v>
      </c>
      <c r="P237" s="3">
        <v>2.0489999999999999E-10</v>
      </c>
      <c r="Q237" s="3">
        <v>1.0280000000000001E-11</v>
      </c>
      <c r="R237" s="3">
        <v>3.5489999999999998E-10</v>
      </c>
      <c r="S237" s="13">
        <v>99999</v>
      </c>
      <c r="T237" s="13">
        <v>99999</v>
      </c>
      <c r="U237" s="13">
        <v>0.13459044848556134</v>
      </c>
    </row>
    <row r="238" spans="1:21" x14ac:dyDescent="0.2">
      <c r="A238">
        <v>139</v>
      </c>
      <c r="B238" s="12">
        <v>1</v>
      </c>
      <c r="C238" s="16">
        <v>10.56</v>
      </c>
      <c r="D238" s="16">
        <v>10.56</v>
      </c>
      <c r="E238" s="3">
        <v>17.239206061583999</v>
      </c>
      <c r="F238" s="3">
        <v>10.3821863985</v>
      </c>
      <c r="G238" s="3">
        <v>-8.4209999999999999E-11</v>
      </c>
      <c r="H238" s="3">
        <v>7.0480000000000011E-11</v>
      </c>
      <c r="I238" s="3">
        <v>-8.7890000000000006E-11</v>
      </c>
      <c r="J238" s="3">
        <v>6.488E-11</v>
      </c>
      <c r="K238" s="3">
        <v>-1.043E-11</v>
      </c>
      <c r="L238" s="3">
        <v>7.8829999999999994E-12</v>
      </c>
      <c r="M238" s="3">
        <v>-2.9809999999999998E-10</v>
      </c>
      <c r="N238" s="3">
        <v>2.202E-10</v>
      </c>
      <c r="O238" s="3">
        <v>-2.8659999999999997E-10</v>
      </c>
      <c r="P238" s="3">
        <v>2.3879999999999999E-10</v>
      </c>
      <c r="Q238" s="3">
        <v>1.1929999999999999E-11</v>
      </c>
      <c r="R238" s="3">
        <v>4.1349999999999997E-10</v>
      </c>
      <c r="S238" s="13">
        <v>99999</v>
      </c>
      <c r="T238" s="13">
        <v>99999</v>
      </c>
      <c r="U238" s="13">
        <v>0.13452863056218406</v>
      </c>
    </row>
    <row r="239" spans="1:21" x14ac:dyDescent="0.2">
      <c r="A239">
        <v>140</v>
      </c>
      <c r="B239" s="12">
        <v>1</v>
      </c>
      <c r="C239" s="16">
        <v>11.27</v>
      </c>
      <c r="D239" s="16">
        <v>11.27</v>
      </c>
      <c r="E239" s="3">
        <v>17.230977433584002</v>
      </c>
      <c r="F239" s="3">
        <v>10.3771587735</v>
      </c>
      <c r="G239" s="3">
        <v>-8.6179999999999993E-11</v>
      </c>
      <c r="H239" s="3">
        <v>7.2199999999999994E-11</v>
      </c>
      <c r="I239" s="3">
        <v>-9.0009999999999995E-11</v>
      </c>
      <c r="J239" s="3">
        <v>6.6440000000000005E-11</v>
      </c>
      <c r="K239" s="3">
        <v>-1.043E-11</v>
      </c>
      <c r="L239" s="3">
        <v>7.8850000000000004E-12</v>
      </c>
      <c r="M239" s="3">
        <v>-3.4210000000000004E-10</v>
      </c>
      <c r="N239" s="3">
        <v>2.5260000000000004E-10</v>
      </c>
      <c r="O239" s="3">
        <v>-3.2870000000000001E-10</v>
      </c>
      <c r="P239" s="3">
        <v>2.7399999999999998E-10</v>
      </c>
      <c r="Q239" s="3">
        <v>1.3640000000000001E-11</v>
      </c>
      <c r="R239" s="3">
        <v>4.7440000000000004E-10</v>
      </c>
      <c r="S239" s="13">
        <v>99999</v>
      </c>
      <c r="T239" s="13">
        <v>99999</v>
      </c>
      <c r="U239" s="13">
        <v>0.13446689299168907</v>
      </c>
    </row>
    <row r="240" spans="1:21" x14ac:dyDescent="0.2">
      <c r="A240">
        <v>141</v>
      </c>
      <c r="B240" s="12">
        <v>1</v>
      </c>
      <c r="C240" s="16">
        <v>11.97</v>
      </c>
      <c r="D240" s="16">
        <v>11.97</v>
      </c>
      <c r="E240" s="3">
        <v>17.222748805583997</v>
      </c>
      <c r="F240" s="3">
        <v>10.372131148499999</v>
      </c>
      <c r="G240" s="3">
        <v>-8.6649999999999993E-11</v>
      </c>
      <c r="H240" s="3">
        <v>7.2659999999999998E-11</v>
      </c>
      <c r="I240" s="3">
        <v>-9.0559999999999995E-11</v>
      </c>
      <c r="J240" s="3">
        <v>6.682999999999999E-11</v>
      </c>
      <c r="K240" s="3">
        <v>-1.043E-11</v>
      </c>
      <c r="L240" s="3">
        <v>7.8869999999999998E-12</v>
      </c>
      <c r="M240" s="3">
        <v>-3.8710000000000004E-10</v>
      </c>
      <c r="N240" s="3">
        <v>2.8589999999999996E-10</v>
      </c>
      <c r="O240" s="3">
        <v>-3.718E-10</v>
      </c>
      <c r="P240" s="3">
        <v>3.1009999999999999E-10</v>
      </c>
      <c r="Q240" s="3">
        <v>1.5379999999999999E-11</v>
      </c>
      <c r="R240" s="3">
        <v>5.3670000000000002E-10</v>
      </c>
      <c r="S240" s="13">
        <v>99999</v>
      </c>
      <c r="T240" s="13">
        <v>99999</v>
      </c>
      <c r="U240" s="13">
        <v>0.1344052088085157</v>
      </c>
    </row>
    <row r="241" spans="1:21" x14ac:dyDescent="0.2">
      <c r="A241">
        <v>142</v>
      </c>
      <c r="B241" s="12">
        <v>1</v>
      </c>
      <c r="C241" s="16">
        <v>12.67</v>
      </c>
      <c r="D241" s="16">
        <v>12.67</v>
      </c>
      <c r="E241" s="3">
        <v>17.214520177583999</v>
      </c>
      <c r="F241" s="3">
        <v>10.367103523499999</v>
      </c>
      <c r="G241" s="3">
        <v>-8.5129999999999995E-11</v>
      </c>
      <c r="H241" s="3">
        <v>7.1480000000000008E-11</v>
      </c>
      <c r="I241" s="3">
        <v>-8.9060000000000001E-11</v>
      </c>
      <c r="J241" s="3">
        <v>6.5719999999999994E-11</v>
      </c>
      <c r="K241" s="3">
        <v>-1.042E-11</v>
      </c>
      <c r="L241" s="3">
        <v>7.8879999999999987E-12</v>
      </c>
      <c r="M241" s="3">
        <v>-4.3230000000000005E-10</v>
      </c>
      <c r="N241" s="3">
        <v>3.1930000000000002E-10</v>
      </c>
      <c r="O241" s="3">
        <v>-4.1509999999999999E-10</v>
      </c>
      <c r="P241" s="3">
        <v>3.4649999999999999E-10</v>
      </c>
      <c r="Q241" s="3">
        <v>1.711E-11</v>
      </c>
      <c r="R241" s="3">
        <v>5.9940000000000002E-10</v>
      </c>
      <c r="S241" s="13">
        <v>99999</v>
      </c>
      <c r="T241" s="13">
        <v>99999</v>
      </c>
      <c r="U241" s="13">
        <v>0.13434359249799399</v>
      </c>
    </row>
    <row r="242" spans="1:21" x14ac:dyDescent="0.2">
      <c r="A242">
        <v>143</v>
      </c>
      <c r="B242" s="12">
        <v>1</v>
      </c>
      <c r="C242" s="16">
        <v>13.38</v>
      </c>
      <c r="D242" s="16">
        <v>13.38</v>
      </c>
      <c r="E242" s="3">
        <v>17.206275092327999</v>
      </c>
      <c r="F242" s="3">
        <v>10.362065843250001</v>
      </c>
      <c r="G242" s="3">
        <v>-8.1140000000000004E-11</v>
      </c>
      <c r="H242" s="3">
        <v>6.8229999999999993E-11</v>
      </c>
      <c r="I242" s="3">
        <v>-8.498E-11</v>
      </c>
      <c r="J242" s="3">
        <v>6.2690000000000005E-11</v>
      </c>
      <c r="K242" s="3">
        <v>-1.042E-11</v>
      </c>
      <c r="L242" s="3">
        <v>7.8890000000000008E-12</v>
      </c>
      <c r="M242" s="3">
        <v>-4.7690000000000008E-10</v>
      </c>
      <c r="N242" s="3">
        <v>3.521E-10</v>
      </c>
      <c r="O242" s="3">
        <v>-4.5769999999999998E-10</v>
      </c>
      <c r="P242" s="3">
        <v>3.8220000000000003E-10</v>
      </c>
      <c r="Q242" s="3">
        <v>1.8810000000000001E-11</v>
      </c>
      <c r="R242" s="3">
        <v>6.6099999999999999E-10</v>
      </c>
      <c r="S242" s="13">
        <v>99999</v>
      </c>
      <c r="T242" s="13">
        <v>99999</v>
      </c>
      <c r="U242" s="13">
        <v>0.13428193682369846</v>
      </c>
    </row>
    <row r="243" spans="1:21" x14ac:dyDescent="0.2">
      <c r="A243">
        <v>144</v>
      </c>
      <c r="B243" s="12">
        <v>1</v>
      </c>
      <c r="C243" s="16">
        <v>14.08</v>
      </c>
      <c r="D243" s="16">
        <v>14.08</v>
      </c>
      <c r="E243" s="3">
        <v>17.198046464327998</v>
      </c>
      <c r="F243" s="3">
        <v>10.35703821825</v>
      </c>
      <c r="G243" s="3">
        <v>-7.4099999999999995E-11</v>
      </c>
      <c r="H243" s="3">
        <v>6.246000000000001E-11</v>
      </c>
      <c r="I243" s="3">
        <v>-7.7740000000000008E-11</v>
      </c>
      <c r="J243" s="3">
        <v>5.7329999999999997E-11</v>
      </c>
      <c r="K243" s="3">
        <v>-1.0409999999999999E-11</v>
      </c>
      <c r="L243" s="3">
        <v>7.8909999999999986E-12</v>
      </c>
      <c r="M243" s="3">
        <v>-5.1939999999999998E-10</v>
      </c>
      <c r="N243" s="3">
        <v>3.8350000000000002E-10</v>
      </c>
      <c r="O243" s="3">
        <v>-4.9829999999999992E-10</v>
      </c>
      <c r="P243" s="3">
        <v>4.163E-10</v>
      </c>
      <c r="Q243" s="3">
        <v>2.0409999999999997E-11</v>
      </c>
      <c r="R243" s="3">
        <v>7.1970000000000001E-10</v>
      </c>
      <c r="S243" s="13">
        <v>99999</v>
      </c>
      <c r="T243" s="13">
        <v>99999</v>
      </c>
      <c r="U243" s="13">
        <v>0.13422045750419223</v>
      </c>
    </row>
    <row r="244" spans="1:21" x14ac:dyDescent="0.2">
      <c r="A244">
        <v>145</v>
      </c>
      <c r="B244" s="12">
        <v>1</v>
      </c>
      <c r="C244" s="16">
        <v>14.79</v>
      </c>
      <c r="D244" s="16">
        <v>14.79</v>
      </c>
      <c r="E244" s="3">
        <v>17.189817836328</v>
      </c>
      <c r="F244" s="3">
        <v>10.35201059325</v>
      </c>
      <c r="G244" s="3">
        <v>-6.3409999999999991E-11</v>
      </c>
      <c r="H244" s="3">
        <v>5.3650000000000003E-11</v>
      </c>
      <c r="I244" s="3">
        <v>-6.6710000000000008E-11</v>
      </c>
      <c r="J244" s="3">
        <v>4.9170000000000003E-11</v>
      </c>
      <c r="K244" s="3">
        <v>-1.0409999999999999E-11</v>
      </c>
      <c r="L244" s="3">
        <v>7.8899999999999997E-12</v>
      </c>
      <c r="M244" s="3">
        <v>-5.582E-10</v>
      </c>
      <c r="N244" s="3">
        <v>4.1219999999999998E-10</v>
      </c>
      <c r="O244" s="3">
        <v>-5.353E-10</v>
      </c>
      <c r="P244" s="3">
        <v>4.4750000000000001E-10</v>
      </c>
      <c r="Q244" s="3">
        <v>2.1859999999999999E-11</v>
      </c>
      <c r="R244" s="3">
        <v>7.7339999999999993E-10</v>
      </c>
      <c r="S244" s="13">
        <v>99999</v>
      </c>
      <c r="T244" s="13">
        <v>99999</v>
      </c>
      <c r="U244" s="13">
        <v>0.13415906653483836</v>
      </c>
    </row>
    <row r="245" spans="1:21" x14ac:dyDescent="0.2">
      <c r="A245">
        <v>146</v>
      </c>
      <c r="B245" s="12">
        <v>1</v>
      </c>
      <c r="C245" s="16">
        <v>15.49</v>
      </c>
      <c r="D245" s="16">
        <v>15.49</v>
      </c>
      <c r="E245" s="3">
        <v>17.181589208327999</v>
      </c>
      <c r="F245" s="3">
        <v>10.346982968250002</v>
      </c>
      <c r="G245" s="3">
        <v>-4.8449999999999998E-11</v>
      </c>
      <c r="H245" s="3">
        <v>4.1269999999999997E-11</v>
      </c>
      <c r="I245" s="3">
        <v>-5.123E-11</v>
      </c>
      <c r="J245" s="3">
        <v>3.7730000000000002E-11</v>
      </c>
      <c r="K245" s="3">
        <v>-1.0400000000000001E-11</v>
      </c>
      <c r="L245" s="3">
        <v>7.8909999999999986E-12</v>
      </c>
      <c r="M245" s="3">
        <v>-5.916E-10</v>
      </c>
      <c r="N245" s="3">
        <v>4.367E-10</v>
      </c>
      <c r="O245" s="3">
        <v>-5.6700000000000001E-10</v>
      </c>
      <c r="P245" s="3">
        <v>4.7440000000000004E-10</v>
      </c>
      <c r="Q245" s="3">
        <v>2.3059999999999999E-11</v>
      </c>
      <c r="R245" s="3">
        <v>8.1940000000000009E-10</v>
      </c>
      <c r="S245" s="13">
        <v>99999</v>
      </c>
      <c r="T245" s="13">
        <v>99999</v>
      </c>
      <c r="U245" s="13">
        <v>0.13409772458300934</v>
      </c>
    </row>
    <row r="246" spans="1:21" x14ac:dyDescent="0.2">
      <c r="A246">
        <v>147</v>
      </c>
      <c r="B246" s="12">
        <v>1</v>
      </c>
      <c r="C246" s="16">
        <v>16.2</v>
      </c>
      <c r="D246" s="16">
        <v>16.2</v>
      </c>
      <c r="E246" s="3">
        <v>17.173360580327998</v>
      </c>
      <c r="F246" s="3">
        <v>10.341955343250001</v>
      </c>
      <c r="G246" s="3">
        <v>-2.8550000000000001E-11</v>
      </c>
      <c r="H246" s="3">
        <v>2.4780000000000001E-11</v>
      </c>
      <c r="I246" s="3">
        <v>-3.0609999999999998E-11</v>
      </c>
      <c r="J246" s="3">
        <v>2.25E-11</v>
      </c>
      <c r="K246" s="3">
        <v>-1.0390000000000001E-11</v>
      </c>
      <c r="L246" s="3">
        <v>7.8929999999999996E-12</v>
      </c>
      <c r="M246" s="3">
        <v>-6.172E-10</v>
      </c>
      <c r="N246" s="3">
        <v>4.5559999999999996E-10</v>
      </c>
      <c r="O246" s="3">
        <v>-5.9120000000000009E-10</v>
      </c>
      <c r="P246" s="3">
        <v>4.9500000000000005E-10</v>
      </c>
      <c r="Q246" s="3">
        <v>2.3949999999999999E-11</v>
      </c>
      <c r="R246" s="3">
        <v>8.5470000000000006E-10</v>
      </c>
      <c r="S246" s="13">
        <v>99999</v>
      </c>
      <c r="T246" s="13">
        <v>99999</v>
      </c>
      <c r="U246" s="13">
        <v>0.13403647311581304</v>
      </c>
    </row>
    <row r="247" spans="1:21" x14ac:dyDescent="0.2">
      <c r="A247">
        <v>148</v>
      </c>
      <c r="B247" s="12">
        <v>1</v>
      </c>
      <c r="C247" s="16">
        <v>16.899999999999999</v>
      </c>
      <c r="D247" s="16">
        <v>16.899999999999999</v>
      </c>
      <c r="E247" s="3">
        <v>17.165131952328</v>
      </c>
      <c r="F247" s="3">
        <v>10.336927718250001</v>
      </c>
      <c r="G247" s="3">
        <v>-3.1460000000000001E-12</v>
      </c>
      <c r="H247" s="3">
        <v>3.5859999999999999E-12</v>
      </c>
      <c r="I247" s="3">
        <v>-4.6429999999999995E-12</v>
      </c>
      <c r="J247" s="3">
        <v>3.441E-12</v>
      </c>
      <c r="K247" s="3">
        <v>-1.0379999999999999E-11</v>
      </c>
      <c r="L247" s="3">
        <v>7.897E-12</v>
      </c>
      <c r="M247" s="3">
        <v>-6.3249999999999994E-10</v>
      </c>
      <c r="N247" s="3">
        <v>4.6679999999999998E-10</v>
      </c>
      <c r="O247" s="3">
        <v>-6.0549999999999993E-10</v>
      </c>
      <c r="P247" s="3">
        <v>5.0740000000000003E-10</v>
      </c>
      <c r="Q247" s="3">
        <v>2.4410000000000003E-11</v>
      </c>
      <c r="R247" s="3">
        <v>8.7560000000000006E-10</v>
      </c>
      <c r="S247" s="13">
        <v>99999</v>
      </c>
      <c r="T247" s="13">
        <v>99999</v>
      </c>
      <c r="U247" s="13">
        <v>0.13397526890996689</v>
      </c>
    </row>
    <row r="248" spans="1:21" x14ac:dyDescent="0.2">
      <c r="A248">
        <v>149</v>
      </c>
      <c r="B248" s="12">
        <v>1</v>
      </c>
      <c r="C248" s="16">
        <v>17.600000000000001</v>
      </c>
      <c r="D248" s="16">
        <v>17.600000000000001</v>
      </c>
      <c r="E248" s="3">
        <v>17.156903324327999</v>
      </c>
      <c r="F248" s="3">
        <v>10.331900093250001</v>
      </c>
      <c r="G248" s="3">
        <v>-2.2949999999999999E-11</v>
      </c>
      <c r="H248" s="3">
        <v>2.8859999999999998E-11</v>
      </c>
      <c r="I248" s="3">
        <v>-2.1540000000000001E-11</v>
      </c>
      <c r="J248" s="3">
        <v>2.8959999999999999E-11</v>
      </c>
      <c r="K248" s="3">
        <v>-1.0379999999999999E-11</v>
      </c>
      <c r="L248" s="3">
        <v>7.9010000000000004E-12</v>
      </c>
      <c r="M248" s="3">
        <v>-6.3460000000000006E-10</v>
      </c>
      <c r="N248" s="3">
        <v>4.6830000000000003E-10</v>
      </c>
      <c r="O248" s="3">
        <v>-6.0699999999999997E-10</v>
      </c>
      <c r="P248" s="3">
        <v>5.0920000000000006E-10</v>
      </c>
      <c r="Q248" s="3">
        <v>2.432E-11</v>
      </c>
      <c r="R248" s="3">
        <v>8.781E-10</v>
      </c>
      <c r="S248" s="13">
        <v>99999</v>
      </c>
      <c r="T248" s="13">
        <v>99999</v>
      </c>
      <c r="U248" s="13">
        <v>0.13391413323489648</v>
      </c>
    </row>
    <row r="249" spans="1:21" x14ac:dyDescent="0.2">
      <c r="A249">
        <v>150</v>
      </c>
      <c r="B249" s="12">
        <v>1</v>
      </c>
      <c r="C249" s="16">
        <v>18.309999999999999</v>
      </c>
      <c r="D249" s="16">
        <v>18.309999999999999</v>
      </c>
      <c r="E249" s="3">
        <v>17.148674696327998</v>
      </c>
      <c r="F249" s="3">
        <v>10.32687246825</v>
      </c>
      <c r="G249" s="3">
        <v>-5.5259999999999998E-11</v>
      </c>
      <c r="H249" s="3">
        <v>6.7770000000000002E-11</v>
      </c>
      <c r="I249" s="3">
        <v>-5.1399999999999998E-11</v>
      </c>
      <c r="J249" s="3">
        <v>6.9379999999999997E-11</v>
      </c>
      <c r="K249" s="3">
        <v>-1.0369999999999999E-11</v>
      </c>
      <c r="L249" s="3">
        <v>7.9039999999999986E-12</v>
      </c>
      <c r="M249" s="3">
        <v>-6.2009999999999996E-10</v>
      </c>
      <c r="N249" s="3">
        <v>4.5750000000000002E-10</v>
      </c>
      <c r="O249" s="3">
        <v>-5.926E-10</v>
      </c>
      <c r="P249" s="3">
        <v>4.9770000000000005E-10</v>
      </c>
      <c r="Q249" s="3">
        <v>2.3569999999999999E-11</v>
      </c>
      <c r="R249" s="3">
        <v>8.5769999999999994E-10</v>
      </c>
      <c r="S249" s="13">
        <v>99999</v>
      </c>
      <c r="T249" s="13">
        <v>99999</v>
      </c>
      <c r="U249" s="13">
        <v>0.13385309124598599</v>
      </c>
    </row>
    <row r="250" spans="1:21" x14ac:dyDescent="0.2">
      <c r="A250">
        <v>151</v>
      </c>
      <c r="B250" s="12">
        <v>1</v>
      </c>
      <c r="C250" s="16">
        <v>19.010000000000002</v>
      </c>
      <c r="D250" s="16">
        <v>19.010000000000002</v>
      </c>
      <c r="E250" s="3">
        <v>17.140446068328</v>
      </c>
      <c r="F250" s="3">
        <v>10.32184484325</v>
      </c>
      <c r="G250" s="3">
        <v>-9.4059999999999996E-11</v>
      </c>
      <c r="H250" s="3">
        <v>1.144E-10</v>
      </c>
      <c r="I250" s="3">
        <v>-8.7199999999999994E-11</v>
      </c>
      <c r="J250" s="3">
        <v>1.178E-10</v>
      </c>
      <c r="K250" s="3">
        <v>-1.036E-11</v>
      </c>
      <c r="L250" s="3">
        <v>7.9080000000000006E-12</v>
      </c>
      <c r="M250" s="3">
        <v>-5.8540000000000007E-10</v>
      </c>
      <c r="N250" s="3">
        <v>4.318E-10</v>
      </c>
      <c r="O250" s="3">
        <v>-5.5870000000000005E-10</v>
      </c>
      <c r="P250" s="3">
        <v>4.7009999999999996E-10</v>
      </c>
      <c r="Q250" s="3">
        <v>2.1999999999999998E-11</v>
      </c>
      <c r="R250" s="3">
        <v>8.0920000000000006E-10</v>
      </c>
      <c r="S250" s="13">
        <v>99999</v>
      </c>
      <c r="T250" s="13">
        <v>99999</v>
      </c>
      <c r="U250" s="13">
        <v>0.13379209388447447</v>
      </c>
    </row>
    <row r="251" spans="1:21" x14ac:dyDescent="0.2">
      <c r="A251">
        <v>152</v>
      </c>
      <c r="B251" s="12">
        <v>1</v>
      </c>
      <c r="C251" s="16">
        <v>19.72</v>
      </c>
      <c r="D251" s="16">
        <v>19.72</v>
      </c>
      <c r="E251" s="3">
        <v>17.132217440327999</v>
      </c>
      <c r="F251" s="3">
        <v>10.316817218250002</v>
      </c>
      <c r="G251" s="3">
        <v>-1.398E-10</v>
      </c>
      <c r="H251" s="3">
        <v>1.693E-10</v>
      </c>
      <c r="I251" s="3">
        <v>-1.2940000000000001E-10</v>
      </c>
      <c r="J251" s="3">
        <v>1.7499999999999999E-10</v>
      </c>
      <c r="K251" s="3">
        <v>-1.035E-11</v>
      </c>
      <c r="L251" s="3">
        <v>7.9119999999999994E-12</v>
      </c>
      <c r="M251" s="3">
        <v>-5.2649999999999999E-10</v>
      </c>
      <c r="N251" s="3">
        <v>3.8820000000000001E-10</v>
      </c>
      <c r="O251" s="3">
        <v>-5.0149999999999997E-10</v>
      </c>
      <c r="P251" s="3">
        <v>4.2310000000000002E-10</v>
      </c>
      <c r="Q251" s="3">
        <v>1.9449999999999998E-11</v>
      </c>
      <c r="R251" s="3">
        <v>7.271E-10</v>
      </c>
      <c r="S251" s="13">
        <v>99999</v>
      </c>
      <c r="T251" s="13">
        <v>99999</v>
      </c>
      <c r="U251" s="13">
        <v>0.1337311923530374</v>
      </c>
    </row>
    <row r="252" spans="1:21" x14ac:dyDescent="0.2">
      <c r="A252">
        <v>153</v>
      </c>
      <c r="B252" s="12">
        <v>1</v>
      </c>
      <c r="C252" s="16">
        <v>20.420000000000002</v>
      </c>
      <c r="D252" s="16">
        <v>20.420000000000002</v>
      </c>
      <c r="E252" s="3">
        <v>17.123988812328001</v>
      </c>
      <c r="F252" s="3">
        <v>10.311789593250001</v>
      </c>
      <c r="G252" s="3">
        <v>-1.9300000000000001E-10</v>
      </c>
      <c r="H252" s="3">
        <v>2.3319999999999998E-10</v>
      </c>
      <c r="I252" s="3">
        <v>-1.7849999999999998E-10</v>
      </c>
      <c r="J252" s="3">
        <v>2.4139999999999996E-10</v>
      </c>
      <c r="K252" s="3">
        <v>-1.034E-11</v>
      </c>
      <c r="L252" s="3">
        <v>7.9140000000000004E-12</v>
      </c>
      <c r="M252" s="3">
        <v>-4.3899999999999998E-10</v>
      </c>
      <c r="N252" s="3">
        <v>3.2350000000000002E-10</v>
      </c>
      <c r="O252" s="3">
        <v>-4.1680000000000005E-10</v>
      </c>
      <c r="P252" s="3">
        <v>3.5320000000000003E-10</v>
      </c>
      <c r="Q252" s="3">
        <v>1.5770000000000001E-11</v>
      </c>
      <c r="R252" s="3">
        <v>6.054E-10</v>
      </c>
      <c r="S252" s="13">
        <v>99999</v>
      </c>
      <c r="T252" s="13">
        <v>99999</v>
      </c>
      <c r="U252" s="13">
        <v>0.13367033368470604</v>
      </c>
    </row>
    <row r="253" spans="1:21" x14ac:dyDescent="0.2">
      <c r="A253">
        <v>154</v>
      </c>
      <c r="B253" s="12">
        <v>1</v>
      </c>
      <c r="C253" s="16">
        <v>21.12</v>
      </c>
      <c r="D253" s="16">
        <v>21.12</v>
      </c>
      <c r="E253" s="3">
        <v>17.115760184327996</v>
      </c>
      <c r="F253" s="3">
        <v>10.306761968250001</v>
      </c>
      <c r="G253" s="3">
        <v>-2.54E-10</v>
      </c>
      <c r="H253" s="3">
        <v>3.0629999999999997E-10</v>
      </c>
      <c r="I253" s="3">
        <v>-2.3470000000000003E-10</v>
      </c>
      <c r="J253" s="3">
        <v>3.1749999999999999E-10</v>
      </c>
      <c r="K253" s="3">
        <v>-1.0320000000000001E-11</v>
      </c>
      <c r="L253" s="3">
        <v>7.9149999999999993E-12</v>
      </c>
      <c r="M253" s="3">
        <v>-3.1829999999999998E-10</v>
      </c>
      <c r="N253" s="3">
        <v>2.3430000000000001E-10</v>
      </c>
      <c r="O253" s="3">
        <v>-3.0029999999999999E-10</v>
      </c>
      <c r="P253" s="3">
        <v>2.5660000000000002E-10</v>
      </c>
      <c r="Q253" s="3">
        <v>1.077E-11</v>
      </c>
      <c r="R253" s="3">
        <v>4.3760000000000002E-10</v>
      </c>
      <c r="S253" s="13">
        <v>99999</v>
      </c>
      <c r="T253" s="13">
        <v>99999</v>
      </c>
      <c r="U253" s="13">
        <v>0.13360954401905442</v>
      </c>
    </row>
    <row r="254" spans="1:21" x14ac:dyDescent="0.2">
      <c r="A254">
        <v>155</v>
      </c>
      <c r="B254" s="12">
        <v>1</v>
      </c>
      <c r="C254" s="16">
        <v>21.83</v>
      </c>
      <c r="D254" s="16">
        <v>21.83</v>
      </c>
      <c r="E254" s="3">
        <v>17.107531556327999</v>
      </c>
      <c r="F254" s="3">
        <v>10.301734343250001</v>
      </c>
      <c r="G254" s="3">
        <v>-3.2300000000000002E-10</v>
      </c>
      <c r="H254" s="3">
        <v>3.89E-10</v>
      </c>
      <c r="I254" s="3">
        <v>-2.9829999999999999E-10</v>
      </c>
      <c r="J254" s="3">
        <v>4.0359999999999998E-10</v>
      </c>
      <c r="K254" s="3">
        <v>-1.0309999999999999E-11</v>
      </c>
      <c r="L254" s="3">
        <v>7.9149999999999993E-12</v>
      </c>
      <c r="M254" s="3">
        <v>-1.5949999999999999E-10</v>
      </c>
      <c r="N254" s="3">
        <v>1.1769999999999999E-10</v>
      </c>
      <c r="O254" s="3">
        <v>-1.4709999999999999E-10</v>
      </c>
      <c r="P254" s="3">
        <v>1.296E-10</v>
      </c>
      <c r="Q254" s="3">
        <v>4.3650000000000001E-12</v>
      </c>
      <c r="R254" s="3">
        <v>2.17E-10</v>
      </c>
      <c r="S254" s="13">
        <v>99999</v>
      </c>
      <c r="T254" s="13">
        <v>99999</v>
      </c>
      <c r="U254" s="13">
        <v>0.13354885339911673</v>
      </c>
    </row>
    <row r="255" spans="1:21" x14ac:dyDescent="0.2">
      <c r="A255">
        <v>156</v>
      </c>
      <c r="B255" s="12">
        <v>1</v>
      </c>
      <c r="C255" s="16">
        <v>22.53</v>
      </c>
      <c r="D255" s="16">
        <v>22.53</v>
      </c>
      <c r="E255" s="3">
        <v>17.099302928328001</v>
      </c>
      <c r="F255" s="3">
        <v>10.29670671825</v>
      </c>
      <c r="G255" s="3">
        <v>-4.0019999999999997E-10</v>
      </c>
      <c r="H255" s="3">
        <v>4.8139999999999991E-10</v>
      </c>
      <c r="I255" s="3">
        <v>-3.6940000000000004E-10</v>
      </c>
      <c r="J255" s="3">
        <v>4.999E-10</v>
      </c>
      <c r="K255" s="3">
        <v>-1.0299999999999999E-11</v>
      </c>
      <c r="L255" s="3">
        <v>7.9149999999999993E-12</v>
      </c>
      <c r="M255" s="3">
        <v>-3.3780000000000005E-11</v>
      </c>
      <c r="N255" s="3">
        <v>4.3560000000000003E-11</v>
      </c>
      <c r="O255" s="3">
        <v>-3.4970000000000003E-11</v>
      </c>
      <c r="P255" s="3">
        <v>4.8289999999999996E-11</v>
      </c>
      <c r="Q255" s="3">
        <v>2.088E-12</v>
      </c>
      <c r="R255" s="3">
        <v>6.5029999999999994E-11</v>
      </c>
      <c r="S255" s="13">
        <v>99999</v>
      </c>
      <c r="T255" s="13">
        <v>99999</v>
      </c>
      <c r="U255" s="13">
        <v>0.13348820299617584</v>
      </c>
    </row>
    <row r="256" spans="1:21" x14ac:dyDescent="0.2">
      <c r="A256">
        <v>157</v>
      </c>
      <c r="B256" s="12">
        <v>1</v>
      </c>
      <c r="C256" s="16">
        <v>23.24</v>
      </c>
      <c r="D256" s="16">
        <v>23.24</v>
      </c>
      <c r="E256" s="3">
        <v>17.091057843072001</v>
      </c>
      <c r="F256" s="3">
        <v>10.291669038</v>
      </c>
      <c r="G256" s="3">
        <v>-4.8530000000000007E-10</v>
      </c>
      <c r="H256" s="3">
        <v>5.8329999999999994E-10</v>
      </c>
      <c r="I256" s="3">
        <v>-4.4780000000000005E-10</v>
      </c>
      <c r="J256" s="3">
        <v>6.0610000000000001E-10</v>
      </c>
      <c r="K256" s="3">
        <v>-1.0289999999999999E-11</v>
      </c>
      <c r="L256" s="3">
        <v>7.9140000000000004E-12</v>
      </c>
      <c r="M256" s="3">
        <v>-2.169E-10</v>
      </c>
      <c r="N256" s="3">
        <v>2.9219999999999998E-10</v>
      </c>
      <c r="O256" s="3">
        <v>-2.32E-10</v>
      </c>
      <c r="P256" s="3">
        <v>2.8809999999999997E-10</v>
      </c>
      <c r="Q256" s="3">
        <v>1.429E-11</v>
      </c>
      <c r="R256" s="3">
        <v>4.1030000000000002E-10</v>
      </c>
      <c r="S256" s="13">
        <v>99999</v>
      </c>
      <c r="T256" s="13">
        <v>99999</v>
      </c>
      <c r="U256" s="13">
        <v>0.13342752823262805</v>
      </c>
    </row>
    <row r="257" spans="1:21" x14ac:dyDescent="0.2">
      <c r="A257">
        <v>158</v>
      </c>
      <c r="B257" s="12">
        <v>1</v>
      </c>
      <c r="C257" s="16">
        <v>23.94</v>
      </c>
      <c r="D257" s="16">
        <v>23.94</v>
      </c>
      <c r="E257" s="3">
        <v>17.082829215072</v>
      </c>
      <c r="F257" s="3">
        <v>10.286641413</v>
      </c>
      <c r="G257" s="3">
        <v>-5.781E-10</v>
      </c>
      <c r="H257" s="3">
        <v>6.9429999999999997E-10</v>
      </c>
      <c r="I257" s="3">
        <v>-5.3320000000000008E-10</v>
      </c>
      <c r="J257" s="3">
        <v>7.2180000000000003E-10</v>
      </c>
      <c r="K257" s="3">
        <v>-1.0280000000000001E-11</v>
      </c>
      <c r="L257" s="3">
        <v>7.9129999999999999E-12</v>
      </c>
      <c r="M257" s="3">
        <v>-4.4070000000000004E-10</v>
      </c>
      <c r="N257" s="3">
        <v>5.9520000000000007E-10</v>
      </c>
      <c r="O257" s="3">
        <v>-4.7459999999999999E-10</v>
      </c>
      <c r="P257" s="3">
        <v>5.7970000000000008E-10</v>
      </c>
      <c r="Q257" s="3">
        <v>2.6499999999999999E-11</v>
      </c>
      <c r="R257" s="3">
        <v>8.3089999999999999E-10</v>
      </c>
      <c r="S257" s="13">
        <v>99999</v>
      </c>
      <c r="T257" s="13">
        <v>99999</v>
      </c>
      <c r="U257" s="13">
        <v>0.13336701747549448</v>
      </c>
    </row>
    <row r="258" spans="1:21" x14ac:dyDescent="0.2">
      <c r="A258">
        <v>159</v>
      </c>
      <c r="B258" s="12">
        <v>1</v>
      </c>
      <c r="C258" s="16">
        <v>24.65</v>
      </c>
      <c r="D258" s="16">
        <v>24.65</v>
      </c>
      <c r="E258" s="3">
        <v>17.074600587071998</v>
      </c>
      <c r="F258" s="3">
        <v>10.281613788000001</v>
      </c>
      <c r="G258" s="3">
        <v>-6.7790000000000001E-10</v>
      </c>
      <c r="H258" s="3">
        <v>8.1369999999999999E-10</v>
      </c>
      <c r="I258" s="3">
        <v>-6.2509999999999994E-10</v>
      </c>
      <c r="J258" s="3">
        <v>8.4629999999999996E-10</v>
      </c>
      <c r="K258" s="3">
        <v>-1.026E-11</v>
      </c>
      <c r="L258" s="3">
        <v>7.9119999999999994E-12</v>
      </c>
      <c r="M258" s="3">
        <v>-7.0739999999999996E-10</v>
      </c>
      <c r="N258" s="3">
        <v>9.5610000000000004E-10</v>
      </c>
      <c r="O258" s="3">
        <v>-7.6360000000000003E-10</v>
      </c>
      <c r="P258" s="3">
        <v>9.2689999999999997E-10</v>
      </c>
      <c r="Q258" s="3">
        <v>4.0989999999999999E-11</v>
      </c>
      <c r="R258" s="3">
        <v>1.3319999999999999E-9</v>
      </c>
      <c r="S258" s="13">
        <v>99999</v>
      </c>
      <c r="T258" s="13">
        <v>99999</v>
      </c>
      <c r="U258" s="13">
        <v>0.1333066100745639</v>
      </c>
    </row>
    <row r="259" spans="1:21" x14ac:dyDescent="0.2">
      <c r="A259">
        <v>160</v>
      </c>
      <c r="B259" s="12">
        <v>1</v>
      </c>
      <c r="C259" s="16">
        <v>25.35</v>
      </c>
      <c r="D259" s="16">
        <v>25.35</v>
      </c>
      <c r="E259" s="3">
        <v>17.066371959071997</v>
      </c>
      <c r="F259" s="3">
        <v>10.276586163000001</v>
      </c>
      <c r="G259" s="3">
        <v>-7.8369999999999999E-10</v>
      </c>
      <c r="H259" s="3">
        <v>9.4010000000000009E-10</v>
      </c>
      <c r="I259" s="3">
        <v>-7.2249999999999993E-10</v>
      </c>
      <c r="J259" s="3">
        <v>9.7819999999999999E-10</v>
      </c>
      <c r="K259" s="3">
        <v>-1.025E-11</v>
      </c>
      <c r="L259" s="3">
        <v>7.9110000000000005E-12</v>
      </c>
      <c r="M259" s="3">
        <v>-1.02E-9</v>
      </c>
      <c r="N259" s="3">
        <v>1.3790000000000001E-9</v>
      </c>
      <c r="O259" s="3">
        <v>-1.103E-9</v>
      </c>
      <c r="P259" s="3">
        <v>1.3340000000000001E-9</v>
      </c>
      <c r="Q259" s="3">
        <v>5.7930000000000001E-11</v>
      </c>
      <c r="R259" s="3">
        <v>1.9190000000000001E-9</v>
      </c>
      <c r="S259" s="13">
        <v>99999</v>
      </c>
      <c r="T259" s="13">
        <v>99999</v>
      </c>
      <c r="U259" s="13">
        <v>0.13324623934259794</v>
      </c>
    </row>
    <row r="260" spans="1:21" x14ac:dyDescent="0.2">
      <c r="A260">
        <v>161</v>
      </c>
      <c r="B260" s="12">
        <v>1</v>
      </c>
      <c r="C260" s="16">
        <v>26.05</v>
      </c>
      <c r="D260" s="16">
        <v>26.05</v>
      </c>
      <c r="E260" s="3">
        <v>17.058143331071999</v>
      </c>
      <c r="F260" s="3">
        <v>10.271558538000001</v>
      </c>
      <c r="G260" s="3">
        <v>-8.9410000000000005E-10</v>
      </c>
      <c r="H260" s="3">
        <v>1.072E-9</v>
      </c>
      <c r="I260" s="3">
        <v>-8.2420000000000001E-10</v>
      </c>
      <c r="J260" s="3">
        <v>1.1160000000000001E-9</v>
      </c>
      <c r="K260" s="3">
        <v>-1.024E-11</v>
      </c>
      <c r="L260" s="3">
        <v>7.91E-12</v>
      </c>
      <c r="M260" s="3">
        <v>-1.3810000000000001E-9</v>
      </c>
      <c r="N260" s="3">
        <v>1.8679999999999998E-9</v>
      </c>
      <c r="O260" s="3">
        <v>-1.494E-9</v>
      </c>
      <c r="P260" s="3">
        <v>1.804E-9</v>
      </c>
      <c r="Q260" s="3">
        <v>7.7429999999999998E-11</v>
      </c>
      <c r="R260" s="3">
        <v>2.597E-9</v>
      </c>
      <c r="S260" s="13">
        <v>99999</v>
      </c>
      <c r="T260" s="13">
        <v>99999</v>
      </c>
      <c r="U260" s="13">
        <v>0.13318593827691932</v>
      </c>
    </row>
    <row r="261" spans="1:21" x14ac:dyDescent="0.2">
      <c r="A261">
        <v>162</v>
      </c>
      <c r="B261" s="12">
        <v>1</v>
      </c>
      <c r="C261" s="16">
        <v>26.76</v>
      </c>
      <c r="D261" s="16">
        <v>26.76</v>
      </c>
      <c r="E261" s="3">
        <v>17.049914703072002</v>
      </c>
      <c r="F261" s="3">
        <v>10.266530913</v>
      </c>
      <c r="G261" s="3">
        <v>-1.0070000000000001E-9</v>
      </c>
      <c r="H261" s="3">
        <v>1.2070000000000001E-9</v>
      </c>
      <c r="I261" s="3">
        <v>-9.2840000000000002E-10</v>
      </c>
      <c r="J261" s="3">
        <v>1.2569999999999999E-9</v>
      </c>
      <c r="K261" s="3">
        <v>-1.023E-11</v>
      </c>
      <c r="L261" s="3">
        <v>7.9089999999999995E-12</v>
      </c>
      <c r="M261" s="3">
        <v>-1.7930000000000001E-9</v>
      </c>
      <c r="N261" s="3">
        <v>2.4260000000000001E-9</v>
      </c>
      <c r="O261" s="3">
        <v>-1.9410000000000002E-9</v>
      </c>
      <c r="P261" s="3">
        <v>2.3400000000000002E-9</v>
      </c>
      <c r="Q261" s="3">
        <v>9.960000000000001E-11</v>
      </c>
      <c r="R261" s="3">
        <v>3.371E-9</v>
      </c>
      <c r="S261" s="13">
        <v>99999</v>
      </c>
      <c r="T261" s="13">
        <v>99999</v>
      </c>
      <c r="U261" s="13">
        <v>0.13312574380276057</v>
      </c>
    </row>
    <row r="262" spans="1:21" x14ac:dyDescent="0.2">
      <c r="A262">
        <v>163</v>
      </c>
      <c r="B262" s="12">
        <v>1</v>
      </c>
      <c r="C262" s="16">
        <v>27.46</v>
      </c>
      <c r="D262" s="16">
        <v>27.46</v>
      </c>
      <c r="E262" s="3">
        <v>17.041686075071997</v>
      </c>
      <c r="F262" s="3">
        <v>10.261503288</v>
      </c>
      <c r="G262" s="3">
        <v>-1.121E-9</v>
      </c>
      <c r="H262" s="3">
        <v>1.343E-9</v>
      </c>
      <c r="I262" s="3">
        <v>-1.0330000000000001E-9</v>
      </c>
      <c r="J262" s="3">
        <v>1.399E-9</v>
      </c>
      <c r="K262" s="3">
        <v>-1.021E-11</v>
      </c>
      <c r="L262" s="3">
        <v>7.9080000000000006E-12</v>
      </c>
      <c r="M262" s="3">
        <v>-2.257E-9</v>
      </c>
      <c r="N262" s="3">
        <v>3.0549999999999999E-9</v>
      </c>
      <c r="O262" s="3">
        <v>-2.4449999999999997E-9</v>
      </c>
      <c r="P262" s="3">
        <v>2.9429999999999999E-9</v>
      </c>
      <c r="Q262" s="3">
        <v>1.2450000000000001E-10</v>
      </c>
      <c r="R262" s="3">
        <v>4.242E-9</v>
      </c>
      <c r="S262" s="13">
        <v>99999</v>
      </c>
      <c r="T262" s="13">
        <v>99999</v>
      </c>
      <c r="U262" s="13">
        <v>0.13306558333442384</v>
      </c>
    </row>
    <row r="263" spans="1:21" x14ac:dyDescent="0.2">
      <c r="A263">
        <v>164</v>
      </c>
      <c r="B263" s="12">
        <v>1</v>
      </c>
      <c r="C263" s="16">
        <v>28.17</v>
      </c>
      <c r="D263" s="16">
        <v>28.17</v>
      </c>
      <c r="E263" s="3">
        <v>17.033457447071999</v>
      </c>
      <c r="F263" s="3">
        <v>10.256475663</v>
      </c>
      <c r="G263" s="3">
        <v>-1.2320000000000001E-9</v>
      </c>
      <c r="H263" s="3">
        <v>1.475E-9</v>
      </c>
      <c r="I263" s="3">
        <v>-1.1349999999999999E-9</v>
      </c>
      <c r="J263" s="3">
        <v>1.537E-9</v>
      </c>
      <c r="K263" s="3">
        <v>-1.0200000000000001E-11</v>
      </c>
      <c r="L263" s="3">
        <v>7.9080000000000006E-12</v>
      </c>
      <c r="M263" s="3">
        <v>-2.7740000000000001E-9</v>
      </c>
      <c r="N263" s="3">
        <v>3.7540000000000001E-9</v>
      </c>
      <c r="O263" s="3">
        <v>-3.0060000000000002E-9</v>
      </c>
      <c r="P263" s="3">
        <v>3.615E-9</v>
      </c>
      <c r="Q263" s="3">
        <v>1.521E-10</v>
      </c>
      <c r="R263" s="3">
        <v>5.2109999999999995E-9</v>
      </c>
      <c r="S263" s="13">
        <v>99999</v>
      </c>
      <c r="T263" s="13">
        <v>99999</v>
      </c>
      <c r="U263" s="13">
        <v>0.13300553162402626</v>
      </c>
    </row>
    <row r="264" spans="1:21" x14ac:dyDescent="0.2">
      <c r="A264">
        <v>165</v>
      </c>
      <c r="B264" s="12">
        <v>1</v>
      </c>
      <c r="C264" s="16">
        <v>28.87</v>
      </c>
      <c r="D264" s="16">
        <v>28.87</v>
      </c>
      <c r="E264" s="3">
        <v>17.025228819072002</v>
      </c>
      <c r="F264" s="3">
        <v>10.251448038000001</v>
      </c>
      <c r="G264" s="3">
        <v>-1.3379999999999999E-9</v>
      </c>
      <c r="H264" s="3">
        <v>1.5999999999999999E-9</v>
      </c>
      <c r="I264" s="3">
        <v>-1.2320000000000001E-9</v>
      </c>
      <c r="J264" s="3">
        <v>1.668E-9</v>
      </c>
      <c r="K264" s="3">
        <v>-1.0179999999999999E-11</v>
      </c>
      <c r="L264" s="3">
        <v>7.9069999999999985E-12</v>
      </c>
      <c r="M264" s="3">
        <v>-3.3419999999999998E-9</v>
      </c>
      <c r="N264" s="3">
        <v>4.5229999999999994E-9</v>
      </c>
      <c r="O264" s="3">
        <v>-3.6219999999999997E-9</v>
      </c>
      <c r="P264" s="3">
        <v>4.3519999999999999E-9</v>
      </c>
      <c r="Q264" s="3">
        <v>1.8230000000000001E-10</v>
      </c>
      <c r="R264" s="3">
        <v>6.2770000000000006E-9</v>
      </c>
      <c r="S264" s="13">
        <v>99999</v>
      </c>
      <c r="T264" s="13">
        <v>99999</v>
      </c>
      <c r="U264" s="13">
        <v>0.13294551213567274</v>
      </c>
    </row>
    <row r="265" spans="1:21" x14ac:dyDescent="0.2">
      <c r="A265">
        <v>166</v>
      </c>
      <c r="B265" s="12">
        <v>1</v>
      </c>
      <c r="C265" s="16">
        <v>29.57</v>
      </c>
      <c r="D265" s="16">
        <v>29.57</v>
      </c>
      <c r="E265" s="3">
        <v>17.017000191071997</v>
      </c>
      <c r="F265" s="3">
        <v>10.246420413000001</v>
      </c>
      <c r="G265" s="3">
        <v>-1.432E-9</v>
      </c>
      <c r="H265" s="3">
        <v>1.713E-9</v>
      </c>
      <c r="I265" s="3">
        <v>-1.3189999999999999E-9</v>
      </c>
      <c r="J265" s="3">
        <v>1.7869999999999999E-9</v>
      </c>
      <c r="K265" s="3">
        <v>-1.0169999999999999E-11</v>
      </c>
      <c r="L265" s="3">
        <v>7.9069999999999985E-12</v>
      </c>
      <c r="M265" s="3">
        <v>-3.9570000000000003E-9</v>
      </c>
      <c r="N265" s="3">
        <v>5.3569999999999996E-9</v>
      </c>
      <c r="O265" s="3">
        <v>-4.2910000000000002E-9</v>
      </c>
      <c r="P265" s="3">
        <v>5.1519999999999996E-9</v>
      </c>
      <c r="Q265" s="3">
        <v>2.1500000000000001E-10</v>
      </c>
      <c r="R265" s="3">
        <v>7.4329999999999995E-9</v>
      </c>
      <c r="S265" s="13">
        <v>99999</v>
      </c>
      <c r="T265" s="13">
        <v>99999</v>
      </c>
      <c r="U265" s="13">
        <v>0.13288556278929831</v>
      </c>
    </row>
    <row r="266" spans="1:21" x14ac:dyDescent="0.2">
      <c r="A266">
        <v>167</v>
      </c>
      <c r="B266" s="12">
        <v>1</v>
      </c>
      <c r="C266" s="16">
        <v>30.28</v>
      </c>
      <c r="D266" s="16">
        <v>30.28</v>
      </c>
      <c r="E266" s="3">
        <v>17.008771563071999</v>
      </c>
      <c r="F266" s="3">
        <v>10.241392788000001</v>
      </c>
      <c r="G266" s="3">
        <v>-1.5120000000000002E-9</v>
      </c>
      <c r="H266" s="3">
        <v>1.8070000000000001E-9</v>
      </c>
      <c r="I266" s="3">
        <v>-1.3919999999999999E-9</v>
      </c>
      <c r="J266" s="3">
        <v>1.8859999999999999E-9</v>
      </c>
      <c r="K266" s="3">
        <v>-1.015E-11</v>
      </c>
      <c r="L266" s="3">
        <v>7.9059999999999996E-12</v>
      </c>
      <c r="M266" s="3">
        <v>-4.6170000000000001E-9</v>
      </c>
      <c r="N266" s="3">
        <v>6.2500000000000005E-9</v>
      </c>
      <c r="O266" s="3">
        <v>-5.0069999999999998E-9</v>
      </c>
      <c r="P266" s="3">
        <v>6.0090000000000002E-9</v>
      </c>
      <c r="Q266" s="3">
        <v>2.4989999999999998E-10</v>
      </c>
      <c r="R266" s="3">
        <v>8.6699999999999992E-9</v>
      </c>
      <c r="S266" s="13">
        <v>99999</v>
      </c>
      <c r="T266" s="13">
        <v>99999</v>
      </c>
      <c r="U266" s="13">
        <v>0.13282572545015925</v>
      </c>
    </row>
    <row r="267" spans="1:21" x14ac:dyDescent="0.2">
      <c r="A267">
        <v>168</v>
      </c>
      <c r="B267" s="12">
        <v>1</v>
      </c>
      <c r="C267" s="16">
        <v>30.98</v>
      </c>
      <c r="D267" s="16">
        <v>30.98</v>
      </c>
      <c r="E267" s="3">
        <v>17.000542935071998</v>
      </c>
      <c r="F267" s="3">
        <v>10.236365163</v>
      </c>
      <c r="G267" s="3">
        <v>-1.5710000000000001E-9</v>
      </c>
      <c r="H267" s="3">
        <v>1.8759999999999997E-9</v>
      </c>
      <c r="I267" s="3">
        <v>-1.446E-9</v>
      </c>
      <c r="J267" s="3">
        <v>1.959E-9</v>
      </c>
      <c r="K267" s="3">
        <v>-1.014E-11</v>
      </c>
      <c r="L267" s="3">
        <v>7.9050000000000007E-12</v>
      </c>
      <c r="M267" s="3">
        <v>-5.3130000000000002E-9</v>
      </c>
      <c r="N267" s="3">
        <v>7.1930000000000003E-9</v>
      </c>
      <c r="O267" s="3">
        <v>-5.7630000000000001E-9</v>
      </c>
      <c r="P267" s="3">
        <v>6.9120000000000001E-9</v>
      </c>
      <c r="Q267" s="3">
        <v>2.8659999999999997E-10</v>
      </c>
      <c r="R267" s="3">
        <v>9.9760000000000011E-9</v>
      </c>
      <c r="S267" s="13">
        <v>99999</v>
      </c>
      <c r="T267" s="13">
        <v>99999</v>
      </c>
      <c r="U267" s="13">
        <v>0.13276591765776116</v>
      </c>
    </row>
    <row r="268" spans="1:21" x14ac:dyDescent="0.2">
      <c r="A268">
        <v>169</v>
      </c>
      <c r="B268" s="12">
        <v>1</v>
      </c>
      <c r="C268" s="16">
        <v>31.69</v>
      </c>
      <c r="D268" s="16">
        <v>31.69</v>
      </c>
      <c r="E268" s="3">
        <v>16.992314307072</v>
      </c>
      <c r="F268" s="3">
        <v>10.231337538</v>
      </c>
      <c r="G268" s="3">
        <v>-1.6029999999999999E-9</v>
      </c>
      <c r="H268" s="3">
        <v>1.912E-9</v>
      </c>
      <c r="I268" s="3">
        <v>-1.4740000000000001E-9</v>
      </c>
      <c r="J268" s="3">
        <v>1.9980000000000003E-9</v>
      </c>
      <c r="K268" s="3">
        <v>-1.0120000000000001E-11</v>
      </c>
      <c r="L268" s="3">
        <v>7.9020000000000009E-12</v>
      </c>
      <c r="M268" s="3">
        <v>-6.0360000000000002E-9</v>
      </c>
      <c r="N268" s="3">
        <v>8.1729999999999998E-9</v>
      </c>
      <c r="O268" s="3">
        <v>-6.5490000000000004E-9</v>
      </c>
      <c r="P268" s="3">
        <v>7.8499999999999992E-9</v>
      </c>
      <c r="Q268" s="3">
        <v>3.2449999999999997E-10</v>
      </c>
      <c r="R268" s="3">
        <v>1.133E-8</v>
      </c>
      <c r="S268" s="13">
        <v>99999</v>
      </c>
      <c r="T268" s="13">
        <v>99999</v>
      </c>
      <c r="U268" s="13">
        <v>0.13270622404832491</v>
      </c>
    </row>
    <row r="269" spans="1:21" x14ac:dyDescent="0.2">
      <c r="A269">
        <v>170</v>
      </c>
      <c r="B269" s="12">
        <v>1</v>
      </c>
      <c r="C269" s="16">
        <v>32.39</v>
      </c>
      <c r="D269" s="16">
        <v>32.39</v>
      </c>
      <c r="E269" s="3">
        <v>16.984069221816</v>
      </c>
      <c r="F269" s="3">
        <v>10.22629985775</v>
      </c>
      <c r="G269" s="3">
        <v>-1.5990000000000002E-9</v>
      </c>
      <c r="H269" s="3">
        <v>1.9060000000000002E-9</v>
      </c>
      <c r="I269" s="3">
        <v>-1.471E-9</v>
      </c>
      <c r="J269" s="3">
        <v>1.9929999999999996E-9</v>
      </c>
      <c r="K269" s="3">
        <v>-1.0099999999999999E-11</v>
      </c>
      <c r="L269" s="3">
        <v>7.8989999999999994E-12</v>
      </c>
      <c r="M269" s="3">
        <v>-6.7730000000000005E-9</v>
      </c>
      <c r="N269" s="3">
        <v>9.1710000000000015E-9</v>
      </c>
      <c r="O269" s="3">
        <v>-7.3499999999999996E-9</v>
      </c>
      <c r="P269" s="3">
        <v>8.8059999999999996E-9</v>
      </c>
      <c r="Q269" s="3">
        <v>3.6290000000000001E-10</v>
      </c>
      <c r="R269" s="3">
        <v>1.2710000000000001E-8</v>
      </c>
      <c r="S269" s="13">
        <v>99999</v>
      </c>
      <c r="T269" s="13">
        <v>99999</v>
      </c>
      <c r="U269" s="13">
        <v>0.13264643266779583</v>
      </c>
    </row>
    <row r="270" spans="1:21" x14ac:dyDescent="0.2">
      <c r="A270">
        <v>171</v>
      </c>
      <c r="B270" s="12">
        <v>1</v>
      </c>
      <c r="C270" s="16">
        <v>33.090000000000003</v>
      </c>
      <c r="D270" s="16">
        <v>33.090000000000003</v>
      </c>
      <c r="E270" s="3">
        <v>16.975840593815999</v>
      </c>
      <c r="F270" s="3">
        <v>10.22127223275</v>
      </c>
      <c r="G270" s="3">
        <v>-1.5510000000000001E-9</v>
      </c>
      <c r="H270" s="3">
        <v>1.8449999999999999E-9</v>
      </c>
      <c r="I270" s="3">
        <v>-1.4249999999999999E-9</v>
      </c>
      <c r="J270" s="3">
        <v>1.9319999999999999E-9</v>
      </c>
      <c r="K270" s="3">
        <v>-1.0080000000000001E-11</v>
      </c>
      <c r="L270" s="3">
        <v>7.897E-12</v>
      </c>
      <c r="M270" s="3">
        <v>-7.5080000000000001E-9</v>
      </c>
      <c r="N270" s="3">
        <v>1.0169999999999999E-8</v>
      </c>
      <c r="O270" s="3">
        <v>-8.1500000000000002E-9</v>
      </c>
      <c r="P270" s="3">
        <v>9.7589999999999999E-9</v>
      </c>
      <c r="Q270" s="3">
        <v>4.0100000000000001E-10</v>
      </c>
      <c r="R270" s="3">
        <v>1.4090000000000001E-8</v>
      </c>
      <c r="S270" s="13">
        <v>99999</v>
      </c>
      <c r="T270" s="13">
        <v>99999</v>
      </c>
      <c r="U270" s="13">
        <v>0.13258683743543512</v>
      </c>
    </row>
    <row r="271" spans="1:21" x14ac:dyDescent="0.2">
      <c r="A271">
        <v>172</v>
      </c>
      <c r="B271" s="12">
        <v>1</v>
      </c>
      <c r="C271" s="16">
        <v>33.799999999999997</v>
      </c>
      <c r="D271" s="16">
        <v>33.799999999999997</v>
      </c>
      <c r="E271" s="3">
        <v>16.967611965815998</v>
      </c>
      <c r="F271" s="3">
        <v>10.216244607750001</v>
      </c>
      <c r="G271" s="3">
        <v>-1.4449999999999999E-9</v>
      </c>
      <c r="H271" s="3">
        <v>1.717E-9</v>
      </c>
      <c r="I271" s="3">
        <v>-1.3269999999999999E-9</v>
      </c>
      <c r="J271" s="3">
        <v>1.7990000000000001E-9</v>
      </c>
      <c r="K271" s="3">
        <v>-1.0070000000000001E-11</v>
      </c>
      <c r="L271" s="3">
        <v>7.897E-12</v>
      </c>
      <c r="M271" s="3">
        <v>-8.2209999999999996E-9</v>
      </c>
      <c r="N271" s="3">
        <v>1.1129999999999999E-8</v>
      </c>
      <c r="O271" s="3">
        <v>-8.9250000000000005E-9</v>
      </c>
      <c r="P271" s="3">
        <v>1.0679999999999999E-8</v>
      </c>
      <c r="Q271" s="3">
        <v>4.3760000000000002E-10</v>
      </c>
      <c r="R271" s="3">
        <v>1.543E-8</v>
      </c>
      <c r="S271" s="13">
        <v>99999</v>
      </c>
      <c r="T271" s="13">
        <v>99999</v>
      </c>
      <c r="U271" s="13">
        <v>0.13252735964936171</v>
      </c>
    </row>
    <row r="272" spans="1:21" x14ac:dyDescent="0.2">
      <c r="A272">
        <v>173</v>
      </c>
      <c r="B272" s="12">
        <v>1</v>
      </c>
      <c r="C272" s="16">
        <v>34.5</v>
      </c>
      <c r="D272" s="16">
        <v>34.5</v>
      </c>
      <c r="E272" s="3">
        <v>16.959383337816</v>
      </c>
      <c r="F272" s="3">
        <v>10.211216982750001</v>
      </c>
      <c r="G272" s="3">
        <v>-1.2780000000000001E-9</v>
      </c>
      <c r="H272" s="3">
        <v>1.513E-9</v>
      </c>
      <c r="I272" s="3">
        <v>-1.1719999999999999E-9</v>
      </c>
      <c r="J272" s="3">
        <v>1.5900000000000001E-9</v>
      </c>
      <c r="K272" s="3">
        <v>-1.005E-11</v>
      </c>
      <c r="L272" s="3">
        <v>7.897E-12</v>
      </c>
      <c r="M272" s="3">
        <v>-8.8849999999999998E-9</v>
      </c>
      <c r="N272" s="3">
        <v>1.2029999999999999E-8</v>
      </c>
      <c r="O272" s="3">
        <v>-9.6479999999999998E-9</v>
      </c>
      <c r="P272" s="3">
        <v>1.1539999999999999E-8</v>
      </c>
      <c r="Q272" s="3">
        <v>4.7119999999999999E-10</v>
      </c>
      <c r="R272" s="3">
        <v>1.667E-8</v>
      </c>
      <c r="S272" s="13">
        <v>99999</v>
      </c>
      <c r="T272" s="13">
        <v>99999</v>
      </c>
      <c r="U272" s="13">
        <v>0.13246790693069704</v>
      </c>
    </row>
    <row r="273" spans="1:21" x14ac:dyDescent="0.2">
      <c r="A273">
        <v>174</v>
      </c>
      <c r="B273" s="12">
        <v>1</v>
      </c>
      <c r="C273" s="16">
        <v>35.21</v>
      </c>
      <c r="D273" s="16">
        <v>35.21</v>
      </c>
      <c r="E273" s="3">
        <v>16.951154709815999</v>
      </c>
      <c r="F273" s="3">
        <v>10.20618935775</v>
      </c>
      <c r="G273" s="3">
        <v>-1.068E-9</v>
      </c>
      <c r="H273" s="3">
        <v>1.2589999999999999E-9</v>
      </c>
      <c r="I273" s="3">
        <v>-9.7799999999999993E-10</v>
      </c>
      <c r="J273" s="3">
        <v>1.3269999999999999E-9</v>
      </c>
      <c r="K273" s="3">
        <v>-1.003E-11</v>
      </c>
      <c r="L273" s="3">
        <v>7.8980000000000005E-12</v>
      </c>
      <c r="M273" s="3">
        <v>-9.4709999999999992E-9</v>
      </c>
      <c r="N273" s="3">
        <v>1.2830000000000001E-8</v>
      </c>
      <c r="O273" s="3">
        <v>-1.029E-8</v>
      </c>
      <c r="P273" s="3">
        <v>1.2300000000000001E-8</v>
      </c>
      <c r="Q273" s="3">
        <v>5.0040000000000005E-10</v>
      </c>
      <c r="R273" s="3">
        <v>1.777E-8</v>
      </c>
      <c r="S273" s="13">
        <v>99999</v>
      </c>
      <c r="T273" s="13">
        <v>99999</v>
      </c>
      <c r="U273" s="13">
        <v>0.13240857384331067</v>
      </c>
    </row>
    <row r="274" spans="1:21" x14ac:dyDescent="0.2">
      <c r="A274">
        <v>175</v>
      </c>
      <c r="B274" s="12">
        <v>1</v>
      </c>
      <c r="C274" s="16">
        <v>35.909999999999997</v>
      </c>
      <c r="D274" s="16">
        <v>35.909999999999997</v>
      </c>
      <c r="E274" s="3">
        <v>16.942926081815997</v>
      </c>
      <c r="F274" s="3">
        <v>10.20116173275</v>
      </c>
      <c r="G274" s="3">
        <v>-8.6590000000000008E-10</v>
      </c>
      <c r="H274" s="3">
        <v>1.016E-9</v>
      </c>
      <c r="I274" s="3">
        <v>-7.9139999999999998E-10</v>
      </c>
      <c r="J274" s="3">
        <v>1.0750000000000001E-9</v>
      </c>
      <c r="K274" s="3">
        <v>-1.002E-11</v>
      </c>
      <c r="L274" s="3">
        <v>7.8989999999999994E-12</v>
      </c>
      <c r="M274" s="3">
        <v>-9.9599999999999995E-9</v>
      </c>
      <c r="N274" s="3">
        <v>1.349E-8</v>
      </c>
      <c r="O274" s="3">
        <v>-1.082E-8</v>
      </c>
      <c r="P274" s="3">
        <v>1.2930000000000001E-8</v>
      </c>
      <c r="Q274" s="3">
        <v>5.2409999999999998E-10</v>
      </c>
      <c r="R274" s="3">
        <v>1.8679999999999999E-8</v>
      </c>
      <c r="S274" s="13">
        <v>99999</v>
      </c>
      <c r="T274" s="13">
        <v>99999</v>
      </c>
      <c r="U274" s="13">
        <v>0.13234926402332101</v>
      </c>
    </row>
    <row r="275" spans="1:21" x14ac:dyDescent="0.2">
      <c r="A275">
        <v>176</v>
      </c>
      <c r="B275" s="12">
        <v>1</v>
      </c>
      <c r="C275" s="16">
        <v>36.619999999999997</v>
      </c>
      <c r="D275" s="16">
        <v>36.619999999999997</v>
      </c>
      <c r="E275" s="3">
        <v>16.934697453816</v>
      </c>
      <c r="F275" s="3">
        <v>10.19613410775</v>
      </c>
      <c r="G275" s="3">
        <v>-6.9390000000000005E-10</v>
      </c>
      <c r="H275" s="3">
        <v>8.0870000000000001E-10</v>
      </c>
      <c r="I275" s="3">
        <v>-6.327E-10</v>
      </c>
      <c r="J275" s="3">
        <v>8.6000000000000003E-10</v>
      </c>
      <c r="K275" s="3">
        <v>-1.0000000000000001E-11</v>
      </c>
      <c r="L275" s="3">
        <v>7.8989999999999994E-12</v>
      </c>
      <c r="M275" s="3">
        <v>-1.0360000000000001E-8</v>
      </c>
      <c r="N275" s="3">
        <v>1.4029999999999999E-8</v>
      </c>
      <c r="O275" s="3">
        <v>-1.1250000000000001E-8</v>
      </c>
      <c r="P275" s="3">
        <v>1.343E-8</v>
      </c>
      <c r="Q275" s="3">
        <v>5.4250000000000004E-10</v>
      </c>
      <c r="R275" s="3">
        <v>1.9420000000000001E-8</v>
      </c>
      <c r="S275" s="13">
        <v>99999</v>
      </c>
      <c r="T275" s="13">
        <v>99999</v>
      </c>
      <c r="U275" s="13">
        <v>0.13229007602330128</v>
      </c>
    </row>
    <row r="276" spans="1:21" x14ac:dyDescent="0.2">
      <c r="A276">
        <v>177</v>
      </c>
      <c r="B276" s="12">
        <v>1</v>
      </c>
      <c r="C276" s="16">
        <v>37.32</v>
      </c>
      <c r="D276" s="16">
        <v>37.32</v>
      </c>
      <c r="E276" s="3">
        <v>16.926468825815999</v>
      </c>
      <c r="F276" s="3">
        <v>10.191106482750001</v>
      </c>
      <c r="G276" s="3">
        <v>-5.1369999999999999E-10</v>
      </c>
      <c r="H276" s="3">
        <v>5.9149999999999997E-10</v>
      </c>
      <c r="I276" s="3">
        <v>-4.6649999999999999E-10</v>
      </c>
      <c r="J276" s="3">
        <v>6.3469999999999999E-10</v>
      </c>
      <c r="K276" s="3">
        <v>-9.9909999999999997E-12</v>
      </c>
      <c r="L276" s="3">
        <v>7.8999999999999999E-12</v>
      </c>
      <c r="M276" s="3">
        <v>-1.0669999999999999E-8</v>
      </c>
      <c r="N276" s="3">
        <v>1.446E-8</v>
      </c>
      <c r="O276" s="3">
        <v>-1.1600000000000001E-8</v>
      </c>
      <c r="P276" s="3">
        <v>1.384E-8</v>
      </c>
      <c r="Q276" s="3">
        <v>5.5660000000000002E-10</v>
      </c>
      <c r="R276" s="3">
        <v>2.0009999999999999E-8</v>
      </c>
      <c r="S276" s="13">
        <v>99999</v>
      </c>
      <c r="T276" s="13">
        <v>99999</v>
      </c>
      <c r="U276" s="13">
        <v>0.13223090948742799</v>
      </c>
    </row>
    <row r="277" spans="1:21" x14ac:dyDescent="0.2">
      <c r="A277">
        <v>178</v>
      </c>
      <c r="B277" s="12">
        <v>1</v>
      </c>
      <c r="C277" s="16">
        <v>37.44</v>
      </c>
      <c r="D277" s="16">
        <v>37.44</v>
      </c>
      <c r="E277" s="3">
        <v>16.925037044544002</v>
      </c>
      <c r="F277" s="3">
        <v>10.190231676000002</v>
      </c>
      <c r="G277" s="3">
        <v>-5.1429999999999997E-10</v>
      </c>
      <c r="H277" s="3">
        <v>5.9240000000000004E-10</v>
      </c>
      <c r="I277" s="3">
        <v>-4.6709999999999997E-10</v>
      </c>
      <c r="J277" s="3">
        <v>6.3550000000000003E-10</v>
      </c>
      <c r="K277" s="3">
        <v>-9.987000000000001E-12</v>
      </c>
      <c r="L277" s="3">
        <v>7.8999999999999999E-12</v>
      </c>
      <c r="M277" s="3">
        <v>-1.0710000000000001E-8</v>
      </c>
      <c r="N277" s="3">
        <v>1.4510000000000001E-8</v>
      </c>
      <c r="O277" s="3">
        <v>-1.164E-8</v>
      </c>
      <c r="P277" s="3">
        <v>1.3890000000000001E-8</v>
      </c>
      <c r="Q277" s="3">
        <v>5.582E-10</v>
      </c>
      <c r="R277" s="3">
        <v>2.009E-8</v>
      </c>
      <c r="S277" s="13">
        <v>99999</v>
      </c>
      <c r="T277" s="13">
        <v>99999</v>
      </c>
      <c r="U277" s="13">
        <v>0.1322206124480832</v>
      </c>
    </row>
    <row r="278" spans="1:21" x14ac:dyDescent="0.2">
      <c r="A278">
        <v>179</v>
      </c>
      <c r="B278" s="12">
        <v>1</v>
      </c>
      <c r="C278" s="16">
        <v>37.72</v>
      </c>
      <c r="D278" s="16">
        <v>37.72</v>
      </c>
      <c r="E278" s="3">
        <v>16.921745593343999</v>
      </c>
      <c r="F278" s="3">
        <v>10.188220626</v>
      </c>
      <c r="G278" s="3">
        <v>-5.1760000000000005E-10</v>
      </c>
      <c r="H278" s="3">
        <v>5.9719999999999996E-10</v>
      </c>
      <c r="I278" s="3">
        <v>-4.7019999999999999E-10</v>
      </c>
      <c r="J278" s="3">
        <v>6.4000000000000006E-10</v>
      </c>
      <c r="K278" s="3">
        <v>-9.9809999999999996E-12</v>
      </c>
      <c r="L278" s="3">
        <v>7.8999999999999999E-12</v>
      </c>
      <c r="M278" s="3">
        <v>-1.0810000000000001E-8</v>
      </c>
      <c r="N278" s="3">
        <v>1.4640000000000001E-8</v>
      </c>
      <c r="O278" s="3">
        <v>-1.1749999999999999E-8</v>
      </c>
      <c r="P278" s="3">
        <v>1.4009999999999999E-8</v>
      </c>
      <c r="Q278" s="3">
        <v>5.6200000000000002E-10</v>
      </c>
      <c r="R278" s="3">
        <v>2.0260000000000001E-8</v>
      </c>
      <c r="S278" s="13">
        <v>99999</v>
      </c>
      <c r="T278" s="13">
        <v>99999</v>
      </c>
      <c r="U278" s="13">
        <v>0.13219697068169586</v>
      </c>
    </row>
    <row r="279" spans="1:21" x14ac:dyDescent="0.2">
      <c r="A279">
        <v>180</v>
      </c>
      <c r="B279" s="12">
        <v>1</v>
      </c>
      <c r="C279" s="16">
        <v>38.01</v>
      </c>
      <c r="D279" s="16">
        <v>38.01</v>
      </c>
      <c r="E279" s="3">
        <v>16.918454142143997</v>
      </c>
      <c r="F279" s="3">
        <v>10.186209576</v>
      </c>
      <c r="G279" s="3">
        <v>-5.0829999999999999E-10</v>
      </c>
      <c r="H279" s="3">
        <v>5.8320000000000001E-10</v>
      </c>
      <c r="I279" s="3">
        <v>-4.6139999999999998E-10</v>
      </c>
      <c r="J279" s="3">
        <v>6.2710000000000004E-10</v>
      </c>
      <c r="K279" s="3">
        <v>-9.9779999999999997E-12</v>
      </c>
      <c r="L279" s="3">
        <v>7.8999999999999999E-12</v>
      </c>
      <c r="M279" s="3">
        <v>-1.09E-8</v>
      </c>
      <c r="N279" s="3">
        <v>1.4769999999999999E-8</v>
      </c>
      <c r="O279" s="3">
        <v>-1.185E-8</v>
      </c>
      <c r="P279" s="3">
        <v>1.413E-8</v>
      </c>
      <c r="Q279" s="3">
        <v>5.6589999999999998E-10</v>
      </c>
      <c r="R279" s="3">
        <v>2.044E-8</v>
      </c>
      <c r="S279" s="13">
        <v>99999</v>
      </c>
      <c r="T279" s="13">
        <v>99999</v>
      </c>
      <c r="U279" s="13">
        <v>0.1321733930245757</v>
      </c>
    </row>
    <row r="280" spans="1:21" x14ac:dyDescent="0.2">
      <c r="A280">
        <v>181</v>
      </c>
      <c r="B280" s="12">
        <v>1</v>
      </c>
      <c r="C280" s="16">
        <v>38.020000000000003</v>
      </c>
      <c r="D280" s="16">
        <v>38.020000000000003</v>
      </c>
      <c r="E280" s="3">
        <v>16.918240197816001</v>
      </c>
      <c r="F280" s="3">
        <v>10.186078857750001</v>
      </c>
      <c r="G280" s="3">
        <v>-3.1329999999999999E-10</v>
      </c>
      <c r="H280" s="3">
        <v>3.5110000000000001E-10</v>
      </c>
      <c r="I280" s="3">
        <v>-2.8430000000000004E-10</v>
      </c>
      <c r="J280" s="3">
        <v>3.846E-10</v>
      </c>
      <c r="K280" s="3">
        <v>-9.971000000000001E-12</v>
      </c>
      <c r="L280" s="3">
        <v>7.8999999999999999E-12</v>
      </c>
      <c r="M280" s="3">
        <v>-1.091E-8</v>
      </c>
      <c r="N280" s="3">
        <v>1.4780000000000001E-8</v>
      </c>
      <c r="O280" s="3">
        <v>-1.186E-8</v>
      </c>
      <c r="P280" s="3">
        <v>1.414E-8</v>
      </c>
      <c r="Q280" s="3">
        <v>5.6609999999999994E-10</v>
      </c>
      <c r="R280" s="3">
        <v>2.0449999999999998E-8</v>
      </c>
      <c r="S280" s="13">
        <v>99999</v>
      </c>
      <c r="T280" s="13">
        <v>99999</v>
      </c>
      <c r="U280" s="13">
        <v>0.13217181424144744</v>
      </c>
    </row>
    <row r="281" spans="1:21" x14ac:dyDescent="0.2">
      <c r="A281">
        <v>182</v>
      </c>
      <c r="B281" s="12">
        <v>1</v>
      </c>
      <c r="C281" s="16">
        <v>38.729999999999997</v>
      </c>
      <c r="D281" s="16">
        <v>38.729999999999997</v>
      </c>
      <c r="E281" s="3">
        <v>16.910011569816</v>
      </c>
      <c r="F281" s="3">
        <v>10.181051232750001</v>
      </c>
      <c r="G281" s="3">
        <v>-8.6160000000000003E-11</v>
      </c>
      <c r="H281" s="3">
        <v>8.0370000000000003E-11</v>
      </c>
      <c r="I281" s="3">
        <v>-8.0870000000000001E-11</v>
      </c>
      <c r="J281" s="3">
        <v>1.0879999999999999E-10</v>
      </c>
      <c r="K281" s="3">
        <v>-9.958000000000001E-12</v>
      </c>
      <c r="L281" s="3">
        <v>7.8999999999999999E-12</v>
      </c>
      <c r="M281" s="3">
        <v>-1.105E-8</v>
      </c>
      <c r="N281" s="3">
        <v>1.4970000000000001E-8</v>
      </c>
      <c r="O281" s="3">
        <v>-1.201E-8</v>
      </c>
      <c r="P281" s="3">
        <v>1.431E-8</v>
      </c>
      <c r="Q281" s="3">
        <v>5.7059999999999997E-10</v>
      </c>
      <c r="R281" s="3">
        <v>2.0710000000000001E-8</v>
      </c>
      <c r="S281" s="13">
        <v>99999</v>
      </c>
      <c r="T281" s="13">
        <v>99999</v>
      </c>
      <c r="U281" s="13">
        <v>0.13211284409803736</v>
      </c>
    </row>
    <row r="282" spans="1:21" x14ac:dyDescent="0.2">
      <c r="A282">
        <v>183</v>
      </c>
      <c r="B282" s="12">
        <v>1</v>
      </c>
      <c r="C282" s="16">
        <v>39.43</v>
      </c>
      <c r="D282" s="16">
        <v>39.43</v>
      </c>
      <c r="E282" s="3">
        <v>16.901782941815998</v>
      </c>
      <c r="F282" s="3">
        <v>10.17602360775</v>
      </c>
      <c r="G282" s="3">
        <v>-2.3389999999999999E-10</v>
      </c>
      <c r="H282" s="3">
        <v>1.7750000000000001E-10</v>
      </c>
      <c r="I282" s="3">
        <v>-2.2539999999999999E-10</v>
      </c>
      <c r="J282" s="3">
        <v>1.7009999999999999E-10</v>
      </c>
      <c r="K282" s="3">
        <v>-9.9450000000000009E-12</v>
      </c>
      <c r="L282" s="3">
        <v>7.8989999999999994E-12</v>
      </c>
      <c r="M282" s="3">
        <v>-1.1080000000000001E-8</v>
      </c>
      <c r="N282" s="3">
        <v>1.5020000000000001E-8</v>
      </c>
      <c r="O282" s="3">
        <v>-1.206E-8</v>
      </c>
      <c r="P282" s="3">
        <v>1.4349999999999999E-8</v>
      </c>
      <c r="Q282" s="3">
        <v>5.6929999999999999E-10</v>
      </c>
      <c r="R282" s="3">
        <v>2.077E-8</v>
      </c>
      <c r="S282" s="13">
        <v>99999</v>
      </c>
      <c r="T282" s="13">
        <v>99999</v>
      </c>
      <c r="U282" s="13">
        <v>0.13205389271430035</v>
      </c>
    </row>
    <row r="283" spans="1:21" x14ac:dyDescent="0.2">
      <c r="A283">
        <v>184</v>
      </c>
      <c r="B283" s="12">
        <v>1</v>
      </c>
      <c r="C283" s="16">
        <v>40.14</v>
      </c>
      <c r="D283" s="16">
        <v>40.14</v>
      </c>
      <c r="E283" s="3">
        <v>16.893554313816001</v>
      </c>
      <c r="F283" s="3">
        <v>10.17099598275</v>
      </c>
      <c r="G283" s="3">
        <v>-5.8199999999999995E-10</v>
      </c>
      <c r="H283" s="3">
        <v>4.6520000000000001E-10</v>
      </c>
      <c r="I283" s="3">
        <v>-5.862E-10</v>
      </c>
      <c r="J283" s="3">
        <v>4.3570000000000001E-10</v>
      </c>
      <c r="K283" s="3">
        <v>-9.9319999999999993E-12</v>
      </c>
      <c r="L283" s="3">
        <v>7.8980000000000005E-12</v>
      </c>
      <c r="M283" s="3">
        <v>-1.0999999999999999E-8</v>
      </c>
      <c r="N283" s="3">
        <v>1.4909999999999999E-8</v>
      </c>
      <c r="O283" s="3">
        <v>-1.1970000000000001E-8</v>
      </c>
      <c r="P283" s="3">
        <v>1.4229999999999999E-8</v>
      </c>
      <c r="Q283" s="3">
        <v>5.6169999999999993E-10</v>
      </c>
      <c r="R283" s="3">
        <v>2.0610000000000001E-8</v>
      </c>
      <c r="S283" s="13">
        <v>99999</v>
      </c>
      <c r="T283" s="13">
        <v>99999</v>
      </c>
      <c r="U283" s="13">
        <v>0.13199506863102992</v>
      </c>
    </row>
    <row r="284" spans="1:21" x14ac:dyDescent="0.2">
      <c r="A284">
        <v>185</v>
      </c>
      <c r="B284" s="12">
        <v>1</v>
      </c>
      <c r="C284" s="16">
        <v>40.840000000000003</v>
      </c>
      <c r="D284" s="16">
        <v>40.840000000000003</v>
      </c>
      <c r="E284" s="3">
        <v>16.885325685815996</v>
      </c>
      <c r="F284" s="3">
        <v>10.16596835775</v>
      </c>
      <c r="G284" s="3">
        <v>-9.6579999999999991E-10</v>
      </c>
      <c r="H284" s="3">
        <v>7.8510000000000001E-10</v>
      </c>
      <c r="I284" s="3">
        <v>-9.8589999999999987E-10</v>
      </c>
      <c r="J284" s="3">
        <v>7.3089999999999993E-10</v>
      </c>
      <c r="K284" s="3">
        <v>-9.9189999999999992E-12</v>
      </c>
      <c r="L284" s="3">
        <v>7.8950000000000006E-12</v>
      </c>
      <c r="M284" s="3">
        <v>-1.078E-8</v>
      </c>
      <c r="N284" s="3">
        <v>1.4620000000000001E-8</v>
      </c>
      <c r="O284" s="3">
        <v>-1.174E-8</v>
      </c>
      <c r="P284" s="3">
        <v>1.3940000000000001E-8</v>
      </c>
      <c r="Q284" s="3">
        <v>5.4680000000000001E-10</v>
      </c>
      <c r="R284" s="3">
        <v>2.0199999999999999E-8</v>
      </c>
      <c r="S284" s="13">
        <v>99999</v>
      </c>
      <c r="T284" s="13">
        <v>99999</v>
      </c>
      <c r="U284" s="13">
        <v>0.13193626149607185</v>
      </c>
    </row>
    <row r="285" spans="1:21" x14ac:dyDescent="0.2">
      <c r="A285">
        <v>186</v>
      </c>
      <c r="B285" s="12">
        <v>1</v>
      </c>
      <c r="C285" s="16">
        <v>41.54</v>
      </c>
      <c r="D285" s="16">
        <v>41.54</v>
      </c>
      <c r="E285" s="3">
        <v>16.877097057815998</v>
      </c>
      <c r="F285" s="3">
        <v>10.160940732750001</v>
      </c>
      <c r="G285" s="3">
        <v>-1.384E-9</v>
      </c>
      <c r="H285" s="3">
        <v>1.134E-9</v>
      </c>
      <c r="I285" s="3">
        <v>-1.421E-9</v>
      </c>
      <c r="J285" s="3">
        <v>1.0520000000000001E-9</v>
      </c>
      <c r="K285" s="3">
        <v>-9.9059999999999992E-12</v>
      </c>
      <c r="L285" s="3">
        <v>7.8929999999999996E-12</v>
      </c>
      <c r="M285" s="3">
        <v>-1.042E-8</v>
      </c>
      <c r="N285" s="3">
        <v>1.412E-8</v>
      </c>
      <c r="O285" s="3">
        <v>-1.1349999999999999E-8</v>
      </c>
      <c r="P285" s="3">
        <v>1.3459999999999999E-8</v>
      </c>
      <c r="Q285" s="3">
        <v>5.2399999999999995E-10</v>
      </c>
      <c r="R285" s="3">
        <v>1.9510000000000001E-8</v>
      </c>
      <c r="S285" s="13">
        <v>99999</v>
      </c>
      <c r="T285" s="13">
        <v>99999</v>
      </c>
      <c r="U285" s="13">
        <v>0.1318775261315889</v>
      </c>
    </row>
    <row r="286" spans="1:21" x14ac:dyDescent="0.2">
      <c r="A286">
        <v>187</v>
      </c>
      <c r="B286" s="12">
        <v>1</v>
      </c>
      <c r="C286" s="16">
        <v>42.25</v>
      </c>
      <c r="D286" s="16">
        <v>42.25</v>
      </c>
      <c r="E286" s="3">
        <v>16.868851972559998</v>
      </c>
      <c r="F286" s="3">
        <v>10.155903052499999</v>
      </c>
      <c r="G286" s="3">
        <v>-1.835E-9</v>
      </c>
      <c r="H286" s="3">
        <v>1.5110000000000001E-9</v>
      </c>
      <c r="I286" s="3">
        <v>-1.8909999999999998E-9</v>
      </c>
      <c r="J286" s="3">
        <v>1.399E-9</v>
      </c>
      <c r="K286" s="3">
        <v>-9.8929999999999991E-12</v>
      </c>
      <c r="L286" s="3">
        <v>7.8899999999999997E-12</v>
      </c>
      <c r="M286" s="3">
        <v>-9.8890000000000001E-9</v>
      </c>
      <c r="N286" s="3">
        <v>1.3410000000000001E-8</v>
      </c>
      <c r="O286" s="3">
        <v>-1.078E-8</v>
      </c>
      <c r="P286" s="3">
        <v>1.277E-8</v>
      </c>
      <c r="Q286" s="3">
        <v>4.9269999999999996E-10</v>
      </c>
      <c r="R286" s="3">
        <v>1.852E-8</v>
      </c>
      <c r="S286" s="13">
        <v>99999</v>
      </c>
      <c r="T286" s="13">
        <v>99999</v>
      </c>
      <c r="U286" s="13">
        <v>0.13181879588763268</v>
      </c>
    </row>
    <row r="287" spans="1:21" x14ac:dyDescent="0.2">
      <c r="A287">
        <v>188</v>
      </c>
      <c r="B287" s="12">
        <v>1</v>
      </c>
      <c r="C287" s="16">
        <v>42.95</v>
      </c>
      <c r="D287" s="16">
        <v>42.95</v>
      </c>
      <c r="E287" s="3">
        <v>16.860623344559997</v>
      </c>
      <c r="F287" s="3">
        <v>10.150875427500001</v>
      </c>
      <c r="G287" s="3">
        <v>-2.3170000000000002E-9</v>
      </c>
      <c r="H287" s="3">
        <v>1.9149999999999997E-9</v>
      </c>
      <c r="I287" s="3">
        <v>-2.3950000000000001E-9</v>
      </c>
      <c r="J287" s="3">
        <v>1.771E-9</v>
      </c>
      <c r="K287" s="3">
        <v>-9.8809999999999996E-12</v>
      </c>
      <c r="L287" s="3">
        <v>7.8869999999999998E-12</v>
      </c>
      <c r="M287" s="3">
        <v>-9.1899999999999999E-9</v>
      </c>
      <c r="N287" s="3">
        <v>1.2469999999999999E-8</v>
      </c>
      <c r="O287" s="3">
        <v>-1.0020000000000001E-8</v>
      </c>
      <c r="P287" s="3">
        <v>1.185E-8</v>
      </c>
      <c r="Q287" s="3">
        <v>4.5209999999999997E-10</v>
      </c>
      <c r="R287" s="3">
        <v>1.7200000000000002E-8</v>
      </c>
      <c r="S287" s="13">
        <v>99999</v>
      </c>
      <c r="T287" s="13">
        <v>99999</v>
      </c>
      <c r="U287" s="13">
        <v>0.13176020535573266</v>
      </c>
    </row>
    <row r="288" spans="1:21" x14ac:dyDescent="0.2">
      <c r="A288">
        <v>189</v>
      </c>
      <c r="B288" s="12">
        <v>1</v>
      </c>
      <c r="C288" s="16">
        <v>43.66</v>
      </c>
      <c r="D288" s="16">
        <v>43.66</v>
      </c>
      <c r="E288" s="3">
        <v>16.852394716559999</v>
      </c>
      <c r="F288" s="3">
        <v>10.145847802500001</v>
      </c>
      <c r="G288" s="3">
        <v>-2.8299999999999999E-9</v>
      </c>
      <c r="H288" s="3">
        <v>2.3439999999999998E-9</v>
      </c>
      <c r="I288" s="3">
        <v>-2.9289999999999997E-9</v>
      </c>
      <c r="J288" s="3">
        <v>2.1660000000000002E-9</v>
      </c>
      <c r="K288" s="3">
        <v>-9.8690000000000001E-12</v>
      </c>
      <c r="L288" s="3">
        <v>7.8869999999999998E-12</v>
      </c>
      <c r="M288" s="3">
        <v>-8.3040000000000011E-9</v>
      </c>
      <c r="N288" s="3">
        <v>1.1270000000000001E-8</v>
      </c>
      <c r="O288" s="3">
        <v>-9.0659999999999999E-9</v>
      </c>
      <c r="P288" s="3">
        <v>1.069E-8</v>
      </c>
      <c r="Q288" s="3">
        <v>4.018E-10</v>
      </c>
      <c r="R288" s="3">
        <v>1.5529999999999997E-8</v>
      </c>
      <c r="S288" s="13">
        <v>99999</v>
      </c>
      <c r="T288" s="13">
        <v>99999</v>
      </c>
      <c r="U288" s="13">
        <v>0.13170174762783854</v>
      </c>
    </row>
    <row r="289" spans="1:21" x14ac:dyDescent="0.2">
      <c r="A289">
        <v>190</v>
      </c>
      <c r="B289" s="12">
        <v>1</v>
      </c>
      <c r="C289" s="16">
        <v>44.36</v>
      </c>
      <c r="D289" s="16">
        <v>44.36</v>
      </c>
      <c r="E289" s="3">
        <v>16.844166088560002</v>
      </c>
      <c r="F289" s="3">
        <v>10.1408201775</v>
      </c>
      <c r="G289" s="3">
        <v>-3.371E-9</v>
      </c>
      <c r="H289" s="3">
        <v>2.7959999999999999E-9</v>
      </c>
      <c r="I289" s="3">
        <v>-3.4929999999999998E-9</v>
      </c>
      <c r="J289" s="3">
        <v>2.582E-9</v>
      </c>
      <c r="K289" s="3">
        <v>-9.8570000000000005E-12</v>
      </c>
      <c r="L289" s="3">
        <v>7.8860000000000009E-12</v>
      </c>
      <c r="M289" s="3">
        <v>-7.2209999999999998E-9</v>
      </c>
      <c r="N289" s="3">
        <v>9.8050000000000008E-9</v>
      </c>
      <c r="O289" s="3">
        <v>-7.8939999999999994E-9</v>
      </c>
      <c r="P289" s="3">
        <v>9.2769999999999993E-9</v>
      </c>
      <c r="Q289" s="3">
        <v>3.4100000000000001E-10</v>
      </c>
      <c r="R289" s="3">
        <v>1.35E-8</v>
      </c>
      <c r="S289" s="13">
        <v>99999</v>
      </c>
      <c r="T289" s="13">
        <v>99999</v>
      </c>
      <c r="U289" s="13">
        <v>0.13164330231219906</v>
      </c>
    </row>
    <row r="290" spans="1:21" x14ac:dyDescent="0.2">
      <c r="A290">
        <v>191</v>
      </c>
      <c r="B290" s="12">
        <v>1</v>
      </c>
      <c r="C290" s="16">
        <v>45.07</v>
      </c>
      <c r="D290" s="16">
        <v>45.07</v>
      </c>
      <c r="E290" s="3">
        <v>16.835937460559997</v>
      </c>
      <c r="F290" s="3">
        <v>10.1357925525</v>
      </c>
      <c r="G290" s="3">
        <v>-3.9369999999999999E-9</v>
      </c>
      <c r="H290" s="3">
        <v>3.2700000000000001E-9</v>
      </c>
      <c r="I290" s="3">
        <v>-4.0840000000000004E-9</v>
      </c>
      <c r="J290" s="3">
        <v>3.0180000000000001E-9</v>
      </c>
      <c r="K290" s="3">
        <v>-9.8449999999999993E-12</v>
      </c>
      <c r="L290" s="3">
        <v>7.8839999999999999E-12</v>
      </c>
      <c r="M290" s="3">
        <v>-5.93E-9</v>
      </c>
      <c r="N290" s="3">
        <v>8.0580000000000001E-9</v>
      </c>
      <c r="O290" s="3">
        <v>-6.4959999999999999E-9</v>
      </c>
      <c r="P290" s="3">
        <v>7.5909999999999999E-9</v>
      </c>
      <c r="Q290" s="3">
        <v>2.695E-10</v>
      </c>
      <c r="R290" s="3">
        <v>1.1070000000000001E-8</v>
      </c>
      <c r="S290" s="13">
        <v>99999</v>
      </c>
      <c r="T290" s="13">
        <v>99999</v>
      </c>
      <c r="U290" s="13">
        <v>0.13158499201127186</v>
      </c>
    </row>
    <row r="291" spans="1:21" x14ac:dyDescent="0.2">
      <c r="A291">
        <v>192</v>
      </c>
      <c r="B291" s="12">
        <v>1</v>
      </c>
      <c r="C291" s="16">
        <v>45.77</v>
      </c>
      <c r="D291" s="16">
        <v>45.77</v>
      </c>
      <c r="E291" s="3">
        <v>16.827708832559999</v>
      </c>
      <c r="F291" s="3">
        <v>10.1307649275</v>
      </c>
      <c r="G291" s="3">
        <v>-4.525E-9</v>
      </c>
      <c r="H291" s="3">
        <v>3.7629999999999995E-9</v>
      </c>
      <c r="I291" s="3">
        <v>-4.6980000000000001E-9</v>
      </c>
      <c r="J291" s="3">
        <v>3.472E-9</v>
      </c>
      <c r="K291" s="3">
        <v>-9.8329999999999998E-12</v>
      </c>
      <c r="L291" s="3">
        <v>7.8820000000000005E-12</v>
      </c>
      <c r="M291" s="3">
        <v>-4.4209999999999995E-9</v>
      </c>
      <c r="N291" s="3">
        <v>6.0159999999999999E-9</v>
      </c>
      <c r="O291" s="3">
        <v>-4.8609999999999997E-9</v>
      </c>
      <c r="P291" s="3">
        <v>5.6230000000000001E-9</v>
      </c>
      <c r="Q291" s="3">
        <v>1.87E-10</v>
      </c>
      <c r="R291" s="3">
        <v>8.2350000000000006E-9</v>
      </c>
      <c r="S291" s="13">
        <v>99999</v>
      </c>
      <c r="T291" s="13">
        <v>99999</v>
      </c>
      <c r="U291" s="13">
        <v>0.13152669229989772</v>
      </c>
    </row>
    <row r="292" spans="1:21" x14ac:dyDescent="0.2">
      <c r="A292">
        <v>193</v>
      </c>
      <c r="B292" s="12">
        <v>1</v>
      </c>
      <c r="C292" s="16">
        <v>46.47</v>
      </c>
      <c r="D292" s="16">
        <v>46.47</v>
      </c>
      <c r="E292" s="3">
        <v>16.819480204560001</v>
      </c>
      <c r="F292" s="3">
        <v>10.125737302500001</v>
      </c>
      <c r="G292" s="3">
        <v>-5.1320000000000001E-9</v>
      </c>
      <c r="H292" s="3">
        <v>4.2720000000000001E-9</v>
      </c>
      <c r="I292" s="3">
        <v>-5.3320000000000002E-9</v>
      </c>
      <c r="J292" s="3">
        <v>3.94E-9</v>
      </c>
      <c r="K292" s="3">
        <v>-9.8210000000000003E-12</v>
      </c>
      <c r="L292" s="3">
        <v>7.8780000000000002E-12</v>
      </c>
      <c r="M292" s="3">
        <v>-2.706E-9</v>
      </c>
      <c r="N292" s="3">
        <v>3.6669999999999998E-9</v>
      </c>
      <c r="O292" s="3">
        <v>-2.98E-9</v>
      </c>
      <c r="P292" s="3">
        <v>3.36E-9</v>
      </c>
      <c r="Q292" s="3">
        <v>9.4749999999999996E-11</v>
      </c>
      <c r="R292" s="3">
        <v>4.9740000000000004E-9</v>
      </c>
      <c r="S292" s="13">
        <v>99999</v>
      </c>
      <c r="T292" s="13">
        <v>99999</v>
      </c>
      <c r="U292" s="13">
        <v>0.13146846503428405</v>
      </c>
    </row>
    <row r="293" spans="1:21" x14ac:dyDescent="0.2">
      <c r="A293">
        <v>194</v>
      </c>
      <c r="B293" s="12">
        <v>1</v>
      </c>
      <c r="C293" s="16">
        <v>47.18</v>
      </c>
      <c r="D293" s="16">
        <v>47.18</v>
      </c>
      <c r="E293" s="3">
        <v>16.811251576559997</v>
      </c>
      <c r="F293" s="3">
        <v>10.120709677500001</v>
      </c>
      <c r="G293" s="3">
        <v>-5.7540000000000006E-9</v>
      </c>
      <c r="H293" s="3">
        <v>4.7929999999999995E-9</v>
      </c>
      <c r="I293" s="3">
        <v>-5.9819999999999994E-9</v>
      </c>
      <c r="J293" s="3">
        <v>4.4190000000000006E-9</v>
      </c>
      <c r="K293" s="3">
        <v>-9.8099999999999996E-12</v>
      </c>
      <c r="L293" s="3">
        <v>7.8749999999999987E-12</v>
      </c>
      <c r="M293" s="3">
        <v>-7.8840000000000009E-10</v>
      </c>
      <c r="N293" s="3">
        <v>1.057E-9</v>
      </c>
      <c r="O293" s="3">
        <v>-8.4380000000000002E-10</v>
      </c>
      <c r="P293" s="3">
        <v>8.0600000000000001E-10</v>
      </c>
      <c r="Q293" s="3">
        <v>2.1239999999999999E-11</v>
      </c>
      <c r="R293" s="3">
        <v>1.314E-9</v>
      </c>
      <c r="S293" s="13">
        <v>99999</v>
      </c>
      <c r="T293" s="13">
        <v>99999</v>
      </c>
      <c r="U293" s="13">
        <v>0.13141037609889411</v>
      </c>
    </row>
    <row r="294" spans="1:21" x14ac:dyDescent="0.2">
      <c r="A294">
        <v>195</v>
      </c>
      <c r="B294" s="12">
        <v>1</v>
      </c>
      <c r="C294" s="16">
        <v>47.88</v>
      </c>
      <c r="D294" s="16">
        <v>47.88</v>
      </c>
      <c r="E294" s="3">
        <v>16.803022948559999</v>
      </c>
      <c r="F294" s="3">
        <v>10.1156820525</v>
      </c>
      <c r="G294" s="3">
        <v>-6.3879999999999999E-9</v>
      </c>
      <c r="H294" s="3">
        <v>5.3249999999999997E-9</v>
      </c>
      <c r="I294" s="3">
        <v>-6.6440000000000006E-9</v>
      </c>
      <c r="J294" s="3">
        <v>4.908E-9</v>
      </c>
      <c r="K294" s="3">
        <v>-9.7990000000000006E-12</v>
      </c>
      <c r="L294" s="3">
        <v>7.8709999999999999E-12</v>
      </c>
      <c r="M294" s="3">
        <v>-2.0099999999999999E-9</v>
      </c>
      <c r="N294" s="3">
        <v>1.5179999999999999E-9</v>
      </c>
      <c r="O294" s="3">
        <v>-2.09E-9</v>
      </c>
      <c r="P294" s="3">
        <v>1.5859999999999999E-9</v>
      </c>
      <c r="Q294" s="3">
        <v>1.1350000000000001E-10</v>
      </c>
      <c r="R294" s="3">
        <v>2.9000000000000003E-9</v>
      </c>
      <c r="S294" s="13">
        <v>99999</v>
      </c>
      <c r="T294" s="13">
        <v>99999</v>
      </c>
      <c r="U294" s="13">
        <v>0.13135229501992682</v>
      </c>
    </row>
    <row r="295" spans="1:21" x14ac:dyDescent="0.2">
      <c r="A295">
        <v>196</v>
      </c>
      <c r="B295" s="12">
        <v>1</v>
      </c>
      <c r="C295" s="16">
        <v>48.59</v>
      </c>
      <c r="D295" s="16">
        <v>48.59</v>
      </c>
      <c r="E295" s="3">
        <v>16.794794320560001</v>
      </c>
      <c r="F295" s="3">
        <v>10.1106544275</v>
      </c>
      <c r="G295" s="3">
        <v>-7.0480000000000005E-9</v>
      </c>
      <c r="H295" s="3">
        <v>5.8790000000000001E-9</v>
      </c>
      <c r="I295" s="3">
        <v>-7.3339999999999997E-9</v>
      </c>
      <c r="J295" s="3">
        <v>5.4179999999999993E-9</v>
      </c>
      <c r="K295" s="3">
        <v>-9.787000000000001E-12</v>
      </c>
      <c r="L295" s="3">
        <v>7.868E-12</v>
      </c>
      <c r="M295" s="3">
        <v>-5.3119999999999999E-9</v>
      </c>
      <c r="N295" s="3">
        <v>3.9489999999999995E-9</v>
      </c>
      <c r="O295" s="3">
        <v>-5.2759999999999996E-9</v>
      </c>
      <c r="P295" s="3">
        <v>4.2189999999999996E-9</v>
      </c>
      <c r="Q295" s="3">
        <v>2.7410000000000002E-10</v>
      </c>
      <c r="R295" s="3">
        <v>7.4869999999999995E-9</v>
      </c>
      <c r="S295" s="13">
        <v>99999</v>
      </c>
      <c r="T295" s="13">
        <v>99999</v>
      </c>
      <c r="U295" s="13">
        <v>0.13129435449127866</v>
      </c>
    </row>
    <row r="296" spans="1:21" x14ac:dyDescent="0.2">
      <c r="A296">
        <v>197</v>
      </c>
      <c r="B296" s="12">
        <v>1</v>
      </c>
      <c r="C296" s="16">
        <v>49.29</v>
      </c>
      <c r="D296" s="16">
        <v>49.29</v>
      </c>
      <c r="E296" s="3">
        <v>16.78656569256</v>
      </c>
      <c r="F296" s="3">
        <v>10.1056268025</v>
      </c>
      <c r="G296" s="3">
        <v>-7.7680000000000005E-9</v>
      </c>
      <c r="H296" s="3">
        <v>6.4829999999999992E-9</v>
      </c>
      <c r="I296" s="3">
        <v>-8.0869999999999999E-9</v>
      </c>
      <c r="J296" s="3">
        <v>5.9729999999999999E-9</v>
      </c>
      <c r="K296" s="3">
        <v>-9.7749999999999998E-12</v>
      </c>
      <c r="L296" s="3">
        <v>7.8650000000000001E-12</v>
      </c>
      <c r="M296" s="3">
        <v>-8.9790000000000005E-9</v>
      </c>
      <c r="N296" s="3">
        <v>6.658E-9</v>
      </c>
      <c r="O296" s="3">
        <v>-8.800000000000001E-9</v>
      </c>
      <c r="P296" s="3">
        <v>7.1539999999999999E-9</v>
      </c>
      <c r="Q296" s="3">
        <v>4.195E-10</v>
      </c>
      <c r="R296" s="3">
        <v>1.2569999999999999E-8</v>
      </c>
      <c r="S296" s="13">
        <v>99999</v>
      </c>
      <c r="T296" s="13">
        <v>99999</v>
      </c>
      <c r="U296" s="13">
        <v>0.13123641998790328</v>
      </c>
    </row>
    <row r="297" spans="1:21" x14ac:dyDescent="0.2">
      <c r="A297">
        <v>198</v>
      </c>
      <c r="B297" s="12">
        <v>1</v>
      </c>
      <c r="C297" s="16">
        <v>49.99</v>
      </c>
      <c r="D297" s="16">
        <v>49.99</v>
      </c>
      <c r="E297" s="3">
        <v>16.778337064559999</v>
      </c>
      <c r="F297" s="3">
        <v>10.100599177499999</v>
      </c>
      <c r="G297" s="3">
        <v>-8.5340000000000005E-9</v>
      </c>
      <c r="H297" s="3">
        <v>7.1250000000000001E-9</v>
      </c>
      <c r="I297" s="3">
        <v>-8.8870000000000004E-9</v>
      </c>
      <c r="J297" s="3">
        <v>6.5640000000000001E-9</v>
      </c>
      <c r="K297" s="3">
        <v>-9.7619999999999998E-12</v>
      </c>
      <c r="L297" s="3">
        <v>7.8630000000000007E-12</v>
      </c>
      <c r="M297" s="3">
        <v>-1.302E-8</v>
      </c>
      <c r="N297" s="3">
        <v>9.6440000000000002E-9</v>
      </c>
      <c r="O297" s="3">
        <v>-1.268E-8</v>
      </c>
      <c r="P297" s="3">
        <v>1.04E-8</v>
      </c>
      <c r="Q297" s="3">
        <v>5.7960000000000005E-10</v>
      </c>
      <c r="R297" s="3">
        <v>1.8179999999999998E-8</v>
      </c>
      <c r="S297" s="13">
        <v>99999</v>
      </c>
      <c r="T297" s="13">
        <v>99999</v>
      </c>
      <c r="U297" s="13">
        <v>0.13117855841409479</v>
      </c>
    </row>
    <row r="298" spans="1:21" x14ac:dyDescent="0.2">
      <c r="A298">
        <v>199</v>
      </c>
      <c r="B298" s="12">
        <v>1</v>
      </c>
      <c r="C298" s="16">
        <v>50.7</v>
      </c>
      <c r="D298" s="16">
        <v>50.7</v>
      </c>
      <c r="E298" s="3">
        <v>16.770108436560001</v>
      </c>
      <c r="F298" s="3">
        <v>10.095571552500001</v>
      </c>
      <c r="G298" s="3">
        <v>-9.0520000000000006E-9</v>
      </c>
      <c r="H298" s="3">
        <v>7.5629999999999996E-9</v>
      </c>
      <c r="I298" s="3">
        <v>-9.4310000000000002E-9</v>
      </c>
      <c r="J298" s="3">
        <v>6.9649999999999998E-9</v>
      </c>
      <c r="K298" s="3">
        <v>-9.7489999999999998E-12</v>
      </c>
      <c r="L298" s="3">
        <v>7.8620000000000002E-12</v>
      </c>
      <c r="M298" s="3">
        <v>-1.747E-8</v>
      </c>
      <c r="N298" s="3">
        <v>1.2930000000000001E-8</v>
      </c>
      <c r="O298" s="3">
        <v>-1.695E-8</v>
      </c>
      <c r="P298" s="3">
        <v>1.3960000000000001E-8</v>
      </c>
      <c r="Q298" s="3">
        <v>7.5519999999999994E-10</v>
      </c>
      <c r="R298" s="3">
        <v>2.4340000000000002E-8</v>
      </c>
      <c r="S298" s="13">
        <v>99999</v>
      </c>
      <c r="T298" s="13">
        <v>99999</v>
      </c>
      <c r="U298" s="13">
        <v>0.13112084071951444</v>
      </c>
    </row>
    <row r="299" spans="1:21" x14ac:dyDescent="0.2">
      <c r="A299">
        <v>200</v>
      </c>
      <c r="B299" s="12">
        <v>1</v>
      </c>
      <c r="C299" s="16">
        <v>51.4</v>
      </c>
      <c r="D299" s="16">
        <v>51.4</v>
      </c>
      <c r="E299" s="3">
        <v>16.761863351303997</v>
      </c>
      <c r="F299" s="3">
        <v>10.090533872250001</v>
      </c>
      <c r="G299" s="3">
        <v>-8.5310000000000004E-9</v>
      </c>
      <c r="H299" s="3">
        <v>7.1339999999999996E-9</v>
      </c>
      <c r="I299" s="3">
        <v>-8.8940000000000001E-9</v>
      </c>
      <c r="J299" s="3">
        <v>6.5679999999999997E-9</v>
      </c>
      <c r="K299" s="3">
        <v>-9.7359999999999997E-12</v>
      </c>
      <c r="L299" s="3">
        <v>7.8609999999999997E-12</v>
      </c>
      <c r="M299" s="3">
        <v>-2.2180000000000001E-8</v>
      </c>
      <c r="N299" s="3">
        <v>1.6409999999999999E-8</v>
      </c>
      <c r="O299" s="3">
        <v>-2.1480000000000001E-8</v>
      </c>
      <c r="P299" s="3">
        <v>1.7739999999999999E-8</v>
      </c>
      <c r="Q299" s="3">
        <v>9.4099999999999996E-10</v>
      </c>
      <c r="R299" s="3">
        <v>3.0880000000000003E-8</v>
      </c>
      <c r="S299" s="13">
        <v>99999</v>
      </c>
      <c r="T299" s="13">
        <v>99999</v>
      </c>
      <c r="U299" s="13">
        <v>0.13106300088705222</v>
      </c>
    </row>
    <row r="300" spans="1:21" x14ac:dyDescent="0.2">
      <c r="A300">
        <v>201</v>
      </c>
      <c r="B300" s="12">
        <v>1</v>
      </c>
      <c r="C300" s="16">
        <v>52.11</v>
      </c>
      <c r="D300" s="16">
        <v>52.11</v>
      </c>
      <c r="E300" s="3">
        <v>16.753634723304</v>
      </c>
      <c r="F300" s="3">
        <v>10.085506247250001</v>
      </c>
      <c r="G300" s="3">
        <v>-6.5720000000000001E-9</v>
      </c>
      <c r="H300" s="3">
        <v>5.5089999999999999E-9</v>
      </c>
      <c r="I300" s="3">
        <v>-6.8639999999999995E-9</v>
      </c>
      <c r="J300" s="3">
        <v>5.067E-9</v>
      </c>
      <c r="K300" s="3">
        <v>-9.7219999999999992E-12</v>
      </c>
      <c r="L300" s="3">
        <v>7.8620000000000002E-12</v>
      </c>
      <c r="M300" s="3">
        <v>-2.6630000000000001E-8</v>
      </c>
      <c r="N300" s="3">
        <v>1.969E-8</v>
      </c>
      <c r="O300" s="3">
        <v>-2.5740000000000001E-8</v>
      </c>
      <c r="P300" s="3">
        <v>2.131E-8</v>
      </c>
      <c r="Q300" s="3">
        <v>1.115E-9</v>
      </c>
      <c r="R300" s="3">
        <v>3.7039999999999999E-8</v>
      </c>
      <c r="S300" s="13">
        <v>99999</v>
      </c>
      <c r="T300" s="13">
        <v>99999</v>
      </c>
      <c r="U300" s="13">
        <v>0.13100543258512068</v>
      </c>
    </row>
    <row r="301" spans="1:21" x14ac:dyDescent="0.2">
      <c r="A301">
        <v>202</v>
      </c>
      <c r="B301" s="12">
        <v>1</v>
      </c>
      <c r="C301" s="16">
        <v>52.81</v>
      </c>
      <c r="D301" s="16">
        <v>52.81</v>
      </c>
      <c r="E301" s="3">
        <v>16.745406095303998</v>
      </c>
      <c r="F301" s="3">
        <v>10.08047862225</v>
      </c>
      <c r="G301" s="3">
        <v>-7.3900000000000003E-9</v>
      </c>
      <c r="H301" s="3">
        <v>6.1940000000000007E-9</v>
      </c>
      <c r="I301" s="3">
        <v>-7.718E-9</v>
      </c>
      <c r="J301" s="3">
        <v>5.6969999999999997E-9</v>
      </c>
      <c r="K301" s="3">
        <v>-9.7080000000000002E-12</v>
      </c>
      <c r="L301" s="3">
        <v>7.8630000000000007E-12</v>
      </c>
      <c r="M301" s="3">
        <v>-3.0059999999999999E-8</v>
      </c>
      <c r="N301" s="3">
        <v>2.2229999999999998E-8</v>
      </c>
      <c r="O301" s="3">
        <v>-2.9030000000000003E-8</v>
      </c>
      <c r="P301" s="3">
        <v>2.4059999999999998E-8</v>
      </c>
      <c r="Q301" s="3">
        <v>1.2470000000000001E-9</v>
      </c>
      <c r="R301" s="3">
        <v>4.1789999999999999E-8</v>
      </c>
      <c r="S301" s="13">
        <v>99999</v>
      </c>
      <c r="T301" s="13">
        <v>99999</v>
      </c>
      <c r="U301" s="13">
        <v>0.13094786572374068</v>
      </c>
    </row>
    <row r="302" spans="1:21" x14ac:dyDescent="0.2">
      <c r="A302">
        <v>203</v>
      </c>
      <c r="B302" s="12">
        <v>1</v>
      </c>
      <c r="C302" s="16">
        <v>53.51</v>
      </c>
      <c r="D302" s="16">
        <v>53.51</v>
      </c>
      <c r="E302" s="3">
        <v>16.737177467303997</v>
      </c>
      <c r="F302" s="3">
        <v>10.07545099725</v>
      </c>
      <c r="G302" s="3">
        <v>-2.627E-8</v>
      </c>
      <c r="H302" s="3">
        <v>2.192E-8</v>
      </c>
      <c r="I302" s="3">
        <v>-2.7339999999999999E-8</v>
      </c>
      <c r="J302" s="3">
        <v>2.0199999999999999E-8</v>
      </c>
      <c r="K302" s="3">
        <v>-9.6980000000000001E-12</v>
      </c>
      <c r="L302" s="3">
        <v>7.8639999999999996E-12</v>
      </c>
      <c r="M302" s="3">
        <v>-3.3920000000000002E-8</v>
      </c>
      <c r="N302" s="3">
        <v>2.5069999999999999E-8</v>
      </c>
      <c r="O302" s="3">
        <v>-3.2719999999999998E-8</v>
      </c>
      <c r="P302" s="3">
        <v>2.716E-8</v>
      </c>
      <c r="Q302" s="3">
        <v>1.3960000000000001E-9</v>
      </c>
      <c r="R302" s="3">
        <v>4.7129999999999999E-8</v>
      </c>
      <c r="S302" s="13">
        <v>99999</v>
      </c>
      <c r="T302" s="13">
        <v>99999</v>
      </c>
      <c r="U302" s="13">
        <v>0.13089037227692532</v>
      </c>
    </row>
    <row r="303" spans="1:21" x14ac:dyDescent="0.2">
      <c r="A303">
        <v>204</v>
      </c>
      <c r="B303" s="12">
        <v>1</v>
      </c>
      <c r="C303" s="16">
        <v>53.91</v>
      </c>
      <c r="D303" s="16">
        <v>53.91</v>
      </c>
      <c r="E303" s="3">
        <v>16.73258589288</v>
      </c>
      <c r="F303" s="3">
        <v>10.0726455825</v>
      </c>
      <c r="G303" s="3">
        <v>-2.6279999999999998E-8</v>
      </c>
      <c r="H303" s="3">
        <v>2.192E-8</v>
      </c>
      <c r="I303" s="3">
        <v>-2.735E-8</v>
      </c>
      <c r="J303" s="3">
        <v>2.0199999999999999E-8</v>
      </c>
      <c r="K303" s="3">
        <v>-9.6909999999999998E-12</v>
      </c>
      <c r="L303" s="3">
        <v>7.8650000000000001E-12</v>
      </c>
      <c r="M303" s="3">
        <v>-4.1560000000000003E-8</v>
      </c>
      <c r="N303" s="3">
        <v>3.072E-8</v>
      </c>
      <c r="O303" s="3">
        <v>-4.0070000000000001E-8</v>
      </c>
      <c r="P303" s="3">
        <v>3.3279999999999998E-8</v>
      </c>
      <c r="Q303" s="3">
        <v>1.701E-9</v>
      </c>
      <c r="R303" s="3">
        <v>5.7729999999999995E-8</v>
      </c>
      <c r="S303" s="13">
        <v>99999</v>
      </c>
      <c r="T303" s="13">
        <v>99999</v>
      </c>
      <c r="U303" s="13">
        <v>0.13085839384371839</v>
      </c>
    </row>
    <row r="304" spans="1:21" x14ac:dyDescent="0.2">
      <c r="A304">
        <v>205</v>
      </c>
      <c r="B304" s="12">
        <v>1</v>
      </c>
      <c r="C304" s="16">
        <v>54.22</v>
      </c>
      <c r="D304" s="16">
        <v>54.22</v>
      </c>
      <c r="E304" s="3">
        <v>16.728948839304</v>
      </c>
      <c r="F304" s="3">
        <v>10.07042337225</v>
      </c>
      <c r="G304" s="3">
        <v>-8.0089999999999998E-8</v>
      </c>
      <c r="H304" s="3">
        <v>6.6730000000000003E-8</v>
      </c>
      <c r="I304" s="3">
        <v>-8.3259999999999992E-8</v>
      </c>
      <c r="J304" s="3">
        <v>6.1519999999999998E-8</v>
      </c>
      <c r="K304" s="3">
        <v>-9.6839999999999995E-12</v>
      </c>
      <c r="L304" s="3">
        <v>7.8660000000000006E-12</v>
      </c>
      <c r="M304" s="3">
        <v>-4.7589999999999998E-8</v>
      </c>
      <c r="N304" s="3">
        <v>3.5169999999999997E-8</v>
      </c>
      <c r="O304" s="3">
        <v>-4.5859999999999995E-8</v>
      </c>
      <c r="P304" s="3">
        <v>3.812E-8</v>
      </c>
      <c r="Q304" s="3">
        <v>1.9410000000000002E-9</v>
      </c>
      <c r="R304" s="3">
        <v>6.6090000000000005E-8</v>
      </c>
      <c r="S304" s="13">
        <v>99999</v>
      </c>
      <c r="T304" s="13">
        <v>99999</v>
      </c>
      <c r="U304" s="13">
        <v>0.13083302828214607</v>
      </c>
    </row>
    <row r="305" spans="1:21" x14ac:dyDescent="0.2">
      <c r="A305">
        <v>206</v>
      </c>
      <c r="B305" s="12">
        <v>1</v>
      </c>
      <c r="C305" s="16">
        <v>54.61</v>
      </c>
      <c r="D305" s="16">
        <v>54.61</v>
      </c>
      <c r="E305" s="3">
        <v>16.724357264879998</v>
      </c>
      <c r="F305" s="3">
        <v>10.0676179575</v>
      </c>
      <c r="G305" s="3">
        <v>-8.0099999999999996E-8</v>
      </c>
      <c r="H305" s="3">
        <v>6.6740000000000001E-8</v>
      </c>
      <c r="I305" s="3">
        <v>-8.3280000000000002E-8</v>
      </c>
      <c r="J305" s="3">
        <v>6.1529999999999996E-8</v>
      </c>
      <c r="K305" s="3">
        <v>-9.6780000000000014E-12</v>
      </c>
      <c r="L305" s="3">
        <v>7.8660000000000006E-12</v>
      </c>
      <c r="M305" s="3">
        <v>-7.0820000000000008E-8</v>
      </c>
      <c r="N305" s="3">
        <v>5.2339999999999998E-8</v>
      </c>
      <c r="O305" s="3">
        <v>-6.821E-8</v>
      </c>
      <c r="P305" s="3">
        <v>5.6729999999999999E-8</v>
      </c>
      <c r="Q305" s="3">
        <v>2.8739999999999998E-9</v>
      </c>
      <c r="R305" s="3">
        <v>9.8319999999999996E-8</v>
      </c>
      <c r="S305" s="13">
        <v>99999</v>
      </c>
      <c r="T305" s="13">
        <v>99999</v>
      </c>
      <c r="U305" s="13">
        <v>0.13080101592591822</v>
      </c>
    </row>
    <row r="306" spans="1:21" x14ac:dyDescent="0.2">
      <c r="A306">
        <v>207</v>
      </c>
      <c r="B306" s="12">
        <v>1</v>
      </c>
      <c r="C306" s="16">
        <v>54.78</v>
      </c>
      <c r="D306" s="16">
        <v>54.78</v>
      </c>
      <c r="E306" s="3">
        <v>16.722415308671998</v>
      </c>
      <c r="F306" s="3">
        <v>10.066431437999999</v>
      </c>
      <c r="G306" s="3">
        <v>-8.0099999999999996E-8</v>
      </c>
      <c r="H306" s="3">
        <v>6.6749999999999999E-8</v>
      </c>
      <c r="I306" s="3">
        <v>-8.329E-8</v>
      </c>
      <c r="J306" s="3">
        <v>6.1529999999999996E-8</v>
      </c>
      <c r="K306" s="3">
        <v>-9.6749999999999999E-12</v>
      </c>
      <c r="L306" s="3">
        <v>7.8669999999999995E-12</v>
      </c>
      <c r="M306" s="3">
        <v>-8.0669999999999994E-8</v>
      </c>
      <c r="N306" s="3">
        <v>5.9610000000000002E-8</v>
      </c>
      <c r="O306" s="3">
        <v>-7.7680000000000005E-8</v>
      </c>
      <c r="P306" s="3">
        <v>6.462999999999999E-8</v>
      </c>
      <c r="Q306" s="3">
        <v>3.2689999999999998E-9</v>
      </c>
      <c r="R306" s="3">
        <v>1.12E-7</v>
      </c>
      <c r="S306" s="13">
        <v>99999</v>
      </c>
      <c r="T306" s="13">
        <v>99999</v>
      </c>
      <c r="U306" s="13">
        <v>0.13078752231973001</v>
      </c>
    </row>
    <row r="307" spans="1:21" x14ac:dyDescent="0.2">
      <c r="A307">
        <v>208</v>
      </c>
      <c r="B307" s="12">
        <v>1</v>
      </c>
      <c r="C307" s="16">
        <v>54.89</v>
      </c>
      <c r="D307" s="16">
        <v>54.89</v>
      </c>
      <c r="E307" s="3">
        <v>16.721065813679999</v>
      </c>
      <c r="F307" s="3">
        <v>10.065606907500001</v>
      </c>
      <c r="G307" s="3">
        <v>-8.0110000000000007E-8</v>
      </c>
      <c r="H307" s="3">
        <v>6.6749999999999999E-8</v>
      </c>
      <c r="I307" s="3">
        <v>-8.329E-8</v>
      </c>
      <c r="J307" s="3">
        <v>6.1539999999999994E-8</v>
      </c>
      <c r="K307" s="3">
        <v>-9.6730000000000005E-12</v>
      </c>
      <c r="L307" s="3">
        <v>7.8669999999999995E-12</v>
      </c>
      <c r="M307" s="3">
        <v>-8.748E-8</v>
      </c>
      <c r="N307" s="3">
        <v>6.4640000000000002E-8</v>
      </c>
      <c r="O307" s="3">
        <v>-8.4229999999999994E-8</v>
      </c>
      <c r="P307" s="3">
        <v>7.0080000000000003E-8</v>
      </c>
      <c r="Q307" s="3">
        <v>3.542E-9</v>
      </c>
      <c r="R307" s="3">
        <v>1.2139999999999999E-7</v>
      </c>
      <c r="S307" s="13">
        <v>99999</v>
      </c>
      <c r="T307" s="13">
        <v>99999</v>
      </c>
      <c r="U307" s="13">
        <v>0.1589947112751556</v>
      </c>
    </row>
    <row r="308" spans="1:21" x14ac:dyDescent="0.2">
      <c r="A308">
        <v>209</v>
      </c>
      <c r="B308" s="12">
        <v>1</v>
      </c>
      <c r="C308" s="16">
        <v>54.95</v>
      </c>
      <c r="D308" s="16">
        <v>54.95</v>
      </c>
      <c r="E308" s="3">
        <v>16.720720211303998</v>
      </c>
      <c r="F308" s="3">
        <v>10.065395747249999</v>
      </c>
      <c r="G308" s="3">
        <v>-1.1369999999999999E-7</v>
      </c>
      <c r="H308" s="3">
        <v>9.4730000000000002E-8</v>
      </c>
      <c r="I308" s="3">
        <v>-1.182E-7</v>
      </c>
      <c r="J308" s="3">
        <v>8.7330000000000002E-8</v>
      </c>
      <c r="K308" s="3">
        <v>-9.6609999999999993E-12</v>
      </c>
      <c r="L308" s="3">
        <v>7.8689999999999989E-12</v>
      </c>
      <c r="M308" s="3">
        <v>-8.9229999999999999E-8</v>
      </c>
      <c r="N308" s="3">
        <v>6.5929999999999995E-8</v>
      </c>
      <c r="O308" s="3">
        <v>-8.5909999999999993E-8</v>
      </c>
      <c r="P308" s="3">
        <v>7.1480000000000002E-8</v>
      </c>
      <c r="Q308" s="3">
        <v>3.6129999999999998E-9</v>
      </c>
      <c r="R308" s="3">
        <v>1.2389999999999999E-7</v>
      </c>
      <c r="S308" s="13">
        <v>99999</v>
      </c>
      <c r="T308" s="13">
        <v>99999</v>
      </c>
      <c r="U308" s="13">
        <v>0.15899161094074843</v>
      </c>
    </row>
    <row r="309" spans="1:21" x14ac:dyDescent="0.2">
      <c r="A309">
        <v>210</v>
      </c>
      <c r="B309" s="12">
        <v>1</v>
      </c>
      <c r="C309" s="16">
        <v>55.46</v>
      </c>
      <c r="D309" s="16">
        <v>55.46</v>
      </c>
      <c r="E309" s="3">
        <v>16.71777436248</v>
      </c>
      <c r="F309" s="3">
        <v>10.063595857499999</v>
      </c>
      <c r="G309" s="3">
        <v>-1.1369999999999999E-7</v>
      </c>
      <c r="H309" s="3">
        <v>9.4730000000000002E-8</v>
      </c>
      <c r="I309" s="3">
        <v>-1.182E-7</v>
      </c>
      <c r="J309" s="3">
        <v>8.7320000000000004E-8</v>
      </c>
      <c r="K309" s="3">
        <v>-9.6449999999999994E-12</v>
      </c>
      <c r="L309" s="3">
        <v>7.8709999999999999E-12</v>
      </c>
      <c r="M309" s="3">
        <v>-1.104E-7</v>
      </c>
      <c r="N309" s="3">
        <v>8.1570000000000008E-8</v>
      </c>
      <c r="O309" s="3">
        <v>-1.0629999999999999E-7</v>
      </c>
      <c r="P309" s="3">
        <v>8.8440000000000003E-8</v>
      </c>
      <c r="Q309" s="3">
        <v>4.4610000000000002E-9</v>
      </c>
      <c r="R309" s="3">
        <v>1.5320000000000002E-7</v>
      </c>
      <c r="S309" s="13">
        <v>99999</v>
      </c>
      <c r="T309" s="13">
        <v>99999</v>
      </c>
      <c r="U309" s="13">
        <v>0.15896518667966536</v>
      </c>
    </row>
    <row r="310" spans="1:21" x14ac:dyDescent="0.2">
      <c r="A310">
        <v>211</v>
      </c>
      <c r="B310" s="12">
        <v>1</v>
      </c>
      <c r="C310" s="16">
        <v>55.72</v>
      </c>
      <c r="D310" s="16">
        <v>55.72</v>
      </c>
      <c r="E310" s="3">
        <v>16.716276752184001</v>
      </c>
      <c r="F310" s="3">
        <v>10.062680829749999</v>
      </c>
      <c r="G310" s="3">
        <v>-1.1369999999999999E-7</v>
      </c>
      <c r="H310" s="3">
        <v>9.4730000000000002E-8</v>
      </c>
      <c r="I310" s="3">
        <v>-1.182E-7</v>
      </c>
      <c r="J310" s="3">
        <v>8.7320000000000004E-8</v>
      </c>
      <c r="K310" s="3">
        <v>-9.6259999999999996E-12</v>
      </c>
      <c r="L310" s="3">
        <v>7.8730000000000009E-12</v>
      </c>
      <c r="M310" s="3">
        <v>-1.2109999999999999E-7</v>
      </c>
      <c r="N310" s="3">
        <v>8.9490000000000003E-8</v>
      </c>
      <c r="O310" s="3">
        <v>-1.166E-7</v>
      </c>
      <c r="P310" s="3">
        <v>9.7030000000000003E-8</v>
      </c>
      <c r="Q310" s="3">
        <v>4.8899999999999995E-9</v>
      </c>
      <c r="R310" s="3">
        <v>1.681E-7</v>
      </c>
      <c r="S310" s="13">
        <v>99999</v>
      </c>
      <c r="T310" s="13">
        <v>99999</v>
      </c>
      <c r="U310" s="13">
        <v>0.15895175789399171</v>
      </c>
    </row>
    <row r="311" spans="1:21" x14ac:dyDescent="0.2">
      <c r="A311">
        <v>212</v>
      </c>
      <c r="B311" s="12">
        <v>1</v>
      </c>
      <c r="C311" s="16">
        <v>56.37</v>
      </c>
      <c r="D311" s="16">
        <v>56.37</v>
      </c>
      <c r="E311" s="3">
        <v>16.712491583304001</v>
      </c>
      <c r="F311" s="3">
        <v>10.060368122250001</v>
      </c>
      <c r="G311" s="3">
        <v>-8.8980000000000007E-8</v>
      </c>
      <c r="H311" s="3">
        <v>7.4250000000000006E-8</v>
      </c>
      <c r="I311" s="3">
        <v>-9.2620000000000005E-8</v>
      </c>
      <c r="J311" s="3">
        <v>6.8410000000000002E-8</v>
      </c>
      <c r="K311" s="3">
        <v>-9.5860000000000006E-12</v>
      </c>
      <c r="L311" s="3">
        <v>7.8790000000000007E-12</v>
      </c>
      <c r="M311" s="3">
        <v>-1.483E-7</v>
      </c>
      <c r="N311" s="3">
        <v>1.0959999999999999E-7</v>
      </c>
      <c r="O311" s="3">
        <v>-1.427E-7</v>
      </c>
      <c r="P311" s="3">
        <v>1.1880000000000001E-7</v>
      </c>
      <c r="Q311" s="3">
        <v>5.9809999999999999E-9</v>
      </c>
      <c r="R311" s="3">
        <v>2.0589999999999998E-7</v>
      </c>
      <c r="S311" s="13">
        <v>99999</v>
      </c>
      <c r="T311" s="13">
        <v>99999</v>
      </c>
      <c r="U311" s="13">
        <v>0.15891781401374394</v>
      </c>
    </row>
    <row r="312" spans="1:21" x14ac:dyDescent="0.2">
      <c r="A312">
        <v>213</v>
      </c>
      <c r="B312" s="12">
        <v>1</v>
      </c>
      <c r="C312" s="16">
        <v>57.78</v>
      </c>
      <c r="D312" s="16">
        <v>57.78</v>
      </c>
      <c r="E312" s="3">
        <v>16.704262955303999</v>
      </c>
      <c r="F312" s="3">
        <v>10.05534049725</v>
      </c>
      <c r="G312" s="3">
        <v>-6.1550000000000005E-8</v>
      </c>
      <c r="H312" s="3">
        <v>5.1469999999999997E-8</v>
      </c>
      <c r="I312" s="3">
        <v>-6.4169999999999998E-8</v>
      </c>
      <c r="J312" s="3">
        <v>4.7379999999999998E-8</v>
      </c>
      <c r="K312" s="3">
        <v>-9.532000000000001E-12</v>
      </c>
      <c r="L312" s="3">
        <v>7.8869999999999998E-12</v>
      </c>
      <c r="M312" s="3">
        <v>-1.9459999999999998E-7</v>
      </c>
      <c r="N312" s="3">
        <v>1.438E-7</v>
      </c>
      <c r="O312" s="3">
        <v>-1.8720000000000001E-7</v>
      </c>
      <c r="P312" s="3">
        <v>1.5599999999999999E-7</v>
      </c>
      <c r="Q312" s="3">
        <v>7.8209999999999994E-9</v>
      </c>
      <c r="R312" s="3">
        <v>2.7010000000000002E-7</v>
      </c>
      <c r="S312" s="13">
        <v>99999</v>
      </c>
      <c r="T312" s="13">
        <v>99999</v>
      </c>
      <c r="U312" s="13">
        <v>0.15884406738846474</v>
      </c>
    </row>
    <row r="313" spans="1:21" x14ac:dyDescent="0.2">
      <c r="A313">
        <v>214</v>
      </c>
      <c r="B313" s="12">
        <v>1</v>
      </c>
      <c r="C313" s="16">
        <v>59.19</v>
      </c>
      <c r="D313" s="16">
        <v>59.19</v>
      </c>
      <c r="E313" s="3">
        <v>16.696034327303998</v>
      </c>
      <c r="F313" s="3">
        <v>10.05031287225</v>
      </c>
      <c r="G313" s="3">
        <v>-4.688E-8</v>
      </c>
      <c r="H313" s="3">
        <v>3.9300000000000001E-8</v>
      </c>
      <c r="I313" s="3">
        <v>-4.8959999999999996E-8</v>
      </c>
      <c r="J313" s="3">
        <v>3.6140000000000005E-8</v>
      </c>
      <c r="K313" s="3">
        <v>-9.4779999999999998E-12</v>
      </c>
      <c r="L313" s="3">
        <v>7.8950000000000006E-12</v>
      </c>
      <c r="M313" s="3">
        <v>-2.2670000000000001E-7</v>
      </c>
      <c r="N313" s="3">
        <v>1.6750000000000001E-7</v>
      </c>
      <c r="O313" s="3">
        <v>-2.1800000000000002E-7</v>
      </c>
      <c r="P313" s="3">
        <v>1.8169999999999999E-7</v>
      </c>
      <c r="Q313" s="3">
        <v>9.0780000000000003E-9</v>
      </c>
      <c r="R313" s="3">
        <v>3.1450000000000002E-7</v>
      </c>
      <c r="S313" s="13">
        <v>99999</v>
      </c>
      <c r="T313" s="13">
        <v>99999</v>
      </c>
      <c r="U313" s="13">
        <v>0.15877038940245003</v>
      </c>
    </row>
    <row r="314" spans="1:21" x14ac:dyDescent="0.2">
      <c r="A314">
        <v>215</v>
      </c>
      <c r="B314" s="12">
        <v>1</v>
      </c>
      <c r="C314" s="16">
        <v>60.6</v>
      </c>
      <c r="D314" s="16">
        <v>60.6</v>
      </c>
      <c r="E314" s="3">
        <v>16.687805699304</v>
      </c>
      <c r="F314" s="3">
        <v>10.04528524725</v>
      </c>
      <c r="G314" s="3">
        <v>-4.2849999999999997E-8</v>
      </c>
      <c r="H314" s="3">
        <v>3.5970000000000004E-8</v>
      </c>
      <c r="I314" s="3">
        <v>-4.4799999999999997E-8</v>
      </c>
      <c r="J314" s="3">
        <v>3.3069999999999998E-8</v>
      </c>
      <c r="K314" s="3">
        <v>-9.4240000000000002E-12</v>
      </c>
      <c r="L314" s="3">
        <v>7.9029999999999997E-12</v>
      </c>
      <c r="M314" s="3">
        <v>-2.5119999999999997E-7</v>
      </c>
      <c r="N314" s="3">
        <v>1.8560000000000002E-7</v>
      </c>
      <c r="O314" s="3">
        <v>-2.4140000000000003E-7</v>
      </c>
      <c r="P314" s="3">
        <v>2.0139999999999999E-7</v>
      </c>
      <c r="Q314" s="3">
        <v>1.0020000000000001E-8</v>
      </c>
      <c r="R314" s="3">
        <v>3.4840000000000002E-7</v>
      </c>
      <c r="S314" s="13">
        <v>99999</v>
      </c>
      <c r="T314" s="13">
        <v>99999</v>
      </c>
      <c r="U314" s="13">
        <v>0.15869678015143082</v>
      </c>
    </row>
    <row r="315" spans="1:21" x14ac:dyDescent="0.2">
      <c r="A315">
        <v>216</v>
      </c>
      <c r="B315" s="12">
        <v>1</v>
      </c>
      <c r="C315" s="16">
        <v>62.02</v>
      </c>
      <c r="D315" s="16">
        <v>62.02</v>
      </c>
      <c r="E315" s="3">
        <v>16.679577071303999</v>
      </c>
      <c r="F315" s="3">
        <v>10.04025762225</v>
      </c>
      <c r="G315" s="3">
        <v>-4.36E-8</v>
      </c>
      <c r="H315" s="3">
        <v>3.6640000000000003E-8</v>
      </c>
      <c r="I315" s="3">
        <v>-4.5620000000000001E-8</v>
      </c>
      <c r="J315" s="3">
        <v>3.3670000000000003E-8</v>
      </c>
      <c r="K315" s="3">
        <v>-9.3690000000000002E-12</v>
      </c>
      <c r="L315" s="3">
        <v>7.9119999999999994E-12</v>
      </c>
      <c r="M315" s="3">
        <v>-2.7359999999999996E-7</v>
      </c>
      <c r="N315" s="3">
        <v>2.0210000000000002E-7</v>
      </c>
      <c r="O315" s="3">
        <v>-2.629E-7</v>
      </c>
      <c r="P315" s="3">
        <v>2.1929999999999999E-7</v>
      </c>
      <c r="Q315" s="3">
        <v>1.0879999999999999E-8</v>
      </c>
      <c r="R315" s="3">
        <v>3.7940000000000002E-7</v>
      </c>
      <c r="S315" s="13">
        <v>99999</v>
      </c>
      <c r="T315" s="13">
        <v>99999</v>
      </c>
      <c r="U315" s="13">
        <v>0.15862326036463381</v>
      </c>
    </row>
    <row r="316" spans="1:21" x14ac:dyDescent="0.2">
      <c r="A316">
        <v>217</v>
      </c>
      <c r="B316" s="12">
        <v>1</v>
      </c>
      <c r="C316" s="16">
        <v>63.43</v>
      </c>
      <c r="D316" s="16">
        <v>63.43</v>
      </c>
      <c r="E316" s="3">
        <v>16.671331986047999</v>
      </c>
      <c r="F316" s="3">
        <v>10.035219941999999</v>
      </c>
      <c r="G316" s="3">
        <v>-4.4899999999999998E-8</v>
      </c>
      <c r="H316" s="3">
        <v>3.7759999999999995E-8</v>
      </c>
      <c r="I316" s="3">
        <v>-4.7010000000000002E-8</v>
      </c>
      <c r="J316" s="3">
        <v>3.4690000000000002E-8</v>
      </c>
      <c r="K316" s="3">
        <v>-9.314999999999999E-12</v>
      </c>
      <c r="L316" s="3">
        <v>7.9200000000000002E-12</v>
      </c>
      <c r="M316" s="3">
        <v>-2.9639999999999998E-7</v>
      </c>
      <c r="N316" s="3">
        <v>2.1890000000000001E-7</v>
      </c>
      <c r="O316" s="3">
        <v>-2.847E-7</v>
      </c>
      <c r="P316" s="3">
        <v>2.3770000000000002E-7</v>
      </c>
      <c r="Q316" s="3">
        <v>1.1749999999999999E-8</v>
      </c>
      <c r="R316" s="3">
        <v>4.1100000000000001E-7</v>
      </c>
      <c r="S316" s="13">
        <v>99999</v>
      </c>
      <c r="T316" s="13">
        <v>99999</v>
      </c>
      <c r="U316" s="13">
        <v>0.15854963652277318</v>
      </c>
    </row>
    <row r="317" spans="1:21" x14ac:dyDescent="0.2">
      <c r="A317">
        <v>218</v>
      </c>
      <c r="B317" s="12">
        <v>1</v>
      </c>
      <c r="C317" s="16">
        <v>64.84</v>
      </c>
      <c r="D317" s="16">
        <v>64.84</v>
      </c>
      <c r="E317" s="3">
        <v>16.663103358047998</v>
      </c>
      <c r="F317" s="3">
        <v>10.030192316999999</v>
      </c>
      <c r="G317" s="3">
        <v>-4.51E-8</v>
      </c>
      <c r="H317" s="3">
        <v>3.7949999999999999E-8</v>
      </c>
      <c r="I317" s="3">
        <v>-4.7240000000000005E-8</v>
      </c>
      <c r="J317" s="3">
        <v>3.4860000000000002E-8</v>
      </c>
      <c r="K317" s="3">
        <v>-9.2600000000000005E-12</v>
      </c>
      <c r="L317" s="3">
        <v>7.9289999999999998E-12</v>
      </c>
      <c r="M317" s="3">
        <v>-3.199E-7</v>
      </c>
      <c r="N317" s="3">
        <v>2.3629999999999999E-7</v>
      </c>
      <c r="O317" s="3">
        <v>-3.0709999999999999E-7</v>
      </c>
      <c r="P317" s="3">
        <v>2.565E-7</v>
      </c>
      <c r="Q317" s="3">
        <v>1.263E-8</v>
      </c>
      <c r="R317" s="3">
        <v>4.4349999999999997E-7</v>
      </c>
      <c r="S317" s="13">
        <v>99999</v>
      </c>
      <c r="T317" s="13">
        <v>99999</v>
      </c>
      <c r="U317" s="13">
        <v>0.15847623453400581</v>
      </c>
    </row>
    <row r="318" spans="1:21" x14ac:dyDescent="0.2">
      <c r="A318">
        <v>219</v>
      </c>
      <c r="B318" s="12">
        <v>1</v>
      </c>
      <c r="C318" s="16">
        <v>66.25</v>
      </c>
      <c r="D318" s="16">
        <v>66.25</v>
      </c>
      <c r="E318" s="3">
        <v>16.654874730048</v>
      </c>
      <c r="F318" s="3">
        <v>10.025164692000001</v>
      </c>
      <c r="G318" s="3">
        <v>-4.5179999999999998E-8</v>
      </c>
      <c r="H318" s="3">
        <v>3.7949999999999999E-8</v>
      </c>
      <c r="I318" s="3">
        <v>-4.7260000000000001E-8</v>
      </c>
      <c r="J318" s="3">
        <v>3.4879999999999999E-8</v>
      </c>
      <c r="K318" s="3">
        <v>-9.2050000000000005E-12</v>
      </c>
      <c r="L318" s="3">
        <v>7.9390000000000016E-12</v>
      </c>
      <c r="M318" s="3">
        <v>-3.4350000000000003E-7</v>
      </c>
      <c r="N318" s="3">
        <v>2.537E-7</v>
      </c>
      <c r="O318" s="3">
        <v>-3.2969999999999999E-7</v>
      </c>
      <c r="P318" s="3">
        <v>2.755E-7</v>
      </c>
      <c r="Q318" s="3">
        <v>1.352E-8</v>
      </c>
      <c r="R318" s="3">
        <v>4.7610000000000003E-7</v>
      </c>
      <c r="S318" s="13">
        <v>99999</v>
      </c>
      <c r="T318" s="13">
        <v>99999</v>
      </c>
      <c r="U318" s="13">
        <v>0.15840290166418877</v>
      </c>
    </row>
    <row r="319" spans="1:21" x14ac:dyDescent="0.2">
      <c r="A319">
        <v>220</v>
      </c>
      <c r="B319" s="12">
        <v>1</v>
      </c>
      <c r="C319" s="16">
        <v>67.67</v>
      </c>
      <c r="D319" s="16">
        <v>67.67</v>
      </c>
      <c r="E319" s="3">
        <v>16.646646102047999</v>
      </c>
      <c r="F319" s="3">
        <v>10.020137067</v>
      </c>
      <c r="G319" s="3">
        <v>-4.9200000000000004E-8</v>
      </c>
      <c r="H319" s="3">
        <v>4.1029999999999997E-8</v>
      </c>
      <c r="I319" s="3">
        <v>-5.1170000000000001E-8</v>
      </c>
      <c r="J319" s="3">
        <v>3.7809999999999999E-8</v>
      </c>
      <c r="K319" s="3">
        <v>-9.1499999999999988E-12</v>
      </c>
      <c r="L319" s="3">
        <v>7.9479999999999997E-12</v>
      </c>
      <c r="M319" s="3">
        <v>-3.6720000000000001E-7</v>
      </c>
      <c r="N319" s="3">
        <v>2.7109999999999999E-7</v>
      </c>
      <c r="O319" s="3">
        <v>-3.523E-7</v>
      </c>
      <c r="P319" s="3">
        <v>2.945E-7</v>
      </c>
      <c r="Q319" s="3">
        <v>1.4430000000000001E-8</v>
      </c>
      <c r="R319" s="3">
        <v>5.088E-7</v>
      </c>
      <c r="S319" s="13">
        <v>99999</v>
      </c>
      <c r="T319" s="13">
        <v>99999</v>
      </c>
      <c r="U319" s="13">
        <v>0.15832966056438152</v>
      </c>
    </row>
    <row r="320" spans="1:21" x14ac:dyDescent="0.2">
      <c r="A320">
        <v>221</v>
      </c>
      <c r="B320" s="12">
        <v>1</v>
      </c>
      <c r="C320" s="16">
        <v>69.08</v>
      </c>
      <c r="D320" s="16">
        <v>69.08</v>
      </c>
      <c r="E320" s="3">
        <v>16.638417474048001</v>
      </c>
      <c r="F320" s="3">
        <v>10.015109442</v>
      </c>
      <c r="G320" s="3">
        <v>-6.4350000000000004E-8</v>
      </c>
      <c r="H320" s="3">
        <v>5.3140000000000005E-8</v>
      </c>
      <c r="I320" s="3">
        <v>-6.6409999999999997E-8</v>
      </c>
      <c r="J320" s="3">
        <v>4.9140000000000002E-8</v>
      </c>
      <c r="K320" s="3">
        <v>-9.0959999999999992E-12</v>
      </c>
      <c r="L320" s="3">
        <v>7.9579999999999998E-12</v>
      </c>
      <c r="M320" s="3">
        <v>-3.9280000000000002E-7</v>
      </c>
      <c r="N320" s="3">
        <v>2.8999999999999998E-7</v>
      </c>
      <c r="O320" s="3">
        <v>-3.7689999999999999E-7</v>
      </c>
      <c r="P320" s="3">
        <v>3.15E-7</v>
      </c>
      <c r="Q320" s="3">
        <v>1.5449999999999999E-8</v>
      </c>
      <c r="R320" s="3">
        <v>5.4429999999999992E-7</v>
      </c>
      <c r="S320" s="13">
        <v>99999</v>
      </c>
      <c r="T320" s="13">
        <v>99999</v>
      </c>
      <c r="U320" s="13">
        <v>0.15825646670137425</v>
      </c>
    </row>
    <row r="321" spans="1:21" x14ac:dyDescent="0.2">
      <c r="A321">
        <v>222</v>
      </c>
      <c r="B321" s="12">
        <v>1</v>
      </c>
      <c r="C321" s="16">
        <v>70.489999999999995</v>
      </c>
      <c r="D321" s="16">
        <v>70.489999999999995</v>
      </c>
      <c r="E321" s="3">
        <v>16.630188846048</v>
      </c>
      <c r="F321" s="3">
        <v>10.010081817</v>
      </c>
      <c r="G321" s="3">
        <v>-9.7070000000000008E-8</v>
      </c>
      <c r="H321" s="3">
        <v>7.9900000000000007E-8</v>
      </c>
      <c r="I321" s="3">
        <v>-9.9920000000000011E-8</v>
      </c>
      <c r="J321" s="3">
        <v>7.3969999999999993E-8</v>
      </c>
      <c r="K321" s="3">
        <v>-9.0489999999999999E-12</v>
      </c>
      <c r="L321" s="3">
        <v>7.968E-12</v>
      </c>
      <c r="M321" s="3">
        <v>-4.2599999999999998E-7</v>
      </c>
      <c r="N321" s="3">
        <v>3.1460000000000002E-7</v>
      </c>
      <c r="O321" s="3">
        <v>-4.0900000000000002E-7</v>
      </c>
      <c r="P321" s="3">
        <v>3.4159999999999999E-7</v>
      </c>
      <c r="Q321" s="3">
        <v>1.686E-8</v>
      </c>
      <c r="R321" s="3">
        <v>5.9060000000000001E-7</v>
      </c>
      <c r="S321" s="13">
        <v>99999</v>
      </c>
      <c r="T321" s="13">
        <v>99999</v>
      </c>
      <c r="U321" s="13">
        <v>0.15818334224634134</v>
      </c>
    </row>
    <row r="322" spans="1:21" x14ac:dyDescent="0.2">
      <c r="A322">
        <v>223</v>
      </c>
      <c r="B322" s="12">
        <v>1</v>
      </c>
      <c r="C322" s="16">
        <v>71.91</v>
      </c>
      <c r="D322" s="16">
        <v>71.91</v>
      </c>
      <c r="E322" s="3">
        <v>16.621960218047999</v>
      </c>
      <c r="F322" s="3">
        <v>10.005054191999999</v>
      </c>
      <c r="G322" s="3">
        <v>-1.3970000000000001E-7</v>
      </c>
      <c r="H322" s="3">
        <v>1.159E-7</v>
      </c>
      <c r="I322" s="3">
        <v>-1.4469999999999999E-7</v>
      </c>
      <c r="J322" s="3">
        <v>1.0700000000000001E-7</v>
      </c>
      <c r="K322" s="3">
        <v>-9.0029999999999995E-12</v>
      </c>
      <c r="L322" s="3">
        <v>7.9780000000000001E-12</v>
      </c>
      <c r="M322" s="3">
        <v>-4.7590000000000002E-7</v>
      </c>
      <c r="N322" s="3">
        <v>3.516E-7</v>
      </c>
      <c r="O322" s="3">
        <v>-4.5760000000000002E-7</v>
      </c>
      <c r="P322" s="3">
        <v>3.8150000000000002E-7</v>
      </c>
      <c r="Q322" s="3">
        <v>1.9029999999999999E-8</v>
      </c>
      <c r="R322" s="3">
        <v>6.6020000000000005E-7</v>
      </c>
      <c r="S322" s="13">
        <v>99999</v>
      </c>
      <c r="T322" s="13">
        <v>99999</v>
      </c>
      <c r="U322" s="13">
        <v>0.15811031129744627</v>
      </c>
    </row>
    <row r="323" spans="1:21" x14ac:dyDescent="0.2">
      <c r="A323">
        <v>224</v>
      </c>
      <c r="B323" s="12">
        <v>1</v>
      </c>
      <c r="C323" s="16">
        <v>73.319999999999993</v>
      </c>
      <c r="D323" s="16">
        <v>73.319999999999993</v>
      </c>
      <c r="E323" s="3">
        <v>16.613731590047998</v>
      </c>
      <c r="F323" s="3">
        <v>10.000026566999999</v>
      </c>
      <c r="G323" s="3">
        <v>-1.441E-7</v>
      </c>
      <c r="H323" s="3">
        <v>1.23E-7</v>
      </c>
      <c r="I323" s="3">
        <v>-1.5279999999999999E-7</v>
      </c>
      <c r="J323" s="3">
        <v>1.1249999999999999E-7</v>
      </c>
      <c r="K323" s="3">
        <v>-8.9590000000000001E-12</v>
      </c>
      <c r="L323" s="3">
        <v>7.9870000000000014E-12</v>
      </c>
      <c r="M323" s="3">
        <v>-5.4830000000000001E-7</v>
      </c>
      <c r="N323" s="3">
        <v>4.0509999999999999E-7</v>
      </c>
      <c r="O323" s="3">
        <v>-5.2740000000000002E-7</v>
      </c>
      <c r="P323" s="3">
        <v>4.3949999999999998E-7</v>
      </c>
      <c r="Q323" s="3">
        <v>2.2019999999999998E-8</v>
      </c>
      <c r="R323" s="3">
        <v>7.6079999999999998E-7</v>
      </c>
      <c r="S323" s="13">
        <v>99999</v>
      </c>
      <c r="T323" s="13">
        <v>99999</v>
      </c>
      <c r="U323" s="13">
        <v>0.15803732643000026</v>
      </c>
    </row>
    <row r="324" spans="1:21" x14ac:dyDescent="0.2">
      <c r="A324">
        <v>225</v>
      </c>
      <c r="B324" s="12">
        <v>1</v>
      </c>
      <c r="C324" s="16">
        <v>74.73</v>
      </c>
      <c r="D324" s="16">
        <v>74.73</v>
      </c>
      <c r="E324" s="3">
        <v>16.605502962048</v>
      </c>
      <c r="F324" s="3">
        <v>9.9949989420000005</v>
      </c>
      <c r="G324" s="3">
        <v>-1.2459999999999999E-8</v>
      </c>
      <c r="H324" s="3">
        <v>1.324E-8</v>
      </c>
      <c r="I324" s="3">
        <v>-2.5270000000000001E-8</v>
      </c>
      <c r="J324" s="3">
        <v>1.6730000000000002E-8</v>
      </c>
      <c r="K324" s="3">
        <v>-8.9209999999999988E-12</v>
      </c>
      <c r="L324" s="3">
        <v>7.9919999999999991E-12</v>
      </c>
      <c r="M324" s="3">
        <v>-6.2469999999999992E-7</v>
      </c>
      <c r="N324" s="3">
        <v>4.6129999999999998E-7</v>
      </c>
      <c r="O324" s="3">
        <v>-5.9950000000000004E-7</v>
      </c>
      <c r="P324" s="3">
        <v>5.0100000000000005E-7</v>
      </c>
      <c r="Q324" s="3">
        <v>2.459E-8</v>
      </c>
      <c r="R324" s="3">
        <v>8.6580000000000004E-7</v>
      </c>
      <c r="S324" s="13">
        <v>99999</v>
      </c>
      <c r="T324" s="13">
        <v>99999</v>
      </c>
      <c r="U324" s="13">
        <v>0.15796441126005992</v>
      </c>
    </row>
    <row r="325" spans="1:21" x14ac:dyDescent="0.2">
      <c r="A325">
        <v>226</v>
      </c>
      <c r="B325" s="12">
        <v>1</v>
      </c>
      <c r="C325" s="16">
        <v>76.14</v>
      </c>
      <c r="D325" s="16">
        <v>76.14</v>
      </c>
      <c r="E325" s="3">
        <v>16.597274334047999</v>
      </c>
      <c r="F325" s="3">
        <v>9.9899713170000002</v>
      </c>
      <c r="G325" s="3">
        <v>-1.2510000000000001E-8</v>
      </c>
      <c r="H325" s="3">
        <v>1.337E-8</v>
      </c>
      <c r="I325" s="3">
        <v>-2.5399999999999999E-8</v>
      </c>
      <c r="J325" s="3">
        <v>1.6829999999999999E-8</v>
      </c>
      <c r="K325" s="3">
        <v>-8.8850000000000002E-12</v>
      </c>
      <c r="L325" s="3">
        <v>7.9959999999999995E-12</v>
      </c>
      <c r="M325" s="3">
        <v>-6.314E-7</v>
      </c>
      <c r="N325" s="3">
        <v>4.6539999999999997E-7</v>
      </c>
      <c r="O325" s="3">
        <v>-6.0009999999999998E-7</v>
      </c>
      <c r="P325" s="3">
        <v>5.0760000000000002E-7</v>
      </c>
      <c r="Q325" s="3">
        <v>2.2860000000000001E-8</v>
      </c>
      <c r="R325" s="3">
        <v>8.7110000000000001E-7</v>
      </c>
      <c r="S325" s="13">
        <v>99999</v>
      </c>
      <c r="T325" s="13">
        <v>99999</v>
      </c>
      <c r="U325" s="13">
        <v>0.15789156588203793</v>
      </c>
    </row>
    <row r="326" spans="1:21" x14ac:dyDescent="0.2">
      <c r="A326">
        <v>227</v>
      </c>
      <c r="B326" s="12">
        <v>1</v>
      </c>
      <c r="C326" s="16">
        <v>77.56</v>
      </c>
      <c r="D326" s="16">
        <v>77.56</v>
      </c>
      <c r="E326" s="3">
        <v>16.589045706047997</v>
      </c>
      <c r="F326" s="3">
        <v>9.9849436919999999</v>
      </c>
      <c r="G326" s="3">
        <v>-1.255E-8</v>
      </c>
      <c r="H326" s="3">
        <v>1.35E-8</v>
      </c>
      <c r="I326" s="3">
        <v>-2.5530000000000001E-8</v>
      </c>
      <c r="J326" s="3">
        <v>1.6940000000000001E-8</v>
      </c>
      <c r="K326" s="3">
        <v>-8.8479999999999995E-12</v>
      </c>
      <c r="L326" s="3">
        <v>7.997E-12</v>
      </c>
      <c r="M326" s="3">
        <v>-6.3829999999999999E-7</v>
      </c>
      <c r="N326" s="3">
        <v>4.6959999999999997E-7</v>
      </c>
      <c r="O326" s="3">
        <v>-6.0079999999999993E-7</v>
      </c>
      <c r="P326" s="3">
        <v>5.1429999999999999E-7</v>
      </c>
      <c r="Q326" s="3">
        <v>2.1200000000000001E-8</v>
      </c>
      <c r="R326" s="3">
        <v>8.7649999999999999E-7</v>
      </c>
      <c r="S326" s="13">
        <v>99999</v>
      </c>
      <c r="T326" s="13">
        <v>99999</v>
      </c>
      <c r="U326" s="13">
        <v>0.15781881632993408</v>
      </c>
    </row>
    <row r="327" spans="1:21" x14ac:dyDescent="0.2">
      <c r="A327">
        <v>228</v>
      </c>
      <c r="B327" s="12">
        <v>1</v>
      </c>
      <c r="C327" s="16">
        <v>78.97</v>
      </c>
      <c r="D327" s="16">
        <v>78.97</v>
      </c>
      <c r="E327" s="3">
        <v>16.580800620792001</v>
      </c>
      <c r="F327" s="3">
        <v>9.9799060117499998</v>
      </c>
      <c r="G327" s="3">
        <v>-1.2589999999999999E-8</v>
      </c>
      <c r="H327" s="3">
        <v>1.363E-8</v>
      </c>
      <c r="I327" s="3">
        <v>-2.5660000000000003E-8</v>
      </c>
      <c r="J327" s="3">
        <v>1.7039999999999999E-8</v>
      </c>
      <c r="K327" s="3">
        <v>-8.8129999999999997E-12</v>
      </c>
      <c r="L327" s="3">
        <v>7.9980000000000005E-12</v>
      </c>
      <c r="M327" s="3">
        <v>-6.4519999999999998E-7</v>
      </c>
      <c r="N327" s="3">
        <v>4.7380000000000002E-7</v>
      </c>
      <c r="O327" s="3">
        <v>-6.0159999999999999E-7</v>
      </c>
      <c r="P327" s="3">
        <v>5.2110000000000008E-7</v>
      </c>
      <c r="Q327" s="3">
        <v>1.9630000000000001E-8</v>
      </c>
      <c r="R327" s="3">
        <v>8.8209999999999999E-7</v>
      </c>
      <c r="S327" s="13">
        <v>99999</v>
      </c>
      <c r="T327" s="13">
        <v>99999</v>
      </c>
      <c r="U327" s="13">
        <v>0.15774595852280929</v>
      </c>
    </row>
    <row r="328" spans="1:21" x14ac:dyDescent="0.2">
      <c r="A328">
        <v>229</v>
      </c>
      <c r="B328" s="12">
        <v>1</v>
      </c>
      <c r="C328" s="16">
        <v>80.38</v>
      </c>
      <c r="D328" s="16">
        <v>80.38</v>
      </c>
      <c r="E328" s="3">
        <v>16.572571992792</v>
      </c>
      <c r="F328" s="3">
        <v>9.9748783867499995</v>
      </c>
      <c r="G328" s="3">
        <v>-1.2639999999999999E-8</v>
      </c>
      <c r="H328" s="3">
        <v>1.376E-8</v>
      </c>
      <c r="I328" s="3">
        <v>-2.5789999999999998E-8</v>
      </c>
      <c r="J328" s="3">
        <v>1.714E-8</v>
      </c>
      <c r="K328" s="3">
        <v>-8.7829999999999992E-12</v>
      </c>
      <c r="L328" s="3">
        <v>7.9989999999999993E-12</v>
      </c>
      <c r="M328" s="3">
        <v>-6.5219999999999998E-7</v>
      </c>
      <c r="N328" s="3">
        <v>4.7990000000000006E-7</v>
      </c>
      <c r="O328" s="3">
        <v>-6.0240000000000005E-7</v>
      </c>
      <c r="P328" s="3">
        <v>5.2789999999999996E-7</v>
      </c>
      <c r="Q328" s="3">
        <v>1.8179999999999998E-8</v>
      </c>
      <c r="R328" s="3">
        <v>8.878E-7</v>
      </c>
      <c r="S328" s="13">
        <v>99999</v>
      </c>
      <c r="T328" s="13">
        <v>99999</v>
      </c>
      <c r="U328" s="13">
        <v>0.15767332359458494</v>
      </c>
    </row>
    <row r="329" spans="1:21" x14ac:dyDescent="0.2">
      <c r="A329">
        <v>230</v>
      </c>
      <c r="B329" s="12">
        <v>1</v>
      </c>
      <c r="C329" s="16">
        <v>81.790000000000006</v>
      </c>
      <c r="D329" s="16">
        <v>81.790000000000006</v>
      </c>
      <c r="E329" s="3">
        <v>16.564343364791998</v>
      </c>
      <c r="F329" s="3">
        <v>9.9698507617499992</v>
      </c>
      <c r="G329" s="3">
        <v>-1.268E-8</v>
      </c>
      <c r="H329" s="3">
        <v>1.391E-8</v>
      </c>
      <c r="I329" s="3">
        <v>-2.5930000000000001E-8</v>
      </c>
      <c r="J329" s="3">
        <v>1.7249999999999999E-8</v>
      </c>
      <c r="K329" s="3">
        <v>-8.7540000000000009E-12</v>
      </c>
      <c r="L329" s="3">
        <v>7.9999999999999998E-12</v>
      </c>
      <c r="M329" s="3">
        <v>-6.5929999999999998E-7</v>
      </c>
      <c r="N329" s="3">
        <v>4.862E-7</v>
      </c>
      <c r="O329" s="3">
        <v>-6.0340000000000002E-7</v>
      </c>
      <c r="P329" s="3">
        <v>5.3479999999999994E-7</v>
      </c>
      <c r="Q329" s="3">
        <v>1.6869999999999998E-8</v>
      </c>
      <c r="R329" s="3">
        <v>8.9370000000000002E-7</v>
      </c>
      <c r="S329" s="13">
        <v>99999</v>
      </c>
      <c r="T329" s="13">
        <v>99999</v>
      </c>
      <c r="U329" s="13">
        <v>0.15760075884786715</v>
      </c>
    </row>
    <row r="330" spans="1:21" x14ac:dyDescent="0.2">
      <c r="A330">
        <v>231</v>
      </c>
      <c r="B330" s="12">
        <v>1</v>
      </c>
      <c r="C330" s="16">
        <v>83.21</v>
      </c>
      <c r="D330" s="16">
        <v>83.21</v>
      </c>
      <c r="E330" s="3">
        <v>16.556114736792001</v>
      </c>
      <c r="F330" s="3">
        <v>9.9648231367499989</v>
      </c>
      <c r="G330" s="3">
        <v>-1.2730000000000001E-8</v>
      </c>
      <c r="H330" s="3">
        <v>1.4080000000000001E-8</v>
      </c>
      <c r="I330" s="3">
        <v>-2.6090000000000001E-8</v>
      </c>
      <c r="J330" s="3">
        <v>1.7380000000000001E-8</v>
      </c>
      <c r="K330" s="3">
        <v>-8.7250000000000009E-12</v>
      </c>
      <c r="L330" s="3">
        <v>8.0019999999999992E-12</v>
      </c>
      <c r="M330" s="3">
        <v>-6.6649999999999999E-7</v>
      </c>
      <c r="N330" s="3">
        <v>4.9249999999999994E-7</v>
      </c>
      <c r="O330" s="3">
        <v>-6.0449999999999999E-7</v>
      </c>
      <c r="P330" s="3">
        <v>5.4170000000000004E-7</v>
      </c>
      <c r="Q330" s="3">
        <v>1.5739999999999997E-8</v>
      </c>
      <c r="R330" s="3">
        <v>8.9970000000000004E-7</v>
      </c>
      <c r="S330" s="13">
        <v>99999</v>
      </c>
      <c r="T330" s="13">
        <v>99999</v>
      </c>
      <c r="U330" s="13">
        <v>0.15752829225575679</v>
      </c>
    </row>
    <row r="331" spans="1:21" x14ac:dyDescent="0.2">
      <c r="A331">
        <v>232</v>
      </c>
      <c r="B331" s="12">
        <v>1</v>
      </c>
      <c r="C331" s="16">
        <v>84.62</v>
      </c>
      <c r="D331" s="16">
        <v>84.62</v>
      </c>
      <c r="E331" s="3">
        <v>16.547886108792</v>
      </c>
      <c r="F331" s="3">
        <v>9.9597955117500003</v>
      </c>
      <c r="G331" s="3">
        <v>-1.277E-8</v>
      </c>
      <c r="H331" s="3">
        <v>1.4219999999999999E-8</v>
      </c>
      <c r="I331" s="3">
        <v>-2.6219999999999999E-8</v>
      </c>
      <c r="J331" s="3">
        <v>1.7479999999999998E-8</v>
      </c>
      <c r="K331" s="3">
        <v>-8.7029999999999996E-12</v>
      </c>
      <c r="L331" s="3">
        <v>8.0030000000000013E-12</v>
      </c>
      <c r="M331" s="3">
        <v>-6.7400000000000003E-7</v>
      </c>
      <c r="N331" s="3">
        <v>4.989E-7</v>
      </c>
      <c r="O331" s="3">
        <v>-6.0570000000000008E-7</v>
      </c>
      <c r="P331" s="3">
        <v>5.4869999999999993E-7</v>
      </c>
      <c r="Q331" s="3">
        <v>1.4830000000000001E-8</v>
      </c>
      <c r="R331" s="3">
        <v>9.0599999999999999E-7</v>
      </c>
      <c r="S331" s="13">
        <v>99999</v>
      </c>
      <c r="T331" s="13">
        <v>99999</v>
      </c>
      <c r="U331" s="13">
        <v>0.1574558686485272</v>
      </c>
    </row>
    <row r="332" spans="1:21" x14ac:dyDescent="0.2">
      <c r="A332">
        <v>233</v>
      </c>
      <c r="B332" s="12">
        <v>1</v>
      </c>
      <c r="C332" s="16">
        <v>85.33</v>
      </c>
      <c r="D332" s="16">
        <v>85.33</v>
      </c>
      <c r="E332" s="3">
        <v>16.543755337535998</v>
      </c>
      <c r="F332" s="3">
        <v>9.9572716439999986</v>
      </c>
      <c r="G332" s="3">
        <v>-1.2789999999999999E-8</v>
      </c>
      <c r="H332" s="3">
        <v>1.4290000000000001E-8</v>
      </c>
      <c r="I332" s="3">
        <v>-2.6289999999999999E-8</v>
      </c>
      <c r="J332" s="3">
        <v>1.754E-8</v>
      </c>
      <c r="K332" s="3">
        <v>-8.6919999999999989E-12</v>
      </c>
      <c r="L332" s="3">
        <v>8.0040000000000002E-12</v>
      </c>
      <c r="M332" s="3">
        <v>-6.7860000000000005E-7</v>
      </c>
      <c r="N332" s="3">
        <v>5.0219999999999993E-7</v>
      </c>
      <c r="O332" s="3">
        <v>-6.0630000000000002E-7</v>
      </c>
      <c r="P332" s="3">
        <v>5.5229999999999999E-7</v>
      </c>
      <c r="Q332" s="3">
        <v>1.447E-8</v>
      </c>
      <c r="R332" s="3">
        <v>9.0920000000000002E-7</v>
      </c>
      <c r="S332" s="13">
        <v>99999</v>
      </c>
      <c r="T332" s="13">
        <v>99999</v>
      </c>
      <c r="U332" s="13">
        <v>0.1574195447965544</v>
      </c>
    </row>
    <row r="333" spans="1:21" x14ac:dyDescent="0.2">
      <c r="A333">
        <v>234</v>
      </c>
      <c r="B333" s="12">
        <v>1</v>
      </c>
      <c r="C333" s="16">
        <v>85.75</v>
      </c>
      <c r="D333" s="16">
        <v>85.75</v>
      </c>
      <c r="E333" s="3">
        <v>16.541303206391998</v>
      </c>
      <c r="F333" s="3">
        <v>9.9557734117500001</v>
      </c>
      <c r="G333" s="3">
        <v>-1.2799999999999999E-8</v>
      </c>
      <c r="H333" s="3">
        <v>1.434E-8</v>
      </c>
      <c r="I333" s="3">
        <v>-2.6330000000000002E-8</v>
      </c>
      <c r="J333" s="3">
        <v>1.7569999999999998E-8</v>
      </c>
      <c r="K333" s="3">
        <v>-8.6839999999999998E-12</v>
      </c>
      <c r="L333" s="3">
        <v>8.0040000000000002E-12</v>
      </c>
      <c r="M333" s="3">
        <v>-6.8130000000000005E-7</v>
      </c>
      <c r="N333" s="3">
        <v>5.0409999999999997E-7</v>
      </c>
      <c r="O333" s="3">
        <v>-6.0669999999999995E-7</v>
      </c>
      <c r="P333" s="3">
        <v>5.5440000000000004E-7</v>
      </c>
      <c r="Q333" s="3">
        <v>1.4290000000000001E-8</v>
      </c>
      <c r="R333" s="3">
        <v>9.1109999999999995E-7</v>
      </c>
      <c r="S333" s="13">
        <v>99999</v>
      </c>
      <c r="T333" s="13">
        <v>99999</v>
      </c>
      <c r="U333" s="13">
        <v>0.15739798624918855</v>
      </c>
    </row>
    <row r="334" spans="1:21" x14ac:dyDescent="0.2">
      <c r="A334">
        <v>235</v>
      </c>
      <c r="B334" s="12">
        <v>1</v>
      </c>
      <c r="C334" s="16">
        <v>86.03</v>
      </c>
      <c r="D334" s="16">
        <v>86.03</v>
      </c>
      <c r="E334" s="3">
        <v>16.539657480791998</v>
      </c>
      <c r="F334" s="3">
        <v>9.95476788675</v>
      </c>
      <c r="G334" s="3">
        <v>-1.2799999999999999E-8</v>
      </c>
      <c r="H334" s="3">
        <v>1.4349999999999999E-8</v>
      </c>
      <c r="I334" s="3">
        <v>-2.634E-8</v>
      </c>
      <c r="J334" s="3">
        <v>1.7580000000000003E-8</v>
      </c>
      <c r="K334" s="3">
        <v>-8.6789999999999989E-12</v>
      </c>
      <c r="L334" s="3">
        <v>8.0049999999999991E-12</v>
      </c>
      <c r="M334" s="3">
        <v>-6.8319999999999998E-7</v>
      </c>
      <c r="N334" s="3">
        <v>5.0540000000000007E-7</v>
      </c>
      <c r="O334" s="3">
        <v>-6.0699999999999997E-7</v>
      </c>
      <c r="P334" s="3">
        <v>5.5590000000000005E-7</v>
      </c>
      <c r="Q334" s="3">
        <v>1.418E-8</v>
      </c>
      <c r="R334" s="3">
        <v>9.1239999999999994E-7</v>
      </c>
      <c r="S334" s="13">
        <v>99999</v>
      </c>
      <c r="T334" s="13">
        <v>99999</v>
      </c>
      <c r="U334" s="13">
        <v>0.15738351551444918</v>
      </c>
    </row>
    <row r="335" spans="1:21" x14ac:dyDescent="0.2">
      <c r="A335">
        <v>236</v>
      </c>
      <c r="B335" s="12">
        <v>1</v>
      </c>
      <c r="C335" s="16">
        <v>86.29</v>
      </c>
      <c r="D335" s="16">
        <v>86.29</v>
      </c>
      <c r="E335" s="3">
        <v>16.538176327751998</v>
      </c>
      <c r="F335" s="3">
        <v>9.9538629142499992</v>
      </c>
      <c r="G335" s="3">
        <v>-1.2809999999999999E-8</v>
      </c>
      <c r="H335" s="3">
        <v>1.439E-8</v>
      </c>
      <c r="I335" s="3">
        <v>-2.6380000000000002E-8</v>
      </c>
      <c r="J335" s="3">
        <v>1.761E-8</v>
      </c>
      <c r="K335" s="3">
        <v>-8.6720000000000002E-12</v>
      </c>
      <c r="L335" s="3">
        <v>8.0060000000000012E-12</v>
      </c>
      <c r="M335" s="3">
        <v>-6.849E-7</v>
      </c>
      <c r="N335" s="3">
        <v>5.0659999999999994E-7</v>
      </c>
      <c r="O335" s="3">
        <v>-6.0719999999999998E-7</v>
      </c>
      <c r="P335" s="3">
        <v>5.5720000000000004E-7</v>
      </c>
      <c r="Q335" s="3">
        <v>1.4090000000000001E-8</v>
      </c>
      <c r="R335" s="3">
        <v>9.1360000000000003E-7</v>
      </c>
      <c r="S335" s="13">
        <v>99999</v>
      </c>
      <c r="T335" s="13">
        <v>99999</v>
      </c>
      <c r="U335" s="13">
        <v>0.15737051738339533</v>
      </c>
    </row>
    <row r="336" spans="1:21" x14ac:dyDescent="0.2">
      <c r="A336">
        <v>237</v>
      </c>
      <c r="B336" s="12">
        <v>1</v>
      </c>
      <c r="C336" s="16">
        <v>86.67</v>
      </c>
      <c r="D336" s="16">
        <v>86.67</v>
      </c>
      <c r="E336" s="3">
        <v>16.535954598191999</v>
      </c>
      <c r="F336" s="3">
        <v>9.952505455499999</v>
      </c>
      <c r="G336" s="3">
        <v>-1.2840000000000001E-8</v>
      </c>
      <c r="H336" s="3">
        <v>1.448E-8</v>
      </c>
      <c r="I336" s="3">
        <v>-2.646E-8</v>
      </c>
      <c r="J336" s="3">
        <v>1.768E-8</v>
      </c>
      <c r="K336" s="3">
        <v>-8.659999999999999E-12</v>
      </c>
      <c r="L336" s="3">
        <v>8.0070000000000001E-12</v>
      </c>
      <c r="M336" s="3">
        <v>-6.8739999999999997E-7</v>
      </c>
      <c r="N336" s="3">
        <v>5.0839999999999997E-7</v>
      </c>
      <c r="O336" s="3">
        <v>-6.0760000000000001E-7</v>
      </c>
      <c r="P336" s="3">
        <v>5.5909999999999997E-7</v>
      </c>
      <c r="Q336" s="3">
        <v>1.398E-8</v>
      </c>
      <c r="R336" s="3">
        <v>9.1529999999999994E-7</v>
      </c>
      <c r="S336" s="13">
        <v>99999</v>
      </c>
      <c r="T336" s="13">
        <v>99999</v>
      </c>
      <c r="U336" s="13">
        <v>0.1573509956097178</v>
      </c>
    </row>
    <row r="337" spans="1:21" x14ac:dyDescent="0.2">
      <c r="A337">
        <v>238</v>
      </c>
      <c r="B337" s="12">
        <v>1</v>
      </c>
      <c r="C337" s="16">
        <v>87.44</v>
      </c>
      <c r="D337" s="16">
        <v>87.44</v>
      </c>
      <c r="E337" s="3">
        <v>16.531428852791997</v>
      </c>
      <c r="F337" s="3">
        <v>9.9497402617499997</v>
      </c>
      <c r="G337" s="3">
        <v>-1.287E-8</v>
      </c>
      <c r="H337" s="3">
        <v>1.4589999999999999E-8</v>
      </c>
      <c r="I337" s="3">
        <v>-2.6570000000000002E-8</v>
      </c>
      <c r="J337" s="3">
        <v>1.777E-8</v>
      </c>
      <c r="K337" s="3">
        <v>-8.6450000000000012E-12</v>
      </c>
      <c r="L337" s="3">
        <v>8.0090000000000011E-12</v>
      </c>
      <c r="M337" s="3">
        <v>-6.9249999999999993E-7</v>
      </c>
      <c r="N337" s="3">
        <v>5.1199999999999993E-7</v>
      </c>
      <c r="O337" s="3">
        <v>-6.0840000000000007E-7</v>
      </c>
      <c r="P337" s="3">
        <v>5.6309999999999995E-7</v>
      </c>
      <c r="Q337" s="3">
        <v>1.3819999999999999E-8</v>
      </c>
      <c r="R337" s="3">
        <v>9.1900000000000001E-7</v>
      </c>
      <c r="S337" s="13">
        <v>99999</v>
      </c>
      <c r="T337" s="13">
        <v>99999</v>
      </c>
      <c r="U337" s="13">
        <v>0.15731123295076474</v>
      </c>
    </row>
    <row r="338" spans="1:21" x14ac:dyDescent="0.2">
      <c r="A338">
        <v>239</v>
      </c>
      <c r="B338" s="12">
        <v>1</v>
      </c>
      <c r="C338" s="16">
        <v>88.13</v>
      </c>
      <c r="D338" s="16">
        <v>88.13</v>
      </c>
      <c r="E338" s="3">
        <v>16.527429739583997</v>
      </c>
      <c r="F338" s="3">
        <v>9.9472968359999996</v>
      </c>
      <c r="G338" s="3">
        <v>-1.289E-8</v>
      </c>
      <c r="H338" s="3">
        <v>1.468E-8</v>
      </c>
      <c r="I338" s="3">
        <v>-2.665E-8</v>
      </c>
      <c r="J338" s="3">
        <v>1.7830000000000002E-8</v>
      </c>
      <c r="K338" s="3">
        <v>-8.6330000000000001E-12</v>
      </c>
      <c r="L338" s="3">
        <v>8.0110000000000005E-12</v>
      </c>
      <c r="M338" s="3">
        <v>-6.9709999999999996E-7</v>
      </c>
      <c r="N338" s="3">
        <v>5.1519999999999995E-7</v>
      </c>
      <c r="O338" s="3">
        <v>-6.0919999999999992E-7</v>
      </c>
      <c r="P338" s="3">
        <v>5.666E-7</v>
      </c>
      <c r="Q338" s="3">
        <v>1.3750000000000001E-8</v>
      </c>
      <c r="R338" s="3">
        <v>9.2230000000000005E-7</v>
      </c>
      <c r="S338" s="13">
        <v>99999</v>
      </c>
      <c r="T338" s="13">
        <v>99999</v>
      </c>
      <c r="U338" s="13">
        <v>0.15727614315421015</v>
      </c>
    </row>
    <row r="339" spans="1:21" x14ac:dyDescent="0.2">
      <c r="A339">
        <v>240</v>
      </c>
      <c r="B339" s="12">
        <v>1</v>
      </c>
      <c r="C339" s="16">
        <v>88.57</v>
      </c>
      <c r="D339" s="16">
        <v>88.57</v>
      </c>
      <c r="E339" s="3">
        <v>16.524895322159999</v>
      </c>
      <c r="F339" s="3">
        <v>9.9457483275000005</v>
      </c>
      <c r="G339" s="3">
        <v>-1.29E-8</v>
      </c>
      <c r="H339" s="3">
        <v>1.473E-8</v>
      </c>
      <c r="I339" s="3">
        <v>-2.6699999999999998E-8</v>
      </c>
      <c r="J339" s="3">
        <v>1.7880000000000002E-8</v>
      </c>
      <c r="K339" s="3">
        <v>-8.6249999999999993E-12</v>
      </c>
      <c r="L339" s="3">
        <v>8.0110000000000005E-12</v>
      </c>
      <c r="M339" s="3">
        <v>-7.0010000000000008E-7</v>
      </c>
      <c r="N339" s="3">
        <v>5.1730000000000001E-7</v>
      </c>
      <c r="O339" s="3">
        <v>-6.0970000000000007E-7</v>
      </c>
      <c r="P339" s="3">
        <v>5.6889999999999997E-7</v>
      </c>
      <c r="Q339" s="3">
        <v>1.3750000000000001E-8</v>
      </c>
      <c r="R339" s="3">
        <v>9.2439999999999999E-7</v>
      </c>
      <c r="S339" s="13">
        <v>99999</v>
      </c>
      <c r="T339" s="13">
        <v>99999</v>
      </c>
      <c r="U339" s="13">
        <v>0.15725392201210864</v>
      </c>
    </row>
    <row r="340" spans="1:21" x14ac:dyDescent="0.2">
      <c r="A340">
        <v>241</v>
      </c>
      <c r="B340" s="12">
        <v>1</v>
      </c>
      <c r="C340" s="16">
        <v>88.86</v>
      </c>
      <c r="D340" s="16">
        <v>88.86</v>
      </c>
      <c r="E340" s="3">
        <v>16.523200224791999</v>
      </c>
      <c r="F340" s="3">
        <v>9.9447126367499994</v>
      </c>
      <c r="G340" s="3">
        <v>-1.2919999999999999E-8</v>
      </c>
      <c r="H340" s="3">
        <v>1.479E-8</v>
      </c>
      <c r="I340" s="3">
        <v>-2.6750000000000001E-8</v>
      </c>
      <c r="J340" s="3">
        <v>1.7929999999999999E-8</v>
      </c>
      <c r="K340" s="3">
        <v>-8.6170000000000001E-12</v>
      </c>
      <c r="L340" s="3">
        <v>8.0129999999999999E-12</v>
      </c>
      <c r="M340" s="3">
        <v>-7.0200000000000001E-7</v>
      </c>
      <c r="N340" s="3">
        <v>5.1870000000000001E-7</v>
      </c>
      <c r="O340" s="3">
        <v>-6.0999999999999998E-7</v>
      </c>
      <c r="P340" s="3">
        <v>5.7039999999999997E-7</v>
      </c>
      <c r="Q340" s="3">
        <v>1.377E-8</v>
      </c>
      <c r="R340" s="3">
        <v>9.259E-7</v>
      </c>
      <c r="S340" s="13">
        <v>99999</v>
      </c>
      <c r="T340" s="13">
        <v>99999</v>
      </c>
      <c r="U340" s="13">
        <v>0.15723905087859263</v>
      </c>
    </row>
    <row r="341" spans="1:21" x14ac:dyDescent="0.2">
      <c r="A341">
        <v>242</v>
      </c>
      <c r="B341" s="12">
        <v>1</v>
      </c>
      <c r="C341" s="16">
        <v>89.34</v>
      </c>
      <c r="D341" s="16">
        <v>89.34</v>
      </c>
      <c r="E341" s="3">
        <v>16.520386034015999</v>
      </c>
      <c r="F341" s="3">
        <v>9.9429931889999992</v>
      </c>
      <c r="G341" s="3">
        <v>-1.2930000000000001E-8</v>
      </c>
      <c r="H341" s="3">
        <v>1.486E-8</v>
      </c>
      <c r="I341" s="3">
        <v>-2.6800000000000002E-8</v>
      </c>
      <c r="J341" s="3">
        <v>1.7969999999999998E-8</v>
      </c>
      <c r="K341" s="3">
        <v>-8.5479999999999995E-12</v>
      </c>
      <c r="L341" s="3">
        <v>8.020999999999999E-12</v>
      </c>
      <c r="M341" s="3">
        <v>-7.0529999999999994E-7</v>
      </c>
      <c r="N341" s="3">
        <v>5.2099999999999997E-7</v>
      </c>
      <c r="O341" s="3">
        <v>-6.1060000000000003E-7</v>
      </c>
      <c r="P341" s="3">
        <v>5.7289999999999995E-7</v>
      </c>
      <c r="Q341" s="3">
        <v>1.3819999999999999E-8</v>
      </c>
      <c r="R341" s="3">
        <v>9.2829999999999997E-7</v>
      </c>
      <c r="S341" s="13">
        <v>99999</v>
      </c>
      <c r="T341" s="13">
        <v>99999</v>
      </c>
      <c r="U341" s="13">
        <v>4.1536585076408915E-2</v>
      </c>
    </row>
    <row r="342" spans="1:21" x14ac:dyDescent="0.2">
      <c r="A342">
        <v>243</v>
      </c>
      <c r="B342" s="12">
        <v>1</v>
      </c>
      <c r="C342" s="16">
        <v>-2901</v>
      </c>
      <c r="D342" s="16">
        <v>-2901</v>
      </c>
      <c r="E342" s="3">
        <v>16.518740308416</v>
      </c>
      <c r="F342" s="3">
        <v>9.9419876640000009</v>
      </c>
      <c r="G342" s="3">
        <v>-3.5409999999999997E-7</v>
      </c>
      <c r="H342" s="3">
        <v>4.946E-7</v>
      </c>
      <c r="I342" s="3">
        <v>-3.3789999999999998E-7</v>
      </c>
      <c r="J342" s="3">
        <v>4.2850000000000001E-7</v>
      </c>
      <c r="K342" s="3">
        <v>-1.318E-10</v>
      </c>
      <c r="L342" s="3">
        <v>1.4829999999999999E-10</v>
      </c>
      <c r="M342" s="3">
        <v>-3.9230000000000004E-6</v>
      </c>
      <c r="N342" s="3">
        <v>2.9179999999999998E-6</v>
      </c>
      <c r="O342" s="3">
        <v>-3.2729999999999998E-6</v>
      </c>
      <c r="P342" s="3">
        <v>3.1809999999999997E-6</v>
      </c>
      <c r="Q342" s="3">
        <v>8.6600000000000008E-8</v>
      </c>
      <c r="R342" s="3">
        <v>5.096E-6</v>
      </c>
      <c r="S342" s="13">
        <v>99999</v>
      </c>
      <c r="T342" s="13">
        <v>99999</v>
      </c>
      <c r="U342" s="13">
        <v>4.8221569434000619E-2</v>
      </c>
    </row>
    <row r="343" spans="1:21" x14ac:dyDescent="0.2">
      <c r="A343">
        <v>244</v>
      </c>
      <c r="B343" s="12">
        <v>1</v>
      </c>
      <c r="C343" s="16">
        <v>-2900</v>
      </c>
      <c r="D343" s="16">
        <v>-2900</v>
      </c>
      <c r="E343" s="3">
        <v>16.516699608671999</v>
      </c>
      <c r="F343" s="3">
        <v>9.9407408129999997</v>
      </c>
      <c r="G343" s="3">
        <v>-3.5429999999999999E-7</v>
      </c>
      <c r="H343" s="3">
        <v>4.9490000000000002E-7</v>
      </c>
      <c r="I343" s="3">
        <v>-3.382E-7</v>
      </c>
      <c r="J343" s="3">
        <v>4.2890000000000004E-7</v>
      </c>
      <c r="K343" s="3">
        <v>-1.3159999999999999E-10</v>
      </c>
      <c r="L343" s="3">
        <v>1.4810000000000001E-10</v>
      </c>
      <c r="M343" s="3">
        <v>-3.8769999999999995E-6</v>
      </c>
      <c r="N343" s="3">
        <v>2.8869999999999996E-6</v>
      </c>
      <c r="O343" s="3">
        <v>-3.213E-6</v>
      </c>
      <c r="P343" s="3">
        <v>3.1419999999999997E-6</v>
      </c>
      <c r="Q343" s="3">
        <v>8.8780000000000005E-8</v>
      </c>
      <c r="R343" s="3">
        <v>5.0250000000000002E-6</v>
      </c>
      <c r="S343" s="13">
        <v>99999</v>
      </c>
      <c r="T343" s="13">
        <v>99999</v>
      </c>
      <c r="U343" s="13">
        <v>4.8212957534030786E-2</v>
      </c>
    </row>
    <row r="344" spans="1:21" x14ac:dyDescent="0.2">
      <c r="A344">
        <v>245</v>
      </c>
      <c r="B344" s="12">
        <v>1</v>
      </c>
      <c r="C344" s="16">
        <v>-2898</v>
      </c>
      <c r="D344" s="16">
        <v>-2898</v>
      </c>
      <c r="E344" s="3">
        <v>16.513655016312001</v>
      </c>
      <c r="F344" s="3">
        <v>9.9388805917499994</v>
      </c>
      <c r="G344" s="3">
        <v>-3.5460000000000001E-7</v>
      </c>
      <c r="H344" s="3">
        <v>4.9529999999999994E-7</v>
      </c>
      <c r="I344" s="3">
        <v>-3.3849999999999997E-7</v>
      </c>
      <c r="J344" s="3">
        <v>4.2939999999999997E-7</v>
      </c>
      <c r="K344" s="3">
        <v>-1.3140000000000001E-10</v>
      </c>
      <c r="L344" s="3">
        <v>1.4800000000000001E-10</v>
      </c>
      <c r="M344" s="3">
        <v>-3.8119999999999997E-6</v>
      </c>
      <c r="N344" s="3">
        <v>2.8410000000000004E-6</v>
      </c>
      <c r="O344" s="3">
        <v>-3.1240000000000001E-6</v>
      </c>
      <c r="P344" s="3">
        <v>3.084E-6</v>
      </c>
      <c r="Q344" s="3">
        <v>8.0509999999999998E-8</v>
      </c>
      <c r="R344" s="3">
        <v>4.9199999999999995E-6</v>
      </c>
      <c r="S344" s="13">
        <v>99999</v>
      </c>
      <c r="T344" s="13">
        <v>99999</v>
      </c>
      <c r="U344" s="13">
        <v>4.8197928518757309E-2</v>
      </c>
    </row>
    <row r="345" spans="1:21" x14ac:dyDescent="0.2">
      <c r="A345">
        <v>246</v>
      </c>
      <c r="B345" s="12">
        <v>1</v>
      </c>
      <c r="C345" s="16">
        <v>-2896</v>
      </c>
      <c r="D345" s="16">
        <v>-2896</v>
      </c>
      <c r="E345" s="3">
        <v>16.510610423951999</v>
      </c>
      <c r="F345" s="3">
        <v>9.9370203705000009</v>
      </c>
      <c r="G345" s="3">
        <v>-3.5489999999999998E-7</v>
      </c>
      <c r="H345" s="3">
        <v>4.9549999999999996E-7</v>
      </c>
      <c r="I345" s="3">
        <v>-3.3869999999999998E-7</v>
      </c>
      <c r="J345" s="3">
        <v>4.298E-7</v>
      </c>
      <c r="K345" s="3">
        <v>-1.3120000000000002E-10</v>
      </c>
      <c r="L345" s="3">
        <v>1.4780000000000002E-10</v>
      </c>
      <c r="M345" s="3">
        <v>-3.7520000000000002E-6</v>
      </c>
      <c r="N345" s="3">
        <v>2.7950000000000003E-6</v>
      </c>
      <c r="O345" s="3">
        <v>-3.0339999999999997E-6</v>
      </c>
      <c r="P345" s="3">
        <v>3.0259999999999999E-6</v>
      </c>
      <c r="Q345" s="3">
        <v>7.0799999999999999E-8</v>
      </c>
      <c r="R345" s="3">
        <v>4.814E-6</v>
      </c>
      <c r="S345" s="13">
        <v>99999</v>
      </c>
      <c r="T345" s="13">
        <v>99999</v>
      </c>
      <c r="U345" s="13">
        <v>4.8182901904203761E-2</v>
      </c>
    </row>
    <row r="346" spans="1:21" x14ac:dyDescent="0.2">
      <c r="A346">
        <v>247</v>
      </c>
      <c r="B346" s="12">
        <v>1</v>
      </c>
      <c r="C346" s="16">
        <v>-2895</v>
      </c>
      <c r="D346" s="16">
        <v>-2895</v>
      </c>
      <c r="E346" s="3">
        <v>16.508289950856</v>
      </c>
      <c r="F346" s="3">
        <v>9.9356025802500003</v>
      </c>
      <c r="G346" s="3">
        <v>-3.5499999999999999E-7</v>
      </c>
      <c r="H346" s="3">
        <v>4.9569999999999997E-7</v>
      </c>
      <c r="I346" s="3">
        <v>-3.389E-7</v>
      </c>
      <c r="J346" s="3">
        <v>4.3009999999999997E-7</v>
      </c>
      <c r="K346" s="3">
        <v>-1.3109999999999999E-10</v>
      </c>
      <c r="L346" s="3">
        <v>1.4770000000000002E-10</v>
      </c>
      <c r="M346" s="3">
        <v>-3.7060000000000002E-6</v>
      </c>
      <c r="N346" s="3">
        <v>2.7599999999999998E-6</v>
      </c>
      <c r="O346" s="3">
        <v>-2.971E-6</v>
      </c>
      <c r="P346" s="3">
        <v>2.982E-6</v>
      </c>
      <c r="Q346" s="3">
        <v>6.4750000000000007E-8</v>
      </c>
      <c r="R346" s="3">
        <v>4.7330000000000003E-6</v>
      </c>
      <c r="S346" s="13">
        <v>99999</v>
      </c>
      <c r="T346" s="13">
        <v>99999</v>
      </c>
      <c r="U346" s="13">
        <v>4.8173700597214347E-2</v>
      </c>
    </row>
    <row r="347" spans="1:21" x14ac:dyDescent="0.2">
      <c r="A347">
        <v>248</v>
      </c>
      <c r="B347" s="12">
        <v>1</v>
      </c>
      <c r="C347" s="16">
        <v>-5.1979999999999996E-9</v>
      </c>
      <c r="D347" s="16">
        <v>6.847E-9</v>
      </c>
      <c r="E347" s="3">
        <v>16.539657480791998</v>
      </c>
      <c r="F347" s="3">
        <v>9.95476788675</v>
      </c>
      <c r="G347" s="3">
        <v>-3.2010000000000003E-19</v>
      </c>
      <c r="H347" s="3">
        <v>4.1710000000000003E-19</v>
      </c>
      <c r="I347" s="3">
        <v>-2.5300000000000002E-19</v>
      </c>
      <c r="J347" s="3">
        <v>2.4569999999999997E-19</v>
      </c>
      <c r="K347" s="3">
        <v>-1.0490000000000001E-12</v>
      </c>
      <c r="L347" s="3">
        <v>1.274E-12</v>
      </c>
      <c r="M347" s="3">
        <v>-2.827E-19</v>
      </c>
      <c r="N347" s="3">
        <v>2.118E-19</v>
      </c>
      <c r="O347" s="3">
        <v>-3.2520000000000001E-19</v>
      </c>
      <c r="P347" s="3">
        <v>4.2970000000000001E-19</v>
      </c>
      <c r="Q347" s="3">
        <v>4.1409999999999995E-21</v>
      </c>
      <c r="R347" s="3">
        <v>4.4039999999999998E-19</v>
      </c>
      <c r="S347" s="13">
        <v>99999</v>
      </c>
      <c r="T347" s="13">
        <v>99999</v>
      </c>
      <c r="U347" s="13">
        <v>2.2492892202732785E-14</v>
      </c>
    </row>
    <row r="348" spans="1:21" x14ac:dyDescent="0.2">
      <c r="A348">
        <v>249</v>
      </c>
      <c r="B348" s="12">
        <v>1</v>
      </c>
      <c r="C348" s="16">
        <v>-1545</v>
      </c>
      <c r="D348" s="16">
        <v>-1545</v>
      </c>
      <c r="E348" s="3">
        <v>16.506742968792</v>
      </c>
      <c r="F348" s="3">
        <v>9.9346573867499988</v>
      </c>
      <c r="G348" s="3">
        <v>-9.625000000000001E-7</v>
      </c>
      <c r="H348" s="3">
        <v>1.344E-6</v>
      </c>
      <c r="I348" s="3">
        <v>-9.1870000000000009E-7</v>
      </c>
      <c r="J348" s="3">
        <v>1.1659999999999999E-6</v>
      </c>
      <c r="K348" s="3">
        <v>-3.5349999999999997E-10</v>
      </c>
      <c r="L348" s="3">
        <v>3.9900000000000002E-10</v>
      </c>
      <c r="M348" s="3">
        <v>-9.9830000000000008E-6</v>
      </c>
      <c r="N348" s="3">
        <v>7.4339999999999995E-6</v>
      </c>
      <c r="O348" s="3">
        <v>-7.9570000000000002E-6</v>
      </c>
      <c r="P348" s="3">
        <v>8.0209999999999999E-6</v>
      </c>
      <c r="Q348" s="3">
        <v>1.673E-7</v>
      </c>
      <c r="R348" s="3">
        <v>1.271E-5</v>
      </c>
      <c r="S348" s="13">
        <v>99999</v>
      </c>
      <c r="T348" s="13">
        <v>99999</v>
      </c>
      <c r="U348" s="13">
        <v>4.3501532672659465E-2</v>
      </c>
    </row>
    <row r="349" spans="1:21" x14ac:dyDescent="0.2">
      <c r="A349">
        <v>250</v>
      </c>
      <c r="B349" s="12">
        <v>1</v>
      </c>
      <c r="C349" s="16">
        <v>-1544</v>
      </c>
      <c r="D349" s="16">
        <v>-1544</v>
      </c>
      <c r="E349" s="3">
        <v>16.505146614960001</v>
      </c>
      <c r="F349" s="3">
        <v>9.9336820274999997</v>
      </c>
      <c r="G349" s="3">
        <v>-9.6270000000000012E-7</v>
      </c>
      <c r="H349" s="3">
        <v>1.344E-6</v>
      </c>
      <c r="I349" s="3">
        <v>-9.188999999999999E-7</v>
      </c>
      <c r="J349" s="3">
        <v>1.1659999999999999E-6</v>
      </c>
      <c r="K349" s="3">
        <v>-3.5339999999999999E-10</v>
      </c>
      <c r="L349" s="3">
        <v>3.9889999999999999E-10</v>
      </c>
      <c r="M349" s="3">
        <v>-9.8980000000000008E-6</v>
      </c>
      <c r="N349" s="3">
        <v>7.3690000000000001E-6</v>
      </c>
      <c r="O349" s="3">
        <v>-7.8399999999999995E-6</v>
      </c>
      <c r="P349" s="3">
        <v>7.9380000000000009E-6</v>
      </c>
      <c r="Q349" s="3">
        <v>1.6080000000000001E-7</v>
      </c>
      <c r="R349" s="3">
        <v>1.256E-5</v>
      </c>
      <c r="S349" s="13">
        <v>99999</v>
      </c>
      <c r="T349" s="13">
        <v>99999</v>
      </c>
      <c r="U349" s="13">
        <v>4.3495256946856971E-2</v>
      </c>
    </row>
    <row r="350" spans="1:21" x14ac:dyDescent="0.2">
      <c r="A350">
        <v>251</v>
      </c>
      <c r="B350" s="12">
        <v>1</v>
      </c>
      <c r="C350" s="16">
        <v>-1543</v>
      </c>
      <c r="D350" s="16">
        <v>-1543</v>
      </c>
      <c r="E350" s="3">
        <v>16.50276031284</v>
      </c>
      <c r="F350" s="3">
        <v>9.9322240162500002</v>
      </c>
      <c r="G350" s="3">
        <v>-9.6290000000000013E-7</v>
      </c>
      <c r="H350" s="3">
        <v>1.345E-6</v>
      </c>
      <c r="I350" s="3">
        <v>-9.1920000000000003E-7</v>
      </c>
      <c r="J350" s="3">
        <v>1.1659999999999999E-6</v>
      </c>
      <c r="K350" s="3">
        <v>-3.5320000000000003E-10</v>
      </c>
      <c r="L350" s="3">
        <v>3.9869999999999998E-10</v>
      </c>
      <c r="M350" s="3">
        <v>-9.7689999999999991E-6</v>
      </c>
      <c r="N350" s="3">
        <v>7.2709999999999995E-6</v>
      </c>
      <c r="O350" s="3">
        <v>-7.6660000000000008E-6</v>
      </c>
      <c r="P350" s="3">
        <v>7.8150000000000006E-6</v>
      </c>
      <c r="Q350" s="3">
        <v>1.5599999999999999E-7</v>
      </c>
      <c r="R350" s="3">
        <v>1.234E-5</v>
      </c>
      <c r="S350" s="13">
        <v>99999</v>
      </c>
      <c r="T350" s="13">
        <v>99999</v>
      </c>
      <c r="U350" s="13">
        <v>4.3487131299747968E-2</v>
      </c>
    </row>
    <row r="351" spans="1:21" x14ac:dyDescent="0.2">
      <c r="A351">
        <v>252</v>
      </c>
      <c r="B351" s="12">
        <v>1</v>
      </c>
      <c r="C351" s="16">
        <v>-1541</v>
      </c>
      <c r="D351" s="16">
        <v>-1541</v>
      </c>
      <c r="E351" s="3">
        <v>16.499189088287999</v>
      </c>
      <c r="F351" s="3">
        <v>9.9300420270000007</v>
      </c>
      <c r="G351" s="3">
        <v>-9.6319999999999994E-7</v>
      </c>
      <c r="H351" s="3">
        <v>1.345E-6</v>
      </c>
      <c r="I351" s="3">
        <v>-9.1960000000000006E-7</v>
      </c>
      <c r="J351" s="3">
        <v>1.167E-6</v>
      </c>
      <c r="K351" s="3">
        <v>-3.5300000000000002E-10</v>
      </c>
      <c r="L351" s="3">
        <v>3.9840000000000004E-10</v>
      </c>
      <c r="M351" s="3">
        <v>-9.5759999999999995E-6</v>
      </c>
      <c r="N351" s="3">
        <v>7.1239999999999999E-6</v>
      </c>
      <c r="O351" s="3">
        <v>-7.4039999999999998E-6</v>
      </c>
      <c r="P351" s="3">
        <v>7.6299999999999998E-6</v>
      </c>
      <c r="Q351" s="3">
        <v>1.6080000000000001E-7</v>
      </c>
      <c r="R351" s="3">
        <v>1.2E-5</v>
      </c>
      <c r="S351" s="13">
        <v>99999</v>
      </c>
      <c r="T351" s="13">
        <v>99999</v>
      </c>
      <c r="U351" s="13">
        <v>4.34736980865345E-2</v>
      </c>
    </row>
    <row r="352" spans="1:21" x14ac:dyDescent="0.2">
      <c r="A352">
        <v>253</v>
      </c>
      <c r="B352" s="12">
        <v>1</v>
      </c>
      <c r="C352" s="16">
        <v>-1539</v>
      </c>
      <c r="D352" s="16">
        <v>-1539</v>
      </c>
      <c r="E352" s="3">
        <v>16.495058317031997</v>
      </c>
      <c r="F352" s="3">
        <v>9.9275181592500008</v>
      </c>
      <c r="G352" s="3">
        <v>-9.64E-7</v>
      </c>
      <c r="H352" s="3">
        <v>1.3459999999999999E-6</v>
      </c>
      <c r="I352" s="3">
        <v>-9.2050000000000002E-7</v>
      </c>
      <c r="J352" s="3">
        <v>1.1680000000000001E-6</v>
      </c>
      <c r="K352" s="3">
        <v>-3.5269999999999998E-10</v>
      </c>
      <c r="L352" s="3">
        <v>3.9799999999999997E-10</v>
      </c>
      <c r="M352" s="3">
        <v>-9.3539999999999989E-6</v>
      </c>
      <c r="N352" s="3">
        <v>6.9539999999999998E-6</v>
      </c>
      <c r="O352" s="3">
        <v>-7.1009999999999994E-6</v>
      </c>
      <c r="P352" s="3">
        <v>7.4159999999999998E-6</v>
      </c>
      <c r="Q352" s="3">
        <v>1.7599999999999999E-7</v>
      </c>
      <c r="R352" s="3">
        <v>1.1610000000000001E-5</v>
      </c>
      <c r="S352" s="13">
        <v>99999</v>
      </c>
      <c r="T352" s="13">
        <v>99999</v>
      </c>
      <c r="U352" s="13">
        <v>4.3458957679889686E-2</v>
      </c>
    </row>
    <row r="353" spans="1:21" x14ac:dyDescent="0.2">
      <c r="A353">
        <v>254</v>
      </c>
      <c r="B353" s="12">
        <v>1</v>
      </c>
      <c r="C353" s="16">
        <v>-1536</v>
      </c>
      <c r="D353" s="16">
        <v>-1536</v>
      </c>
      <c r="E353" s="3">
        <v>16.490285712792002</v>
      </c>
      <c r="F353" s="3">
        <v>9.9246021367499999</v>
      </c>
      <c r="G353" s="3">
        <v>-9.5819999999999999E-7</v>
      </c>
      <c r="H353" s="3">
        <v>1.3370000000000001E-6</v>
      </c>
      <c r="I353" s="3">
        <v>-9.1529999999999994E-7</v>
      </c>
      <c r="J353" s="3">
        <v>1.1620000000000001E-6</v>
      </c>
      <c r="K353" s="3">
        <v>-3.5010000000000001E-10</v>
      </c>
      <c r="L353" s="3">
        <v>3.949E-10</v>
      </c>
      <c r="M353" s="3">
        <v>-9.1220000000000001E-6</v>
      </c>
      <c r="N353" s="3">
        <v>6.7580000000000003E-6</v>
      </c>
      <c r="O353" s="3">
        <v>-6.7510000000000002E-6</v>
      </c>
      <c r="P353" s="3">
        <v>7.1679999999999998E-6</v>
      </c>
      <c r="Q353" s="3">
        <v>1.568E-7</v>
      </c>
      <c r="R353" s="3">
        <v>1.1220000000000001E-5</v>
      </c>
      <c r="S353" s="13">
        <v>99999</v>
      </c>
      <c r="T353" s="13">
        <v>99999</v>
      </c>
      <c r="U353" s="13">
        <v>1.9600397353709007E-3</v>
      </c>
    </row>
    <row r="354" spans="1:21" x14ac:dyDescent="0.2">
      <c r="A354">
        <v>255</v>
      </c>
      <c r="B354" s="12">
        <v>1</v>
      </c>
      <c r="C354" s="16">
        <v>-1460</v>
      </c>
      <c r="D354" s="16">
        <v>-1460</v>
      </c>
      <c r="E354" s="3">
        <v>16.485858710927999</v>
      </c>
      <c r="F354" s="3">
        <v>9.9218972744999991</v>
      </c>
      <c r="G354" s="3">
        <v>-9.4119999999999998E-7</v>
      </c>
      <c r="H354" s="3">
        <v>1.3120000000000001E-6</v>
      </c>
      <c r="I354" s="3">
        <v>-8.9990000000000006E-7</v>
      </c>
      <c r="J354" s="3">
        <v>1.144E-6</v>
      </c>
      <c r="K354" s="3">
        <v>-3.4390000000000002E-10</v>
      </c>
      <c r="L354" s="3">
        <v>3.8770000000000002E-10</v>
      </c>
      <c r="M354" s="3">
        <v>-8.9190000000000005E-6</v>
      </c>
      <c r="N354" s="3">
        <v>6.5889999999999999E-6</v>
      </c>
      <c r="O354" s="3">
        <v>-6.4289999999999998E-6</v>
      </c>
      <c r="P354" s="3">
        <v>6.9399999999999996E-6</v>
      </c>
      <c r="Q354" s="3">
        <v>1.755E-7</v>
      </c>
      <c r="R354" s="3">
        <v>1.0859999999999999E-5</v>
      </c>
      <c r="S354" s="13">
        <v>99999</v>
      </c>
      <c r="T354" s="13">
        <v>99999</v>
      </c>
      <c r="U354" s="13">
        <v>1.9590241405353609E-3</v>
      </c>
    </row>
    <row r="355" spans="1:21" x14ac:dyDescent="0.2">
      <c r="A355">
        <v>256</v>
      </c>
      <c r="B355" s="12">
        <v>1</v>
      </c>
      <c r="C355" s="16">
        <v>-1346</v>
      </c>
      <c r="D355" s="16">
        <v>-1346</v>
      </c>
      <c r="E355" s="3">
        <v>16.479226436759998</v>
      </c>
      <c r="F355" s="3">
        <v>9.9178450087499996</v>
      </c>
      <c r="G355" s="3">
        <v>-9.1430000000000008E-7</v>
      </c>
      <c r="H355" s="3">
        <v>1.2719999999999998E-6</v>
      </c>
      <c r="I355" s="3">
        <v>-8.7560000000000003E-7</v>
      </c>
      <c r="J355" s="3">
        <v>1.116E-6</v>
      </c>
      <c r="K355" s="3">
        <v>-3.3469999999999999E-10</v>
      </c>
      <c r="L355" s="3">
        <v>3.7679999999999998E-10</v>
      </c>
      <c r="M355" s="3">
        <v>-8.616999999999999E-6</v>
      </c>
      <c r="N355" s="3">
        <v>6.3489999999999997E-6</v>
      </c>
      <c r="O355" s="3">
        <v>-5.9529999999999996E-6</v>
      </c>
      <c r="P355" s="3">
        <v>6.601E-6</v>
      </c>
      <c r="Q355" s="3">
        <v>2.0799999999999998E-7</v>
      </c>
      <c r="R355" s="3">
        <v>1.0340000000000001E-5</v>
      </c>
      <c r="S355" s="13">
        <v>99999</v>
      </c>
      <c r="T355" s="13">
        <v>99999</v>
      </c>
      <c r="U355" s="13">
        <v>1.957548971784968E-3</v>
      </c>
    </row>
    <row r="356" spans="1:21" x14ac:dyDescent="0.2">
      <c r="A356">
        <v>257</v>
      </c>
      <c r="B356" s="12">
        <v>1</v>
      </c>
      <c r="C356" s="16">
        <v>-1174</v>
      </c>
      <c r="D356" s="16">
        <v>-1174</v>
      </c>
      <c r="E356" s="3">
        <v>16.469286254136001</v>
      </c>
      <c r="F356" s="3">
        <v>9.9117716377500003</v>
      </c>
      <c r="G356" s="3">
        <v>-8.6759999999999996E-7</v>
      </c>
      <c r="H356" s="3">
        <v>1.2030000000000002E-6</v>
      </c>
      <c r="I356" s="3">
        <v>-8.3350000000000005E-7</v>
      </c>
      <c r="J356" s="3">
        <v>1.0670000000000001E-6</v>
      </c>
      <c r="K356" s="3">
        <v>-3.209E-10</v>
      </c>
      <c r="L356" s="3">
        <v>3.605E-10</v>
      </c>
      <c r="M356" s="3">
        <v>-8.1680000000000004E-6</v>
      </c>
      <c r="N356" s="3">
        <v>5.9940000000000005E-6</v>
      </c>
      <c r="O356" s="3">
        <v>-5.2789999999999998E-6</v>
      </c>
      <c r="P356" s="3">
        <v>6.1009999999999997E-6</v>
      </c>
      <c r="Q356" s="3">
        <v>1.3750000000000001E-7</v>
      </c>
      <c r="R356" s="3">
        <v>9.6139999999999998E-6</v>
      </c>
      <c r="S356" s="13">
        <v>99999</v>
      </c>
      <c r="T356" s="13">
        <v>99999</v>
      </c>
      <c r="U356" s="13">
        <v>1.9554385745128404E-3</v>
      </c>
    </row>
    <row r="357" spans="1:21" x14ac:dyDescent="0.2">
      <c r="A357">
        <v>258</v>
      </c>
      <c r="B357" s="12">
        <v>1</v>
      </c>
      <c r="C357" s="16">
        <v>-920.7</v>
      </c>
      <c r="D357" s="16">
        <v>-920.7</v>
      </c>
      <c r="E357" s="3">
        <v>16.454540552760001</v>
      </c>
      <c r="F357" s="3">
        <v>9.9027621337499987</v>
      </c>
      <c r="G357" s="3">
        <v>-8.1220000000000003E-7</v>
      </c>
      <c r="H357" s="3">
        <v>1.111E-6</v>
      </c>
      <c r="I357" s="3">
        <v>-7.7859999999999994E-7</v>
      </c>
      <c r="J357" s="3">
        <v>1.0039999999999998E-6</v>
      </c>
      <c r="K357" s="3">
        <v>-3.0449999999999998E-10</v>
      </c>
      <c r="L357" s="3">
        <v>3.4120000000000002E-10</v>
      </c>
      <c r="M357" s="3">
        <v>-7.5689999999999999E-6</v>
      </c>
      <c r="N357" s="3">
        <v>5.4759999999999997E-6</v>
      </c>
      <c r="O357" s="3">
        <v>-4.4279999999999998E-6</v>
      </c>
      <c r="P357" s="3">
        <v>5.3819999999999995E-6</v>
      </c>
      <c r="Q357" s="3">
        <v>1.42E-7</v>
      </c>
      <c r="R357" s="3">
        <v>8.6969999999999999E-6</v>
      </c>
      <c r="S357" s="13">
        <v>99999</v>
      </c>
      <c r="T357" s="13">
        <v>99999</v>
      </c>
      <c r="U357" s="13">
        <v>1.9525547395060734E-3</v>
      </c>
    </row>
    <row r="358" spans="1:21" x14ac:dyDescent="0.2">
      <c r="A358">
        <v>259</v>
      </c>
      <c r="B358" s="12">
        <v>1</v>
      </c>
      <c r="C358" s="16">
        <v>-667</v>
      </c>
      <c r="D358" s="16">
        <v>-667</v>
      </c>
      <c r="E358" s="3">
        <v>16.43981130864</v>
      </c>
      <c r="F358" s="3">
        <v>9.8937626850000004</v>
      </c>
      <c r="G358" s="3">
        <v>-7.5649999999999998E-7</v>
      </c>
      <c r="H358" s="3">
        <v>1.012E-6</v>
      </c>
      <c r="I358" s="3">
        <v>-7.1900000000000002E-7</v>
      </c>
      <c r="J358" s="3">
        <v>9.3510000000000006E-7</v>
      </c>
      <c r="K358" s="3">
        <v>-2.8799999999999999E-10</v>
      </c>
      <c r="L358" s="3">
        <v>3.2179999999999996E-10</v>
      </c>
      <c r="M358" s="3">
        <v>-7.0029999999999997E-6</v>
      </c>
      <c r="N358" s="3">
        <v>4.9699999999999998E-6</v>
      </c>
      <c r="O358" s="3">
        <v>-3.7269999999999996E-6</v>
      </c>
      <c r="P358" s="3">
        <v>4.6929999999999998E-6</v>
      </c>
      <c r="Q358" s="3">
        <v>2.2289999999999999E-7</v>
      </c>
      <c r="R358" s="3">
        <v>7.909E-6</v>
      </c>
      <c r="S358" s="13">
        <v>99999</v>
      </c>
      <c r="T358" s="13">
        <v>99999</v>
      </c>
      <c r="U358" s="13">
        <v>1.9499543978364578E-3</v>
      </c>
    </row>
    <row r="359" spans="1:21" x14ac:dyDescent="0.2">
      <c r="A359">
        <v>260</v>
      </c>
      <c r="B359" s="12">
        <v>1</v>
      </c>
      <c r="C359" s="16">
        <v>-413.2</v>
      </c>
      <c r="D359" s="16">
        <v>-413.2</v>
      </c>
      <c r="E359" s="3">
        <v>16.425082064519998</v>
      </c>
      <c r="F359" s="3">
        <v>9.8847632362500004</v>
      </c>
      <c r="G359" s="3">
        <v>-6.9910000000000001E-7</v>
      </c>
      <c r="H359" s="3">
        <v>9.0490000000000001E-7</v>
      </c>
      <c r="I359" s="3">
        <v>-6.5379999999999999E-7</v>
      </c>
      <c r="J359" s="3">
        <v>8.6010000000000003E-7</v>
      </c>
      <c r="K359" s="3">
        <v>-2.7399999999999998E-10</v>
      </c>
      <c r="L359" s="3">
        <v>3.0240000000000001E-10</v>
      </c>
      <c r="M359" s="3">
        <v>-6.4419999999999995E-6</v>
      </c>
      <c r="N359" s="3">
        <v>4.4769999999999997E-6</v>
      </c>
      <c r="O359" s="3">
        <v>-3.2070000000000004E-6</v>
      </c>
      <c r="P359" s="3">
        <v>4.0369999999999996E-6</v>
      </c>
      <c r="Q359" s="3">
        <v>1.2200000000000001E-7</v>
      </c>
      <c r="R359" s="3">
        <v>7.1960000000000002E-6</v>
      </c>
      <c r="S359" s="13">
        <v>99999</v>
      </c>
      <c r="T359" s="13">
        <v>99999</v>
      </c>
      <c r="U359" s="13">
        <v>1.9476386827886221E-3</v>
      </c>
    </row>
    <row r="360" spans="1:21" x14ac:dyDescent="0.2">
      <c r="A360">
        <v>261</v>
      </c>
      <c r="B360" s="12">
        <v>1</v>
      </c>
      <c r="C360" s="16">
        <v>-159.5</v>
      </c>
      <c r="D360" s="16">
        <v>-159.5</v>
      </c>
      <c r="E360" s="3">
        <v>16.410336363143998</v>
      </c>
      <c r="F360" s="3">
        <v>9.8757537322499989</v>
      </c>
      <c r="G360" s="3">
        <v>-6.4789999999999997E-7</v>
      </c>
      <c r="H360" s="3">
        <v>7.9409999999999994E-7</v>
      </c>
      <c r="I360" s="3">
        <v>-5.9000000000000007E-7</v>
      </c>
      <c r="J360" s="3">
        <v>7.821E-7</v>
      </c>
      <c r="K360" s="3">
        <v>-2.6230000000000001E-10</v>
      </c>
      <c r="L360" s="3">
        <v>2.8300000000000001E-10</v>
      </c>
      <c r="M360" s="3">
        <v>-5.8849999999999996E-6</v>
      </c>
      <c r="N360" s="3">
        <v>3.9979999999999997E-6</v>
      </c>
      <c r="O360" s="3">
        <v>-2.8479999999999997E-6</v>
      </c>
      <c r="P360" s="3">
        <v>3.4170000000000001E-6</v>
      </c>
      <c r="Q360" s="3">
        <v>1.572E-7</v>
      </c>
      <c r="R360" s="3">
        <v>6.5010000000000001E-6</v>
      </c>
      <c r="S360" s="13">
        <v>99999</v>
      </c>
      <c r="T360" s="13">
        <v>99999</v>
      </c>
      <c r="U360" s="13">
        <v>1.9456071864273783E-3</v>
      </c>
    </row>
    <row r="361" spans="1:21" x14ac:dyDescent="0.2">
      <c r="A361">
        <v>262</v>
      </c>
      <c r="B361" s="12">
        <v>1</v>
      </c>
      <c r="C361" s="16">
        <v>94.23</v>
      </c>
      <c r="D361" s="16">
        <v>94.23</v>
      </c>
      <c r="E361" s="3">
        <v>16.395607119024</v>
      </c>
      <c r="F361" s="3">
        <v>9.8667542835000006</v>
      </c>
      <c r="G361" s="3">
        <v>-5.9829999999999995E-7</v>
      </c>
      <c r="H361" s="3">
        <v>6.7090000000000001E-7</v>
      </c>
      <c r="I361" s="3">
        <v>-5.2979999999999999E-7</v>
      </c>
      <c r="J361" s="3">
        <v>7.0370000000000003E-7</v>
      </c>
      <c r="K361" s="3">
        <v>-2.5069999999999997E-10</v>
      </c>
      <c r="L361" s="3">
        <v>2.636E-10</v>
      </c>
      <c r="M361" s="3">
        <v>-5.3319999999999999E-6</v>
      </c>
      <c r="N361" s="3">
        <v>3.5490000000000002E-6</v>
      </c>
      <c r="O361" s="3">
        <v>-2.5739999999999998E-6</v>
      </c>
      <c r="P361" s="3">
        <v>2.8440000000000002E-6</v>
      </c>
      <c r="Q361" s="3">
        <v>1.4929999999999999E-8</v>
      </c>
      <c r="R361" s="3">
        <v>5.8889999999999999E-6</v>
      </c>
      <c r="S361" s="13">
        <v>99999</v>
      </c>
      <c r="T361" s="13">
        <v>99999</v>
      </c>
      <c r="U361" s="13">
        <v>1.9438643318807503E-3</v>
      </c>
    </row>
    <row r="362" spans="1:21" x14ac:dyDescent="0.2">
      <c r="A362">
        <v>263</v>
      </c>
      <c r="B362" s="12">
        <v>1</v>
      </c>
      <c r="C362" s="16">
        <v>348</v>
      </c>
      <c r="D362" s="16">
        <v>348</v>
      </c>
      <c r="E362" s="3">
        <v>16.380861417647999</v>
      </c>
      <c r="F362" s="3">
        <v>9.8577447795000008</v>
      </c>
      <c r="G362" s="3">
        <v>-5.5329999999999996E-7</v>
      </c>
      <c r="H362" s="3">
        <v>5.5999999999999993E-7</v>
      </c>
      <c r="I362" s="3">
        <v>-4.9230000000000003E-7</v>
      </c>
      <c r="J362" s="3">
        <v>6.4430000000000002E-7</v>
      </c>
      <c r="K362" s="3">
        <v>-2.4090000000000002E-10</v>
      </c>
      <c r="L362" s="3">
        <v>2.4730000000000001E-10</v>
      </c>
      <c r="M362" s="3">
        <v>-4.797E-6</v>
      </c>
      <c r="N362" s="3">
        <v>3.128E-6</v>
      </c>
      <c r="O362" s="3">
        <v>-2.3649999999999998E-6</v>
      </c>
      <c r="P362" s="3">
        <v>2.4789999999999999E-6</v>
      </c>
      <c r="Q362" s="3">
        <v>1.8689999999999999E-7</v>
      </c>
      <c r="R362" s="3">
        <v>5.2960000000000006E-6</v>
      </c>
      <c r="S362" s="13">
        <v>99999</v>
      </c>
      <c r="T362" s="13">
        <v>99999</v>
      </c>
      <c r="U362" s="13">
        <v>1.9424071970287973E-3</v>
      </c>
    </row>
    <row r="363" spans="1:21" x14ac:dyDescent="0.2">
      <c r="A363">
        <v>264</v>
      </c>
      <c r="B363" s="12">
        <v>1</v>
      </c>
      <c r="C363" s="16">
        <v>519.20000000000005</v>
      </c>
      <c r="D363" s="16">
        <v>519.20000000000005</v>
      </c>
      <c r="E363" s="3">
        <v>16.370921235023999</v>
      </c>
      <c r="F363" s="3">
        <v>9.8516714085000014</v>
      </c>
      <c r="G363" s="3">
        <v>-5.2310000000000002E-7</v>
      </c>
      <c r="H363" s="3">
        <v>4.9309999999999999E-7</v>
      </c>
      <c r="I363" s="3">
        <v>-4.7409999999999999E-7</v>
      </c>
      <c r="J363" s="3">
        <v>6.1950000000000006E-7</v>
      </c>
      <c r="K363" s="3">
        <v>-2.3430000000000001E-10</v>
      </c>
      <c r="L363" s="3">
        <v>2.3639999999999998E-10</v>
      </c>
      <c r="M363" s="3">
        <v>-4.4490000000000001E-6</v>
      </c>
      <c r="N363" s="3">
        <v>2.8509999999999999E-6</v>
      </c>
      <c r="O363" s="3">
        <v>-2.2169999999999997E-6</v>
      </c>
      <c r="P363" s="3">
        <v>2.402E-6</v>
      </c>
      <c r="Q363" s="3">
        <v>8.1359999999999995E-8</v>
      </c>
      <c r="R363" s="3">
        <v>4.8970000000000007E-6</v>
      </c>
      <c r="S363" s="13">
        <v>99999</v>
      </c>
      <c r="T363" s="13">
        <v>99999</v>
      </c>
      <c r="U363" s="13">
        <v>1.9415878816990931E-3</v>
      </c>
    </row>
    <row r="364" spans="1:21" x14ac:dyDescent="0.2">
      <c r="A364">
        <v>265</v>
      </c>
      <c r="B364" s="12">
        <v>1</v>
      </c>
      <c r="C364" s="16">
        <v>633.4</v>
      </c>
      <c r="D364" s="16">
        <v>633.4</v>
      </c>
      <c r="E364" s="3">
        <v>16.364288960856001</v>
      </c>
      <c r="F364" s="3">
        <v>9.8476191427500002</v>
      </c>
      <c r="G364" s="3">
        <v>-5.0270000000000007E-7</v>
      </c>
      <c r="H364" s="3">
        <v>4.503E-7</v>
      </c>
      <c r="I364" s="3">
        <v>-4.6240000000000001E-7</v>
      </c>
      <c r="J364" s="3">
        <v>6.1090000000000005E-7</v>
      </c>
      <c r="K364" s="3">
        <v>-2.2989999999999998E-10</v>
      </c>
      <c r="L364" s="3">
        <v>2.2910000000000002E-10</v>
      </c>
      <c r="M364" s="3">
        <v>-4.2170000000000005E-6</v>
      </c>
      <c r="N364" s="3">
        <v>2.6689999999999998E-6</v>
      </c>
      <c r="O364" s="3">
        <v>-2.21E-6</v>
      </c>
      <c r="P364" s="3">
        <v>2.34E-6</v>
      </c>
      <c r="Q364" s="3">
        <v>8.2580000000000002E-8</v>
      </c>
      <c r="R364" s="3">
        <v>4.6309999999999994E-6</v>
      </c>
      <c r="S364" s="13">
        <v>99999</v>
      </c>
      <c r="T364" s="13">
        <v>99999</v>
      </c>
      <c r="U364" s="13">
        <v>1.9411142053539843E-3</v>
      </c>
    </row>
    <row r="365" spans="1:21" x14ac:dyDescent="0.2">
      <c r="A365">
        <v>266</v>
      </c>
      <c r="B365" s="12">
        <v>1</v>
      </c>
      <c r="C365" s="16">
        <v>709.5</v>
      </c>
      <c r="D365" s="16">
        <v>709.5</v>
      </c>
      <c r="E365" s="3">
        <v>16.359861958991999</v>
      </c>
      <c r="F365" s="3">
        <v>9.8449142805000012</v>
      </c>
      <c r="G365" s="3">
        <v>-4.8770000000000001E-7</v>
      </c>
      <c r="H365" s="3">
        <v>4.185E-7</v>
      </c>
      <c r="I365" s="3">
        <v>-4.5680000000000001E-7</v>
      </c>
      <c r="J365" s="3">
        <v>6.0539999999999996E-7</v>
      </c>
      <c r="K365" s="3">
        <v>-2.262E-10</v>
      </c>
      <c r="L365" s="3">
        <v>2.2300000000000001E-10</v>
      </c>
      <c r="M365" s="3">
        <v>-4.0610000000000006E-6</v>
      </c>
      <c r="N365" s="3">
        <v>2.5500000000000001E-6</v>
      </c>
      <c r="O365" s="3">
        <v>-2.2130000000000002E-6</v>
      </c>
      <c r="P365" s="3">
        <v>2.2929999999999999E-6</v>
      </c>
      <c r="Q365" s="3">
        <v>1.1459999999999999E-7</v>
      </c>
      <c r="R365" s="3">
        <v>4.454E-6</v>
      </c>
      <c r="S365" s="13">
        <v>99999</v>
      </c>
      <c r="T365" s="13">
        <v>99999</v>
      </c>
      <c r="U365" s="13">
        <v>1.9408301796954379E-3</v>
      </c>
    </row>
    <row r="366" spans="1:21" x14ac:dyDescent="0.2">
      <c r="A366">
        <v>267</v>
      </c>
      <c r="B366" s="12">
        <v>1</v>
      </c>
      <c r="C366" s="16">
        <v>771.4</v>
      </c>
      <c r="D366" s="16">
        <v>771.4</v>
      </c>
      <c r="E366" s="3">
        <v>16.354941239447999</v>
      </c>
      <c r="F366" s="3">
        <v>9.841907760749999</v>
      </c>
      <c r="G366" s="3">
        <v>-4.6819999999999997E-7</v>
      </c>
      <c r="H366" s="3">
        <v>3.84E-7</v>
      </c>
      <c r="I366" s="3">
        <v>-4.496E-7</v>
      </c>
      <c r="J366" s="3">
        <v>5.9999999999999997E-7</v>
      </c>
      <c r="K366" s="3">
        <v>-2.2140000000000001E-10</v>
      </c>
      <c r="L366" s="3">
        <v>2.149E-10</v>
      </c>
      <c r="M366" s="3">
        <v>-3.8879999999999999E-6</v>
      </c>
      <c r="N366" s="3">
        <v>2.418E-6</v>
      </c>
      <c r="O366" s="3">
        <v>-2.2079999999999999E-6</v>
      </c>
      <c r="P366" s="3">
        <v>2.2369999999999999E-6</v>
      </c>
      <c r="Q366" s="3">
        <v>1.5689999999999998E-7</v>
      </c>
      <c r="R366" s="3">
        <v>4.2579999999999997E-6</v>
      </c>
      <c r="S366" s="13">
        <v>99999</v>
      </c>
      <c r="T366" s="13">
        <v>99999</v>
      </c>
      <c r="U366" s="13">
        <v>1.9404655678853526E-3</v>
      </c>
    </row>
    <row r="367" spans="1:21" x14ac:dyDescent="0.2">
      <c r="A367">
        <v>268</v>
      </c>
      <c r="B367" s="12">
        <v>1</v>
      </c>
      <c r="C367" s="16">
        <v>864.1</v>
      </c>
      <c r="D367" s="16">
        <v>864.1</v>
      </c>
      <c r="E367" s="3">
        <v>16.347568388759999</v>
      </c>
      <c r="F367" s="3">
        <v>9.83740300875</v>
      </c>
      <c r="G367" s="3">
        <v>-4.3720000000000002E-7</v>
      </c>
      <c r="H367" s="3">
        <v>3.3739999999999999E-7</v>
      </c>
      <c r="I367" s="3">
        <v>-4.383E-7</v>
      </c>
      <c r="J367" s="3">
        <v>5.9770000000000001E-7</v>
      </c>
      <c r="K367" s="3">
        <v>-2.1409999999999999E-10</v>
      </c>
      <c r="L367" s="3">
        <v>2.0270000000000001E-10</v>
      </c>
      <c r="M367" s="3">
        <v>-3.6280000000000002E-6</v>
      </c>
      <c r="N367" s="3">
        <v>2.2230000000000001E-6</v>
      </c>
      <c r="O367" s="3">
        <v>-2.187E-6</v>
      </c>
      <c r="P367" s="3">
        <v>2.1450000000000002E-6</v>
      </c>
      <c r="Q367" s="3">
        <v>1.593E-7</v>
      </c>
      <c r="R367" s="3">
        <v>3.963E-6</v>
      </c>
      <c r="S367" s="13">
        <v>99999</v>
      </c>
      <c r="T367" s="13">
        <v>99999</v>
      </c>
      <c r="U367" s="13">
        <v>1.9399513440746092E-3</v>
      </c>
    </row>
    <row r="368" spans="1:21" x14ac:dyDescent="0.2">
      <c r="A368">
        <v>269</v>
      </c>
      <c r="B368" s="12">
        <v>1</v>
      </c>
      <c r="C368" s="16">
        <v>1003</v>
      </c>
      <c r="D368" s="16">
        <v>1003</v>
      </c>
      <c r="E368" s="3">
        <v>16.336492655472</v>
      </c>
      <c r="F368" s="3">
        <v>9.8306358254999999</v>
      </c>
      <c r="G368" s="3">
        <v>-3.854E-7</v>
      </c>
      <c r="H368" s="3">
        <v>3.0149999999999999E-7</v>
      </c>
      <c r="I368" s="3">
        <v>-4.1950000000000002E-7</v>
      </c>
      <c r="J368" s="3">
        <v>5.9409999999999995E-7</v>
      </c>
      <c r="K368" s="3">
        <v>-2.0319999999999998E-10</v>
      </c>
      <c r="L368" s="3">
        <v>1.8459999999999999E-10</v>
      </c>
      <c r="M368" s="3">
        <v>-3.2369999999999997E-6</v>
      </c>
      <c r="N368" s="3">
        <v>1.9360000000000002E-6</v>
      </c>
      <c r="O368" s="3">
        <v>-2.119E-6</v>
      </c>
      <c r="P368" s="3">
        <v>1.9880000000000003E-6</v>
      </c>
      <c r="Q368" s="3">
        <v>1.2940000000000001E-7</v>
      </c>
      <c r="R368" s="3">
        <v>3.5209999999999998E-6</v>
      </c>
      <c r="S368" s="13">
        <v>99999</v>
      </c>
      <c r="T368" s="13">
        <v>99999</v>
      </c>
      <c r="U368" s="13">
        <v>1.9392499800291083E-3</v>
      </c>
    </row>
    <row r="369" spans="1:21" x14ac:dyDescent="0.2">
      <c r="A369">
        <v>270</v>
      </c>
      <c r="B369" s="12">
        <v>1</v>
      </c>
      <c r="C369" s="16">
        <v>1209</v>
      </c>
      <c r="D369" s="16">
        <v>1209</v>
      </c>
      <c r="E369" s="3">
        <v>16.320084771240001</v>
      </c>
      <c r="F369" s="3">
        <v>9.8206107412500003</v>
      </c>
      <c r="G369" s="3">
        <v>-3.404E-7</v>
      </c>
      <c r="H369" s="3">
        <v>3.0810000000000001E-7</v>
      </c>
      <c r="I369" s="3">
        <v>-3.9659999999999999E-7</v>
      </c>
      <c r="J369" s="3">
        <v>5.8949999999999993E-7</v>
      </c>
      <c r="K369" s="3">
        <v>-1.902E-10</v>
      </c>
      <c r="L369" s="3">
        <v>1.6299999999999998E-10</v>
      </c>
      <c r="M369" s="3">
        <v>-2.6529999999999998E-6</v>
      </c>
      <c r="N369" s="3">
        <v>1.5230000000000001E-6</v>
      </c>
      <c r="O369" s="3">
        <v>-1.934E-6</v>
      </c>
      <c r="P369" s="3">
        <v>1.818E-6</v>
      </c>
      <c r="Q369" s="3">
        <v>8.7600000000000004E-8</v>
      </c>
      <c r="R369" s="3">
        <v>2.8719999999999998E-6</v>
      </c>
      <c r="S369" s="13">
        <v>99999</v>
      </c>
      <c r="T369" s="13">
        <v>99999</v>
      </c>
      <c r="U369" s="13">
        <v>1.9383720563051036E-3</v>
      </c>
    </row>
    <row r="370" spans="1:21" x14ac:dyDescent="0.2">
      <c r="A370">
        <v>271</v>
      </c>
      <c r="B370" s="12">
        <v>1</v>
      </c>
      <c r="C370" s="16">
        <v>1415</v>
      </c>
      <c r="D370" s="16">
        <v>1415</v>
      </c>
      <c r="E370" s="3">
        <v>16.303676887007999</v>
      </c>
      <c r="F370" s="3">
        <v>9.810585656999999</v>
      </c>
      <c r="G370" s="3">
        <v>-3.9480000000000001E-7</v>
      </c>
      <c r="H370" s="3">
        <v>3.9500000000000003E-7</v>
      </c>
      <c r="I370" s="3">
        <v>-3.8089999999999998E-7</v>
      </c>
      <c r="J370" s="3">
        <v>5.9279999999999996E-7</v>
      </c>
      <c r="K370" s="3">
        <v>-1.7880000000000002E-10</v>
      </c>
      <c r="L370" s="3">
        <v>1.5669999999999999E-10</v>
      </c>
      <c r="M370" s="3">
        <v>-2.0660000000000002E-6</v>
      </c>
      <c r="N370" s="3">
        <v>1.128E-6</v>
      </c>
      <c r="O370" s="3">
        <v>-1.6390000000000001E-6</v>
      </c>
      <c r="P370" s="3">
        <v>1.6770000000000002E-6</v>
      </c>
      <c r="Q370" s="3">
        <v>4.9250000000000001E-8</v>
      </c>
      <c r="R370" s="3">
        <v>2.244E-6</v>
      </c>
      <c r="S370" s="13">
        <v>99999</v>
      </c>
      <c r="T370" s="13">
        <v>99999</v>
      </c>
      <c r="U370" s="13">
        <v>1.9376856495468375E-3</v>
      </c>
    </row>
    <row r="371" spans="1:21" x14ac:dyDescent="0.2">
      <c r="A371">
        <v>272</v>
      </c>
      <c r="B371" s="12">
        <v>1</v>
      </c>
      <c r="C371" s="16">
        <v>1572</v>
      </c>
      <c r="D371" s="16">
        <v>1572</v>
      </c>
      <c r="E371" s="3">
        <v>16.291218744216</v>
      </c>
      <c r="F371" s="3">
        <v>9.8029738327500002</v>
      </c>
      <c r="G371" s="3">
        <v>-4.3429999999999996E-7</v>
      </c>
      <c r="H371" s="3">
        <v>4.6759999999999998E-7</v>
      </c>
      <c r="I371" s="3">
        <v>-3.6949999999999997E-7</v>
      </c>
      <c r="J371" s="3">
        <v>5.9569999999999997E-7</v>
      </c>
      <c r="K371" s="3">
        <v>-1.7050000000000001E-10</v>
      </c>
      <c r="L371" s="3">
        <v>1.533E-10</v>
      </c>
      <c r="M371" s="3">
        <v>-1.618E-6</v>
      </c>
      <c r="N371" s="3">
        <v>8.554E-7</v>
      </c>
      <c r="O371" s="3">
        <v>-1.3400000000000001E-6</v>
      </c>
      <c r="P371" s="3">
        <v>1.4619999999999999E-6</v>
      </c>
      <c r="Q371" s="3">
        <v>2.2670000000000001E-8</v>
      </c>
      <c r="R371" s="3">
        <v>1.759E-6</v>
      </c>
      <c r="S371" s="13">
        <v>99999</v>
      </c>
      <c r="T371" s="13">
        <v>99999</v>
      </c>
      <c r="U371" s="13">
        <v>1.9372966605100256E-3</v>
      </c>
    </row>
    <row r="372" spans="1:21" x14ac:dyDescent="0.2">
      <c r="A372">
        <v>273</v>
      </c>
      <c r="B372" s="12">
        <v>1</v>
      </c>
      <c r="C372" s="16">
        <v>1676</v>
      </c>
      <c r="D372" s="16">
        <v>1676</v>
      </c>
      <c r="E372" s="3">
        <v>16.282907829936001</v>
      </c>
      <c r="F372" s="3">
        <v>9.7978959315000012</v>
      </c>
      <c r="G372" s="3">
        <v>-4.6059999999999998E-7</v>
      </c>
      <c r="H372" s="3">
        <v>5.1600000000000001E-7</v>
      </c>
      <c r="I372" s="3">
        <v>-3.6180000000000002E-7</v>
      </c>
      <c r="J372" s="3">
        <v>5.976E-7</v>
      </c>
      <c r="K372" s="3">
        <v>-1.661E-10</v>
      </c>
      <c r="L372" s="3">
        <v>1.51E-10</v>
      </c>
      <c r="M372" s="3">
        <v>-1.3170000000000001E-6</v>
      </c>
      <c r="N372" s="3">
        <v>7.004999999999999E-7</v>
      </c>
      <c r="O372" s="3">
        <v>-1.1039999999999999E-6</v>
      </c>
      <c r="P372" s="3">
        <v>1.2650000000000002E-6</v>
      </c>
      <c r="Q372" s="3">
        <v>6.2700000000000001E-9</v>
      </c>
      <c r="R372" s="3">
        <v>1.4319999999999998E-6</v>
      </c>
      <c r="S372" s="13">
        <v>99999</v>
      </c>
      <c r="T372" s="13">
        <v>99999</v>
      </c>
      <c r="U372" s="13">
        <v>1.9370935936371672E-3</v>
      </c>
    </row>
    <row r="373" spans="1:21" x14ac:dyDescent="0.2">
      <c r="A373">
        <v>274</v>
      </c>
      <c r="B373" s="12">
        <v>1</v>
      </c>
      <c r="C373" s="16">
        <v>1746</v>
      </c>
      <c r="D373" s="16">
        <v>1746</v>
      </c>
      <c r="E373" s="3">
        <v>16.27737819192</v>
      </c>
      <c r="F373" s="3">
        <v>9.7945173674999992</v>
      </c>
      <c r="G373" s="3">
        <v>-5.0699999999999997E-7</v>
      </c>
      <c r="H373" s="3">
        <v>5.4880000000000004E-7</v>
      </c>
      <c r="I373" s="3">
        <v>-3.664E-7</v>
      </c>
      <c r="J373" s="3">
        <v>5.989E-7</v>
      </c>
      <c r="K373" s="3">
        <v>-1.6630000000000001E-10</v>
      </c>
      <c r="L373" s="3">
        <v>1.495E-10</v>
      </c>
      <c r="M373" s="3">
        <v>-1.116E-6</v>
      </c>
      <c r="N373" s="3">
        <v>5.9020000000000008E-7</v>
      </c>
      <c r="O373" s="3">
        <v>-9.3079999999999994E-7</v>
      </c>
      <c r="P373" s="3">
        <v>1.1100000000000002E-6</v>
      </c>
      <c r="Q373" s="3">
        <v>4.1640000000000001E-9</v>
      </c>
      <c r="R373" s="3">
        <v>1.212E-6</v>
      </c>
      <c r="S373" s="13">
        <v>99999</v>
      </c>
      <c r="T373" s="13">
        <v>99999</v>
      </c>
      <c r="U373" s="13">
        <v>1.9369918690841936E-3</v>
      </c>
    </row>
    <row r="374" spans="1:21" x14ac:dyDescent="0.2">
      <c r="A374">
        <v>275</v>
      </c>
      <c r="B374" s="12">
        <v>1</v>
      </c>
      <c r="C374" s="16">
        <v>1792</v>
      </c>
      <c r="D374" s="16">
        <v>1792</v>
      </c>
      <c r="E374" s="3">
        <v>16.273691766576</v>
      </c>
      <c r="F374" s="3">
        <v>9.7922649914999997</v>
      </c>
      <c r="G374" s="3">
        <v>-5.3899999999999994E-7</v>
      </c>
      <c r="H374" s="3">
        <v>5.7090000000000001E-7</v>
      </c>
      <c r="I374" s="3">
        <v>-3.7850000000000001E-7</v>
      </c>
      <c r="J374" s="3">
        <v>5.9980000000000006E-7</v>
      </c>
      <c r="K374" s="3">
        <v>-1.6640000000000001E-10</v>
      </c>
      <c r="L374" s="3">
        <v>1.485E-10</v>
      </c>
      <c r="M374" s="3">
        <v>-9.8160000000000005E-7</v>
      </c>
      <c r="N374" s="3">
        <v>5.1239999999999996E-7</v>
      </c>
      <c r="O374" s="3">
        <v>-8.1139999999999997E-7</v>
      </c>
      <c r="P374" s="3">
        <v>9.9670000000000013E-7</v>
      </c>
      <c r="Q374" s="3">
        <v>1.076E-8</v>
      </c>
      <c r="R374" s="3">
        <v>1.065E-6</v>
      </c>
      <c r="S374" s="13">
        <v>99999</v>
      </c>
      <c r="T374" s="13">
        <v>99999</v>
      </c>
      <c r="U374" s="13">
        <v>1.9369310099402648E-3</v>
      </c>
    </row>
    <row r="375" spans="1:21" x14ac:dyDescent="0.2">
      <c r="A375">
        <v>276</v>
      </c>
      <c r="B375" s="12">
        <v>1</v>
      </c>
      <c r="C375" s="16">
        <v>1823</v>
      </c>
      <c r="D375" s="16">
        <v>1823</v>
      </c>
      <c r="E375" s="3">
        <v>16.271223178175998</v>
      </c>
      <c r="F375" s="3">
        <v>9.7907567039999996</v>
      </c>
      <c r="G375" s="3">
        <v>-5.7319999999999997E-7</v>
      </c>
      <c r="H375" s="3">
        <v>5.9540000000000005E-7</v>
      </c>
      <c r="I375" s="3">
        <v>-3.9239999999999999E-7</v>
      </c>
      <c r="J375" s="3">
        <v>6.1220000000000004E-7</v>
      </c>
      <c r="K375" s="3">
        <v>-1.6649999999999999E-10</v>
      </c>
      <c r="L375" s="3">
        <v>1.4780000000000002E-10</v>
      </c>
      <c r="M375" s="3">
        <v>-8.9190000000000009E-7</v>
      </c>
      <c r="N375" s="3">
        <v>4.5849999999999998E-7</v>
      </c>
      <c r="O375" s="3">
        <v>-7.3979999999999999E-7</v>
      </c>
      <c r="P375" s="3">
        <v>9.161E-7</v>
      </c>
      <c r="Q375" s="3">
        <v>1.5049999999999999E-8</v>
      </c>
      <c r="R375" s="3">
        <v>9.668E-7</v>
      </c>
      <c r="S375" s="13">
        <v>99999</v>
      </c>
      <c r="T375" s="13">
        <v>99999</v>
      </c>
      <c r="U375" s="13">
        <v>1.9368972114106708E-3</v>
      </c>
    </row>
    <row r="376" spans="1:21" x14ac:dyDescent="0.2">
      <c r="A376">
        <v>278</v>
      </c>
      <c r="B376" s="12">
        <v>1</v>
      </c>
      <c r="C376" s="16">
        <v>1844</v>
      </c>
      <c r="D376" s="16">
        <v>1844</v>
      </c>
      <c r="E376" s="3">
        <v>16.267948184231997</v>
      </c>
      <c r="F376" s="3">
        <v>9.7887557092499993</v>
      </c>
      <c r="G376" s="3">
        <v>-3.3439999999999998E-7</v>
      </c>
      <c r="H376" s="3">
        <v>3.5030000000000001E-7</v>
      </c>
      <c r="I376" s="3">
        <v>-2.4569999999999998E-7</v>
      </c>
      <c r="J376" s="3">
        <v>2.9569999999999998E-7</v>
      </c>
      <c r="K376" s="3">
        <v>-1.6540000000000002E-10</v>
      </c>
      <c r="L376" s="3">
        <v>1.469E-10</v>
      </c>
      <c r="M376" s="3">
        <v>-7.85E-7</v>
      </c>
      <c r="N376" s="3">
        <v>3.911E-7</v>
      </c>
      <c r="O376" s="3">
        <v>-6.5180000000000005E-7</v>
      </c>
      <c r="P376" s="3">
        <v>8.1680000000000006E-7</v>
      </c>
      <c r="Q376" s="3">
        <v>2.0940000000000001E-8</v>
      </c>
      <c r="R376" s="3">
        <v>8.4960000000000009E-7</v>
      </c>
      <c r="S376" s="13">
        <v>99999</v>
      </c>
      <c r="T376" s="13">
        <v>99999</v>
      </c>
      <c r="U376" s="13">
        <v>1.9366918895493989E-3</v>
      </c>
    </row>
    <row r="377" spans="1:21" x14ac:dyDescent="0.2">
      <c r="A377">
        <v>279</v>
      </c>
      <c r="B377" s="12">
        <v>1</v>
      </c>
      <c r="C377" s="16">
        <v>1842</v>
      </c>
      <c r="D377" s="16">
        <v>1842</v>
      </c>
      <c r="E377" s="3">
        <v>16.267125321432001</v>
      </c>
      <c r="F377" s="3">
        <v>9.7882529467499992</v>
      </c>
      <c r="G377" s="3">
        <v>-3.502E-7</v>
      </c>
      <c r="H377" s="3">
        <v>3.7440000000000002E-7</v>
      </c>
      <c r="I377" s="3">
        <v>-2.5980000000000004E-7</v>
      </c>
      <c r="J377" s="3">
        <v>3.2009999999999996E-7</v>
      </c>
      <c r="K377" s="3">
        <v>-1.608E-10</v>
      </c>
      <c r="L377" s="3">
        <v>1.4429999999999998E-10</v>
      </c>
      <c r="M377" s="3">
        <v>-7.7019999999999995E-7</v>
      </c>
      <c r="N377" s="3">
        <v>3.8010000000000002E-7</v>
      </c>
      <c r="O377" s="3">
        <v>-6.3960000000000009E-7</v>
      </c>
      <c r="P377" s="3">
        <v>8.0420000000000007E-7</v>
      </c>
      <c r="Q377" s="3">
        <v>2.2699999999999998E-8</v>
      </c>
      <c r="R377" s="3">
        <v>8.3330000000000003E-7</v>
      </c>
      <c r="S377" s="13">
        <v>99999</v>
      </c>
      <c r="T377" s="13">
        <v>99999</v>
      </c>
      <c r="U377" s="13">
        <v>1.9365804448682044E-3</v>
      </c>
    </row>
    <row r="378" spans="1:21" x14ac:dyDescent="0.2">
      <c r="A378">
        <v>280</v>
      </c>
      <c r="B378" s="12">
        <v>1</v>
      </c>
      <c r="C378" s="16">
        <v>1838</v>
      </c>
      <c r="D378" s="16">
        <v>1838</v>
      </c>
      <c r="E378" s="3">
        <v>16.264656733031998</v>
      </c>
      <c r="F378" s="3">
        <v>9.7867446592500009</v>
      </c>
      <c r="G378" s="3">
        <v>-3.5170000000000001E-7</v>
      </c>
      <c r="H378" s="3">
        <v>3.7780000000000001E-7</v>
      </c>
      <c r="I378" s="3">
        <v>-2.614E-7</v>
      </c>
      <c r="J378" s="3">
        <v>3.1930000000000001E-7</v>
      </c>
      <c r="K378" s="3">
        <v>-1.5730000000000002E-10</v>
      </c>
      <c r="L378" s="3">
        <v>1.4229999999999999E-10</v>
      </c>
      <c r="M378" s="3">
        <v>-7.2450000000000001E-7</v>
      </c>
      <c r="N378" s="3">
        <v>3.4499999999999998E-7</v>
      </c>
      <c r="O378" s="3">
        <v>-5.9910000000000001E-7</v>
      </c>
      <c r="P378" s="3">
        <v>7.6139999999999992E-7</v>
      </c>
      <c r="Q378" s="3">
        <v>2.7859999999999999E-8</v>
      </c>
      <c r="R378" s="3">
        <v>7.9049999999999999E-7</v>
      </c>
      <c r="S378" s="13">
        <v>99999</v>
      </c>
      <c r="T378" s="13">
        <v>99999</v>
      </c>
      <c r="U378" s="13">
        <v>0.13057226626780538</v>
      </c>
    </row>
    <row r="379" spans="1:21" x14ac:dyDescent="0.2">
      <c r="A379">
        <v>281</v>
      </c>
      <c r="B379" s="12">
        <v>1</v>
      </c>
      <c r="C379" s="16">
        <v>1843</v>
      </c>
      <c r="D379" s="16">
        <v>1843</v>
      </c>
      <c r="E379" s="3">
        <v>16.259736013487998</v>
      </c>
      <c r="F379" s="3">
        <v>9.7837381394999987</v>
      </c>
      <c r="G379" s="3">
        <v>-3.5060000000000003E-7</v>
      </c>
      <c r="H379" s="3">
        <v>3.77E-7</v>
      </c>
      <c r="I379" s="3">
        <v>-2.607E-7</v>
      </c>
      <c r="J379" s="3">
        <v>3.1619999999999999E-7</v>
      </c>
      <c r="K379" s="3">
        <v>-1.5720000000000001E-10</v>
      </c>
      <c r="L379" s="3">
        <v>1.4229999999999999E-10</v>
      </c>
      <c r="M379" s="3">
        <v>-6.4039999999999994E-7</v>
      </c>
      <c r="N379" s="3">
        <v>2.7940000000000003E-7</v>
      </c>
      <c r="O379" s="3">
        <v>-5.2239999999999997E-7</v>
      </c>
      <c r="P379" s="3">
        <v>6.7460000000000007E-7</v>
      </c>
      <c r="Q379" s="3">
        <v>3.4100000000000001E-8</v>
      </c>
      <c r="R379" s="3">
        <v>7.075E-7</v>
      </c>
      <c r="S379" s="13">
        <v>99999</v>
      </c>
      <c r="T379" s="13">
        <v>99999</v>
      </c>
      <c r="U379" s="13">
        <v>0.13068988969571538</v>
      </c>
    </row>
    <row r="380" spans="1:21" x14ac:dyDescent="0.2">
      <c r="A380">
        <v>282</v>
      </c>
      <c r="B380" s="12">
        <v>1</v>
      </c>
      <c r="C380" s="16">
        <v>1850</v>
      </c>
      <c r="D380" s="16">
        <v>1850</v>
      </c>
      <c r="E380" s="3">
        <v>16.252379620056001</v>
      </c>
      <c r="F380" s="3">
        <v>9.7792434427499995</v>
      </c>
      <c r="G380" s="3">
        <v>-3.4820000000000001E-7</v>
      </c>
      <c r="H380" s="3">
        <v>3.7510000000000002E-7</v>
      </c>
      <c r="I380" s="3">
        <v>-2.5880000000000001E-7</v>
      </c>
      <c r="J380" s="3">
        <v>3.1110000000000003E-7</v>
      </c>
      <c r="K380" s="3">
        <v>-1.5710000000000001E-10</v>
      </c>
      <c r="L380" s="3">
        <v>1.4219999999999998E-10</v>
      </c>
      <c r="M380" s="3">
        <v>-5.2039999999999992E-7</v>
      </c>
      <c r="N380" s="3">
        <v>2.5030000000000001E-7</v>
      </c>
      <c r="O380" s="3">
        <v>-4.1450000000000001E-7</v>
      </c>
      <c r="P380" s="3">
        <v>5.4429999999999992E-7</v>
      </c>
      <c r="Q380" s="3">
        <v>5.7280000000000001E-9</v>
      </c>
      <c r="R380" s="3">
        <v>5.8509999999999991E-7</v>
      </c>
      <c r="S380" s="13">
        <v>99999</v>
      </c>
      <c r="T380" s="13">
        <v>99999</v>
      </c>
      <c r="U380" s="13">
        <v>0.13085283236990439</v>
      </c>
    </row>
    <row r="381" spans="1:21" x14ac:dyDescent="0.2">
      <c r="A381">
        <v>283</v>
      </c>
      <c r="B381" s="12">
        <v>1</v>
      </c>
      <c r="C381" s="16">
        <v>1861</v>
      </c>
      <c r="D381" s="16">
        <v>1861</v>
      </c>
      <c r="E381" s="3">
        <v>16.241320344024</v>
      </c>
      <c r="F381" s="3">
        <v>9.772486314750001</v>
      </c>
      <c r="G381" s="3">
        <v>-3.425E-7</v>
      </c>
      <c r="H381" s="3">
        <v>3.6959999999999997E-7</v>
      </c>
      <c r="I381" s="3">
        <v>-2.5409999999999998E-7</v>
      </c>
      <c r="J381" s="3">
        <v>3.0269999999999998E-7</v>
      </c>
      <c r="K381" s="3">
        <v>-1.5679999999999999E-10</v>
      </c>
      <c r="L381" s="3">
        <v>1.4210000000000001E-10</v>
      </c>
      <c r="M381" s="3">
        <v>-3.9470000000000001E-7</v>
      </c>
      <c r="N381" s="3">
        <v>3.3449999999999998E-7</v>
      </c>
      <c r="O381" s="3">
        <v>-4.8380000000000003E-7</v>
      </c>
      <c r="P381" s="3">
        <v>3.5919999999999999E-7</v>
      </c>
      <c r="Q381" s="3">
        <v>8.8029999999999995E-9</v>
      </c>
      <c r="R381" s="3">
        <v>5.0489999999999992E-7</v>
      </c>
      <c r="S381" s="13">
        <v>99999</v>
      </c>
      <c r="T381" s="13">
        <v>99999</v>
      </c>
      <c r="U381" s="13">
        <v>0.13111237456539324</v>
      </c>
    </row>
    <row r="382" spans="1:21" x14ac:dyDescent="0.2">
      <c r="A382">
        <v>284</v>
      </c>
      <c r="B382" s="12">
        <v>1</v>
      </c>
      <c r="C382" s="16">
        <v>1877</v>
      </c>
      <c r="D382" s="16">
        <v>1877</v>
      </c>
      <c r="E382" s="3">
        <v>16.224747887231999</v>
      </c>
      <c r="F382" s="3">
        <v>9.7623606779999985</v>
      </c>
      <c r="G382" s="3">
        <v>-3.291E-7</v>
      </c>
      <c r="H382" s="3">
        <v>3.558E-7</v>
      </c>
      <c r="I382" s="3">
        <v>-2.4250000000000001E-7</v>
      </c>
      <c r="J382" s="3">
        <v>2.882E-7</v>
      </c>
      <c r="K382" s="3">
        <v>-1.565E-10</v>
      </c>
      <c r="L382" s="3">
        <v>1.419E-10</v>
      </c>
      <c r="M382" s="3">
        <v>-3.0969999999999997E-7</v>
      </c>
      <c r="N382" s="3">
        <v>4.6250000000000002E-7</v>
      </c>
      <c r="O382" s="3">
        <v>-6.6229999999999999E-7</v>
      </c>
      <c r="P382" s="3">
        <v>3.6400000000000003E-7</v>
      </c>
      <c r="Q382" s="3">
        <v>2.098E-8</v>
      </c>
      <c r="R382" s="3">
        <v>6.6349999999999998E-7</v>
      </c>
      <c r="S382" s="13">
        <v>99999</v>
      </c>
      <c r="T382" s="13">
        <v>99999</v>
      </c>
      <c r="U382" s="13">
        <v>0.1314900431945713</v>
      </c>
    </row>
    <row r="383" spans="1:21" x14ac:dyDescent="0.2">
      <c r="A383">
        <v>285</v>
      </c>
      <c r="B383" s="12">
        <v>1</v>
      </c>
      <c r="C383" s="16">
        <v>1902</v>
      </c>
      <c r="D383" s="16">
        <v>1902</v>
      </c>
      <c r="E383" s="3">
        <v>16.199880973415997</v>
      </c>
      <c r="F383" s="3">
        <v>9.7471671952500003</v>
      </c>
      <c r="G383" s="3">
        <v>-2.9719999999999999E-7</v>
      </c>
      <c r="H383" s="3">
        <v>3.2140000000000001E-7</v>
      </c>
      <c r="I383" s="3">
        <v>-2.1430000000000001E-7</v>
      </c>
      <c r="J383" s="3">
        <v>2.6110000000000003E-7</v>
      </c>
      <c r="K383" s="3">
        <v>-1.5610000000000001E-10</v>
      </c>
      <c r="L383" s="3">
        <v>1.415E-10</v>
      </c>
      <c r="M383" s="3">
        <v>-6.7599999999999997E-7</v>
      </c>
      <c r="N383" s="3">
        <v>6.3990000000000001E-7</v>
      </c>
      <c r="O383" s="3">
        <v>-9.8499999999999989E-7</v>
      </c>
      <c r="P383" s="3">
        <v>9.0149999999999997E-7</v>
      </c>
      <c r="Q383" s="3">
        <v>3.5859999999999998E-8</v>
      </c>
      <c r="R383" s="3">
        <v>1.006E-6</v>
      </c>
      <c r="S383" s="13">
        <v>99999</v>
      </c>
      <c r="T383" s="13">
        <v>99999</v>
      </c>
      <c r="U383" s="13">
        <v>0.13209069305774868</v>
      </c>
    </row>
    <row r="384" spans="1:21" x14ac:dyDescent="0.2">
      <c r="A384">
        <v>286</v>
      </c>
      <c r="B384" s="12">
        <v>1</v>
      </c>
      <c r="C384" s="16">
        <v>1939</v>
      </c>
      <c r="D384" s="16">
        <v>1939</v>
      </c>
      <c r="E384" s="3">
        <v>16.162605288576</v>
      </c>
      <c r="F384" s="3">
        <v>9.7243920539999991</v>
      </c>
      <c r="G384" s="3">
        <v>-2.3560000000000002E-7</v>
      </c>
      <c r="H384" s="3">
        <v>2.4860000000000004E-7</v>
      </c>
      <c r="I384" s="3">
        <v>-1.5559999999999999E-7</v>
      </c>
      <c r="J384" s="3">
        <v>2.1369999999999999E-7</v>
      </c>
      <c r="K384" s="3">
        <v>-1.5550000000000001E-10</v>
      </c>
      <c r="L384" s="3">
        <v>1.409E-10</v>
      </c>
      <c r="M384" s="3">
        <v>-1.1620000000000001E-6</v>
      </c>
      <c r="N384" s="3">
        <v>1.0750000000000001E-6</v>
      </c>
      <c r="O384" s="3">
        <v>-1.658E-6</v>
      </c>
      <c r="P384" s="3">
        <v>1.6299999999999999E-6</v>
      </c>
      <c r="Q384" s="3">
        <v>3.6100000000000006E-8</v>
      </c>
      <c r="R384" s="3">
        <v>1.8109999999999999E-6</v>
      </c>
      <c r="S384" s="13">
        <v>99999</v>
      </c>
      <c r="T384" s="13">
        <v>99999</v>
      </c>
      <c r="U384" s="13">
        <v>0.13299006073650371</v>
      </c>
    </row>
    <row r="385" spans="1:21" x14ac:dyDescent="0.2">
      <c r="A385">
        <v>287</v>
      </c>
      <c r="B385" s="12">
        <v>1</v>
      </c>
      <c r="C385" s="16">
        <v>1987</v>
      </c>
      <c r="D385" s="16">
        <v>1987</v>
      </c>
      <c r="E385" s="3">
        <v>16.113496836671999</v>
      </c>
      <c r="F385" s="3">
        <v>9.6943871879999985</v>
      </c>
      <c r="G385" s="3">
        <v>-1.7430000000000002E-7</v>
      </c>
      <c r="H385" s="3">
        <v>1.7349999999999999E-7</v>
      </c>
      <c r="I385" s="3">
        <v>-1.066E-7</v>
      </c>
      <c r="J385" s="3">
        <v>1.5169999999999999E-7</v>
      </c>
      <c r="K385" s="3">
        <v>-1.548E-10</v>
      </c>
      <c r="L385" s="3">
        <v>1.4019999999999999E-10</v>
      </c>
      <c r="M385" s="3">
        <v>-1.626E-6</v>
      </c>
      <c r="N385" s="3">
        <v>1.6930000000000001E-6</v>
      </c>
      <c r="O385" s="3">
        <v>-2.3470000000000001E-6</v>
      </c>
      <c r="P385" s="3">
        <v>2.3709999999999998E-6</v>
      </c>
      <c r="Q385" s="3">
        <v>1.9959999999999999E-7</v>
      </c>
      <c r="R385" s="3">
        <v>2.6170000000000001E-6</v>
      </c>
      <c r="S385" s="13">
        <v>99999</v>
      </c>
      <c r="T385" s="13">
        <v>99999</v>
      </c>
      <c r="U385" s="13">
        <v>0.13417538149817043</v>
      </c>
    </row>
    <row r="386" spans="1:21" x14ac:dyDescent="0.2">
      <c r="A386">
        <v>288</v>
      </c>
      <c r="B386" s="12">
        <v>1</v>
      </c>
      <c r="C386" s="16">
        <v>2036</v>
      </c>
      <c r="D386" s="16">
        <v>2036</v>
      </c>
      <c r="E386" s="3">
        <v>16.064388384768002</v>
      </c>
      <c r="F386" s="3">
        <v>9.6643823219999998</v>
      </c>
      <c r="G386" s="3">
        <v>-1.1000000000000001E-7</v>
      </c>
      <c r="H386" s="3">
        <v>1.4249999999999999E-7</v>
      </c>
      <c r="I386" s="3">
        <v>-9.0939999999999992E-8</v>
      </c>
      <c r="J386" s="3">
        <v>1.0560000000000001E-7</v>
      </c>
      <c r="K386" s="3">
        <v>-1.5419999999999999E-10</v>
      </c>
      <c r="L386" s="3">
        <v>1.3939999999999998E-10</v>
      </c>
      <c r="M386" s="3">
        <v>-1.843E-6</v>
      </c>
      <c r="N386" s="3">
        <v>2.1450000000000002E-6</v>
      </c>
      <c r="O386" s="3">
        <v>-2.7520000000000001E-6</v>
      </c>
      <c r="P386" s="3">
        <v>2.8030000000000001E-6</v>
      </c>
      <c r="Q386" s="3">
        <v>2.022E-7</v>
      </c>
      <c r="R386" s="3">
        <v>3.0639999999999998E-6</v>
      </c>
      <c r="S386" s="13">
        <v>99999</v>
      </c>
      <c r="T386" s="13">
        <v>99999</v>
      </c>
      <c r="U386" s="13">
        <v>0.13541509450034539</v>
      </c>
    </row>
    <row r="387" spans="1:21" x14ac:dyDescent="0.2">
      <c r="A387">
        <v>289</v>
      </c>
      <c r="B387" s="12">
        <v>1</v>
      </c>
      <c r="C387" s="16">
        <v>2084</v>
      </c>
      <c r="D387" s="16">
        <v>2084</v>
      </c>
      <c r="E387" s="3">
        <v>16.015263475607998</v>
      </c>
      <c r="F387" s="3">
        <v>9.6343674007499995</v>
      </c>
      <c r="G387" s="3">
        <v>-9.0589999999999993E-8</v>
      </c>
      <c r="H387" s="3">
        <v>1.3579999999999999E-7</v>
      </c>
      <c r="I387" s="3">
        <v>-1.494E-7</v>
      </c>
      <c r="J387" s="3">
        <v>9.5920000000000001E-8</v>
      </c>
      <c r="K387" s="3">
        <v>-1.5359999999999999E-10</v>
      </c>
      <c r="L387" s="3">
        <v>1.387E-10</v>
      </c>
      <c r="M387" s="3">
        <v>-1.9079999999999998E-6</v>
      </c>
      <c r="N387" s="3">
        <v>2.402E-6</v>
      </c>
      <c r="O387" s="3">
        <v>-2.8479999999999997E-6</v>
      </c>
      <c r="P387" s="3">
        <v>2.8999999999999998E-6</v>
      </c>
      <c r="Q387" s="3">
        <v>1.4259999999999999E-7</v>
      </c>
      <c r="R387" s="3">
        <v>3.1559999999999999E-6</v>
      </c>
      <c r="S387" s="13">
        <v>99999</v>
      </c>
      <c r="T387" s="13">
        <v>99999</v>
      </c>
      <c r="U387" s="13">
        <v>0.13664877486977722</v>
      </c>
    </row>
    <row r="388" spans="1:21" x14ac:dyDescent="0.2">
      <c r="A388">
        <v>290</v>
      </c>
      <c r="B388" s="12">
        <v>1</v>
      </c>
      <c r="C388" s="16">
        <v>2133</v>
      </c>
      <c r="D388" s="16">
        <v>2133</v>
      </c>
      <c r="E388" s="3">
        <v>15.966155023703999</v>
      </c>
      <c r="F388" s="3">
        <v>9.604362534749999</v>
      </c>
      <c r="G388" s="3">
        <v>-1.55E-7</v>
      </c>
      <c r="H388" s="3">
        <v>1.853E-7</v>
      </c>
      <c r="I388" s="3">
        <v>-1.839E-7</v>
      </c>
      <c r="J388" s="3">
        <v>1.519E-7</v>
      </c>
      <c r="K388" s="3">
        <v>-1.5309999999999999E-10</v>
      </c>
      <c r="L388" s="3">
        <v>1.3799999999999999E-10</v>
      </c>
      <c r="M388" s="3">
        <v>-1.9120000000000001E-6</v>
      </c>
      <c r="N388" s="3">
        <v>2.463E-6</v>
      </c>
      <c r="O388" s="3">
        <v>-2.6410000000000002E-6</v>
      </c>
      <c r="P388" s="3">
        <v>2.6749999999999998E-6</v>
      </c>
      <c r="Q388" s="3">
        <v>9.1590000000000002E-8</v>
      </c>
      <c r="R388" s="3">
        <v>3.32E-6</v>
      </c>
      <c r="S388" s="13">
        <v>99999</v>
      </c>
      <c r="T388" s="13">
        <v>99999</v>
      </c>
      <c r="U388" s="13">
        <v>0.13793648447516535</v>
      </c>
    </row>
    <row r="389" spans="1:21" x14ac:dyDescent="0.2">
      <c r="A389">
        <v>291</v>
      </c>
      <c r="B389" s="12">
        <v>1</v>
      </c>
      <c r="C389" s="16">
        <v>2169</v>
      </c>
      <c r="D389" s="16">
        <v>2169</v>
      </c>
      <c r="E389" s="3">
        <v>15.929323684776</v>
      </c>
      <c r="F389" s="3">
        <v>9.58185888525</v>
      </c>
      <c r="G389" s="3">
        <v>-1.9719999999999999E-7</v>
      </c>
      <c r="H389" s="3">
        <v>2.0919999999999999E-7</v>
      </c>
      <c r="I389" s="3">
        <v>-1.9469999999999999E-7</v>
      </c>
      <c r="J389" s="3">
        <v>1.7799999999999998E-7</v>
      </c>
      <c r="K389" s="3">
        <v>-1.527E-10</v>
      </c>
      <c r="L389" s="3">
        <v>1.3740000000000001E-10</v>
      </c>
      <c r="M389" s="3">
        <v>-1.8159999999999999E-6</v>
      </c>
      <c r="N389" s="3">
        <v>2.39E-6</v>
      </c>
      <c r="O389" s="3">
        <v>-2.548E-6</v>
      </c>
      <c r="P389" s="3">
        <v>2.6919999999999998E-6</v>
      </c>
      <c r="Q389" s="3">
        <v>1.105E-7</v>
      </c>
      <c r="R389" s="3">
        <v>3.2909999999999999E-6</v>
      </c>
      <c r="S389" s="13">
        <v>99999</v>
      </c>
      <c r="T389" s="13">
        <v>99999</v>
      </c>
      <c r="U389" s="13">
        <v>0.13889411529834911</v>
      </c>
    </row>
    <row r="390" spans="1:21" x14ac:dyDescent="0.2">
      <c r="A390">
        <v>292</v>
      </c>
      <c r="B390" s="12">
        <v>1</v>
      </c>
      <c r="C390" s="16">
        <v>2194</v>
      </c>
      <c r="D390" s="16">
        <v>2194</v>
      </c>
      <c r="E390" s="3">
        <v>15.904769458823999</v>
      </c>
      <c r="F390" s="3">
        <v>9.5668564522500006</v>
      </c>
      <c r="G390" s="3">
        <v>-2.178E-7</v>
      </c>
      <c r="H390" s="3">
        <v>2.1939999999999999E-7</v>
      </c>
      <c r="I390" s="3">
        <v>-1.956E-7</v>
      </c>
      <c r="J390" s="3">
        <v>1.8839999999999999E-7</v>
      </c>
      <c r="K390" s="3">
        <v>-1.5249999999999999E-10</v>
      </c>
      <c r="L390" s="3">
        <v>1.371E-10</v>
      </c>
      <c r="M390" s="3">
        <v>-1.739E-6</v>
      </c>
      <c r="N390" s="3">
        <v>2.2929999999999999E-6</v>
      </c>
      <c r="O390" s="3">
        <v>-2.4650000000000001E-6</v>
      </c>
      <c r="P390" s="3">
        <v>2.6840000000000001E-6</v>
      </c>
      <c r="Q390" s="3">
        <v>1.4440000000000002E-7</v>
      </c>
      <c r="R390" s="3">
        <v>3.2030000000000001E-6</v>
      </c>
      <c r="S390" s="13">
        <v>99999</v>
      </c>
      <c r="T390" s="13">
        <v>99999</v>
      </c>
      <c r="U390" s="13">
        <v>0.13957084318762256</v>
      </c>
    </row>
    <row r="391" spans="1:21" x14ac:dyDescent="0.2">
      <c r="A391">
        <v>293</v>
      </c>
      <c r="B391" s="12">
        <v>1</v>
      </c>
      <c r="C391" s="16">
        <v>2210</v>
      </c>
      <c r="D391" s="16">
        <v>2210</v>
      </c>
      <c r="E391" s="3">
        <v>15.888410946359999</v>
      </c>
      <c r="F391" s="3">
        <v>9.5568615337500002</v>
      </c>
      <c r="G391" s="3">
        <v>-2.3090000000000001E-7</v>
      </c>
      <c r="H391" s="3">
        <v>2.2580000000000002E-7</v>
      </c>
      <c r="I391" s="3">
        <v>-1.9369999999999999E-7</v>
      </c>
      <c r="J391" s="3">
        <v>1.9369999999999999E-7</v>
      </c>
      <c r="K391" s="3">
        <v>-1.522E-10</v>
      </c>
      <c r="L391" s="3">
        <v>1.3680000000000001E-10</v>
      </c>
      <c r="M391" s="3">
        <v>-1.689E-6</v>
      </c>
      <c r="N391" s="3">
        <v>2.2390000000000001E-6</v>
      </c>
      <c r="O391" s="3">
        <v>-2.3889999999999999E-6</v>
      </c>
      <c r="P391" s="3">
        <v>2.6749999999999998E-6</v>
      </c>
      <c r="Q391" s="3">
        <v>9.3979999999999998E-8</v>
      </c>
      <c r="R391" s="3">
        <v>3.1319999999999998E-6</v>
      </c>
      <c r="S391" s="13">
        <v>99999</v>
      </c>
      <c r="T391" s="13">
        <v>99999</v>
      </c>
      <c r="U391" s="13">
        <v>0.16024468758527083</v>
      </c>
    </row>
    <row r="392" spans="1:21" x14ac:dyDescent="0.2">
      <c r="A392">
        <v>294</v>
      </c>
      <c r="B392" s="12">
        <v>1</v>
      </c>
      <c r="C392" s="16">
        <v>2212</v>
      </c>
      <c r="D392" s="16">
        <v>2212</v>
      </c>
      <c r="E392" s="3">
        <v>15.871986604871999</v>
      </c>
      <c r="F392" s="3">
        <v>9.5468263942499991</v>
      </c>
      <c r="G392" s="3">
        <v>-2.452E-7</v>
      </c>
      <c r="H392" s="3">
        <v>2.4279999999999998E-7</v>
      </c>
      <c r="I392" s="3">
        <v>-1.874E-7</v>
      </c>
      <c r="J392" s="3">
        <v>1.97E-7</v>
      </c>
      <c r="K392" s="3">
        <v>-1.5190000000000001E-10</v>
      </c>
      <c r="L392" s="3">
        <v>1.3650000000000002E-10</v>
      </c>
      <c r="M392" s="3">
        <v>-1.6280000000000001E-6</v>
      </c>
      <c r="N392" s="3">
        <v>2.176E-6</v>
      </c>
      <c r="O392" s="3">
        <v>-2.2980000000000003E-6</v>
      </c>
      <c r="P392" s="3">
        <v>2.6689999999999998E-6</v>
      </c>
      <c r="Q392" s="3">
        <v>1.5339999999999998E-7</v>
      </c>
      <c r="R392" s="3">
        <v>3.044E-6</v>
      </c>
      <c r="S392" s="13">
        <v>99999</v>
      </c>
      <c r="T392" s="13">
        <v>99999</v>
      </c>
      <c r="U392" s="13">
        <v>0.16023390033356605</v>
      </c>
    </row>
    <row r="393" spans="1:21" x14ac:dyDescent="0.2">
      <c r="A393">
        <v>295</v>
      </c>
      <c r="B393" s="12">
        <v>1</v>
      </c>
      <c r="C393" s="16">
        <v>2215</v>
      </c>
      <c r="D393" s="16">
        <v>2215</v>
      </c>
      <c r="E393" s="3">
        <v>15.847350092639999</v>
      </c>
      <c r="F393" s="3">
        <v>9.531773685000001</v>
      </c>
      <c r="G393" s="3">
        <v>-2.5660000000000001E-7</v>
      </c>
      <c r="H393" s="3">
        <v>2.593E-7</v>
      </c>
      <c r="I393" s="3">
        <v>-1.6899999999999999E-7</v>
      </c>
      <c r="J393" s="3">
        <v>1.92E-7</v>
      </c>
      <c r="K393" s="3">
        <v>-1.5139999999999999E-10</v>
      </c>
      <c r="L393" s="3">
        <v>1.366E-10</v>
      </c>
      <c r="M393" s="3">
        <v>-1.514E-6</v>
      </c>
      <c r="N393" s="3">
        <v>2.057E-6</v>
      </c>
      <c r="O393" s="3">
        <v>-2.1329999999999997E-6</v>
      </c>
      <c r="P393" s="3">
        <v>2.6199999999999999E-6</v>
      </c>
      <c r="Q393" s="3">
        <v>8.4629999999999997E-8</v>
      </c>
      <c r="R393" s="3">
        <v>2.869E-6</v>
      </c>
      <c r="S393" s="13">
        <v>99999</v>
      </c>
      <c r="T393" s="13">
        <v>99999</v>
      </c>
      <c r="U393" s="13">
        <v>0.16021799463315128</v>
      </c>
    </row>
    <row r="394" spans="1:21" x14ac:dyDescent="0.2">
      <c r="A394">
        <v>296</v>
      </c>
      <c r="B394" s="12">
        <v>1</v>
      </c>
      <c r="C394" s="16">
        <v>2219</v>
      </c>
      <c r="D394" s="16">
        <v>2219</v>
      </c>
      <c r="E394" s="3">
        <v>15.810387095663998</v>
      </c>
      <c r="F394" s="3">
        <v>9.5091895935000004</v>
      </c>
      <c r="G394" s="3">
        <v>-2.502E-7</v>
      </c>
      <c r="H394" s="3">
        <v>2.6249999999999997E-7</v>
      </c>
      <c r="I394" s="3">
        <v>-1.529E-7</v>
      </c>
      <c r="J394" s="3">
        <v>1.6229999999999999E-7</v>
      </c>
      <c r="K394" s="3">
        <v>-1.5069999999999998E-10</v>
      </c>
      <c r="L394" s="3">
        <v>1.3689999999999999E-10</v>
      </c>
      <c r="M394" s="3">
        <v>-1.545E-6</v>
      </c>
      <c r="N394" s="3">
        <v>1.826E-6</v>
      </c>
      <c r="O394" s="3">
        <v>-1.8300000000000001E-6</v>
      </c>
      <c r="P394" s="3">
        <v>2.4530000000000001E-6</v>
      </c>
      <c r="Q394" s="3">
        <v>1.2310000000000001E-7</v>
      </c>
      <c r="R394" s="3">
        <v>2.52E-6</v>
      </c>
      <c r="S394" s="13">
        <v>99999</v>
      </c>
      <c r="T394" s="13">
        <v>99999</v>
      </c>
      <c r="U394" s="13">
        <v>0.16017680358055034</v>
      </c>
    </row>
    <row r="395" spans="1:21" x14ac:dyDescent="0.2">
      <c r="A395">
        <v>297</v>
      </c>
      <c r="B395" s="12">
        <v>1</v>
      </c>
      <c r="C395" s="16">
        <v>2225</v>
      </c>
      <c r="D395" s="16">
        <v>2225</v>
      </c>
      <c r="E395" s="3">
        <v>15.754959057456</v>
      </c>
      <c r="F395" s="3">
        <v>9.4753235114999992</v>
      </c>
      <c r="G395" s="3">
        <v>-2.3929999999999998E-7</v>
      </c>
      <c r="H395" s="3">
        <v>2.301E-7</v>
      </c>
      <c r="I395" s="3">
        <v>-1.6369999999999999E-7</v>
      </c>
      <c r="J395" s="3">
        <v>1.5459999999999999E-7</v>
      </c>
      <c r="K395" s="3">
        <v>-1.4959999999999998E-10</v>
      </c>
      <c r="L395" s="3">
        <v>1.3729999999999998E-10</v>
      </c>
      <c r="M395" s="3">
        <v>-1.9429999999999999E-6</v>
      </c>
      <c r="N395" s="3">
        <v>1.4859999999999998E-6</v>
      </c>
      <c r="O395" s="3">
        <v>-1.3040000000000001E-6</v>
      </c>
      <c r="P395" s="3">
        <v>1.9849999999999996E-6</v>
      </c>
      <c r="Q395" s="3">
        <v>5.847E-8</v>
      </c>
      <c r="R395" s="3">
        <v>2.486E-6</v>
      </c>
      <c r="S395" s="13">
        <v>99999</v>
      </c>
      <c r="T395" s="13">
        <v>99999</v>
      </c>
      <c r="U395" s="13">
        <v>0.16011635160500906</v>
      </c>
    </row>
    <row r="396" spans="1:21" x14ac:dyDescent="0.2">
      <c r="A396">
        <v>298</v>
      </c>
      <c r="B396" s="12">
        <v>1</v>
      </c>
      <c r="C396" s="16">
        <v>2234</v>
      </c>
      <c r="D396" s="16">
        <v>2234</v>
      </c>
      <c r="E396" s="3">
        <v>15.672853807271999</v>
      </c>
      <c r="F396" s="3">
        <v>9.4251578692499987</v>
      </c>
      <c r="G396" s="3">
        <v>-2.8200000000000001E-7</v>
      </c>
      <c r="H396" s="3">
        <v>2.0110000000000002E-7</v>
      </c>
      <c r="I396" s="3">
        <v>-1.6049999999999999E-7</v>
      </c>
      <c r="J396" s="3">
        <v>1.6829999999999999E-7</v>
      </c>
      <c r="K396" s="3">
        <v>-1.4810000000000001E-10</v>
      </c>
      <c r="L396" s="3">
        <v>1.376E-10</v>
      </c>
      <c r="M396" s="3">
        <v>-1.9659999999999999E-6</v>
      </c>
      <c r="N396" s="3">
        <v>1.114E-6</v>
      </c>
      <c r="O396" s="3">
        <v>-1.57E-6</v>
      </c>
      <c r="P396" s="3">
        <v>2.4990000000000001E-6</v>
      </c>
      <c r="Q396" s="3">
        <v>1.487E-7</v>
      </c>
      <c r="R396" s="3">
        <v>2.5550000000000001E-6</v>
      </c>
      <c r="S396" s="13">
        <v>99999</v>
      </c>
      <c r="T396" s="13">
        <v>99999</v>
      </c>
      <c r="U396" s="13">
        <v>0.1600336203696385</v>
      </c>
    </row>
    <row r="397" spans="1:21" x14ac:dyDescent="0.2">
      <c r="A397">
        <v>299</v>
      </c>
      <c r="B397" s="12">
        <v>1</v>
      </c>
      <c r="C397" s="16">
        <v>2244</v>
      </c>
      <c r="D397" s="16">
        <v>2244</v>
      </c>
      <c r="E397" s="3">
        <v>15.590732099831998</v>
      </c>
      <c r="F397" s="3">
        <v>9.3749821717500001</v>
      </c>
      <c r="G397" s="3">
        <v>-2.5839999999999998E-7</v>
      </c>
      <c r="H397" s="3">
        <v>1.832E-7</v>
      </c>
      <c r="I397" s="3">
        <v>-1.4139999999999998E-7</v>
      </c>
      <c r="J397" s="3">
        <v>2.2320000000000001E-7</v>
      </c>
      <c r="K397" s="3">
        <v>-1.4659999999999999E-10</v>
      </c>
      <c r="L397" s="3">
        <v>1.3790000000000001E-10</v>
      </c>
      <c r="M397" s="3">
        <v>-1.7910000000000001E-6</v>
      </c>
      <c r="N397" s="3">
        <v>1.266E-6</v>
      </c>
      <c r="O397" s="3">
        <v>-2.007E-6</v>
      </c>
      <c r="P397" s="3">
        <v>2.5049999999999997E-6</v>
      </c>
      <c r="Q397" s="3">
        <v>1.938E-7</v>
      </c>
      <c r="R397" s="3">
        <v>2.5940000000000001E-6</v>
      </c>
      <c r="S397" s="13">
        <v>99999</v>
      </c>
      <c r="T397" s="13">
        <v>99999</v>
      </c>
      <c r="U397" s="13">
        <v>0.15999041232089403</v>
      </c>
    </row>
    <row r="398" spans="1:21" x14ac:dyDescent="0.2">
      <c r="A398">
        <v>300</v>
      </c>
      <c r="B398" s="12">
        <v>1</v>
      </c>
      <c r="C398" s="16">
        <v>2253</v>
      </c>
      <c r="D398" s="16">
        <v>2253</v>
      </c>
      <c r="E398" s="3">
        <v>15.508610392391999</v>
      </c>
      <c r="F398" s="3">
        <v>9.3248064742499999</v>
      </c>
      <c r="G398" s="3">
        <v>-2.336E-7</v>
      </c>
      <c r="H398" s="3">
        <v>1.6290000000000001E-7</v>
      </c>
      <c r="I398" s="3">
        <v>-1.4259999999999999E-7</v>
      </c>
      <c r="J398" s="3">
        <v>2.2599999999999999E-7</v>
      </c>
      <c r="K398" s="3">
        <v>-1.4490000000000001E-10</v>
      </c>
      <c r="L398" s="3">
        <v>1.3799999999999999E-10</v>
      </c>
      <c r="M398" s="3">
        <v>-1.652E-6</v>
      </c>
      <c r="N398" s="3">
        <v>1.7489999999999999E-6</v>
      </c>
      <c r="O398" s="3">
        <v>-2.136E-6</v>
      </c>
      <c r="P398" s="3">
        <v>2.136E-6</v>
      </c>
      <c r="Q398" s="3">
        <v>9.8060000000000006E-8</v>
      </c>
      <c r="R398" s="3">
        <v>2.3050000000000004E-6</v>
      </c>
      <c r="S398" s="13">
        <v>99999</v>
      </c>
      <c r="T398" s="13">
        <v>99999</v>
      </c>
      <c r="U398" s="13">
        <v>0.15991445392791725</v>
      </c>
    </row>
    <row r="399" spans="1:21" x14ac:dyDescent="0.2">
      <c r="A399">
        <v>301</v>
      </c>
      <c r="B399" s="12">
        <v>1</v>
      </c>
      <c r="C399" s="16">
        <v>2262</v>
      </c>
      <c r="D399" s="16">
        <v>2262</v>
      </c>
      <c r="E399" s="3">
        <v>15.426505142207999</v>
      </c>
      <c r="F399" s="3">
        <v>9.2746408320000011</v>
      </c>
      <c r="G399" s="3">
        <v>-2.7230000000000002E-7</v>
      </c>
      <c r="H399" s="3">
        <v>2.198E-7</v>
      </c>
      <c r="I399" s="3">
        <v>-1.3589999999999999E-7</v>
      </c>
      <c r="J399" s="3">
        <v>1.5379999999999999E-7</v>
      </c>
      <c r="K399" s="3">
        <v>-1.4320000000000001E-10</v>
      </c>
      <c r="L399" s="3">
        <v>1.3799999999999999E-10</v>
      </c>
      <c r="M399" s="3">
        <v>-1.556E-6</v>
      </c>
      <c r="N399" s="3">
        <v>1.9659999999999999E-6</v>
      </c>
      <c r="O399" s="3">
        <v>-2.627E-6</v>
      </c>
      <c r="P399" s="3">
        <v>1.9570000000000001E-6</v>
      </c>
      <c r="Q399" s="3">
        <v>1.5410000000000001E-7</v>
      </c>
      <c r="R399" s="3">
        <v>2.6470000000000002E-6</v>
      </c>
      <c r="S399" s="13">
        <v>99999</v>
      </c>
      <c r="T399" s="13">
        <v>99999</v>
      </c>
      <c r="U399" s="13">
        <v>0.1598419285374944</v>
      </c>
    </row>
    <row r="400" spans="1:21" x14ac:dyDescent="0.2">
      <c r="A400">
        <v>302</v>
      </c>
      <c r="B400" s="12">
        <v>1</v>
      </c>
      <c r="C400" s="16">
        <v>2272</v>
      </c>
      <c r="D400" s="16">
        <v>2272</v>
      </c>
      <c r="E400" s="3">
        <v>15.344383434767998</v>
      </c>
      <c r="F400" s="3">
        <v>9.2244651345000008</v>
      </c>
      <c r="G400" s="3">
        <v>-2.4110000000000001E-7</v>
      </c>
      <c r="H400" s="3">
        <v>2.2949999999999998E-7</v>
      </c>
      <c r="I400" s="3">
        <v>-1.4390000000000001E-7</v>
      </c>
      <c r="J400" s="3">
        <v>1.6259999999999999E-7</v>
      </c>
      <c r="K400" s="3">
        <v>-1.415E-10</v>
      </c>
      <c r="L400" s="3">
        <v>1.3790000000000001E-10</v>
      </c>
      <c r="M400" s="3">
        <v>-1.285E-6</v>
      </c>
      <c r="N400" s="3">
        <v>1.728E-6</v>
      </c>
      <c r="O400" s="3">
        <v>-2.6879999999999999E-6</v>
      </c>
      <c r="P400" s="3">
        <v>1.8990000000000002E-6</v>
      </c>
      <c r="Q400" s="3">
        <v>4.189E-8</v>
      </c>
      <c r="R400" s="3">
        <v>2.7190000000000001E-6</v>
      </c>
      <c r="S400" s="13">
        <v>99999</v>
      </c>
      <c r="T400" s="13">
        <v>99999</v>
      </c>
      <c r="U400" s="13">
        <v>0.15980943533752562</v>
      </c>
    </row>
    <row r="401" spans="1:21" x14ac:dyDescent="0.2">
      <c r="A401">
        <v>303</v>
      </c>
      <c r="B401" s="12">
        <v>1</v>
      </c>
      <c r="C401" s="16">
        <v>2281</v>
      </c>
      <c r="D401" s="16">
        <v>2281</v>
      </c>
      <c r="E401" s="3">
        <v>15.262261727327999</v>
      </c>
      <c r="F401" s="3">
        <v>9.1742894370000005</v>
      </c>
      <c r="G401" s="3">
        <v>-1.8870000000000002E-7</v>
      </c>
      <c r="H401" s="3">
        <v>2.2749999999999999E-7</v>
      </c>
      <c r="I401" s="3">
        <v>-1.7809999999999999E-7</v>
      </c>
      <c r="J401" s="3">
        <v>1.649E-7</v>
      </c>
      <c r="K401" s="3">
        <v>-1.3960000000000001E-10</v>
      </c>
      <c r="L401" s="3">
        <v>1.378E-10</v>
      </c>
      <c r="M401" s="3">
        <v>-1.097E-6</v>
      </c>
      <c r="N401" s="3">
        <v>1.838E-6</v>
      </c>
      <c r="O401" s="3">
        <v>-2.1179999999999999E-6</v>
      </c>
      <c r="P401" s="3">
        <v>1.883E-6</v>
      </c>
      <c r="Q401" s="3">
        <v>1.9430000000000001E-7</v>
      </c>
      <c r="R401" s="3">
        <v>2.458E-6</v>
      </c>
      <c r="S401" s="13">
        <v>99999</v>
      </c>
      <c r="T401" s="13">
        <v>99999</v>
      </c>
      <c r="U401" s="13">
        <v>0.15974370875354799</v>
      </c>
    </row>
    <row r="402" spans="1:21" x14ac:dyDescent="0.2">
      <c r="A402">
        <v>304</v>
      </c>
      <c r="B402" s="12">
        <v>1</v>
      </c>
      <c r="C402" s="16">
        <v>2290</v>
      </c>
      <c r="D402" s="16">
        <v>2290</v>
      </c>
      <c r="E402" s="3">
        <v>15.180140019887999</v>
      </c>
      <c r="F402" s="3">
        <v>9.1241137394999985</v>
      </c>
      <c r="G402" s="3">
        <v>-2.121E-7</v>
      </c>
      <c r="H402" s="3">
        <v>2.4830000000000002E-7</v>
      </c>
      <c r="I402" s="3">
        <v>-1.6610000000000001E-7</v>
      </c>
      <c r="J402" s="3">
        <v>1.4249999999999999E-7</v>
      </c>
      <c r="K402" s="3">
        <v>-1.3799999999999999E-10</v>
      </c>
      <c r="L402" s="3">
        <v>1.376E-10</v>
      </c>
      <c r="M402" s="3">
        <v>-1.494E-6</v>
      </c>
      <c r="N402" s="3">
        <v>1.4890000000000001E-6</v>
      </c>
      <c r="O402" s="3">
        <v>-2.61E-6</v>
      </c>
      <c r="P402" s="3">
        <v>1.95E-6</v>
      </c>
      <c r="Q402" s="3">
        <v>2.384E-8</v>
      </c>
      <c r="R402" s="3">
        <v>2.6599999999999999E-6</v>
      </c>
      <c r="S402" s="13">
        <v>99999</v>
      </c>
      <c r="T402" s="13">
        <v>99999</v>
      </c>
      <c r="U402" s="13">
        <v>0.15968134736611495</v>
      </c>
    </row>
    <row r="403" spans="1:21" x14ac:dyDescent="0.2">
      <c r="A403">
        <v>305</v>
      </c>
      <c r="B403" s="12">
        <v>1</v>
      </c>
      <c r="C403" s="16">
        <v>2300</v>
      </c>
      <c r="D403" s="16">
        <v>2300</v>
      </c>
      <c r="E403" s="3">
        <v>15.098034769703998</v>
      </c>
      <c r="F403" s="3">
        <v>9.0739480972499997</v>
      </c>
      <c r="G403" s="3">
        <v>-2.5539999999999997E-7</v>
      </c>
      <c r="H403" s="3">
        <v>2.635E-7</v>
      </c>
      <c r="I403" s="3">
        <v>-1.7420000000000001E-7</v>
      </c>
      <c r="J403" s="3">
        <v>1.1529999999999999E-7</v>
      </c>
      <c r="K403" s="3">
        <v>-1.3680000000000001E-10</v>
      </c>
      <c r="L403" s="3">
        <v>1.3729999999999998E-10</v>
      </c>
      <c r="M403" s="3">
        <v>-1.6029999999999999E-6</v>
      </c>
      <c r="N403" s="3">
        <v>1.327E-6</v>
      </c>
      <c r="O403" s="3">
        <v>-2.729E-6</v>
      </c>
      <c r="P403" s="3">
        <v>2.3280000000000004E-6</v>
      </c>
      <c r="Q403" s="3">
        <v>1.399E-7</v>
      </c>
      <c r="R403" s="3">
        <v>2.7950000000000003E-6</v>
      </c>
      <c r="S403" s="13">
        <v>99999</v>
      </c>
      <c r="T403" s="13">
        <v>99999</v>
      </c>
      <c r="U403" s="13">
        <v>0.15965967732670758</v>
      </c>
    </row>
    <row r="404" spans="1:21" x14ac:dyDescent="0.2">
      <c r="A404">
        <v>306</v>
      </c>
      <c r="B404" s="12">
        <v>1</v>
      </c>
      <c r="C404" s="16">
        <v>2309</v>
      </c>
      <c r="D404" s="16">
        <v>2309</v>
      </c>
      <c r="E404" s="3">
        <v>15.015913062264</v>
      </c>
      <c r="F404" s="3">
        <v>9.0237723997499995</v>
      </c>
      <c r="G404" s="3">
        <v>-2.3580000000000001E-7</v>
      </c>
      <c r="H404" s="3">
        <v>2.5690000000000003E-7</v>
      </c>
      <c r="I404" s="3">
        <v>-1.5300000000000001E-7</v>
      </c>
      <c r="J404" s="3">
        <v>1.7310000000000001E-7</v>
      </c>
      <c r="K404" s="3">
        <v>-1.355E-10</v>
      </c>
      <c r="L404" s="3">
        <v>1.3689999999999999E-10</v>
      </c>
      <c r="M404" s="3">
        <v>-1.5719999999999999E-6</v>
      </c>
      <c r="N404" s="3">
        <v>1.3550000000000002E-6</v>
      </c>
      <c r="O404" s="3">
        <v>-2.221E-6</v>
      </c>
      <c r="P404" s="3">
        <v>2.3199999999999998E-6</v>
      </c>
      <c r="Q404" s="3">
        <v>1.878E-7</v>
      </c>
      <c r="R404" s="3">
        <v>2.3739999999999996E-6</v>
      </c>
      <c r="S404" s="13">
        <v>99999</v>
      </c>
      <c r="T404" s="13">
        <v>99999</v>
      </c>
      <c r="U404" s="13">
        <v>0.1596042158998533</v>
      </c>
    </row>
    <row r="405" spans="1:21" x14ac:dyDescent="0.2">
      <c r="A405">
        <v>307</v>
      </c>
      <c r="B405" s="12">
        <v>1</v>
      </c>
      <c r="C405" s="16">
        <v>2318</v>
      </c>
      <c r="D405" s="16">
        <v>2318</v>
      </c>
      <c r="E405" s="3">
        <v>14.933791354823999</v>
      </c>
      <c r="F405" s="3">
        <v>8.9735967022500009</v>
      </c>
      <c r="G405" s="3">
        <v>-2.131E-7</v>
      </c>
      <c r="H405" s="3">
        <v>2.607E-7</v>
      </c>
      <c r="I405" s="3">
        <v>-1.4070000000000001E-7</v>
      </c>
      <c r="J405" s="3">
        <v>1.9239999999999998E-7</v>
      </c>
      <c r="K405" s="3">
        <v>-1.3409999999999998E-10</v>
      </c>
      <c r="L405" s="3">
        <v>1.3650000000000002E-10</v>
      </c>
      <c r="M405" s="3">
        <v>-1.4389999999999999E-6</v>
      </c>
      <c r="N405" s="3">
        <v>1.488E-6</v>
      </c>
      <c r="O405" s="3">
        <v>-1.9880000000000003E-6</v>
      </c>
      <c r="P405" s="3">
        <v>2.278E-6</v>
      </c>
      <c r="Q405" s="3">
        <v>1.673E-7</v>
      </c>
      <c r="R405" s="3">
        <v>2.5049999999999997E-6</v>
      </c>
      <c r="S405" s="13">
        <v>99999</v>
      </c>
      <c r="T405" s="13">
        <v>99999</v>
      </c>
      <c r="U405" s="13">
        <v>0.15955213021945122</v>
      </c>
    </row>
    <row r="406" spans="1:21" x14ac:dyDescent="0.2">
      <c r="A406">
        <v>308</v>
      </c>
      <c r="B406" s="12">
        <v>1</v>
      </c>
      <c r="C406" s="16">
        <v>2328</v>
      </c>
      <c r="D406" s="16">
        <v>2328</v>
      </c>
      <c r="E406" s="3">
        <v>14.851669647383998</v>
      </c>
      <c r="F406" s="3">
        <v>8.9234210047500007</v>
      </c>
      <c r="G406" s="3">
        <v>-2.41E-7</v>
      </c>
      <c r="H406" s="3">
        <v>2.431E-7</v>
      </c>
      <c r="I406" s="3">
        <v>-1.289E-7</v>
      </c>
      <c r="J406" s="3">
        <v>1.448E-7</v>
      </c>
      <c r="K406" s="3">
        <v>-1.3260000000000001E-10</v>
      </c>
      <c r="L406" s="3">
        <v>1.3589999999999999E-10</v>
      </c>
      <c r="M406" s="3">
        <v>-1.6080000000000001E-6</v>
      </c>
      <c r="N406" s="3">
        <v>1.513E-6</v>
      </c>
      <c r="O406" s="3">
        <v>-2.6059999999999997E-6</v>
      </c>
      <c r="P406" s="3">
        <v>2.8949999999999998E-6</v>
      </c>
      <c r="Q406" s="3">
        <v>8.7029999999999992E-8</v>
      </c>
      <c r="R406" s="3">
        <v>2.9610000000000001E-6</v>
      </c>
      <c r="S406" s="13">
        <v>99999</v>
      </c>
      <c r="T406" s="13">
        <v>99999</v>
      </c>
      <c r="U406" s="13">
        <v>0.15954114880386416</v>
      </c>
    </row>
    <row r="407" spans="1:21" x14ac:dyDescent="0.2">
      <c r="A407">
        <v>309</v>
      </c>
      <c r="B407" s="12">
        <v>1</v>
      </c>
      <c r="C407" s="16">
        <v>2337</v>
      </c>
      <c r="D407" s="16">
        <v>2337</v>
      </c>
      <c r="E407" s="3">
        <v>14.7695643972</v>
      </c>
      <c r="F407" s="3">
        <v>8.8732553625000001</v>
      </c>
      <c r="G407" s="3">
        <v>-2.5189999999999997E-7</v>
      </c>
      <c r="H407" s="3">
        <v>2.3629999999999999E-7</v>
      </c>
      <c r="I407" s="3">
        <v>-1.2530000000000002E-7</v>
      </c>
      <c r="J407" s="3">
        <v>1.451E-7</v>
      </c>
      <c r="K407" s="3">
        <v>-1.3099999999999999E-10</v>
      </c>
      <c r="L407" s="3">
        <v>1.3540000000000002E-10</v>
      </c>
      <c r="M407" s="3">
        <v>-1.6019999999999999E-6</v>
      </c>
      <c r="N407" s="3">
        <v>1.3519999999999999E-6</v>
      </c>
      <c r="O407" s="3">
        <v>-2.424E-6</v>
      </c>
      <c r="P407" s="3">
        <v>2.8619999999999999E-6</v>
      </c>
      <c r="Q407" s="3">
        <v>1.6229999999999999E-7</v>
      </c>
      <c r="R407" s="3">
        <v>2.8619999999999999E-6</v>
      </c>
      <c r="S407" s="13">
        <v>99999</v>
      </c>
      <c r="T407" s="13">
        <v>99999</v>
      </c>
      <c r="U407" s="13">
        <v>0.15949605760213428</v>
      </c>
    </row>
    <row r="408" spans="1:21" x14ac:dyDescent="0.2">
      <c r="A408">
        <v>310</v>
      </c>
      <c r="B408" s="12">
        <v>1</v>
      </c>
      <c r="C408" s="16">
        <v>2346</v>
      </c>
      <c r="D408" s="16">
        <v>2346</v>
      </c>
      <c r="E408" s="3">
        <v>14.687442689759999</v>
      </c>
      <c r="F408" s="3">
        <v>8.8230796649999998</v>
      </c>
      <c r="G408" s="3">
        <v>-2.791E-7</v>
      </c>
      <c r="H408" s="3">
        <v>2.9610000000000001E-7</v>
      </c>
      <c r="I408" s="3">
        <v>-1.4669999999999998E-7</v>
      </c>
      <c r="J408" s="3">
        <v>1.5300000000000001E-7</v>
      </c>
      <c r="K408" s="3">
        <v>-1.2930000000000001E-10</v>
      </c>
      <c r="L408" s="3">
        <v>1.3470000000000001E-10</v>
      </c>
      <c r="M408" s="3">
        <v>-1.3689999999999999E-6</v>
      </c>
      <c r="N408" s="3">
        <v>1.6670000000000001E-6</v>
      </c>
      <c r="O408" s="3">
        <v>-1.9849999999999996E-6</v>
      </c>
      <c r="P408" s="3">
        <v>2.154E-6</v>
      </c>
      <c r="Q408" s="3">
        <v>9.0439999999999995E-8</v>
      </c>
      <c r="R408" s="3">
        <v>2.441E-6</v>
      </c>
      <c r="S408" s="13">
        <v>99999</v>
      </c>
      <c r="T408" s="13">
        <v>99999</v>
      </c>
      <c r="U408" s="13">
        <v>0.15945427301860737</v>
      </c>
    </row>
    <row r="409" spans="1:21" x14ac:dyDescent="0.2">
      <c r="A409">
        <v>311</v>
      </c>
      <c r="B409" s="12">
        <v>1</v>
      </c>
      <c r="C409" s="16">
        <v>2356</v>
      </c>
      <c r="D409" s="16">
        <v>2356</v>
      </c>
      <c r="E409" s="3">
        <v>14.60532098232</v>
      </c>
      <c r="F409" s="3">
        <v>8.7729039674999996</v>
      </c>
      <c r="G409" s="3">
        <v>-2.9799999999999999E-7</v>
      </c>
      <c r="H409" s="3">
        <v>3.0669999999999996E-7</v>
      </c>
      <c r="I409" s="3">
        <v>-1.6890000000000001E-7</v>
      </c>
      <c r="J409" s="3">
        <v>1.483E-7</v>
      </c>
      <c r="K409" s="3">
        <v>-1.276E-10</v>
      </c>
      <c r="L409" s="3">
        <v>1.34E-10</v>
      </c>
      <c r="M409" s="3">
        <v>-1.291E-6</v>
      </c>
      <c r="N409" s="3">
        <v>1.6649999999999999E-6</v>
      </c>
      <c r="O409" s="3">
        <v>-2.4160000000000002E-6</v>
      </c>
      <c r="P409" s="3">
        <v>2.4220000000000003E-6</v>
      </c>
      <c r="Q409" s="3">
        <v>4.9110000000000001E-8</v>
      </c>
      <c r="R409" s="3">
        <v>2.7800000000000001E-6</v>
      </c>
      <c r="S409" s="13">
        <v>99999</v>
      </c>
      <c r="T409" s="13">
        <v>99999</v>
      </c>
      <c r="U409" s="13">
        <v>0.15945407549683205</v>
      </c>
    </row>
    <row r="410" spans="1:21" x14ac:dyDescent="0.2">
      <c r="A410">
        <v>312</v>
      </c>
      <c r="B410" s="12">
        <v>1</v>
      </c>
      <c r="C410" s="16">
        <v>2365</v>
      </c>
      <c r="D410" s="16">
        <v>2365</v>
      </c>
      <c r="E410" s="3">
        <v>14.52319927488</v>
      </c>
      <c r="F410" s="3">
        <v>8.7227282699999993</v>
      </c>
      <c r="G410" s="3">
        <v>-2.3980000000000002E-7</v>
      </c>
      <c r="H410" s="3">
        <v>2.1680000000000001E-7</v>
      </c>
      <c r="I410" s="3">
        <v>-1.497E-7</v>
      </c>
      <c r="J410" s="3">
        <v>1.1550000000000001E-7</v>
      </c>
      <c r="K410" s="3">
        <v>-1.2579999999999999E-10</v>
      </c>
      <c r="L410" s="3">
        <v>1.3330000000000002E-10</v>
      </c>
      <c r="M410" s="3">
        <v>-1.6919999999999999E-6</v>
      </c>
      <c r="N410" s="3">
        <v>1.8589999999999999E-6</v>
      </c>
      <c r="O410" s="3">
        <v>-2.5860000000000003E-6</v>
      </c>
      <c r="P410" s="3">
        <v>2.2529999999999999E-6</v>
      </c>
      <c r="Q410" s="3">
        <v>7.7499999999999999E-8</v>
      </c>
      <c r="R410" s="3">
        <v>2.6979999999999998E-6</v>
      </c>
      <c r="S410" s="13">
        <v>99999</v>
      </c>
      <c r="T410" s="13">
        <v>99999</v>
      </c>
      <c r="U410" s="13">
        <v>0.15941922144910239</v>
      </c>
    </row>
    <row r="411" spans="1:21" x14ac:dyDescent="0.2">
      <c r="A411">
        <v>313</v>
      </c>
      <c r="B411" s="12">
        <v>1</v>
      </c>
      <c r="C411" s="16">
        <v>2374</v>
      </c>
      <c r="D411" s="16">
        <v>2374</v>
      </c>
      <c r="E411" s="3">
        <v>14.441094024696</v>
      </c>
      <c r="F411" s="3">
        <v>8.6725626277500005</v>
      </c>
      <c r="G411" s="3">
        <v>-1.9680000000000002E-7</v>
      </c>
      <c r="H411" s="3">
        <v>2.0460000000000002E-7</v>
      </c>
      <c r="I411" s="3">
        <v>-1.5890000000000003E-7</v>
      </c>
      <c r="J411" s="3">
        <v>9.4439999999999991E-8</v>
      </c>
      <c r="K411" s="3">
        <v>-1.2389999999999998E-10</v>
      </c>
      <c r="L411" s="3">
        <v>1.3250000000000001E-10</v>
      </c>
      <c r="M411" s="3">
        <v>-1.9059999999999998E-6</v>
      </c>
      <c r="N411" s="3">
        <v>1.626E-6</v>
      </c>
      <c r="O411" s="3">
        <v>-2.339E-6</v>
      </c>
      <c r="P411" s="3">
        <v>2.6400000000000001E-6</v>
      </c>
      <c r="Q411" s="3">
        <v>1.85E-7</v>
      </c>
      <c r="R411" s="3">
        <v>2.6529999999999998E-6</v>
      </c>
      <c r="S411" s="13">
        <v>99999</v>
      </c>
      <c r="T411" s="13">
        <v>99999</v>
      </c>
      <c r="U411" s="13">
        <v>0.1593878335811359</v>
      </c>
    </row>
    <row r="412" spans="1:21" x14ac:dyDescent="0.2">
      <c r="A412">
        <v>314</v>
      </c>
      <c r="B412" s="12">
        <v>1</v>
      </c>
      <c r="C412" s="16">
        <v>2384</v>
      </c>
      <c r="D412" s="16">
        <v>2384</v>
      </c>
      <c r="E412" s="3">
        <v>14.358972317256001</v>
      </c>
      <c r="F412" s="3">
        <v>8.6223869302500002</v>
      </c>
      <c r="G412" s="3">
        <v>-2.6669999999999997E-7</v>
      </c>
      <c r="H412" s="3">
        <v>2.6310000000000002E-7</v>
      </c>
      <c r="I412" s="3">
        <v>-1.6300000000000002E-7</v>
      </c>
      <c r="J412" s="3">
        <v>1.3269999999999999E-7</v>
      </c>
      <c r="K412" s="3">
        <v>-1.2200000000000002E-10</v>
      </c>
      <c r="L412" s="3">
        <v>1.3159999999999999E-10</v>
      </c>
      <c r="M412" s="3">
        <v>-1.7739999999999999E-6</v>
      </c>
      <c r="N412" s="3">
        <v>1.361E-6</v>
      </c>
      <c r="O412" s="3">
        <v>-2.5950000000000001E-6</v>
      </c>
      <c r="P412" s="3">
        <v>2.9629999999999998E-6</v>
      </c>
      <c r="Q412" s="3">
        <v>3.7480000000000002E-8</v>
      </c>
      <c r="R412" s="3">
        <v>2.9639999999999999E-6</v>
      </c>
      <c r="S412" s="13">
        <v>99999</v>
      </c>
      <c r="T412" s="13">
        <v>99999</v>
      </c>
      <c r="U412" s="13">
        <v>0.15939843040420945</v>
      </c>
    </row>
    <row r="413" spans="1:21" x14ac:dyDescent="0.2">
      <c r="A413">
        <v>315</v>
      </c>
      <c r="B413" s="12">
        <v>1</v>
      </c>
      <c r="C413" s="16">
        <v>2393</v>
      </c>
      <c r="D413" s="16">
        <v>2393</v>
      </c>
      <c r="E413" s="3">
        <v>14.276850609816</v>
      </c>
      <c r="F413" s="3">
        <v>8.57221123275</v>
      </c>
      <c r="G413" s="3">
        <v>-2.431E-7</v>
      </c>
      <c r="H413" s="3">
        <v>2.7010000000000002E-7</v>
      </c>
      <c r="I413" s="3">
        <v>-2.0560000000000001E-7</v>
      </c>
      <c r="J413" s="3">
        <v>1.9139999999999998E-7</v>
      </c>
      <c r="K413" s="3">
        <v>-1.2E-10</v>
      </c>
      <c r="L413" s="3">
        <v>1.307E-10</v>
      </c>
      <c r="M413" s="3">
        <v>-1.6080000000000001E-6</v>
      </c>
      <c r="N413" s="3">
        <v>9.7769999999999997E-7</v>
      </c>
      <c r="O413" s="3">
        <v>-2.6960000000000001E-6</v>
      </c>
      <c r="P413" s="3">
        <v>2.4719999999999998E-6</v>
      </c>
      <c r="Q413" s="3">
        <v>5.1849999999999998E-8</v>
      </c>
      <c r="R413" s="3">
        <v>2.7039999999999999E-6</v>
      </c>
      <c r="S413" s="13">
        <v>99999</v>
      </c>
      <c r="T413" s="13">
        <v>99999</v>
      </c>
      <c r="U413" s="13">
        <v>0.15937390593717776</v>
      </c>
    </row>
    <row r="414" spans="1:21" x14ac:dyDescent="0.2">
      <c r="A414">
        <v>316</v>
      </c>
      <c r="B414" s="12">
        <v>1</v>
      </c>
      <c r="C414" s="16">
        <v>2402</v>
      </c>
      <c r="D414" s="16">
        <v>2402</v>
      </c>
      <c r="E414" s="3">
        <v>14.194728902375999</v>
      </c>
      <c r="F414" s="3">
        <v>8.5220355352500015</v>
      </c>
      <c r="G414" s="3">
        <v>-2.6909999999999999E-7</v>
      </c>
      <c r="H414" s="3">
        <v>1.9919999999999998E-7</v>
      </c>
      <c r="I414" s="3">
        <v>-1.7430000000000002E-7</v>
      </c>
      <c r="J414" s="3">
        <v>2.0730000000000001E-7</v>
      </c>
      <c r="K414" s="3">
        <v>-1.1800000000000001E-10</v>
      </c>
      <c r="L414" s="3">
        <v>1.297E-10</v>
      </c>
      <c r="M414" s="3">
        <v>-1.283E-6</v>
      </c>
      <c r="N414" s="3">
        <v>8.3630000000000004E-7</v>
      </c>
      <c r="O414" s="3">
        <v>-2.582E-6</v>
      </c>
      <c r="P414" s="3">
        <v>1.719E-6</v>
      </c>
      <c r="Q414" s="3">
        <v>1.1739999999999999E-7</v>
      </c>
      <c r="R414" s="3">
        <v>2.6259999999999999E-6</v>
      </c>
      <c r="S414" s="13">
        <v>99999</v>
      </c>
      <c r="T414" s="13">
        <v>99999</v>
      </c>
      <c r="U414" s="13">
        <v>0.15935277686232574</v>
      </c>
    </row>
    <row r="415" spans="1:21" x14ac:dyDescent="0.2">
      <c r="A415">
        <v>317</v>
      </c>
      <c r="B415" s="12">
        <v>1</v>
      </c>
      <c r="C415" s="16">
        <v>2412</v>
      </c>
      <c r="D415" s="16">
        <v>2412</v>
      </c>
      <c r="E415" s="3">
        <v>14.112623652192001</v>
      </c>
      <c r="F415" s="3">
        <v>8.4718698929999992</v>
      </c>
      <c r="G415" s="3">
        <v>-2.3589999999999999E-7</v>
      </c>
      <c r="H415" s="3">
        <v>2.2010000000000002E-7</v>
      </c>
      <c r="I415" s="3">
        <v>-1.5220000000000003E-7</v>
      </c>
      <c r="J415" s="3">
        <v>1.526E-7</v>
      </c>
      <c r="K415" s="3">
        <v>-1.159E-10</v>
      </c>
      <c r="L415" s="3">
        <v>1.286E-10</v>
      </c>
      <c r="M415" s="3">
        <v>-1.403E-6</v>
      </c>
      <c r="N415" s="3">
        <v>1.2420000000000001E-6</v>
      </c>
      <c r="O415" s="3">
        <v>-2.2469999999999998E-6</v>
      </c>
      <c r="P415" s="3">
        <v>2.2169999999999997E-6</v>
      </c>
      <c r="Q415" s="3">
        <v>1.195E-7</v>
      </c>
      <c r="R415" s="3">
        <v>2.452E-6</v>
      </c>
      <c r="S415" s="13">
        <v>99999</v>
      </c>
      <c r="T415" s="13">
        <v>99999</v>
      </c>
      <c r="U415" s="13">
        <v>0.1593742461248589</v>
      </c>
    </row>
    <row r="416" spans="1:21" x14ac:dyDescent="0.2">
      <c r="A416">
        <v>318</v>
      </c>
      <c r="B416" s="12">
        <v>1</v>
      </c>
      <c r="C416" s="16">
        <v>2421</v>
      </c>
      <c r="D416" s="16">
        <v>2421</v>
      </c>
      <c r="E416" s="3">
        <v>14.030501944751999</v>
      </c>
      <c r="F416" s="3">
        <v>8.4216941954999989</v>
      </c>
      <c r="G416" s="3">
        <v>-1.8300000000000001E-7</v>
      </c>
      <c r="H416" s="3">
        <v>2.6830000000000004E-7</v>
      </c>
      <c r="I416" s="3">
        <v>-1.1189999999999999E-7</v>
      </c>
      <c r="J416" s="3">
        <v>1.269E-7</v>
      </c>
      <c r="K416" s="3">
        <v>-1.1370000000000001E-10</v>
      </c>
      <c r="L416" s="3">
        <v>1.275E-10</v>
      </c>
      <c r="M416" s="3">
        <v>-1.6949999999999999E-6</v>
      </c>
      <c r="N416" s="3">
        <v>1.979E-6</v>
      </c>
      <c r="O416" s="3">
        <v>-2.2050000000000001E-6</v>
      </c>
      <c r="P416" s="3">
        <v>2.559E-6</v>
      </c>
      <c r="Q416" s="3">
        <v>2.6180000000000003E-7</v>
      </c>
      <c r="R416" s="3">
        <v>2.8900000000000003E-6</v>
      </c>
      <c r="S416" s="13">
        <v>99999</v>
      </c>
      <c r="T416" s="13">
        <v>99999</v>
      </c>
      <c r="U416" s="13">
        <v>0.15936006085173848</v>
      </c>
    </row>
    <row r="417" spans="1:21" x14ac:dyDescent="0.2">
      <c r="A417">
        <v>319</v>
      </c>
      <c r="B417" s="12">
        <v>1</v>
      </c>
      <c r="C417" s="16">
        <v>2430</v>
      </c>
      <c r="D417" s="16">
        <v>2430</v>
      </c>
      <c r="E417" s="3">
        <v>13.948380237311998</v>
      </c>
      <c r="F417" s="3">
        <v>8.3715184980000004</v>
      </c>
      <c r="G417" s="3">
        <v>-2.0269999999999998E-7</v>
      </c>
      <c r="H417" s="3">
        <v>2.5700000000000004E-7</v>
      </c>
      <c r="I417" s="3">
        <v>-1.3050000000000001E-7</v>
      </c>
      <c r="J417" s="3">
        <v>1.5069999999999999E-7</v>
      </c>
      <c r="K417" s="3">
        <v>-1.115E-10</v>
      </c>
      <c r="L417" s="3">
        <v>1.2630000000000002E-10</v>
      </c>
      <c r="M417" s="3">
        <v>-1.5939999999999999E-6</v>
      </c>
      <c r="N417" s="3">
        <v>2.131E-6</v>
      </c>
      <c r="O417" s="3">
        <v>-1.9379999999999999E-6</v>
      </c>
      <c r="P417" s="3">
        <v>2.153E-6</v>
      </c>
      <c r="Q417" s="3">
        <v>1.2730000000000001E-7</v>
      </c>
      <c r="R417" s="3">
        <v>2.5439999999999997E-6</v>
      </c>
      <c r="S417" s="13">
        <v>99999</v>
      </c>
      <c r="T417" s="13">
        <v>99999</v>
      </c>
      <c r="U417" s="13">
        <v>0.15934927326190224</v>
      </c>
    </row>
    <row r="418" spans="1:21" x14ac:dyDescent="0.2">
      <c r="A418">
        <v>320</v>
      </c>
      <c r="B418" s="12">
        <v>1</v>
      </c>
      <c r="C418" s="16">
        <v>2440</v>
      </c>
      <c r="D418" s="16">
        <v>2440</v>
      </c>
      <c r="E418" s="3">
        <v>13.866258529872001</v>
      </c>
      <c r="F418" s="3">
        <v>8.3213428005000001</v>
      </c>
      <c r="G418" s="3">
        <v>-2.551E-7</v>
      </c>
      <c r="H418" s="3">
        <v>2.093E-7</v>
      </c>
      <c r="I418" s="3">
        <v>-2.262E-7</v>
      </c>
      <c r="J418" s="3">
        <v>1.9540000000000002E-7</v>
      </c>
      <c r="K418" s="3">
        <v>-1.092E-10</v>
      </c>
      <c r="L418" s="3">
        <v>1.2510000000000001E-10</v>
      </c>
      <c r="M418" s="3">
        <v>-1.593E-6</v>
      </c>
      <c r="N418" s="3">
        <v>1.5610000000000002E-6</v>
      </c>
      <c r="O418" s="3">
        <v>-2.0779999999999998E-6</v>
      </c>
      <c r="P418" s="3">
        <v>1.8339999999999999E-6</v>
      </c>
      <c r="Q418" s="3">
        <v>1.1340000000000001E-7</v>
      </c>
      <c r="R418" s="3">
        <v>2.1879999999999996E-6</v>
      </c>
      <c r="S418" s="13">
        <v>99999</v>
      </c>
      <c r="T418" s="13">
        <v>99999</v>
      </c>
      <c r="U418" s="13">
        <v>0.15938146476059517</v>
      </c>
    </row>
    <row r="419" spans="1:21" x14ac:dyDescent="0.2">
      <c r="A419">
        <v>321</v>
      </c>
      <c r="B419" s="12">
        <v>1</v>
      </c>
      <c r="C419" s="16">
        <v>2449</v>
      </c>
      <c r="D419" s="16">
        <v>2449</v>
      </c>
      <c r="E419" s="3">
        <v>13.784136822432</v>
      </c>
      <c r="F419" s="3">
        <v>8.2711671029999998</v>
      </c>
      <c r="G419" s="3">
        <v>-2.347E-7</v>
      </c>
      <c r="H419" s="3">
        <v>1.916E-7</v>
      </c>
      <c r="I419" s="3">
        <v>-2.579E-7</v>
      </c>
      <c r="J419" s="3">
        <v>1.776E-7</v>
      </c>
      <c r="K419" s="3">
        <v>-1.0719999999999999E-10</v>
      </c>
      <c r="L419" s="3">
        <v>1.238E-10</v>
      </c>
      <c r="M419" s="3">
        <v>-1.319E-6</v>
      </c>
      <c r="N419" s="3">
        <v>1.2529999999999999E-6</v>
      </c>
      <c r="O419" s="3">
        <v>-1.855E-6</v>
      </c>
      <c r="P419" s="3">
        <v>2.3259999999999998E-6</v>
      </c>
      <c r="Q419" s="3">
        <v>1.077E-7</v>
      </c>
      <c r="R419" s="3">
        <v>2.6730000000000001E-6</v>
      </c>
      <c r="S419" s="13">
        <v>99999</v>
      </c>
      <c r="T419" s="13">
        <v>99999</v>
      </c>
      <c r="U419" s="13">
        <v>0.15937762212721082</v>
      </c>
    </row>
    <row r="420" spans="1:21" x14ac:dyDescent="0.2">
      <c r="A420">
        <v>322</v>
      </c>
      <c r="B420" s="12">
        <v>1</v>
      </c>
      <c r="C420" s="16">
        <v>2458</v>
      </c>
      <c r="D420" s="16">
        <v>2458</v>
      </c>
      <c r="E420" s="3">
        <v>13.702031572247998</v>
      </c>
      <c r="F420" s="3">
        <v>8.2210014607499993</v>
      </c>
      <c r="G420" s="3">
        <v>-2.023E-7</v>
      </c>
      <c r="H420" s="3">
        <v>1.875E-7</v>
      </c>
      <c r="I420" s="3">
        <v>-1.9430000000000001E-7</v>
      </c>
      <c r="J420" s="3">
        <v>1.92E-7</v>
      </c>
      <c r="K420" s="3">
        <v>-1.0630000000000001E-10</v>
      </c>
      <c r="L420" s="3">
        <v>1.2240000000000001E-10</v>
      </c>
      <c r="M420" s="3">
        <v>-1.4790000000000002E-6</v>
      </c>
      <c r="N420" s="3">
        <v>1.37E-6</v>
      </c>
      <c r="O420" s="3">
        <v>-1.6639999999999999E-6</v>
      </c>
      <c r="P420" s="3">
        <v>2.463E-6</v>
      </c>
      <c r="Q420" s="3">
        <v>8.413E-8</v>
      </c>
      <c r="R420" s="3">
        <v>2.858E-6</v>
      </c>
      <c r="S420" s="13">
        <v>99999</v>
      </c>
      <c r="T420" s="13">
        <v>99999</v>
      </c>
      <c r="U420" s="13">
        <v>0.15937724957074115</v>
      </c>
    </row>
    <row r="421" spans="1:21" x14ac:dyDescent="0.2">
      <c r="A421">
        <v>323</v>
      </c>
      <c r="B421" s="12">
        <v>1</v>
      </c>
      <c r="C421" s="16">
        <v>2468</v>
      </c>
      <c r="D421" s="16">
        <v>2468</v>
      </c>
      <c r="E421" s="3">
        <v>13.619909864807999</v>
      </c>
      <c r="F421" s="3">
        <v>8.170825763249999</v>
      </c>
      <c r="G421" s="3">
        <v>-2.4140000000000003E-7</v>
      </c>
      <c r="H421" s="3">
        <v>1.899E-7</v>
      </c>
      <c r="I421" s="3">
        <v>-1.3300000000000001E-7</v>
      </c>
      <c r="J421" s="3">
        <v>1.441E-7</v>
      </c>
      <c r="K421" s="3">
        <v>-1.0540000000000001E-10</v>
      </c>
      <c r="L421" s="3">
        <v>1.2100000000000002E-10</v>
      </c>
      <c r="M421" s="3">
        <v>-1.823E-6</v>
      </c>
      <c r="N421" s="3">
        <v>1.5969999999999999E-6</v>
      </c>
      <c r="O421" s="3">
        <v>-1.9940000000000003E-6</v>
      </c>
      <c r="P421" s="3">
        <v>2.0219999999999999E-6</v>
      </c>
      <c r="Q421" s="3">
        <v>8.1769999999999997E-8</v>
      </c>
      <c r="R421" s="3">
        <v>2.3869999999999998E-6</v>
      </c>
      <c r="S421" s="13">
        <v>99999</v>
      </c>
      <c r="T421" s="13">
        <v>99999</v>
      </c>
      <c r="U421" s="13">
        <v>0.15942022834113653</v>
      </c>
    </row>
    <row r="422" spans="1:21" x14ac:dyDescent="0.2">
      <c r="A422">
        <v>324</v>
      </c>
      <c r="B422" s="12">
        <v>1</v>
      </c>
      <c r="C422" s="16">
        <v>2477</v>
      </c>
      <c r="D422" s="16">
        <v>2477</v>
      </c>
      <c r="E422" s="3">
        <v>13.537788157367999</v>
      </c>
      <c r="F422" s="3">
        <v>8.1206500657500005</v>
      </c>
      <c r="G422" s="3">
        <v>-2.2670000000000001E-7</v>
      </c>
      <c r="H422" s="3">
        <v>2.072E-7</v>
      </c>
      <c r="I422" s="3">
        <v>-1.4280000000000001E-7</v>
      </c>
      <c r="J422" s="3">
        <v>1.3909999999999999E-7</v>
      </c>
      <c r="K422" s="3">
        <v>-1.044E-10</v>
      </c>
      <c r="L422" s="3">
        <v>1.194E-10</v>
      </c>
      <c r="M422" s="3">
        <v>-2.1120000000000003E-6</v>
      </c>
      <c r="N422" s="3">
        <v>1.573E-6</v>
      </c>
      <c r="O422" s="3">
        <v>-2.1900000000000002E-6</v>
      </c>
      <c r="P422" s="3">
        <v>1.815E-6</v>
      </c>
      <c r="Q422" s="3">
        <v>8.9289999999999988E-8</v>
      </c>
      <c r="R422" s="3">
        <v>2.2759999999999999E-6</v>
      </c>
      <c r="S422" s="13">
        <v>99999</v>
      </c>
      <c r="T422" s="13">
        <v>99999</v>
      </c>
      <c r="U422" s="13">
        <v>0.15942672483531681</v>
      </c>
    </row>
    <row r="423" spans="1:21" x14ac:dyDescent="0.2">
      <c r="A423">
        <v>325</v>
      </c>
      <c r="B423" s="12">
        <v>1</v>
      </c>
      <c r="C423" s="16">
        <v>2486</v>
      </c>
      <c r="D423" s="16">
        <v>2486</v>
      </c>
      <c r="E423" s="3">
        <v>13.455666449927998</v>
      </c>
      <c r="F423" s="3">
        <v>8.0704743682500002</v>
      </c>
      <c r="G423" s="3">
        <v>-1.691E-7</v>
      </c>
      <c r="H423" s="3">
        <v>1.7699999999999998E-7</v>
      </c>
      <c r="I423" s="3">
        <v>-1.7380000000000001E-7</v>
      </c>
      <c r="J423" s="3">
        <v>2.1290000000000001E-7</v>
      </c>
      <c r="K423" s="3">
        <v>-1.0349999999999999E-10</v>
      </c>
      <c r="L423" s="3">
        <v>1.178E-10</v>
      </c>
      <c r="M423" s="3">
        <v>-1.6249999999999999E-6</v>
      </c>
      <c r="N423" s="3">
        <v>1.7619999999999998E-6</v>
      </c>
      <c r="O423" s="3">
        <v>-1.8959999999999999E-6</v>
      </c>
      <c r="P423" s="3">
        <v>1.8560000000000001E-6</v>
      </c>
      <c r="Q423" s="3">
        <v>7.498E-8</v>
      </c>
      <c r="R423" s="3">
        <v>2.1299999999999999E-6</v>
      </c>
      <c r="S423" s="13">
        <v>99999</v>
      </c>
      <c r="T423" s="13">
        <v>99999</v>
      </c>
      <c r="U423" s="13">
        <v>0.15943661837778955</v>
      </c>
    </row>
    <row r="424" spans="1:21" x14ac:dyDescent="0.2">
      <c r="A424">
        <v>326</v>
      </c>
      <c r="B424" s="12">
        <v>1</v>
      </c>
      <c r="C424" s="16">
        <v>2496</v>
      </c>
      <c r="D424" s="16">
        <v>2496</v>
      </c>
      <c r="E424" s="3">
        <v>13.373544742487999</v>
      </c>
      <c r="F424" s="3">
        <v>8.0202986707499999</v>
      </c>
      <c r="G424" s="3">
        <v>-1.6789999999999999E-7</v>
      </c>
      <c r="H424" s="3">
        <v>1.7870000000000001E-7</v>
      </c>
      <c r="I424" s="3">
        <v>-1.6049999999999999E-7</v>
      </c>
      <c r="J424" s="3">
        <v>2.452E-7</v>
      </c>
      <c r="K424" s="3">
        <v>-1.024E-10</v>
      </c>
      <c r="L424" s="3">
        <v>1.161E-10</v>
      </c>
      <c r="M424" s="3">
        <v>-1.556E-6</v>
      </c>
      <c r="N424" s="3">
        <v>1.6689999999999998E-6</v>
      </c>
      <c r="O424" s="3">
        <v>-2.3070000000000001E-6</v>
      </c>
      <c r="P424" s="3">
        <v>1.9880000000000003E-6</v>
      </c>
      <c r="Q424" s="3">
        <v>1.0119999999999999E-7</v>
      </c>
      <c r="R424" s="3">
        <v>2.6580000000000002E-6</v>
      </c>
      <c r="S424" s="13">
        <v>99999</v>
      </c>
      <c r="T424" s="13">
        <v>99999</v>
      </c>
      <c r="U424" s="13">
        <v>0.15949037009045725</v>
      </c>
    </row>
    <row r="425" spans="1:21" x14ac:dyDescent="0.2">
      <c r="A425">
        <v>327</v>
      </c>
      <c r="B425" s="12">
        <v>1</v>
      </c>
      <c r="C425" s="16">
        <v>2505</v>
      </c>
      <c r="D425" s="16">
        <v>2505</v>
      </c>
      <c r="E425" s="3">
        <v>13.291439492303999</v>
      </c>
      <c r="F425" s="3">
        <v>7.9701330285000003</v>
      </c>
      <c r="G425" s="3">
        <v>-2.2110000000000001E-7</v>
      </c>
      <c r="H425" s="3">
        <v>1.8379999999999999E-7</v>
      </c>
      <c r="I425" s="3">
        <v>-1.2599999999999999E-7</v>
      </c>
      <c r="J425" s="3">
        <v>1.8729999999999999E-7</v>
      </c>
      <c r="K425" s="3">
        <v>-1.013E-10</v>
      </c>
      <c r="L425" s="3">
        <v>1.143E-10</v>
      </c>
      <c r="M425" s="3">
        <v>-1.556E-6</v>
      </c>
      <c r="N425" s="3">
        <v>1.37E-6</v>
      </c>
      <c r="O425" s="3">
        <v>-2.2879999999999999E-6</v>
      </c>
      <c r="P425" s="3">
        <v>1.8929999999999999E-6</v>
      </c>
      <c r="Q425" s="3">
        <v>2.1659999999999999E-7</v>
      </c>
      <c r="R425" s="3">
        <v>2.6510000000000001E-6</v>
      </c>
      <c r="S425" s="13">
        <v>99999</v>
      </c>
      <c r="T425" s="13">
        <v>99999</v>
      </c>
      <c r="U425" s="13">
        <v>0.15950726686537703</v>
      </c>
    </row>
    <row r="426" spans="1:21" x14ac:dyDescent="0.2">
      <c r="A426">
        <v>328</v>
      </c>
      <c r="B426" s="12">
        <v>1</v>
      </c>
      <c r="C426" s="16">
        <v>2514</v>
      </c>
      <c r="D426" s="16">
        <v>2514</v>
      </c>
      <c r="E426" s="3">
        <v>13.209317784864</v>
      </c>
      <c r="F426" s="3">
        <v>7.919957331</v>
      </c>
      <c r="G426" s="3">
        <v>-2.7349999999999995E-7</v>
      </c>
      <c r="H426" s="3">
        <v>2.304E-7</v>
      </c>
      <c r="I426" s="3">
        <v>-1.5559999999999999E-7</v>
      </c>
      <c r="J426" s="3">
        <v>1.561E-7</v>
      </c>
      <c r="K426" s="3">
        <v>-1.002E-10</v>
      </c>
      <c r="L426" s="3">
        <v>1.1239999999999999E-10</v>
      </c>
      <c r="M426" s="3">
        <v>-1.5410000000000002E-6</v>
      </c>
      <c r="N426" s="3">
        <v>1.5939999999999999E-6</v>
      </c>
      <c r="O426" s="3">
        <v>-1.795E-6</v>
      </c>
      <c r="P426" s="3">
        <v>1.5969999999999999E-6</v>
      </c>
      <c r="Q426" s="3">
        <v>3.9020000000000001E-8</v>
      </c>
      <c r="R426" s="3">
        <v>2.2189999999999998E-6</v>
      </c>
      <c r="S426" s="13">
        <v>99999</v>
      </c>
      <c r="T426" s="13">
        <v>99999</v>
      </c>
      <c r="U426" s="13">
        <v>0.15952748716917553</v>
      </c>
    </row>
    <row r="427" spans="1:21" x14ac:dyDescent="0.2">
      <c r="A427">
        <v>329</v>
      </c>
      <c r="B427" s="12">
        <v>1</v>
      </c>
      <c r="C427" s="16">
        <v>2524</v>
      </c>
      <c r="D427" s="16">
        <v>2524</v>
      </c>
      <c r="E427" s="3">
        <v>13.127196077423999</v>
      </c>
      <c r="F427" s="3">
        <v>7.8697816334999997</v>
      </c>
      <c r="G427" s="3">
        <v>-2.4420000000000003E-7</v>
      </c>
      <c r="H427" s="3">
        <v>2.9080000000000004E-7</v>
      </c>
      <c r="I427" s="3">
        <v>-1.607E-7</v>
      </c>
      <c r="J427" s="3">
        <v>1.8909999999999999E-7</v>
      </c>
      <c r="K427" s="3">
        <v>-9.9040000000000001E-11</v>
      </c>
      <c r="L427" s="3">
        <v>1.1050000000000001E-10</v>
      </c>
      <c r="M427" s="3">
        <v>-1.508E-6</v>
      </c>
      <c r="N427" s="3">
        <v>1.9250000000000002E-6</v>
      </c>
      <c r="O427" s="3">
        <v>-1.429E-6</v>
      </c>
      <c r="P427" s="3">
        <v>1.5180000000000001E-6</v>
      </c>
      <c r="Q427" s="3">
        <v>5.2010000000000001E-8</v>
      </c>
      <c r="R427" s="3">
        <v>2.0219999999999999E-6</v>
      </c>
      <c r="S427" s="13">
        <v>99999</v>
      </c>
      <c r="T427" s="13">
        <v>99999</v>
      </c>
      <c r="U427" s="13">
        <v>0.15959198938635275</v>
      </c>
    </row>
    <row r="428" spans="1:21" x14ac:dyDescent="0.2">
      <c r="A428">
        <v>330</v>
      </c>
      <c r="B428" s="12">
        <v>1</v>
      </c>
      <c r="C428" s="16">
        <v>2533</v>
      </c>
      <c r="D428" s="16">
        <v>2533</v>
      </c>
      <c r="E428" s="3">
        <v>13.045074369983999</v>
      </c>
      <c r="F428" s="3">
        <v>7.8196059359999994</v>
      </c>
      <c r="G428" s="3">
        <v>-2.047E-7</v>
      </c>
      <c r="H428" s="3">
        <v>2.6009999999999995E-7</v>
      </c>
      <c r="I428" s="3">
        <v>-1.67E-7</v>
      </c>
      <c r="J428" s="3">
        <v>1.7780000000000002E-7</v>
      </c>
      <c r="K428" s="3">
        <v>-9.7880000000000002E-11</v>
      </c>
      <c r="L428" s="3">
        <v>1.0840000000000001E-10</v>
      </c>
      <c r="M428" s="3">
        <v>-1.5009999999999999E-6</v>
      </c>
      <c r="N428" s="3">
        <v>1.5880000000000001E-6</v>
      </c>
      <c r="O428" s="3">
        <v>-2.3290000000000001E-6</v>
      </c>
      <c r="P428" s="3">
        <v>1.8300000000000001E-6</v>
      </c>
      <c r="Q428" s="3">
        <v>1.6400000000000001E-7</v>
      </c>
      <c r="R428" s="3">
        <v>2.3630000000000001E-6</v>
      </c>
      <c r="S428" s="13">
        <v>99999</v>
      </c>
      <c r="T428" s="13">
        <v>99999</v>
      </c>
      <c r="U428" s="13">
        <v>0.15961913194869037</v>
      </c>
    </row>
    <row r="429" spans="1:21" x14ac:dyDescent="0.2">
      <c r="A429">
        <v>331</v>
      </c>
      <c r="B429" s="12">
        <v>1</v>
      </c>
      <c r="C429" s="16">
        <v>2542</v>
      </c>
      <c r="D429" s="16">
        <v>2542</v>
      </c>
      <c r="E429" s="3">
        <v>12.962952662544</v>
      </c>
      <c r="F429" s="3">
        <v>7.7694302385</v>
      </c>
      <c r="G429" s="3">
        <v>-1.3210000000000002E-7</v>
      </c>
      <c r="H429" s="3">
        <v>1.399E-7</v>
      </c>
      <c r="I429" s="3">
        <v>-1.888E-7</v>
      </c>
      <c r="J429" s="3">
        <v>1.8860000000000001E-7</v>
      </c>
      <c r="K429" s="3">
        <v>-9.6709999999999995E-11</v>
      </c>
      <c r="L429" s="3">
        <v>1.0630000000000001E-10</v>
      </c>
      <c r="M429" s="3">
        <v>-1.8439999999999998E-6</v>
      </c>
      <c r="N429" s="3">
        <v>1.361E-6</v>
      </c>
      <c r="O429" s="3">
        <v>-2.7980000000000001E-6</v>
      </c>
      <c r="P429" s="3">
        <v>2.1719999999999997E-6</v>
      </c>
      <c r="Q429" s="3">
        <v>1.0509999999999999E-7</v>
      </c>
      <c r="R429" s="3">
        <v>3.0489999999999999E-6</v>
      </c>
      <c r="S429" s="13">
        <v>99999</v>
      </c>
      <c r="T429" s="13">
        <v>99999</v>
      </c>
      <c r="U429" s="13">
        <v>0.15964966279866824</v>
      </c>
    </row>
    <row r="430" spans="1:21" x14ac:dyDescent="0.2">
      <c r="A430">
        <v>332</v>
      </c>
      <c r="B430" s="12">
        <v>1</v>
      </c>
      <c r="C430" s="16">
        <v>2552</v>
      </c>
      <c r="D430" s="16">
        <v>2552</v>
      </c>
      <c r="E430" s="3">
        <v>12.880830955103999</v>
      </c>
      <c r="F430" s="3">
        <v>7.7192545410000006</v>
      </c>
      <c r="G430" s="3">
        <v>-1.9909999999999998E-7</v>
      </c>
      <c r="H430" s="3">
        <v>1.9880000000000001E-7</v>
      </c>
      <c r="I430" s="3">
        <v>-1.469E-7</v>
      </c>
      <c r="J430" s="3">
        <v>1.42E-7</v>
      </c>
      <c r="K430" s="3">
        <v>-9.5539999999999988E-11</v>
      </c>
      <c r="L430" s="3">
        <v>1.04E-10</v>
      </c>
      <c r="M430" s="3">
        <v>-2.0339999999999999E-6</v>
      </c>
      <c r="N430" s="3">
        <v>1.787E-6</v>
      </c>
      <c r="O430" s="3">
        <v>-2.6359999999999998E-6</v>
      </c>
      <c r="P430" s="3">
        <v>2.8700000000000001E-6</v>
      </c>
      <c r="Q430" s="3">
        <v>9.5890000000000007E-8</v>
      </c>
      <c r="R430" s="3">
        <v>3.0319999999999999E-6</v>
      </c>
      <c r="S430" s="13">
        <v>99999</v>
      </c>
      <c r="T430" s="13">
        <v>99999</v>
      </c>
      <c r="U430" s="13">
        <v>0.15972488851940553</v>
      </c>
    </row>
    <row r="431" spans="1:21" x14ac:dyDescent="0.2">
      <c r="A431">
        <v>333</v>
      </c>
      <c r="B431" s="12">
        <v>1</v>
      </c>
      <c r="C431" s="16">
        <v>2561</v>
      </c>
      <c r="D431" s="16">
        <v>2561</v>
      </c>
      <c r="E431" s="3">
        <v>12.798725704919999</v>
      </c>
      <c r="F431" s="3">
        <v>7.6690888987500001</v>
      </c>
      <c r="G431" s="3">
        <v>-2.4429999999999998E-7</v>
      </c>
      <c r="H431" s="3">
        <v>2.6410000000000004E-7</v>
      </c>
      <c r="I431" s="3">
        <v>-1.5320000000000002E-7</v>
      </c>
      <c r="J431" s="3">
        <v>1.751E-7</v>
      </c>
      <c r="K431" s="3">
        <v>-9.4370000000000006E-11</v>
      </c>
      <c r="L431" s="3">
        <v>1.0170000000000001E-10</v>
      </c>
      <c r="M431" s="3">
        <v>-1.77E-6</v>
      </c>
      <c r="N431" s="3">
        <v>1.7379999999999999E-6</v>
      </c>
      <c r="O431" s="3">
        <v>-2.0869999999999997E-6</v>
      </c>
      <c r="P431" s="3">
        <v>2.712E-6</v>
      </c>
      <c r="Q431" s="3">
        <v>1.638E-7</v>
      </c>
      <c r="R431" s="3">
        <v>2.8260000000000001E-6</v>
      </c>
      <c r="S431" s="13">
        <v>99999</v>
      </c>
      <c r="T431" s="13">
        <v>99999</v>
      </c>
      <c r="U431" s="13">
        <v>0.15976239231740519</v>
      </c>
    </row>
    <row r="432" spans="1:21" x14ac:dyDescent="0.2">
      <c r="A432">
        <v>334</v>
      </c>
      <c r="B432" s="12">
        <v>1</v>
      </c>
      <c r="C432" s="16">
        <v>2570</v>
      </c>
      <c r="D432" s="16">
        <v>2570</v>
      </c>
      <c r="E432" s="3">
        <v>12.71660399748</v>
      </c>
      <c r="F432" s="3">
        <v>7.6189132012499998</v>
      </c>
      <c r="G432" s="3">
        <v>-2.9180000000000001E-7</v>
      </c>
      <c r="H432" s="3">
        <v>2.5359999999999999E-7</v>
      </c>
      <c r="I432" s="3">
        <v>-1.6330000000000001E-7</v>
      </c>
      <c r="J432" s="3">
        <v>1.797E-7</v>
      </c>
      <c r="K432" s="3">
        <v>-9.3190000000000003E-11</v>
      </c>
      <c r="L432" s="3">
        <v>9.9209999999999999E-11</v>
      </c>
      <c r="M432" s="3">
        <v>-1.4589999999999999E-6</v>
      </c>
      <c r="N432" s="3">
        <v>1.7459999999999999E-6</v>
      </c>
      <c r="O432" s="3">
        <v>-1.6249999999999999E-6</v>
      </c>
      <c r="P432" s="3">
        <v>1.7429999999999999E-6</v>
      </c>
      <c r="Q432" s="3">
        <v>1.6850000000000001E-7</v>
      </c>
      <c r="R432" s="3">
        <v>2.024E-6</v>
      </c>
      <c r="S432" s="13">
        <v>99999</v>
      </c>
      <c r="T432" s="13">
        <v>99999</v>
      </c>
      <c r="U432" s="13">
        <v>0.15980320933522973</v>
      </c>
    </row>
    <row r="433" spans="1:21" x14ac:dyDescent="0.2">
      <c r="A433">
        <v>335</v>
      </c>
      <c r="B433" s="12">
        <v>1</v>
      </c>
      <c r="C433" s="16">
        <v>2580</v>
      </c>
      <c r="D433" s="16">
        <v>2580</v>
      </c>
      <c r="E433" s="3">
        <v>12.634482290039999</v>
      </c>
      <c r="F433" s="3">
        <v>7.5687375037500004</v>
      </c>
      <c r="G433" s="3">
        <v>-3.0130000000000003E-7</v>
      </c>
      <c r="H433" s="3">
        <v>2.1800000000000002E-7</v>
      </c>
      <c r="I433" s="3">
        <v>-1.539E-7</v>
      </c>
      <c r="J433" s="3">
        <v>1.6819999999999998E-7</v>
      </c>
      <c r="K433" s="3">
        <v>-9.2209999999999997E-11</v>
      </c>
      <c r="L433" s="3">
        <v>9.7100000000000006E-11</v>
      </c>
      <c r="M433" s="3">
        <v>-1.8190000000000001E-6</v>
      </c>
      <c r="N433" s="3">
        <v>1.5690000000000001E-6</v>
      </c>
      <c r="O433" s="3">
        <v>-2.198E-6</v>
      </c>
      <c r="P433" s="3">
        <v>1.5319999999999999E-6</v>
      </c>
      <c r="Q433" s="3">
        <v>1.2599999999999999E-7</v>
      </c>
      <c r="R433" s="3">
        <v>2.199E-6</v>
      </c>
      <c r="S433" s="13">
        <v>99999</v>
      </c>
      <c r="T433" s="13">
        <v>99999</v>
      </c>
      <c r="U433" s="13">
        <v>0.15988912417493639</v>
      </c>
    </row>
    <row r="434" spans="1:21" x14ac:dyDescent="0.2">
      <c r="A434">
        <v>336</v>
      </c>
      <c r="B434" s="12">
        <v>1</v>
      </c>
      <c r="C434" s="16">
        <v>2586</v>
      </c>
      <c r="D434" s="16">
        <v>2586</v>
      </c>
      <c r="E434" s="3">
        <v>12.579054251832</v>
      </c>
      <c r="F434" s="3">
        <v>7.5348714217500001</v>
      </c>
      <c r="G434" s="3">
        <v>-2.6830000000000004E-7</v>
      </c>
      <c r="H434" s="3">
        <v>2.1689999999999999E-7</v>
      </c>
      <c r="I434" s="3">
        <v>-1.3960000000000001E-7</v>
      </c>
      <c r="J434" s="3">
        <v>1.4880000000000001E-7</v>
      </c>
      <c r="K434" s="3">
        <v>-9.1599999999999999E-11</v>
      </c>
      <c r="L434" s="3">
        <v>9.5719999999999994E-11</v>
      </c>
      <c r="M434" s="3">
        <v>-1.9350000000000001E-6</v>
      </c>
      <c r="N434" s="3">
        <v>1.4440000000000001E-6</v>
      </c>
      <c r="O434" s="3">
        <v>-2.6010000000000002E-6</v>
      </c>
      <c r="P434" s="3">
        <v>1.6420000000000001E-6</v>
      </c>
      <c r="Q434" s="3">
        <v>1.025E-7</v>
      </c>
      <c r="R434" s="3">
        <v>2.6020000000000002E-6</v>
      </c>
      <c r="S434" s="13">
        <v>99999</v>
      </c>
      <c r="T434" s="13">
        <v>99999</v>
      </c>
      <c r="U434" s="13">
        <v>0.15991783505000626</v>
      </c>
    </row>
    <row r="435" spans="1:21" x14ac:dyDescent="0.2">
      <c r="A435">
        <v>337</v>
      </c>
      <c r="B435" s="12">
        <v>1</v>
      </c>
      <c r="C435" s="16">
        <v>2590</v>
      </c>
      <c r="D435" s="16">
        <v>2590</v>
      </c>
      <c r="E435" s="3">
        <v>12.542091254856</v>
      </c>
      <c r="F435" s="3">
        <v>7.5122873302499995</v>
      </c>
      <c r="G435" s="3">
        <v>-2.3379999999999999E-7</v>
      </c>
      <c r="H435" s="3">
        <v>2.044E-7</v>
      </c>
      <c r="I435" s="3">
        <v>-1.2310000000000001E-7</v>
      </c>
      <c r="J435" s="3">
        <v>1.395E-7</v>
      </c>
      <c r="K435" s="3">
        <v>-9.1199999999999993E-11</v>
      </c>
      <c r="L435" s="3">
        <v>9.4860000000000009E-11</v>
      </c>
      <c r="M435" s="3">
        <v>-1.8730000000000001E-6</v>
      </c>
      <c r="N435" s="3">
        <v>1.5770000000000001E-6</v>
      </c>
      <c r="O435" s="3">
        <v>-2.6840000000000001E-6</v>
      </c>
      <c r="P435" s="3">
        <v>1.888E-6</v>
      </c>
      <c r="Q435" s="3">
        <v>8.0070000000000002E-8</v>
      </c>
      <c r="R435" s="3">
        <v>2.7549999999999999E-6</v>
      </c>
      <c r="S435" s="13">
        <v>99999</v>
      </c>
      <c r="T435" s="13">
        <v>99999</v>
      </c>
      <c r="U435" s="13">
        <v>0.15993777807359369</v>
      </c>
    </row>
    <row r="436" spans="1:21" x14ac:dyDescent="0.2">
      <c r="A436">
        <v>338</v>
      </c>
      <c r="B436" s="12">
        <v>1</v>
      </c>
      <c r="C436" s="16">
        <v>2593</v>
      </c>
      <c r="D436" s="16">
        <v>2593</v>
      </c>
      <c r="E436" s="3">
        <v>12.517471199879997</v>
      </c>
      <c r="F436" s="3">
        <v>7.4972446762499994</v>
      </c>
      <c r="G436" s="3">
        <v>-2.0689999999999998E-7</v>
      </c>
      <c r="H436" s="3">
        <v>1.9349999999999998E-7</v>
      </c>
      <c r="I436" s="3">
        <v>-1.2100000000000001E-7</v>
      </c>
      <c r="J436" s="3">
        <v>1.476E-7</v>
      </c>
      <c r="K436" s="3">
        <v>-9.0919999999999995E-11</v>
      </c>
      <c r="L436" s="3">
        <v>9.4279999999999997E-11</v>
      </c>
      <c r="M436" s="3">
        <v>-1.7910000000000001E-6</v>
      </c>
      <c r="N436" s="3">
        <v>1.618E-6</v>
      </c>
      <c r="O436" s="3">
        <v>-2.6519999999999998E-6</v>
      </c>
      <c r="P436" s="3">
        <v>1.9870000000000002E-6</v>
      </c>
      <c r="Q436" s="3">
        <v>5.1449999999999994E-8</v>
      </c>
      <c r="R436" s="3">
        <v>2.8119999999999999E-6</v>
      </c>
      <c r="S436" s="13">
        <v>99999</v>
      </c>
      <c r="T436" s="13">
        <v>99999</v>
      </c>
      <c r="U436" s="13">
        <v>0.15996550713308447</v>
      </c>
    </row>
    <row r="437" spans="1:21" x14ac:dyDescent="0.2">
      <c r="A437">
        <v>339</v>
      </c>
      <c r="B437" s="12">
        <v>1</v>
      </c>
      <c r="C437" s="16">
        <v>2595</v>
      </c>
      <c r="D437" s="16">
        <v>2595</v>
      </c>
      <c r="E437" s="3">
        <v>12.501046858392</v>
      </c>
      <c r="F437" s="3">
        <v>7.48720953675</v>
      </c>
      <c r="G437" s="3">
        <v>-1.853E-7</v>
      </c>
      <c r="H437" s="3">
        <v>1.8379999999999999E-7</v>
      </c>
      <c r="I437" s="3">
        <v>-1.192E-7</v>
      </c>
      <c r="J437" s="3">
        <v>1.5200000000000001E-7</v>
      </c>
      <c r="K437" s="3">
        <v>-9.0699999999999994E-11</v>
      </c>
      <c r="L437" s="3">
        <v>9.3820000000000005E-11</v>
      </c>
      <c r="M437" s="3">
        <v>-1.7539999999999999E-6</v>
      </c>
      <c r="N437" s="3">
        <v>1.624E-6</v>
      </c>
      <c r="O437" s="3">
        <v>-2.6259999999999999E-6</v>
      </c>
      <c r="P437" s="3">
        <v>2.0250000000000001E-6</v>
      </c>
      <c r="Q437" s="3">
        <v>5.6780000000000003E-8</v>
      </c>
      <c r="R437" s="3">
        <v>2.8149999999999997E-6</v>
      </c>
      <c r="S437" s="13">
        <v>99999</v>
      </c>
      <c r="T437" s="13">
        <v>99999</v>
      </c>
      <c r="U437" s="13">
        <v>0.15998413144745366</v>
      </c>
    </row>
    <row r="438" spans="1:21" x14ac:dyDescent="0.2">
      <c r="A438">
        <v>340</v>
      </c>
      <c r="B438" s="12">
        <v>1</v>
      </c>
      <c r="C438" s="16">
        <v>2596</v>
      </c>
      <c r="D438" s="16">
        <v>2596</v>
      </c>
      <c r="E438" s="3">
        <v>12.484721260439999</v>
      </c>
      <c r="F438" s="3">
        <v>7.4772347287500001</v>
      </c>
      <c r="G438" s="3">
        <v>-1.6339999999999999E-7</v>
      </c>
      <c r="H438" s="3">
        <v>1.6899999999999999E-7</v>
      </c>
      <c r="I438" s="3">
        <v>-1.1529999999999999E-7</v>
      </c>
      <c r="J438" s="3">
        <v>1.67E-7</v>
      </c>
      <c r="K438" s="3">
        <v>-9.0410000000000001E-11</v>
      </c>
      <c r="L438" s="3">
        <v>9.3240000000000006E-11</v>
      </c>
      <c r="M438" s="3">
        <v>-1.784E-6</v>
      </c>
      <c r="N438" s="3">
        <v>1.615E-6</v>
      </c>
      <c r="O438" s="3">
        <v>-2.576E-6</v>
      </c>
      <c r="P438" s="3">
        <v>2.0420000000000001E-6</v>
      </c>
      <c r="Q438" s="3">
        <v>1.352E-8</v>
      </c>
      <c r="R438" s="3">
        <v>2.7939999999999998E-6</v>
      </c>
      <c r="S438" s="13">
        <v>99999</v>
      </c>
      <c r="T438" s="13">
        <v>99999</v>
      </c>
      <c r="U438" s="13">
        <v>0.1599613282639829</v>
      </c>
    </row>
    <row r="439" spans="1:21" x14ac:dyDescent="0.2">
      <c r="A439">
        <v>341</v>
      </c>
      <c r="B439" s="12">
        <v>1</v>
      </c>
      <c r="C439" s="16">
        <v>2598</v>
      </c>
      <c r="D439" s="16">
        <v>2598</v>
      </c>
      <c r="E439" s="3">
        <v>12.460232863511999</v>
      </c>
      <c r="F439" s="3">
        <v>7.4622725167500006</v>
      </c>
      <c r="G439" s="3">
        <v>-1.6650000000000002E-7</v>
      </c>
      <c r="H439" s="3">
        <v>1.7310000000000001E-7</v>
      </c>
      <c r="I439" s="3">
        <v>-1.113E-7</v>
      </c>
      <c r="J439" s="3">
        <v>1.8670000000000002E-7</v>
      </c>
      <c r="K439" s="3">
        <v>-8.9980000000000009E-11</v>
      </c>
      <c r="L439" s="3">
        <v>9.237E-11</v>
      </c>
      <c r="M439" s="3">
        <v>-1.795E-6</v>
      </c>
      <c r="N439" s="3">
        <v>1.573E-6</v>
      </c>
      <c r="O439" s="3">
        <v>-2.4509999999999999E-6</v>
      </c>
      <c r="P439" s="3">
        <v>2.029E-6</v>
      </c>
      <c r="Q439" s="3">
        <v>1.5339999999999998E-7</v>
      </c>
      <c r="R439" s="3">
        <v>2.7139999999999998E-6</v>
      </c>
      <c r="S439" s="13">
        <v>99999</v>
      </c>
      <c r="T439" s="13">
        <v>99999</v>
      </c>
      <c r="U439" s="13">
        <v>0.15994829973704833</v>
      </c>
    </row>
    <row r="440" spans="1:21" x14ac:dyDescent="0.2">
      <c r="A440">
        <v>342</v>
      </c>
      <c r="B440" s="12">
        <v>1</v>
      </c>
      <c r="C440" s="16">
        <v>2601</v>
      </c>
      <c r="D440" s="16">
        <v>2601</v>
      </c>
      <c r="E440" s="3">
        <v>12.423516725375999</v>
      </c>
      <c r="F440" s="3">
        <v>7.4398392539999998</v>
      </c>
      <c r="G440" s="3">
        <v>-1.8059999999999999E-7</v>
      </c>
      <c r="H440" s="3">
        <v>2.3510000000000001E-7</v>
      </c>
      <c r="I440" s="3">
        <v>-1.1809999999999999E-7</v>
      </c>
      <c r="J440" s="3">
        <v>2.1330000000000001E-7</v>
      </c>
      <c r="K440" s="3">
        <v>-8.9330000000000003E-11</v>
      </c>
      <c r="L440" s="3">
        <v>9.113E-11</v>
      </c>
      <c r="M440" s="3">
        <v>-1.734E-6</v>
      </c>
      <c r="N440" s="3">
        <v>1.4480000000000002E-6</v>
      </c>
      <c r="O440" s="3">
        <v>-2.5359999999999999E-6</v>
      </c>
      <c r="P440" s="3">
        <v>1.9269999999999999E-6</v>
      </c>
      <c r="Q440" s="3">
        <v>1.825E-7</v>
      </c>
      <c r="R440" s="3">
        <v>2.537E-6</v>
      </c>
      <c r="S440" s="13">
        <v>99999</v>
      </c>
      <c r="T440" s="13">
        <v>99999</v>
      </c>
      <c r="U440" s="13">
        <v>0.1599292874731785</v>
      </c>
    </row>
    <row r="441" spans="1:21" x14ac:dyDescent="0.2">
      <c r="A441">
        <v>343</v>
      </c>
      <c r="B441" s="12">
        <v>1</v>
      </c>
      <c r="C441" s="16">
        <v>2605</v>
      </c>
      <c r="D441" s="16">
        <v>2605</v>
      </c>
      <c r="E441" s="3">
        <v>12.368434289544</v>
      </c>
      <c r="F441" s="3">
        <v>7.4061843322499996</v>
      </c>
      <c r="G441" s="3">
        <v>-1.755E-7</v>
      </c>
      <c r="H441" s="3">
        <v>2.8019999999999998E-7</v>
      </c>
      <c r="I441" s="3">
        <v>-1.483E-7</v>
      </c>
      <c r="J441" s="3">
        <v>2.3200000000000001E-7</v>
      </c>
      <c r="K441" s="3">
        <v>-8.841999999999999E-11</v>
      </c>
      <c r="L441" s="3">
        <v>8.9350000000000007E-11</v>
      </c>
      <c r="M441" s="3">
        <v>-1.5039999999999999E-6</v>
      </c>
      <c r="N441" s="3">
        <v>1.4009999999999998E-6</v>
      </c>
      <c r="O441" s="3">
        <v>-2.6289999999999997E-6</v>
      </c>
      <c r="P441" s="3">
        <v>2.024E-6</v>
      </c>
      <c r="Q441" s="3">
        <v>1.7380000000000001E-7</v>
      </c>
      <c r="R441" s="3">
        <v>2.6359999999999998E-6</v>
      </c>
      <c r="S441" s="13">
        <v>99999</v>
      </c>
      <c r="T441" s="13">
        <v>99999</v>
      </c>
      <c r="U441" s="13">
        <v>0.15988071931893019</v>
      </c>
    </row>
    <row r="442" spans="1:21" x14ac:dyDescent="0.2">
      <c r="A442">
        <v>344</v>
      </c>
      <c r="B442" s="12">
        <v>1</v>
      </c>
      <c r="C442" s="16">
        <v>2612</v>
      </c>
      <c r="D442" s="16">
        <v>2612</v>
      </c>
      <c r="E442" s="3">
        <v>12.286839214296</v>
      </c>
      <c r="F442" s="3">
        <v>7.3563304027500003</v>
      </c>
      <c r="G442" s="3">
        <v>-1.983E-7</v>
      </c>
      <c r="H442" s="3">
        <v>2.5909999999999998E-7</v>
      </c>
      <c r="I442" s="3">
        <v>-1.4809999999999998E-7</v>
      </c>
      <c r="J442" s="3">
        <v>2.1540000000000001E-7</v>
      </c>
      <c r="K442" s="3">
        <v>-8.7359999999999996E-11</v>
      </c>
      <c r="L442" s="3">
        <v>8.7149999999999991E-11</v>
      </c>
      <c r="M442" s="3">
        <v>-1.2329999999999999E-6</v>
      </c>
      <c r="N442" s="3">
        <v>1.446E-6</v>
      </c>
      <c r="O442" s="3">
        <v>-2.1940000000000001E-6</v>
      </c>
      <c r="P442" s="3">
        <v>2.0430000000000002E-6</v>
      </c>
      <c r="Q442" s="3">
        <v>1.208E-7</v>
      </c>
      <c r="R442" s="3">
        <v>2.2259999999999999E-6</v>
      </c>
      <c r="S442" s="13">
        <v>99999</v>
      </c>
      <c r="T442" s="13">
        <v>99999</v>
      </c>
      <c r="U442" s="13">
        <v>0.15985634220025818</v>
      </c>
    </row>
    <row r="443" spans="1:21" x14ac:dyDescent="0.2">
      <c r="A443">
        <v>345</v>
      </c>
      <c r="B443" s="12">
        <v>1</v>
      </c>
      <c r="C443" s="16">
        <v>2618</v>
      </c>
      <c r="D443" s="16">
        <v>2618</v>
      </c>
      <c r="E443" s="3">
        <v>12.205244139047998</v>
      </c>
      <c r="F443" s="3">
        <v>7.30647647325</v>
      </c>
      <c r="G443" s="3">
        <v>-2.0129999999999998E-7</v>
      </c>
      <c r="H443" s="3">
        <v>2.318E-7</v>
      </c>
      <c r="I443" s="3">
        <v>-1.586E-7</v>
      </c>
      <c r="J443" s="3">
        <v>1.6610000000000001E-7</v>
      </c>
      <c r="K443" s="3">
        <v>-8.6400000000000007E-11</v>
      </c>
      <c r="L443" s="3">
        <v>8.5840000000000011E-11</v>
      </c>
      <c r="M443" s="3">
        <v>-1.0440000000000001E-6</v>
      </c>
      <c r="N443" s="3">
        <v>1.883E-6</v>
      </c>
      <c r="O443" s="3">
        <v>-2.001E-6</v>
      </c>
      <c r="P443" s="3">
        <v>1.784E-6</v>
      </c>
      <c r="Q443" s="3">
        <v>1.121E-7</v>
      </c>
      <c r="R443" s="3">
        <v>2.4310000000000001E-6</v>
      </c>
      <c r="S443" s="13">
        <v>99999</v>
      </c>
      <c r="T443" s="13">
        <v>99999</v>
      </c>
      <c r="U443" s="13">
        <v>0.15979244160815662</v>
      </c>
    </row>
    <row r="444" spans="1:21" x14ac:dyDescent="0.2">
      <c r="A444">
        <v>346</v>
      </c>
      <c r="B444" s="12">
        <v>1</v>
      </c>
      <c r="C444" s="16">
        <v>2625</v>
      </c>
      <c r="D444" s="16">
        <v>2625</v>
      </c>
      <c r="E444" s="3">
        <v>12.123632606544</v>
      </c>
      <c r="F444" s="3">
        <v>7.2566124885000001</v>
      </c>
      <c r="G444" s="3">
        <v>-2.0029999999999999E-7</v>
      </c>
      <c r="H444" s="3">
        <v>2.163E-7</v>
      </c>
      <c r="I444" s="3">
        <v>-1.2630000000000001E-7</v>
      </c>
      <c r="J444" s="3">
        <v>1.2709999999999999E-7</v>
      </c>
      <c r="K444" s="3">
        <v>-8.5580000000000003E-11</v>
      </c>
      <c r="L444" s="3">
        <v>8.7059999999999995E-11</v>
      </c>
      <c r="M444" s="3">
        <v>-1.2580000000000001E-6</v>
      </c>
      <c r="N444" s="3">
        <v>2.3410000000000001E-6</v>
      </c>
      <c r="O444" s="3">
        <v>-2.216E-6</v>
      </c>
      <c r="P444" s="3">
        <v>2.2290000000000002E-6</v>
      </c>
      <c r="Q444" s="3">
        <v>1.136E-7</v>
      </c>
      <c r="R444" s="3">
        <v>2.7650000000000002E-6</v>
      </c>
      <c r="S444" s="13">
        <v>99999</v>
      </c>
      <c r="T444" s="13">
        <v>99999</v>
      </c>
      <c r="U444" s="13">
        <v>0.1597735659654613</v>
      </c>
    </row>
    <row r="445" spans="1:21" x14ac:dyDescent="0.2">
      <c r="A445">
        <v>347</v>
      </c>
      <c r="B445" s="12">
        <v>1</v>
      </c>
      <c r="C445" s="16">
        <v>2632</v>
      </c>
      <c r="D445" s="16">
        <v>2632</v>
      </c>
      <c r="E445" s="3">
        <v>12.042037531296</v>
      </c>
      <c r="F445" s="3">
        <v>7.2067585590000007</v>
      </c>
      <c r="G445" s="3">
        <v>-2.0900000000000001E-7</v>
      </c>
      <c r="H445" s="3">
        <v>2.2110000000000001E-7</v>
      </c>
      <c r="I445" s="3">
        <v>-1.6919999999999998E-7</v>
      </c>
      <c r="J445" s="3">
        <v>1.2410000000000001E-7</v>
      </c>
      <c r="K445" s="3">
        <v>-8.4880000000000008E-11</v>
      </c>
      <c r="L445" s="3">
        <v>8.8349999999999997E-11</v>
      </c>
      <c r="M445" s="3">
        <v>-1.4189999999999999E-6</v>
      </c>
      <c r="N445" s="3">
        <v>2.3879999999999998E-6</v>
      </c>
      <c r="O445" s="3">
        <v>-1.894E-6</v>
      </c>
      <c r="P445" s="3">
        <v>2.3039999999999999E-6</v>
      </c>
      <c r="Q445" s="3">
        <v>1.61E-7</v>
      </c>
      <c r="R445" s="3">
        <v>2.6359999999999998E-6</v>
      </c>
      <c r="S445" s="13">
        <v>99999</v>
      </c>
      <c r="T445" s="13">
        <v>99999</v>
      </c>
      <c r="U445" s="13">
        <v>0.15975759783879387</v>
      </c>
    </row>
    <row r="446" spans="1:21" x14ac:dyDescent="0.2">
      <c r="A446">
        <v>348</v>
      </c>
      <c r="B446" s="12">
        <v>1</v>
      </c>
      <c r="C446" s="16">
        <v>2638</v>
      </c>
      <c r="D446" s="16">
        <v>2638</v>
      </c>
      <c r="E446" s="3">
        <v>11.960442456047998</v>
      </c>
      <c r="F446" s="3">
        <v>7.1569046294999996</v>
      </c>
      <c r="G446" s="3">
        <v>-1.6780000000000001E-7</v>
      </c>
      <c r="H446" s="3">
        <v>2.4509999999999999E-7</v>
      </c>
      <c r="I446" s="3">
        <v>-1.719E-7</v>
      </c>
      <c r="J446" s="3">
        <v>1.409E-7</v>
      </c>
      <c r="K446" s="3">
        <v>-8.4299999999999996E-11</v>
      </c>
      <c r="L446" s="3">
        <v>8.9669999999999999E-11</v>
      </c>
      <c r="M446" s="3">
        <v>-1.4450000000000001E-6</v>
      </c>
      <c r="N446" s="3">
        <v>2.0820000000000001E-6</v>
      </c>
      <c r="O446" s="3">
        <v>-1.708E-6</v>
      </c>
      <c r="P446" s="3">
        <v>1.7999999999999999E-6</v>
      </c>
      <c r="Q446" s="3">
        <v>7.3120000000000009E-8</v>
      </c>
      <c r="R446" s="3">
        <v>2.148E-6</v>
      </c>
      <c r="S446" s="13">
        <v>99999</v>
      </c>
      <c r="T446" s="13">
        <v>99999</v>
      </c>
      <c r="U446" s="13">
        <v>0.15970176187839963</v>
      </c>
    </row>
    <row r="447" spans="1:21" x14ac:dyDescent="0.2">
      <c r="A447">
        <v>349</v>
      </c>
      <c r="B447" s="12">
        <v>1</v>
      </c>
      <c r="C447" s="16">
        <v>2645</v>
      </c>
      <c r="D447" s="16">
        <v>2645</v>
      </c>
      <c r="E447" s="3">
        <v>11.8788473808</v>
      </c>
      <c r="F447" s="3">
        <v>7.1070507000000003</v>
      </c>
      <c r="G447" s="3">
        <v>-1.709E-7</v>
      </c>
      <c r="H447" s="3">
        <v>2.2980000000000001E-7</v>
      </c>
      <c r="I447" s="3">
        <v>-1.913E-7</v>
      </c>
      <c r="J447" s="3">
        <v>1.684E-7</v>
      </c>
      <c r="K447" s="3">
        <v>-8.3840000000000005E-11</v>
      </c>
      <c r="L447" s="3">
        <v>9.1040000000000003E-11</v>
      </c>
      <c r="M447" s="3">
        <v>-1.2489999999999998E-6</v>
      </c>
      <c r="N447" s="3">
        <v>1.6819999999999999E-6</v>
      </c>
      <c r="O447" s="3">
        <v>-1.719E-6</v>
      </c>
      <c r="P447" s="3">
        <v>1.7990000000000001E-6</v>
      </c>
      <c r="Q447" s="3">
        <v>1.5510000000000001E-7</v>
      </c>
      <c r="R447" s="3">
        <v>2.0890000000000002E-6</v>
      </c>
      <c r="S447" s="13">
        <v>99999</v>
      </c>
      <c r="T447" s="13">
        <v>99999</v>
      </c>
      <c r="U447" s="13">
        <v>0.15969136765087216</v>
      </c>
    </row>
    <row r="448" spans="1:21" x14ac:dyDescent="0.2">
      <c r="A448">
        <v>350</v>
      </c>
      <c r="B448" s="12">
        <v>1</v>
      </c>
      <c r="C448" s="16">
        <v>2651</v>
      </c>
      <c r="D448" s="16">
        <v>2651</v>
      </c>
      <c r="E448" s="3">
        <v>11.797235848295999</v>
      </c>
      <c r="F448" s="3">
        <v>7.0571867152500003</v>
      </c>
      <c r="G448" s="3">
        <v>-1.5529999999999999E-7</v>
      </c>
      <c r="H448" s="3">
        <v>1.758E-7</v>
      </c>
      <c r="I448" s="3">
        <v>-1.8340000000000001E-7</v>
      </c>
      <c r="J448" s="3">
        <v>1.945E-7</v>
      </c>
      <c r="K448" s="3">
        <v>-8.3439999999999998E-11</v>
      </c>
      <c r="L448" s="3">
        <v>9.2439999999999993E-11</v>
      </c>
      <c r="M448" s="3">
        <v>-1.5150000000000001E-6</v>
      </c>
      <c r="N448" s="3">
        <v>1.3829999999999999E-6</v>
      </c>
      <c r="O448" s="3">
        <v>-1.9139999999999998E-6</v>
      </c>
      <c r="P448" s="3">
        <v>2.2000000000000001E-6</v>
      </c>
      <c r="Q448" s="3">
        <v>1.085E-7</v>
      </c>
      <c r="R448" s="3">
        <v>2.2980000000000003E-6</v>
      </c>
      <c r="S448" s="13">
        <v>99999</v>
      </c>
      <c r="T448" s="13">
        <v>99999</v>
      </c>
      <c r="U448" s="13">
        <v>0.15964081913907624</v>
      </c>
    </row>
    <row r="449" spans="1:21" x14ac:dyDescent="0.2">
      <c r="A449">
        <v>351</v>
      </c>
      <c r="B449" s="12">
        <v>1</v>
      </c>
      <c r="C449" s="16">
        <v>2658</v>
      </c>
      <c r="D449" s="16">
        <v>2658</v>
      </c>
      <c r="E449" s="3">
        <v>11.715640773047998</v>
      </c>
      <c r="F449" s="3">
        <v>7.0073327857500001</v>
      </c>
      <c r="G449" s="3">
        <v>-1.8550000000000001E-7</v>
      </c>
      <c r="H449" s="3">
        <v>1.6640000000000001E-7</v>
      </c>
      <c r="I449" s="3">
        <v>-1.815E-7</v>
      </c>
      <c r="J449" s="3">
        <v>1.9680000000000002E-7</v>
      </c>
      <c r="K449" s="3">
        <v>-8.3020000000000001E-11</v>
      </c>
      <c r="L449" s="3">
        <v>9.3880000000000003E-11</v>
      </c>
      <c r="M449" s="3">
        <v>-1.6130000000000001E-6</v>
      </c>
      <c r="N449" s="3">
        <v>1.3829999999999999E-6</v>
      </c>
      <c r="O449" s="3">
        <v>-1.6420000000000001E-6</v>
      </c>
      <c r="P449" s="3">
        <v>2.1849999999999998E-6</v>
      </c>
      <c r="Q449" s="3">
        <v>0</v>
      </c>
      <c r="R449" s="3">
        <v>2.198E-6</v>
      </c>
      <c r="S449" s="13">
        <v>99999</v>
      </c>
      <c r="T449" s="13">
        <v>99999</v>
      </c>
      <c r="U449" s="13">
        <v>0.15963600433626768</v>
      </c>
    </row>
    <row r="450" spans="1:21" x14ac:dyDescent="0.2">
      <c r="A450">
        <v>352</v>
      </c>
      <c r="B450" s="12">
        <v>1</v>
      </c>
      <c r="C450" s="16">
        <v>2664</v>
      </c>
      <c r="D450" s="16">
        <v>2664</v>
      </c>
      <c r="E450" s="3">
        <v>11.6340456978</v>
      </c>
      <c r="F450" s="3">
        <v>6.9574788562499998</v>
      </c>
      <c r="G450" s="3">
        <v>-2.0880000000000002E-7</v>
      </c>
      <c r="H450" s="3">
        <v>1.9909999999999998E-7</v>
      </c>
      <c r="I450" s="3">
        <v>-1.6890000000000001E-7</v>
      </c>
      <c r="J450" s="3">
        <v>1.7380000000000001E-7</v>
      </c>
      <c r="K450" s="3">
        <v>-8.2440000000000002E-11</v>
      </c>
      <c r="L450" s="3">
        <v>9.532E-11</v>
      </c>
      <c r="M450" s="3">
        <v>-1.3010000000000001E-6</v>
      </c>
      <c r="N450" s="3">
        <v>1.6999999999999998E-6</v>
      </c>
      <c r="O450" s="3">
        <v>-1.9439999999999999E-6</v>
      </c>
      <c r="P450" s="3">
        <v>2.2499999999999996E-6</v>
      </c>
      <c r="Q450" s="3">
        <v>8.9549999999999991E-8</v>
      </c>
      <c r="R450" s="3">
        <v>2.368E-6</v>
      </c>
      <c r="S450" s="13">
        <v>99999</v>
      </c>
      <c r="T450" s="13">
        <v>99999</v>
      </c>
      <c r="U450" s="13">
        <v>0.15959087453460455</v>
      </c>
    </row>
    <row r="451" spans="1:21" x14ac:dyDescent="0.2">
      <c r="A451">
        <v>353</v>
      </c>
      <c r="B451" s="12">
        <v>1</v>
      </c>
      <c r="C451" s="16">
        <v>2671</v>
      </c>
      <c r="D451" s="16">
        <v>2671</v>
      </c>
      <c r="E451" s="3">
        <v>11.552434165295999</v>
      </c>
      <c r="F451" s="3">
        <v>6.9076148715000008</v>
      </c>
      <c r="G451" s="3">
        <v>-1.8619999999999999E-7</v>
      </c>
      <c r="H451" s="3">
        <v>1.7870000000000001E-7</v>
      </c>
      <c r="I451" s="3">
        <v>-1.148E-7</v>
      </c>
      <c r="J451" s="3">
        <v>1.4990000000000001E-7</v>
      </c>
      <c r="K451" s="3">
        <v>-8.1709999999999995E-11</v>
      </c>
      <c r="L451" s="3">
        <v>9.6640000000000002E-11</v>
      </c>
      <c r="M451" s="3">
        <v>-1.42E-6</v>
      </c>
      <c r="N451" s="3">
        <v>2.0999999999999998E-6</v>
      </c>
      <c r="O451" s="3">
        <v>-2.1320000000000001E-6</v>
      </c>
      <c r="P451" s="3">
        <v>1.996E-6</v>
      </c>
      <c r="Q451" s="3">
        <v>1.6559999999999997E-7</v>
      </c>
      <c r="R451" s="3">
        <v>2.4719999999999998E-6</v>
      </c>
      <c r="S451" s="13">
        <v>99999</v>
      </c>
      <c r="T451" s="13">
        <v>99999</v>
      </c>
      <c r="U451" s="13">
        <v>0.15959158218342337</v>
      </c>
    </row>
    <row r="452" spans="1:21" x14ac:dyDescent="0.2">
      <c r="A452">
        <v>354</v>
      </c>
      <c r="B452" s="12">
        <v>1</v>
      </c>
      <c r="C452" s="16">
        <v>2677</v>
      </c>
      <c r="D452" s="16">
        <v>2677</v>
      </c>
      <c r="E452" s="3">
        <v>11.470839090047999</v>
      </c>
      <c r="F452" s="3">
        <v>6.8577609419999996</v>
      </c>
      <c r="G452" s="3">
        <v>-1.7079999999999999E-7</v>
      </c>
      <c r="H452" s="3">
        <v>1.536E-7</v>
      </c>
      <c r="I452" s="3">
        <v>-1.2980000000000001E-7</v>
      </c>
      <c r="J452" s="3">
        <v>1.2349999999999999E-7</v>
      </c>
      <c r="K452" s="3">
        <v>-8.1050000000000007E-11</v>
      </c>
      <c r="L452" s="3">
        <v>9.7850000000000003E-11</v>
      </c>
      <c r="M452" s="3">
        <v>-1.6750000000000001E-6</v>
      </c>
      <c r="N452" s="3">
        <v>2.3429999999999998E-6</v>
      </c>
      <c r="O452" s="3">
        <v>-1.9189999999999998E-6</v>
      </c>
      <c r="P452" s="3">
        <v>1.7539999999999999E-6</v>
      </c>
      <c r="Q452" s="3">
        <v>6.0779999999999992E-8</v>
      </c>
      <c r="R452" s="3">
        <v>2.345E-6</v>
      </c>
      <c r="S452" s="13">
        <v>99999</v>
      </c>
      <c r="T452" s="13">
        <v>99999</v>
      </c>
      <c r="U452" s="13">
        <v>0.15955181539048513</v>
      </c>
    </row>
    <row r="453" spans="1:21" x14ac:dyDescent="0.2">
      <c r="A453">
        <v>355</v>
      </c>
      <c r="B453" s="12">
        <v>1</v>
      </c>
      <c r="C453" s="16">
        <v>2684</v>
      </c>
      <c r="D453" s="16">
        <v>2684</v>
      </c>
      <c r="E453" s="3">
        <v>11.389244014799999</v>
      </c>
      <c r="F453" s="3">
        <v>6.8079070125000003</v>
      </c>
      <c r="G453" s="3">
        <v>-1.8760000000000001E-7</v>
      </c>
      <c r="H453" s="3">
        <v>2.181E-7</v>
      </c>
      <c r="I453" s="3">
        <v>-1.607E-7</v>
      </c>
      <c r="J453" s="3">
        <v>1.572E-7</v>
      </c>
      <c r="K453" s="3">
        <v>-8.0290000000000001E-11</v>
      </c>
      <c r="L453" s="3">
        <v>9.8939999999999996E-11</v>
      </c>
      <c r="M453" s="3">
        <v>-1.671E-6</v>
      </c>
      <c r="N453" s="3">
        <v>2.39E-6</v>
      </c>
      <c r="O453" s="3">
        <v>-2.137E-6</v>
      </c>
      <c r="P453" s="3">
        <v>1.756E-6</v>
      </c>
      <c r="Q453" s="3">
        <v>8.1940000000000004E-8</v>
      </c>
      <c r="R453" s="3">
        <v>2.4530000000000001E-6</v>
      </c>
      <c r="S453" s="13">
        <v>99999</v>
      </c>
      <c r="T453" s="13">
        <v>99999</v>
      </c>
      <c r="U453" s="13">
        <v>0.15955817001399281</v>
      </c>
    </row>
    <row r="454" spans="1:21" x14ac:dyDescent="0.2">
      <c r="A454">
        <v>356</v>
      </c>
      <c r="B454" s="12">
        <v>1</v>
      </c>
      <c r="C454" s="16">
        <v>2691</v>
      </c>
      <c r="D454" s="16">
        <v>2691</v>
      </c>
      <c r="E454" s="3">
        <v>11.307648939551999</v>
      </c>
      <c r="F454" s="3">
        <v>6.7580530830000001</v>
      </c>
      <c r="G454" s="3">
        <v>-2.1640000000000001E-7</v>
      </c>
      <c r="H454" s="3">
        <v>2.248E-7</v>
      </c>
      <c r="I454" s="3">
        <v>-1.835E-7</v>
      </c>
      <c r="J454" s="3">
        <v>1.7660000000000001E-7</v>
      </c>
      <c r="K454" s="3">
        <v>-7.9350000000000003E-11</v>
      </c>
      <c r="L454" s="3">
        <v>9.9899999999999999E-11</v>
      </c>
      <c r="M454" s="3">
        <v>-1.22E-6</v>
      </c>
      <c r="N454" s="3">
        <v>2.2820000000000003E-6</v>
      </c>
      <c r="O454" s="3">
        <v>-1.9369999999999998E-6</v>
      </c>
      <c r="P454" s="3">
        <v>1.4710000000000002E-6</v>
      </c>
      <c r="Q454" s="3">
        <v>1.3129999999999999E-7</v>
      </c>
      <c r="R454" s="3">
        <v>2.3280000000000004E-6</v>
      </c>
      <c r="S454" s="13">
        <v>99999</v>
      </c>
      <c r="T454" s="13">
        <v>99999</v>
      </c>
      <c r="U454" s="13">
        <v>0.15956737369238061</v>
      </c>
    </row>
    <row r="455" spans="1:21" x14ac:dyDescent="0.2">
      <c r="A455">
        <v>357</v>
      </c>
      <c r="B455" s="12">
        <v>1</v>
      </c>
      <c r="C455" s="16">
        <v>2697</v>
      </c>
      <c r="D455" s="16">
        <v>2697</v>
      </c>
      <c r="E455" s="3">
        <v>11.226037407047999</v>
      </c>
      <c r="F455" s="3">
        <v>6.7081890982500001</v>
      </c>
      <c r="G455" s="3">
        <v>-2.378E-7</v>
      </c>
      <c r="H455" s="3">
        <v>2.3479999999999998E-7</v>
      </c>
      <c r="I455" s="3">
        <v>-2.1019999999999999E-7</v>
      </c>
      <c r="J455" s="3">
        <v>1.72E-7</v>
      </c>
      <c r="K455" s="3">
        <v>-7.8250000000000001E-11</v>
      </c>
      <c r="L455" s="3">
        <v>1.007E-10</v>
      </c>
      <c r="M455" s="3">
        <v>-8.0999999999999997E-7</v>
      </c>
      <c r="N455" s="3">
        <v>1.911E-6</v>
      </c>
      <c r="O455" s="3">
        <v>-1.545E-6</v>
      </c>
      <c r="P455" s="3">
        <v>1.3400000000000001E-6</v>
      </c>
      <c r="Q455" s="3">
        <v>3.9150000000000003E-8</v>
      </c>
      <c r="R455" s="3">
        <v>1.9230000000000001E-6</v>
      </c>
      <c r="S455" s="13">
        <v>99999</v>
      </c>
      <c r="T455" s="13">
        <v>99999</v>
      </c>
      <c r="U455" s="13">
        <v>0.15953565414728005</v>
      </c>
    </row>
    <row r="456" spans="1:21" x14ac:dyDescent="0.2">
      <c r="A456">
        <v>358</v>
      </c>
      <c r="B456" s="12">
        <v>1</v>
      </c>
      <c r="C456" s="16">
        <v>2704</v>
      </c>
      <c r="D456" s="16">
        <v>2704</v>
      </c>
      <c r="E456" s="3">
        <v>11.144442331799999</v>
      </c>
      <c r="F456" s="3">
        <v>6.6583351687499999</v>
      </c>
      <c r="G456" s="3">
        <v>-1.8029999999999999E-7</v>
      </c>
      <c r="H456" s="3">
        <v>2.1860000000000001E-7</v>
      </c>
      <c r="I456" s="3">
        <v>-2.367E-7</v>
      </c>
      <c r="J456" s="3">
        <v>1.825E-7</v>
      </c>
      <c r="K456" s="3">
        <v>-7.6980000000000002E-11</v>
      </c>
      <c r="L456" s="3">
        <v>1.0139999999999999E-10</v>
      </c>
      <c r="M456" s="3">
        <v>-1.0790000000000002E-6</v>
      </c>
      <c r="N456" s="3">
        <v>1.33E-6</v>
      </c>
      <c r="O456" s="3">
        <v>-1.9889999999999999E-6</v>
      </c>
      <c r="P456" s="3">
        <v>1.9419999999999998E-6</v>
      </c>
      <c r="Q456" s="3">
        <v>5.7229999999999997E-8</v>
      </c>
      <c r="R456" s="3">
        <v>2.0779999999999998E-6</v>
      </c>
      <c r="S456" s="13">
        <v>99999</v>
      </c>
      <c r="T456" s="13">
        <v>99999</v>
      </c>
      <c r="U456" s="13">
        <v>0.1595504456206101</v>
      </c>
    </row>
    <row r="457" spans="1:21" x14ac:dyDescent="0.2">
      <c r="A457">
        <v>359</v>
      </c>
      <c r="B457" s="12">
        <v>1</v>
      </c>
      <c r="C457" s="16">
        <v>2710</v>
      </c>
      <c r="D457" s="16">
        <v>2710</v>
      </c>
      <c r="E457" s="3">
        <v>11.062847256551999</v>
      </c>
      <c r="F457" s="3">
        <v>6.6084812392499996</v>
      </c>
      <c r="G457" s="3">
        <v>-1.325E-7</v>
      </c>
      <c r="H457" s="3">
        <v>1.4499999999999999E-7</v>
      </c>
      <c r="I457" s="3">
        <v>-2.219E-7</v>
      </c>
      <c r="J457" s="3">
        <v>1.5599999999999999E-7</v>
      </c>
      <c r="K457" s="3">
        <v>-7.6799999999999996E-11</v>
      </c>
      <c r="L457" s="3">
        <v>1.018E-10</v>
      </c>
      <c r="M457" s="3">
        <v>-1.5850000000000001E-6</v>
      </c>
      <c r="N457" s="3">
        <v>1.6470000000000001E-6</v>
      </c>
      <c r="O457" s="3">
        <v>-2.0769999999999998E-6</v>
      </c>
      <c r="P457" s="3">
        <v>2.2109999999999997E-6</v>
      </c>
      <c r="Q457" s="3">
        <v>1.5349999999999999E-7</v>
      </c>
      <c r="R457" s="3">
        <v>2.2109999999999997E-6</v>
      </c>
      <c r="S457" s="13">
        <v>99999</v>
      </c>
      <c r="T457" s="13">
        <v>99999</v>
      </c>
      <c r="U457" s="13">
        <v>0.15952415852295215</v>
      </c>
    </row>
    <row r="458" spans="1:21" x14ac:dyDescent="0.2">
      <c r="A458">
        <v>360</v>
      </c>
      <c r="B458" s="12">
        <v>1</v>
      </c>
      <c r="C458" s="16">
        <v>2717</v>
      </c>
      <c r="D458" s="16">
        <v>2717</v>
      </c>
      <c r="E458" s="3">
        <v>10.981235724048</v>
      </c>
      <c r="F458" s="3">
        <v>6.5586172544999997</v>
      </c>
      <c r="G458" s="3">
        <v>-1.7959999999999999E-7</v>
      </c>
      <c r="H458" s="3">
        <v>1.5799999999999999E-7</v>
      </c>
      <c r="I458" s="3">
        <v>-1.6119999999999999E-7</v>
      </c>
      <c r="J458" s="3">
        <v>9.9129999999999988E-8</v>
      </c>
      <c r="K458" s="3">
        <v>-7.7439999999999993E-11</v>
      </c>
      <c r="L458" s="3">
        <v>1.0209999999999999E-10</v>
      </c>
      <c r="M458" s="3">
        <v>-1.8480000000000001E-6</v>
      </c>
      <c r="N458" s="3">
        <v>1.646E-6</v>
      </c>
      <c r="O458" s="3">
        <v>-2.3879999999999998E-6</v>
      </c>
      <c r="P458" s="3">
        <v>1.9940000000000003E-6</v>
      </c>
      <c r="Q458" s="3">
        <v>1.687E-7</v>
      </c>
      <c r="R458" s="3">
        <v>2.3889999999999999E-6</v>
      </c>
      <c r="S458" s="13">
        <v>99999</v>
      </c>
      <c r="T458" s="13">
        <v>99999</v>
      </c>
      <c r="U458" s="13">
        <v>0.15954447949361</v>
      </c>
    </row>
    <row r="459" spans="1:21" x14ac:dyDescent="0.2">
      <c r="A459">
        <v>361</v>
      </c>
      <c r="B459" s="12">
        <v>1</v>
      </c>
      <c r="C459" s="16">
        <v>2723</v>
      </c>
      <c r="D459" s="16">
        <v>2723</v>
      </c>
      <c r="E459" s="3">
        <v>10.899640648799998</v>
      </c>
      <c r="F459" s="3">
        <v>6.5087633250000003</v>
      </c>
      <c r="G459" s="3">
        <v>-2.22E-7</v>
      </c>
      <c r="H459" s="3">
        <v>2.0029999999999999E-7</v>
      </c>
      <c r="I459" s="3">
        <v>-1.55E-7</v>
      </c>
      <c r="J459" s="3">
        <v>1.384E-7</v>
      </c>
      <c r="K459" s="3">
        <v>-7.8039999999999996E-11</v>
      </c>
      <c r="L459" s="3">
        <v>1.025E-10</v>
      </c>
      <c r="M459" s="3">
        <v>-2.0279999999999999E-6</v>
      </c>
      <c r="N459" s="3">
        <v>1.9910000000000001E-6</v>
      </c>
      <c r="O459" s="3">
        <v>-2.0020000000000001E-6</v>
      </c>
      <c r="P459" s="3">
        <v>2.0190000000000001E-6</v>
      </c>
      <c r="Q459" s="3">
        <v>1.008E-7</v>
      </c>
      <c r="R459" s="3">
        <v>2.3920000000000001E-6</v>
      </c>
      <c r="S459" s="13">
        <v>99999</v>
      </c>
      <c r="T459" s="13">
        <v>99999</v>
      </c>
      <c r="U459" s="13">
        <v>0.15952356799461082</v>
      </c>
    </row>
    <row r="460" spans="1:21" x14ac:dyDescent="0.2">
      <c r="A460">
        <v>362</v>
      </c>
      <c r="B460" s="12">
        <v>1</v>
      </c>
      <c r="C460" s="16">
        <v>2730</v>
      </c>
      <c r="D460" s="16">
        <v>2730</v>
      </c>
      <c r="E460" s="3">
        <v>10.818045573552</v>
      </c>
      <c r="F460" s="3">
        <v>6.4589093954999992</v>
      </c>
      <c r="G460" s="3">
        <v>-2.234E-7</v>
      </c>
      <c r="H460" s="3">
        <v>2.6459999999999997E-7</v>
      </c>
      <c r="I460" s="3">
        <v>-1.7489999999999998E-7</v>
      </c>
      <c r="J460" s="3">
        <v>1.9709999999999998E-7</v>
      </c>
      <c r="K460" s="3">
        <v>-7.861E-11</v>
      </c>
      <c r="L460" s="3">
        <v>1.0299999999999999E-10</v>
      </c>
      <c r="M460" s="3">
        <v>-2.0820000000000001E-6</v>
      </c>
      <c r="N460" s="3">
        <v>1.7459999999999999E-6</v>
      </c>
      <c r="O460" s="3">
        <v>-1.19E-6</v>
      </c>
      <c r="P460" s="3">
        <v>1.5239999999999999E-6</v>
      </c>
      <c r="Q460" s="3">
        <v>7.2360000000000007E-8</v>
      </c>
      <c r="R460" s="3">
        <v>2.2580000000000002E-6</v>
      </c>
      <c r="S460" s="13">
        <v>99999</v>
      </c>
      <c r="T460" s="13">
        <v>99999</v>
      </c>
      <c r="U460" s="13">
        <v>0.15954953313627304</v>
      </c>
    </row>
    <row r="461" spans="1:21" x14ac:dyDescent="0.2">
      <c r="A461">
        <v>363</v>
      </c>
      <c r="B461" s="12">
        <v>1</v>
      </c>
      <c r="C461" s="16">
        <v>2737</v>
      </c>
      <c r="D461" s="16">
        <v>2737</v>
      </c>
      <c r="E461" s="3">
        <v>10.736434041048</v>
      </c>
      <c r="F461" s="3">
        <v>6.4090454107500001</v>
      </c>
      <c r="G461" s="3">
        <v>-1.86E-7</v>
      </c>
      <c r="H461" s="3">
        <v>2.4719999999999999E-7</v>
      </c>
      <c r="I461" s="3">
        <v>-2.1919999999999998E-7</v>
      </c>
      <c r="J461" s="3">
        <v>1.9570000000000001E-7</v>
      </c>
      <c r="K461" s="3">
        <v>-7.9150000000000006E-11</v>
      </c>
      <c r="L461" s="3">
        <v>1.0349999999999999E-10</v>
      </c>
      <c r="M461" s="3">
        <v>-1.708E-6</v>
      </c>
      <c r="N461" s="3">
        <v>1.28E-6</v>
      </c>
      <c r="O461" s="3">
        <v>-1.1230000000000001E-6</v>
      </c>
      <c r="P461" s="3">
        <v>1.3309999999999998E-6</v>
      </c>
      <c r="Q461" s="3">
        <v>7.2950000000000001E-8</v>
      </c>
      <c r="R461" s="3">
        <v>1.796E-6</v>
      </c>
      <c r="S461" s="13">
        <v>99999</v>
      </c>
      <c r="T461" s="13">
        <v>99999</v>
      </c>
      <c r="U461" s="13">
        <v>0.15957828661628407</v>
      </c>
    </row>
    <row r="462" spans="1:21" x14ac:dyDescent="0.2">
      <c r="A462">
        <v>364</v>
      </c>
      <c r="B462" s="12">
        <v>1</v>
      </c>
      <c r="C462" s="16">
        <v>2743</v>
      </c>
      <c r="D462" s="16">
        <v>2743</v>
      </c>
      <c r="E462" s="3">
        <v>10.6548389658</v>
      </c>
      <c r="F462" s="3">
        <v>6.3591914812499999</v>
      </c>
      <c r="G462" s="3">
        <v>-1.7070000000000001E-7</v>
      </c>
      <c r="H462" s="3">
        <v>1.575E-7</v>
      </c>
      <c r="I462" s="3">
        <v>-2.0279999999999999E-7</v>
      </c>
      <c r="J462" s="3">
        <v>1.825E-7</v>
      </c>
      <c r="K462" s="3">
        <v>-7.9659999999999999E-11</v>
      </c>
      <c r="L462" s="3">
        <v>1.0409999999999999E-10</v>
      </c>
      <c r="M462" s="3">
        <v>-1.147E-6</v>
      </c>
      <c r="N462" s="3">
        <v>1.8640000000000001E-6</v>
      </c>
      <c r="O462" s="3">
        <v>-1.826E-6</v>
      </c>
      <c r="P462" s="3">
        <v>1.7060000000000001E-6</v>
      </c>
      <c r="Q462" s="3">
        <v>1.4569999999999999E-7</v>
      </c>
      <c r="R462" s="3">
        <v>2.0929999999999997E-6</v>
      </c>
      <c r="S462" s="13">
        <v>99999</v>
      </c>
      <c r="T462" s="13">
        <v>99999</v>
      </c>
      <c r="U462" s="13">
        <v>0.15956549094532813</v>
      </c>
    </row>
    <row r="463" spans="1:21" x14ac:dyDescent="0.2">
      <c r="A463">
        <v>365</v>
      </c>
      <c r="B463" s="12">
        <v>1</v>
      </c>
      <c r="C463" s="16">
        <v>2750</v>
      </c>
      <c r="D463" s="16">
        <v>2750</v>
      </c>
      <c r="E463" s="3">
        <v>10.573243890552</v>
      </c>
      <c r="F463" s="3">
        <v>6.3093375517499997</v>
      </c>
      <c r="G463" s="3">
        <v>-1.0950000000000001E-7</v>
      </c>
      <c r="H463" s="3">
        <v>1.1670000000000001E-7</v>
      </c>
      <c r="I463" s="3">
        <v>-1.677E-7</v>
      </c>
      <c r="J463" s="3">
        <v>1.5420000000000002E-7</v>
      </c>
      <c r="K463" s="3">
        <v>-8.0159999999999998E-11</v>
      </c>
      <c r="L463" s="3">
        <v>1.0459999999999999E-10</v>
      </c>
      <c r="M463" s="3">
        <v>-1.4920000000000001E-6</v>
      </c>
      <c r="N463" s="3">
        <v>2.2799999999999998E-6</v>
      </c>
      <c r="O463" s="3">
        <v>-2.1799999999999999E-6</v>
      </c>
      <c r="P463" s="3">
        <v>2.278E-6</v>
      </c>
      <c r="Q463" s="3">
        <v>1.8539999999999999E-8</v>
      </c>
      <c r="R463" s="3">
        <v>2.6120000000000001E-6</v>
      </c>
      <c r="S463" s="13">
        <v>99999</v>
      </c>
      <c r="T463" s="13">
        <v>99999</v>
      </c>
      <c r="U463" s="13">
        <v>0.15959988306965342</v>
      </c>
    </row>
    <row r="464" spans="1:21" x14ac:dyDescent="0.2">
      <c r="A464">
        <v>366</v>
      </c>
      <c r="B464" s="12">
        <v>1</v>
      </c>
      <c r="C464" s="16">
        <v>2756</v>
      </c>
      <c r="D464" s="16">
        <v>2756</v>
      </c>
      <c r="E464" s="3">
        <v>10.491632358047999</v>
      </c>
      <c r="F464" s="3">
        <v>6.2594735669999997</v>
      </c>
      <c r="G464" s="3">
        <v>-1.3760000000000001E-7</v>
      </c>
      <c r="H464" s="3">
        <v>1.755E-7</v>
      </c>
      <c r="I464" s="3">
        <v>-1.7100000000000001E-7</v>
      </c>
      <c r="J464" s="3">
        <v>1.045E-7</v>
      </c>
      <c r="K464" s="3">
        <v>-8.0599999999999998E-11</v>
      </c>
      <c r="L464" s="3">
        <v>1.0509999999999999E-10</v>
      </c>
      <c r="M464" s="3">
        <v>-1.8450000000000001E-6</v>
      </c>
      <c r="N464" s="3">
        <v>2.074E-6</v>
      </c>
      <c r="O464" s="3">
        <v>-1.874E-6</v>
      </c>
      <c r="P464" s="3">
        <v>2.339E-6</v>
      </c>
      <c r="Q464" s="3">
        <v>1.5949999999999999E-7</v>
      </c>
      <c r="R464" s="3">
        <v>2.4269999999999998E-6</v>
      </c>
      <c r="S464" s="13">
        <v>99999</v>
      </c>
      <c r="T464" s="13">
        <v>99999</v>
      </c>
      <c r="U464" s="13">
        <v>0.15959240758825763</v>
      </c>
    </row>
    <row r="465" spans="1:21" x14ac:dyDescent="0.2">
      <c r="A465">
        <v>367</v>
      </c>
      <c r="B465" s="12">
        <v>1</v>
      </c>
      <c r="C465" s="16">
        <v>2763</v>
      </c>
      <c r="D465" s="16">
        <v>2763</v>
      </c>
      <c r="E465" s="3">
        <v>10.410037282799999</v>
      </c>
      <c r="F465" s="3">
        <v>6.2096196375000003</v>
      </c>
      <c r="G465" s="3">
        <v>-2.096E-7</v>
      </c>
      <c r="H465" s="3">
        <v>2.364E-7</v>
      </c>
      <c r="I465" s="3">
        <v>-2.5409999999999998E-7</v>
      </c>
      <c r="J465" s="3">
        <v>1.572E-7</v>
      </c>
      <c r="K465" s="3">
        <v>-8.0999999999999992E-11</v>
      </c>
      <c r="L465" s="3">
        <v>1.056E-10</v>
      </c>
      <c r="M465" s="3">
        <v>-1.7910000000000001E-6</v>
      </c>
      <c r="N465" s="3">
        <v>1.4589999999999999E-6</v>
      </c>
      <c r="O465" s="3">
        <v>-1.7570000000000001E-6</v>
      </c>
      <c r="P465" s="3">
        <v>1.7440000000000002E-6</v>
      </c>
      <c r="Q465" s="3">
        <v>5.6450000000000006E-8</v>
      </c>
      <c r="R465" s="3">
        <v>2.2840000000000001E-6</v>
      </c>
      <c r="S465" s="13">
        <v>99999</v>
      </c>
      <c r="T465" s="13">
        <v>99999</v>
      </c>
      <c r="U465" s="13">
        <v>0.15963237721664358</v>
      </c>
    </row>
    <row r="466" spans="1:21" x14ac:dyDescent="0.2">
      <c r="A466">
        <v>368</v>
      </c>
      <c r="B466" s="12">
        <v>1</v>
      </c>
      <c r="C466" s="16">
        <v>2769</v>
      </c>
      <c r="D466" s="16">
        <v>2769</v>
      </c>
      <c r="E466" s="3">
        <v>10.328442207551999</v>
      </c>
      <c r="F466" s="3">
        <v>6.1597657079999992</v>
      </c>
      <c r="G466" s="3">
        <v>-2.2910000000000001E-7</v>
      </c>
      <c r="H466" s="3">
        <v>2.2949999999999998E-7</v>
      </c>
      <c r="I466" s="3">
        <v>-2.6720000000000001E-7</v>
      </c>
      <c r="J466" s="3">
        <v>1.9369999999999999E-7</v>
      </c>
      <c r="K466" s="3">
        <v>-8.134E-11</v>
      </c>
      <c r="L466" s="3">
        <v>1.059E-10</v>
      </c>
      <c r="M466" s="3">
        <v>-1.885E-6</v>
      </c>
      <c r="N466" s="3">
        <v>1.4440000000000001E-6</v>
      </c>
      <c r="O466" s="3">
        <v>-1.686E-6</v>
      </c>
      <c r="P466" s="3">
        <v>1.514E-6</v>
      </c>
      <c r="Q466" s="3">
        <v>1.083E-7</v>
      </c>
      <c r="R466" s="3">
        <v>1.9630000000000001E-6</v>
      </c>
      <c r="S466" s="13">
        <v>99999</v>
      </c>
      <c r="T466" s="13">
        <v>99999</v>
      </c>
      <c r="U466" s="13">
        <v>0.15963033149323488</v>
      </c>
    </row>
    <row r="467" spans="1:21" x14ac:dyDescent="0.2">
      <c r="A467">
        <v>369</v>
      </c>
      <c r="B467" s="12">
        <v>1</v>
      </c>
      <c r="C467" s="16">
        <v>2776</v>
      </c>
      <c r="D467" s="16">
        <v>2776</v>
      </c>
      <c r="E467" s="3">
        <v>10.246830675047999</v>
      </c>
      <c r="F467" s="3">
        <v>6.1099017232500001</v>
      </c>
      <c r="G467" s="3">
        <v>-1.7919999999999999E-7</v>
      </c>
      <c r="H467" s="3">
        <v>1.5620000000000001E-7</v>
      </c>
      <c r="I467" s="3">
        <v>-1.9680000000000002E-7</v>
      </c>
      <c r="J467" s="3">
        <v>1.8090000000000001E-7</v>
      </c>
      <c r="K467" s="3">
        <v>-8.1619999999999998E-11</v>
      </c>
      <c r="L467" s="3">
        <v>1.0619999999999999E-10</v>
      </c>
      <c r="M467" s="3">
        <v>-1.533E-6</v>
      </c>
      <c r="N467" s="3">
        <v>1.167E-6</v>
      </c>
      <c r="O467" s="3">
        <v>-1.4809999999999999E-6</v>
      </c>
      <c r="P467" s="3">
        <v>1.488E-6</v>
      </c>
      <c r="Q467" s="3">
        <v>1.4459999999999998E-7</v>
      </c>
      <c r="R467" s="3">
        <v>1.748E-6</v>
      </c>
      <c r="S467" s="13">
        <v>99999</v>
      </c>
      <c r="T467" s="13">
        <v>99999</v>
      </c>
      <c r="U467" s="13">
        <v>0.15967581920680751</v>
      </c>
    </row>
    <row r="468" spans="1:21" x14ac:dyDescent="0.2">
      <c r="A468">
        <v>370</v>
      </c>
      <c r="B468" s="12">
        <v>1</v>
      </c>
      <c r="C468" s="16">
        <v>2782</v>
      </c>
      <c r="D468" s="16">
        <v>2782</v>
      </c>
      <c r="E468" s="3">
        <v>10.165235599800001</v>
      </c>
      <c r="F468" s="3">
        <v>6.0600477937499999</v>
      </c>
      <c r="G468" s="3">
        <v>-1.702E-7</v>
      </c>
      <c r="H468" s="3">
        <v>1.9990000000000001E-7</v>
      </c>
      <c r="I468" s="3">
        <v>-1.5589999999999999E-7</v>
      </c>
      <c r="J468" s="3">
        <v>2.118E-7</v>
      </c>
      <c r="K468" s="3">
        <v>-8.1860000000000002E-11</v>
      </c>
      <c r="L468" s="3">
        <v>1.064E-10</v>
      </c>
      <c r="M468" s="3">
        <v>-2.4150000000000002E-6</v>
      </c>
      <c r="N468" s="3">
        <v>1.449E-6</v>
      </c>
      <c r="O468" s="3">
        <v>-1.725E-6</v>
      </c>
      <c r="P468" s="3">
        <v>2.086E-6</v>
      </c>
      <c r="Q468" s="3">
        <v>2.146E-7</v>
      </c>
      <c r="R468" s="3">
        <v>2.4789999999999999E-6</v>
      </c>
      <c r="S468" s="13">
        <v>99999</v>
      </c>
      <c r="T468" s="13">
        <v>99999</v>
      </c>
      <c r="U468" s="13">
        <v>0.15967914579664158</v>
      </c>
    </row>
    <row r="469" spans="1:21" x14ac:dyDescent="0.2">
      <c r="A469">
        <v>371</v>
      </c>
      <c r="B469" s="12">
        <v>1</v>
      </c>
      <c r="C469" s="16">
        <v>2789</v>
      </c>
      <c r="D469" s="16">
        <v>2789</v>
      </c>
      <c r="E469" s="3">
        <v>10.083640524551999</v>
      </c>
      <c r="F469" s="3">
        <v>6.0101938642499997</v>
      </c>
      <c r="G469" s="3">
        <v>-1.624E-7</v>
      </c>
      <c r="H469" s="3">
        <v>2.1049999999999999E-7</v>
      </c>
      <c r="I469" s="3">
        <v>-1.3660000000000002E-7</v>
      </c>
      <c r="J469" s="3">
        <v>1.7000000000000001E-7</v>
      </c>
      <c r="K469" s="3">
        <v>-8.2059999999999999E-11</v>
      </c>
      <c r="L469" s="3">
        <v>1.0649999999999999E-10</v>
      </c>
      <c r="M469" s="3">
        <v>-2.6630000000000002E-6</v>
      </c>
      <c r="N469" s="3">
        <v>1.46E-6</v>
      </c>
      <c r="O469" s="3">
        <v>-1.933E-6</v>
      </c>
      <c r="P469" s="3">
        <v>2.2629999999999998E-6</v>
      </c>
      <c r="Q469" s="3">
        <v>4.6770000000000001E-8</v>
      </c>
      <c r="R469" s="3">
        <v>2.695E-6</v>
      </c>
      <c r="S469" s="13">
        <v>99999</v>
      </c>
      <c r="T469" s="13">
        <v>99999</v>
      </c>
      <c r="U469" s="13">
        <v>0.1597302538499627</v>
      </c>
    </row>
    <row r="470" spans="1:21" x14ac:dyDescent="0.2">
      <c r="A470">
        <v>372</v>
      </c>
      <c r="B470" s="12">
        <v>1</v>
      </c>
      <c r="C470" s="16">
        <v>2796</v>
      </c>
      <c r="D470" s="16">
        <v>2796</v>
      </c>
      <c r="E470" s="3">
        <v>10.002045449303999</v>
      </c>
      <c r="F470" s="3">
        <v>5.9603399347500003</v>
      </c>
      <c r="G470" s="3">
        <v>-1.9640000000000001E-7</v>
      </c>
      <c r="H470" s="3">
        <v>1.98E-7</v>
      </c>
      <c r="I470" s="3">
        <v>-1.6970000000000002E-7</v>
      </c>
      <c r="J470" s="3">
        <v>2.1290000000000001E-7</v>
      </c>
      <c r="K470" s="3">
        <v>-8.2859999999999999E-11</v>
      </c>
      <c r="L470" s="3">
        <v>1.0669999999999999E-10</v>
      </c>
      <c r="M470" s="3">
        <v>-2.2670000000000001E-6</v>
      </c>
      <c r="N470" s="3">
        <v>1.359E-6</v>
      </c>
      <c r="O470" s="3">
        <v>-1.8300000000000001E-6</v>
      </c>
      <c r="P470" s="3">
        <v>1.807E-6</v>
      </c>
      <c r="Q470" s="3">
        <v>2.357E-7</v>
      </c>
      <c r="R470" s="3">
        <v>2.2759999999999999E-6</v>
      </c>
      <c r="S470" s="13">
        <v>99999</v>
      </c>
      <c r="T470" s="13">
        <v>99999</v>
      </c>
      <c r="U470" s="13">
        <v>0.15978419085233278</v>
      </c>
    </row>
    <row r="471" spans="1:21" x14ac:dyDescent="0.2">
      <c r="A471">
        <v>373</v>
      </c>
      <c r="B471" s="12">
        <v>1</v>
      </c>
      <c r="C471" s="16">
        <v>2802</v>
      </c>
      <c r="D471" s="16">
        <v>2802</v>
      </c>
      <c r="E471" s="3">
        <v>9.9204339168000004</v>
      </c>
      <c r="F471" s="3">
        <v>5.9104759500000004</v>
      </c>
      <c r="G471" s="3">
        <v>-2.1729999999999999E-7</v>
      </c>
      <c r="H471" s="3">
        <v>1.8939999999999999E-7</v>
      </c>
      <c r="I471" s="3">
        <v>-1.6040000000000001E-7</v>
      </c>
      <c r="J471" s="3">
        <v>2.4130000000000002E-7</v>
      </c>
      <c r="K471" s="3">
        <v>-8.385E-11</v>
      </c>
      <c r="L471" s="3">
        <v>1.0680000000000001E-10</v>
      </c>
      <c r="M471" s="3">
        <v>-1.604E-6</v>
      </c>
      <c r="N471" s="3">
        <v>1.7120000000000001E-6</v>
      </c>
      <c r="O471" s="3">
        <v>-1.7060000000000001E-6</v>
      </c>
      <c r="P471" s="3">
        <v>2.0640000000000001E-6</v>
      </c>
      <c r="Q471" s="3">
        <v>1.9399999999999999E-7</v>
      </c>
      <c r="R471" s="3">
        <v>2.0789999999999999E-6</v>
      </c>
      <c r="S471" s="13">
        <v>99999</v>
      </c>
      <c r="T471" s="13">
        <v>99999</v>
      </c>
      <c r="U471" s="13">
        <v>0.15979556176215318</v>
      </c>
    </row>
    <row r="472" spans="1:21" x14ac:dyDescent="0.2">
      <c r="A472">
        <v>374</v>
      </c>
      <c r="B472" s="12">
        <v>1</v>
      </c>
      <c r="C472" s="16">
        <v>2809</v>
      </c>
      <c r="D472" s="16">
        <v>2809</v>
      </c>
      <c r="E472" s="3">
        <v>9.8388388415519987</v>
      </c>
      <c r="F472" s="3">
        <v>5.8606220204999993</v>
      </c>
      <c r="G472" s="3">
        <v>-1.7459999999999999E-7</v>
      </c>
      <c r="H472" s="3">
        <v>1.596E-7</v>
      </c>
      <c r="I472" s="3">
        <v>-1.54E-7</v>
      </c>
      <c r="J472" s="3">
        <v>2.047E-7</v>
      </c>
      <c r="K472" s="3">
        <v>-8.598000000000001E-11</v>
      </c>
      <c r="L472" s="3">
        <v>1.0680000000000001E-10</v>
      </c>
      <c r="M472" s="3">
        <v>-1.525E-6</v>
      </c>
      <c r="N472" s="3">
        <v>1.494E-6</v>
      </c>
      <c r="O472" s="3">
        <v>-1.841E-6</v>
      </c>
      <c r="P472" s="3">
        <v>2.2820000000000003E-6</v>
      </c>
      <c r="Q472" s="3">
        <v>2.0489999999999999E-7</v>
      </c>
      <c r="R472" s="3">
        <v>2.3080000000000002E-6</v>
      </c>
      <c r="S472" s="13">
        <v>99999</v>
      </c>
      <c r="T472" s="13">
        <v>99999</v>
      </c>
      <c r="U472" s="13">
        <v>0.15985505271234302</v>
      </c>
    </row>
    <row r="473" spans="1:21" x14ac:dyDescent="0.2">
      <c r="A473">
        <v>375</v>
      </c>
      <c r="B473" s="12">
        <v>1</v>
      </c>
      <c r="C473" s="16">
        <v>2815</v>
      </c>
      <c r="D473" s="16">
        <v>2815</v>
      </c>
      <c r="E473" s="3">
        <v>9.7572437663039988</v>
      </c>
      <c r="F473" s="3">
        <v>5.8107680909999999</v>
      </c>
      <c r="G473" s="3">
        <v>-1.8579999999999998E-7</v>
      </c>
      <c r="H473" s="3">
        <v>1.6199999999999999E-7</v>
      </c>
      <c r="I473" s="3">
        <v>-1.744E-7</v>
      </c>
      <c r="J473" s="3">
        <v>1.7220000000000002E-7</v>
      </c>
      <c r="K473" s="3">
        <v>-8.9060000000000001E-11</v>
      </c>
      <c r="L473" s="3">
        <v>1.066E-10</v>
      </c>
      <c r="M473" s="3">
        <v>-1.7619999999999998E-6</v>
      </c>
      <c r="N473" s="3">
        <v>1.376E-6</v>
      </c>
      <c r="O473" s="3">
        <v>-1.5260000000000001E-6</v>
      </c>
      <c r="P473" s="3">
        <v>1.886E-6</v>
      </c>
      <c r="Q473" s="3">
        <v>1.614E-7</v>
      </c>
      <c r="R473" s="3">
        <v>2.013E-6</v>
      </c>
      <c r="S473" s="13">
        <v>99999</v>
      </c>
      <c r="T473" s="13">
        <v>99999</v>
      </c>
      <c r="U473" s="13">
        <v>0.1598718357342756</v>
      </c>
    </row>
    <row r="474" spans="1:21" x14ac:dyDescent="0.2">
      <c r="A474">
        <v>376</v>
      </c>
      <c r="B474" s="12">
        <v>1</v>
      </c>
      <c r="C474" s="16">
        <v>2822</v>
      </c>
      <c r="D474" s="16">
        <v>2822</v>
      </c>
      <c r="E474" s="3">
        <v>9.6756322338</v>
      </c>
      <c r="F474" s="3">
        <v>5.7609041062499999</v>
      </c>
      <c r="G474" s="3">
        <v>-2.339E-7</v>
      </c>
      <c r="H474" s="3">
        <v>1.786E-7</v>
      </c>
      <c r="I474" s="3">
        <v>-1.716E-7</v>
      </c>
      <c r="J474" s="3">
        <v>1.5169999999999999E-7</v>
      </c>
      <c r="K474" s="3">
        <v>-9.2019999999999996E-11</v>
      </c>
      <c r="L474" s="3">
        <v>1.064E-10</v>
      </c>
      <c r="M474" s="3">
        <v>-1.632E-6</v>
      </c>
      <c r="N474" s="3">
        <v>1.751E-6</v>
      </c>
      <c r="O474" s="3">
        <v>-1.5380000000000001E-6</v>
      </c>
      <c r="P474" s="3">
        <v>1.9149999999999999E-6</v>
      </c>
      <c r="Q474" s="3">
        <v>1.698E-7</v>
      </c>
      <c r="R474" s="3">
        <v>1.9269999999999999E-6</v>
      </c>
      <c r="S474" s="13">
        <v>99999</v>
      </c>
      <c r="T474" s="13">
        <v>99999</v>
      </c>
      <c r="U474" s="13">
        <v>0.15993681967940626</v>
      </c>
    </row>
    <row r="475" spans="1:21" x14ac:dyDescent="0.2">
      <c r="A475">
        <v>377</v>
      </c>
      <c r="B475" s="12">
        <v>1</v>
      </c>
      <c r="C475" s="16">
        <v>2828</v>
      </c>
      <c r="D475" s="16">
        <v>2828</v>
      </c>
      <c r="E475" s="3">
        <v>9.5940371585519983</v>
      </c>
      <c r="F475" s="3">
        <v>5.7110501767499997</v>
      </c>
      <c r="G475" s="3">
        <v>-2.177E-7</v>
      </c>
      <c r="H475" s="3">
        <v>1.6939999999999999E-7</v>
      </c>
      <c r="I475" s="3">
        <v>-1.5119999999999998E-7</v>
      </c>
      <c r="J475" s="3">
        <v>1.7589999999999998E-7</v>
      </c>
      <c r="K475" s="3">
        <v>-9.4850000000000001E-11</v>
      </c>
      <c r="L475" s="3">
        <v>1.061E-10</v>
      </c>
      <c r="M475" s="3">
        <v>-1.703E-6</v>
      </c>
      <c r="N475" s="3">
        <v>1.8699999999999999E-6</v>
      </c>
      <c r="O475" s="3">
        <v>-1.4139999999999999E-6</v>
      </c>
      <c r="P475" s="3">
        <v>1.7269999999999999E-6</v>
      </c>
      <c r="Q475" s="3">
        <v>3.3800000000000005E-8</v>
      </c>
      <c r="R475" s="3">
        <v>1.8779999999999998E-6</v>
      </c>
      <c r="S475" s="13">
        <v>99999</v>
      </c>
      <c r="T475" s="13">
        <v>99999</v>
      </c>
      <c r="U475" s="13">
        <v>0.15995895620023595</v>
      </c>
    </row>
    <row r="476" spans="1:21" x14ac:dyDescent="0.2">
      <c r="A476">
        <v>378</v>
      </c>
      <c r="B476" s="12">
        <v>1</v>
      </c>
      <c r="C476" s="16">
        <v>2835</v>
      </c>
      <c r="D476" s="16">
        <v>2835</v>
      </c>
      <c r="E476" s="3">
        <v>9.5124420833039984</v>
      </c>
      <c r="F476" s="3">
        <v>5.6611962472500004</v>
      </c>
      <c r="G476" s="3">
        <v>-1.871E-7</v>
      </c>
      <c r="H476" s="3">
        <v>1.758E-7</v>
      </c>
      <c r="I476" s="3">
        <v>-1.505E-7</v>
      </c>
      <c r="J476" s="3">
        <v>1.896E-7</v>
      </c>
      <c r="K476" s="3">
        <v>-9.7550000000000002E-11</v>
      </c>
      <c r="L476" s="3">
        <v>1.056E-10</v>
      </c>
      <c r="M476" s="3">
        <v>-1.979E-6</v>
      </c>
      <c r="N476" s="3">
        <v>1.663E-6</v>
      </c>
      <c r="O476" s="3">
        <v>-1.525E-6</v>
      </c>
      <c r="P476" s="3">
        <v>1.53E-6</v>
      </c>
      <c r="Q476" s="3">
        <v>4.0140000000000001E-8</v>
      </c>
      <c r="R476" s="3">
        <v>2.0250000000000001E-6</v>
      </c>
      <c r="S476" s="13">
        <v>99999</v>
      </c>
      <c r="T476" s="13">
        <v>99999</v>
      </c>
      <c r="U476" s="13">
        <v>0.16002952550874305</v>
      </c>
    </row>
    <row r="477" spans="1:21" x14ac:dyDescent="0.2">
      <c r="A477">
        <v>379</v>
      </c>
      <c r="B477" s="12">
        <v>1</v>
      </c>
      <c r="C477" s="16">
        <v>2841</v>
      </c>
      <c r="D477" s="16">
        <v>2841</v>
      </c>
      <c r="E477" s="3">
        <v>9.4308305507999997</v>
      </c>
      <c r="F477" s="3">
        <v>5.6113322625000004</v>
      </c>
      <c r="G477" s="3">
        <v>-1.762E-7</v>
      </c>
      <c r="H477" s="3">
        <v>1.515E-7</v>
      </c>
      <c r="I477" s="3">
        <v>-1.3229999999999999E-7</v>
      </c>
      <c r="J477" s="3">
        <v>1.4750000000000002E-7</v>
      </c>
      <c r="K477" s="3">
        <v>-1.0010000000000001E-10</v>
      </c>
      <c r="L477" s="3">
        <v>1.0509999999999999E-10</v>
      </c>
      <c r="M477" s="3">
        <v>-1.9980000000000002E-6</v>
      </c>
      <c r="N477" s="3">
        <v>1.2890000000000001E-6</v>
      </c>
      <c r="O477" s="3">
        <v>-1.9970000000000001E-6</v>
      </c>
      <c r="P477" s="3">
        <v>1.587E-6</v>
      </c>
      <c r="Q477" s="3">
        <v>1.593E-7</v>
      </c>
      <c r="R477" s="3">
        <v>2.0779999999999998E-6</v>
      </c>
      <c r="S477" s="13">
        <v>99999</v>
      </c>
      <c r="T477" s="13">
        <v>99999</v>
      </c>
      <c r="U477" s="13">
        <v>0.16005695780499513</v>
      </c>
    </row>
    <row r="478" spans="1:21" x14ac:dyDescent="0.2">
      <c r="A478">
        <v>380</v>
      </c>
      <c r="B478" s="12">
        <v>1</v>
      </c>
      <c r="C478" s="16">
        <v>2848</v>
      </c>
      <c r="D478" s="16">
        <v>2848</v>
      </c>
      <c r="E478" s="3">
        <v>9.3492354755519997</v>
      </c>
      <c r="F478" s="3">
        <v>5.5614783329999993</v>
      </c>
      <c r="G478" s="3">
        <v>-1.5229999999999998E-7</v>
      </c>
      <c r="H478" s="3">
        <v>1.5809999999999999E-7</v>
      </c>
      <c r="I478" s="3">
        <v>-1.3880000000000003E-7</v>
      </c>
      <c r="J478" s="3">
        <v>1.737E-7</v>
      </c>
      <c r="K478" s="3">
        <v>-1.025E-10</v>
      </c>
      <c r="L478" s="3">
        <v>1.044E-10</v>
      </c>
      <c r="M478" s="3">
        <v>-1.8129999999999998E-6</v>
      </c>
      <c r="N478" s="3">
        <v>1.5209999999999999E-6</v>
      </c>
      <c r="O478" s="3">
        <v>-2.142E-6</v>
      </c>
      <c r="P478" s="3">
        <v>1.7769999999999999E-6</v>
      </c>
      <c r="Q478" s="3">
        <v>1.4490000000000001E-7</v>
      </c>
      <c r="R478" s="3">
        <v>2.3130000000000001E-6</v>
      </c>
      <c r="S478" s="13">
        <v>99999</v>
      </c>
      <c r="T478" s="13">
        <v>99999</v>
      </c>
      <c r="U478" s="13">
        <v>0.16013305003100622</v>
      </c>
    </row>
    <row r="479" spans="1:21" x14ac:dyDescent="0.2">
      <c r="A479">
        <v>381</v>
      </c>
      <c r="B479" s="12">
        <v>1</v>
      </c>
      <c r="C479" s="16">
        <v>2855</v>
      </c>
      <c r="D479" s="16">
        <v>2855</v>
      </c>
      <c r="E479" s="3">
        <v>9.2676404003039998</v>
      </c>
      <c r="F479" s="3">
        <v>5.5116244034999999</v>
      </c>
      <c r="G479" s="3">
        <v>-1.5880000000000002E-7</v>
      </c>
      <c r="H479" s="3">
        <v>1.7949999999999999E-7</v>
      </c>
      <c r="I479" s="3">
        <v>-1.2669999999999999E-7</v>
      </c>
      <c r="J479" s="3">
        <v>1.8619999999999999E-7</v>
      </c>
      <c r="K479" s="3">
        <v>-1.0470000000000001E-10</v>
      </c>
      <c r="L479" s="3">
        <v>1.037E-10</v>
      </c>
      <c r="M479" s="3">
        <v>-1.708E-6</v>
      </c>
      <c r="N479" s="3">
        <v>1.7940000000000001E-6</v>
      </c>
      <c r="O479" s="3">
        <v>-1.691E-6</v>
      </c>
      <c r="P479" s="3">
        <v>1.8649999999999999E-6</v>
      </c>
      <c r="Q479" s="3">
        <v>1.103E-7</v>
      </c>
      <c r="R479" s="3">
        <v>1.9539999999999998E-6</v>
      </c>
      <c r="S479" s="13">
        <v>99999</v>
      </c>
      <c r="T479" s="13">
        <v>99999</v>
      </c>
      <c r="U479" s="13">
        <v>0.16021194382639961</v>
      </c>
    </row>
    <row r="480" spans="1:21" x14ac:dyDescent="0.2">
      <c r="A480">
        <v>382</v>
      </c>
      <c r="B480" s="12">
        <v>1</v>
      </c>
      <c r="C480" s="16">
        <v>2861</v>
      </c>
      <c r="D480" s="16">
        <v>2861</v>
      </c>
      <c r="E480" s="3">
        <v>9.1860288677999993</v>
      </c>
      <c r="F480" s="3">
        <v>5.46176041875</v>
      </c>
      <c r="G480" s="3">
        <v>-1.6320000000000001E-7</v>
      </c>
      <c r="H480" s="3">
        <v>2.0350000000000002E-7</v>
      </c>
      <c r="I480" s="3">
        <v>-1.4650000000000002E-7</v>
      </c>
      <c r="J480" s="3">
        <v>2.096E-7</v>
      </c>
      <c r="K480" s="3">
        <v>-1.0669999999999999E-10</v>
      </c>
      <c r="L480" s="3">
        <v>1.028E-10</v>
      </c>
      <c r="M480" s="3">
        <v>-1.6029999999999999E-6</v>
      </c>
      <c r="N480" s="3">
        <v>1.637E-6</v>
      </c>
      <c r="O480" s="3">
        <v>-1.573E-6</v>
      </c>
      <c r="P480" s="3">
        <v>1.694E-6</v>
      </c>
      <c r="Q480" s="3">
        <v>4.9819999999999999E-8</v>
      </c>
      <c r="R480" s="3">
        <v>1.7689999999999999E-6</v>
      </c>
      <c r="S480" s="13">
        <v>99999</v>
      </c>
      <c r="T480" s="13">
        <v>99999</v>
      </c>
      <c r="U480" s="13">
        <v>0.16024742282258811</v>
      </c>
    </row>
    <row r="481" spans="1:21" x14ac:dyDescent="0.2">
      <c r="A481">
        <v>383</v>
      </c>
      <c r="B481" s="12">
        <v>1</v>
      </c>
      <c r="C481" s="16">
        <v>2868</v>
      </c>
      <c r="D481" s="16">
        <v>2868</v>
      </c>
      <c r="E481" s="3">
        <v>9.1044337925519994</v>
      </c>
      <c r="F481" s="3">
        <v>5.4119064892499997</v>
      </c>
      <c r="G481" s="3">
        <v>-1.8300000000000001E-7</v>
      </c>
      <c r="H481" s="3">
        <v>1.5669999999999999E-7</v>
      </c>
      <c r="I481" s="3">
        <v>-1.8629999999999999E-7</v>
      </c>
      <c r="J481" s="3">
        <v>2.2120000000000002E-7</v>
      </c>
      <c r="K481" s="3">
        <v>-1.086E-10</v>
      </c>
      <c r="L481" s="3">
        <v>1.019E-10</v>
      </c>
      <c r="M481" s="3">
        <v>-1.2669999999999999E-6</v>
      </c>
      <c r="N481" s="3">
        <v>1.328E-6</v>
      </c>
      <c r="O481" s="3">
        <v>-1.7630000000000001E-6</v>
      </c>
      <c r="P481" s="3">
        <v>1.511E-6</v>
      </c>
      <c r="Q481" s="3">
        <v>1.053E-7</v>
      </c>
      <c r="R481" s="3">
        <v>1.765E-6</v>
      </c>
      <c r="S481" s="13">
        <v>99999</v>
      </c>
      <c r="T481" s="13">
        <v>99999</v>
      </c>
      <c r="U481" s="13">
        <v>0.16033181963902932</v>
      </c>
    </row>
    <row r="482" spans="1:21" x14ac:dyDescent="0.2">
      <c r="A482">
        <v>384</v>
      </c>
      <c r="B482" s="12">
        <v>1</v>
      </c>
      <c r="C482" s="16">
        <v>2874</v>
      </c>
      <c r="D482" s="16">
        <v>2874</v>
      </c>
      <c r="E482" s="3">
        <v>9.0228222600479988</v>
      </c>
      <c r="F482" s="3">
        <v>5.3620425044999998</v>
      </c>
      <c r="G482" s="3">
        <v>-1.7079999999999999E-7</v>
      </c>
      <c r="H482" s="3">
        <v>1.2669999999999999E-7</v>
      </c>
      <c r="I482" s="3">
        <v>-1.7780000000000002E-7</v>
      </c>
      <c r="J482" s="3">
        <v>1.906E-7</v>
      </c>
      <c r="K482" s="3">
        <v>-1.1019999999999999E-10</v>
      </c>
      <c r="L482" s="3">
        <v>1.02E-10</v>
      </c>
      <c r="M482" s="3">
        <v>-1.0529999999999999E-6</v>
      </c>
      <c r="N482" s="3">
        <v>1.412E-6</v>
      </c>
      <c r="O482" s="3">
        <v>-1.815E-6</v>
      </c>
      <c r="P482" s="3">
        <v>1.5960000000000001E-6</v>
      </c>
      <c r="Q482" s="3">
        <v>5.3069999999999998E-8</v>
      </c>
      <c r="R482" s="3">
        <v>2.018E-6</v>
      </c>
      <c r="S482" s="13">
        <v>99999</v>
      </c>
      <c r="T482" s="13">
        <v>99999</v>
      </c>
      <c r="U482" s="13">
        <v>0.16037262125751894</v>
      </c>
    </row>
    <row r="483" spans="1:21" x14ac:dyDescent="0.2">
      <c r="A483">
        <v>385</v>
      </c>
      <c r="B483" s="12">
        <v>1</v>
      </c>
      <c r="C483" s="16">
        <v>2881</v>
      </c>
      <c r="D483" s="16">
        <v>2881</v>
      </c>
      <c r="E483" s="3">
        <v>8.9412271847999989</v>
      </c>
      <c r="F483" s="3">
        <v>5.3121885750000004</v>
      </c>
      <c r="G483" s="3">
        <v>-1.5550000000000001E-7</v>
      </c>
      <c r="H483" s="3">
        <v>1.67E-7</v>
      </c>
      <c r="I483" s="3">
        <v>-1.2940000000000001E-7</v>
      </c>
      <c r="J483" s="3">
        <v>1.5379999999999999E-7</v>
      </c>
      <c r="K483" s="3">
        <v>-1.117E-10</v>
      </c>
      <c r="L483" s="3">
        <v>1.036E-10</v>
      </c>
      <c r="M483" s="3">
        <v>-1.7889999999999999E-6</v>
      </c>
      <c r="N483" s="3">
        <v>1.9919999999999997E-6</v>
      </c>
      <c r="O483" s="3">
        <v>-1.4750000000000001E-6</v>
      </c>
      <c r="P483" s="3">
        <v>1.7619999999999998E-6</v>
      </c>
      <c r="Q483" s="3">
        <v>3.4669999999999999E-8</v>
      </c>
      <c r="R483" s="3">
        <v>2.3080000000000002E-6</v>
      </c>
      <c r="S483" s="13">
        <v>99999</v>
      </c>
      <c r="T483" s="13">
        <v>99999</v>
      </c>
      <c r="U483" s="13">
        <v>0.16046250697614051</v>
      </c>
    </row>
    <row r="484" spans="1:21" x14ac:dyDescent="0.2">
      <c r="A484">
        <v>386</v>
      </c>
      <c r="B484" s="12">
        <v>1</v>
      </c>
      <c r="C484" s="16">
        <v>2887</v>
      </c>
      <c r="D484" s="16">
        <v>2887</v>
      </c>
      <c r="E484" s="3">
        <v>8.859632109551999</v>
      </c>
      <c r="F484" s="3">
        <v>5.2623346454999993</v>
      </c>
      <c r="G484" s="3">
        <v>-1.6780000000000001E-7</v>
      </c>
      <c r="H484" s="3">
        <v>1.8720000000000001E-7</v>
      </c>
      <c r="I484" s="3">
        <v>-1.2499999999999999E-7</v>
      </c>
      <c r="J484" s="3">
        <v>9.6810000000000005E-8</v>
      </c>
      <c r="K484" s="3">
        <v>-1.1289999999999999E-10</v>
      </c>
      <c r="L484" s="3">
        <v>1.0509999999999999E-10</v>
      </c>
      <c r="M484" s="3">
        <v>-2.3089999999999998E-6</v>
      </c>
      <c r="N484" s="3">
        <v>2.3240000000000001E-6</v>
      </c>
      <c r="O484" s="3">
        <v>-1.6729999999999999E-6</v>
      </c>
      <c r="P484" s="3">
        <v>1.6689999999999998E-6</v>
      </c>
      <c r="Q484" s="3">
        <v>1.325E-7</v>
      </c>
      <c r="R484" s="3">
        <v>2.4669999999999998E-6</v>
      </c>
      <c r="S484" s="13">
        <v>99999</v>
      </c>
      <c r="T484" s="13">
        <v>99999</v>
      </c>
      <c r="U484" s="13">
        <v>0.1605086664990078</v>
      </c>
    </row>
    <row r="485" spans="1:21" x14ac:dyDescent="0.2">
      <c r="A485">
        <v>387</v>
      </c>
      <c r="B485" s="12">
        <v>1</v>
      </c>
      <c r="C485" s="16">
        <v>2894</v>
      </c>
      <c r="D485" s="16">
        <v>2894</v>
      </c>
      <c r="E485" s="3">
        <v>8.7780205770480002</v>
      </c>
      <c r="F485" s="3">
        <v>5.2124706607500002</v>
      </c>
      <c r="G485" s="3">
        <v>-1.9399999999999999E-7</v>
      </c>
      <c r="H485" s="3">
        <v>1.4789999999999999E-7</v>
      </c>
      <c r="I485" s="3">
        <v>-1.5809999999999999E-7</v>
      </c>
      <c r="J485" s="3">
        <v>1.504E-7</v>
      </c>
      <c r="K485" s="3">
        <v>-1.138E-10</v>
      </c>
      <c r="L485" s="3">
        <v>1.066E-10</v>
      </c>
      <c r="M485" s="3">
        <v>-2.2130000000000002E-6</v>
      </c>
      <c r="N485" s="3">
        <v>2.074E-6</v>
      </c>
      <c r="O485" s="3">
        <v>-1.635E-6</v>
      </c>
      <c r="P485" s="3">
        <v>1.437E-6</v>
      </c>
      <c r="Q485" s="3">
        <v>9.7990000000000006E-8</v>
      </c>
      <c r="R485" s="3">
        <v>2.244E-6</v>
      </c>
      <c r="S485" s="13">
        <v>99999</v>
      </c>
      <c r="T485" s="13">
        <v>99999</v>
      </c>
      <c r="U485" s="13">
        <v>0.16060397896129502</v>
      </c>
    </row>
    <row r="486" spans="1:21" x14ac:dyDescent="0.2">
      <c r="A486">
        <v>388</v>
      </c>
      <c r="B486" s="12">
        <v>1</v>
      </c>
      <c r="C486" s="16">
        <v>2900</v>
      </c>
      <c r="D486" s="16">
        <v>2900</v>
      </c>
      <c r="E486" s="3">
        <v>8.6964255017999985</v>
      </c>
      <c r="F486" s="3">
        <v>5.16261673125</v>
      </c>
      <c r="G486" s="3">
        <v>-1.8169999999999999E-7</v>
      </c>
      <c r="H486" s="3">
        <v>1.525E-7</v>
      </c>
      <c r="I486" s="3">
        <v>-1.9950000000000001E-7</v>
      </c>
      <c r="J486" s="3">
        <v>2.3970000000000001E-7</v>
      </c>
      <c r="K486" s="3">
        <v>-1.146E-10</v>
      </c>
      <c r="L486" s="3">
        <v>1.079E-10</v>
      </c>
      <c r="M486" s="3">
        <v>-1.5659999999999999E-6</v>
      </c>
      <c r="N486" s="3">
        <v>1.5009999999999999E-6</v>
      </c>
      <c r="O486" s="3">
        <v>-1.7470000000000002E-6</v>
      </c>
      <c r="P486" s="3">
        <v>1.4469999999999999E-6</v>
      </c>
      <c r="Q486" s="3">
        <v>1.5990000000000002E-7</v>
      </c>
      <c r="R486" s="3">
        <v>1.9290000000000001E-6</v>
      </c>
      <c r="S486" s="13">
        <v>99999</v>
      </c>
      <c r="T486" s="13">
        <v>99999</v>
      </c>
      <c r="U486" s="13">
        <v>0.16065543640738872</v>
      </c>
    </row>
    <row r="487" spans="1:21" x14ac:dyDescent="0.2">
      <c r="A487">
        <v>389</v>
      </c>
      <c r="B487" s="12">
        <v>1</v>
      </c>
      <c r="C487" s="16">
        <v>2907</v>
      </c>
      <c r="D487" s="16">
        <v>2907</v>
      </c>
      <c r="E487" s="3">
        <v>8.6148304265520004</v>
      </c>
      <c r="F487" s="3">
        <v>5.1127628017499998</v>
      </c>
      <c r="G487" s="3">
        <v>-1.6359999999999998E-7</v>
      </c>
      <c r="H487" s="3">
        <v>1.462E-7</v>
      </c>
      <c r="I487" s="3">
        <v>-2.0780000000000002E-7</v>
      </c>
      <c r="J487" s="3">
        <v>2.551E-7</v>
      </c>
      <c r="K487" s="3">
        <v>-1.154E-10</v>
      </c>
      <c r="L487" s="3">
        <v>1.0890000000000001E-10</v>
      </c>
      <c r="M487" s="3">
        <v>-1.136E-6</v>
      </c>
      <c r="N487" s="3">
        <v>1.139E-6</v>
      </c>
      <c r="O487" s="3">
        <v>-1.846E-6</v>
      </c>
      <c r="P487" s="3">
        <v>1.4920000000000001E-6</v>
      </c>
      <c r="Q487" s="3">
        <v>8.1379999999999992E-8</v>
      </c>
      <c r="R487" s="3">
        <v>1.9139999999999998E-6</v>
      </c>
      <c r="S487" s="13">
        <v>99999</v>
      </c>
      <c r="T487" s="13">
        <v>99999</v>
      </c>
      <c r="U487" s="13">
        <v>0.16075625264382473</v>
      </c>
    </row>
    <row r="488" spans="1:21" x14ac:dyDescent="0.2">
      <c r="A488">
        <v>390</v>
      </c>
      <c r="B488" s="12">
        <v>1</v>
      </c>
      <c r="C488" s="16">
        <v>2914</v>
      </c>
      <c r="D488" s="16">
        <v>2914</v>
      </c>
      <c r="E488" s="3">
        <v>8.5332188940479998</v>
      </c>
      <c r="F488" s="3">
        <v>5.0628988169999998</v>
      </c>
      <c r="G488" s="3">
        <v>-1.7349999999999999E-7</v>
      </c>
      <c r="H488" s="3">
        <v>1.5830000000000001E-7</v>
      </c>
      <c r="I488" s="3">
        <v>-1.6960000000000001E-7</v>
      </c>
      <c r="J488" s="3">
        <v>2.0169999999999999E-7</v>
      </c>
      <c r="K488" s="3">
        <v>-1.159E-10</v>
      </c>
      <c r="L488" s="3">
        <v>1.098E-10</v>
      </c>
      <c r="M488" s="3">
        <v>-1.353E-6</v>
      </c>
      <c r="N488" s="3">
        <v>1.237E-6</v>
      </c>
      <c r="O488" s="3">
        <v>-1.6789999999999999E-6</v>
      </c>
      <c r="P488" s="3">
        <v>1.3790000000000001E-6</v>
      </c>
      <c r="Q488" s="3">
        <v>2.756E-8</v>
      </c>
      <c r="R488" s="3">
        <v>1.9200000000000003E-6</v>
      </c>
      <c r="S488" s="13">
        <v>99999</v>
      </c>
      <c r="T488" s="13">
        <v>99999</v>
      </c>
      <c r="U488" s="13">
        <v>0.16085978723457778</v>
      </c>
    </row>
    <row r="489" spans="1:21" x14ac:dyDescent="0.2">
      <c r="A489">
        <v>391</v>
      </c>
      <c r="B489" s="12">
        <v>1</v>
      </c>
      <c r="C489" s="16">
        <v>2920</v>
      </c>
      <c r="D489" s="16">
        <v>2920</v>
      </c>
      <c r="E489" s="3">
        <v>8.4516238187999999</v>
      </c>
      <c r="F489" s="3">
        <v>5.0130448875000004</v>
      </c>
      <c r="G489" s="3">
        <v>-1.8720000000000001E-7</v>
      </c>
      <c r="H489" s="3">
        <v>2.0090000000000001E-7</v>
      </c>
      <c r="I489" s="3">
        <v>-1.3E-7</v>
      </c>
      <c r="J489" s="3">
        <v>1.2919999999999999E-7</v>
      </c>
      <c r="K489" s="3">
        <v>-1.162E-10</v>
      </c>
      <c r="L489" s="3">
        <v>1.106E-10</v>
      </c>
      <c r="M489" s="3">
        <v>-1.7600000000000001E-6</v>
      </c>
      <c r="N489" s="3">
        <v>1.951E-6</v>
      </c>
      <c r="O489" s="3">
        <v>-1.6649999999999999E-6</v>
      </c>
      <c r="P489" s="3">
        <v>1.3400000000000001E-6</v>
      </c>
      <c r="Q489" s="3">
        <v>1.4430000000000001E-8</v>
      </c>
      <c r="R489" s="3">
        <v>2.2290000000000002E-6</v>
      </c>
      <c r="S489" s="13">
        <v>99999</v>
      </c>
      <c r="T489" s="13">
        <v>99999</v>
      </c>
      <c r="U489" s="13">
        <v>0.16091920616079264</v>
      </c>
    </row>
    <row r="490" spans="1:21" x14ac:dyDescent="0.2">
      <c r="A490">
        <v>392</v>
      </c>
      <c r="B490" s="12">
        <v>1</v>
      </c>
      <c r="C490" s="16">
        <v>2927</v>
      </c>
      <c r="D490" s="16">
        <v>2927</v>
      </c>
      <c r="E490" s="3">
        <v>8.370028743552</v>
      </c>
      <c r="F490" s="3">
        <v>4.9631909579999993</v>
      </c>
      <c r="G490" s="3">
        <v>-1.8029999999999999E-7</v>
      </c>
      <c r="H490" s="3">
        <v>1.7840000000000001E-7</v>
      </c>
      <c r="I490" s="3">
        <v>-1.346E-7</v>
      </c>
      <c r="J490" s="3">
        <v>1.3789999999999998E-7</v>
      </c>
      <c r="K490" s="3">
        <v>-1.161E-10</v>
      </c>
      <c r="L490" s="3">
        <v>1.1129999999999999E-10</v>
      </c>
      <c r="M490" s="3">
        <v>-1.984E-6</v>
      </c>
      <c r="N490" s="3">
        <v>2.356E-6</v>
      </c>
      <c r="O490" s="3">
        <v>-1.646E-6</v>
      </c>
      <c r="P490" s="3">
        <v>1.2489999999999998E-6</v>
      </c>
      <c r="Q490" s="3">
        <v>7.8869999999999991E-8</v>
      </c>
      <c r="R490" s="3">
        <v>2.4290000000000004E-6</v>
      </c>
      <c r="S490" s="13">
        <v>99999</v>
      </c>
      <c r="T490" s="13">
        <v>99999</v>
      </c>
      <c r="U490" s="13">
        <v>0.16102821609383938</v>
      </c>
    </row>
    <row r="491" spans="1:21" x14ac:dyDescent="0.2">
      <c r="A491">
        <v>393</v>
      </c>
      <c r="B491" s="12">
        <v>1</v>
      </c>
      <c r="C491" s="16">
        <v>2933</v>
      </c>
      <c r="D491" s="16">
        <v>2933</v>
      </c>
      <c r="E491" s="3">
        <v>8.2884172110479994</v>
      </c>
      <c r="F491" s="3">
        <v>4.9133269732500002</v>
      </c>
      <c r="G491" s="3">
        <v>-1.6750000000000001E-7</v>
      </c>
      <c r="H491" s="3">
        <v>1.4880000000000001E-7</v>
      </c>
      <c r="I491" s="3">
        <v>-1.624E-7</v>
      </c>
      <c r="J491" s="3">
        <v>1.6300000000000002E-7</v>
      </c>
      <c r="K491" s="3">
        <v>-1.16E-10</v>
      </c>
      <c r="L491" s="3">
        <v>1.117E-10</v>
      </c>
      <c r="M491" s="3">
        <v>-1.756E-6</v>
      </c>
      <c r="N491" s="3">
        <v>2.1120000000000003E-6</v>
      </c>
      <c r="O491" s="3">
        <v>-1.6329999999999999E-6</v>
      </c>
      <c r="P491" s="3">
        <v>1.1990000000000001E-6</v>
      </c>
      <c r="Q491" s="3">
        <v>5.4200000000000002E-8</v>
      </c>
      <c r="R491" s="3">
        <v>2.1150000000000001E-6</v>
      </c>
      <c r="S491" s="13">
        <v>99999</v>
      </c>
      <c r="T491" s="13">
        <v>99999</v>
      </c>
      <c r="U491" s="13">
        <v>0.16109285283795255</v>
      </c>
    </row>
    <row r="492" spans="1:21" x14ac:dyDescent="0.2">
      <c r="A492">
        <v>394</v>
      </c>
      <c r="B492" s="12">
        <v>1</v>
      </c>
      <c r="C492" s="16">
        <v>2940</v>
      </c>
      <c r="D492" s="16">
        <v>2940</v>
      </c>
      <c r="E492" s="3">
        <v>8.2068221357999995</v>
      </c>
      <c r="F492" s="3">
        <v>4.86347304375</v>
      </c>
      <c r="G492" s="3">
        <v>-1.673E-7</v>
      </c>
      <c r="H492" s="3">
        <v>1.741E-7</v>
      </c>
      <c r="I492" s="3">
        <v>-2.28E-7</v>
      </c>
      <c r="J492" s="3">
        <v>2.354E-7</v>
      </c>
      <c r="K492" s="3">
        <v>-1.157E-10</v>
      </c>
      <c r="L492" s="3">
        <v>1.1190000000000001E-10</v>
      </c>
      <c r="M492" s="3">
        <v>-1.319E-6</v>
      </c>
      <c r="N492" s="3">
        <v>1.632E-6</v>
      </c>
      <c r="O492" s="3">
        <v>-1.7320000000000001E-6</v>
      </c>
      <c r="P492" s="3">
        <v>1.658E-6</v>
      </c>
      <c r="Q492" s="3">
        <v>3.8590000000000003E-8</v>
      </c>
      <c r="R492" s="3">
        <v>1.9520000000000001E-6</v>
      </c>
      <c r="S492" s="13">
        <v>99999</v>
      </c>
      <c r="T492" s="13">
        <v>99999</v>
      </c>
      <c r="U492" s="13">
        <v>0.16120727419594924</v>
      </c>
    </row>
    <row r="493" spans="1:21" x14ac:dyDescent="0.2">
      <c r="A493">
        <v>395</v>
      </c>
      <c r="B493" s="12">
        <v>1</v>
      </c>
      <c r="C493" s="16">
        <v>2946</v>
      </c>
      <c r="D493" s="16">
        <v>2946</v>
      </c>
      <c r="E493" s="3">
        <v>8.1252270605519996</v>
      </c>
      <c r="F493" s="3">
        <v>4.8136191142499998</v>
      </c>
      <c r="G493" s="3">
        <v>-1.4499999999999999E-7</v>
      </c>
      <c r="H493" s="3">
        <v>1.5650000000000001E-7</v>
      </c>
      <c r="I493" s="3">
        <v>-2.252E-7</v>
      </c>
      <c r="J493" s="3">
        <v>2.3269999999999999E-7</v>
      </c>
      <c r="K493" s="3">
        <v>-1.1529999999999999E-10</v>
      </c>
      <c r="L493" s="3">
        <v>1.1190000000000001E-10</v>
      </c>
      <c r="M493" s="3">
        <v>-1.248E-6</v>
      </c>
      <c r="N493" s="3">
        <v>1.547E-6</v>
      </c>
      <c r="O493" s="3">
        <v>-1.7149999999999999E-6</v>
      </c>
      <c r="P493" s="3">
        <v>1.6080000000000001E-6</v>
      </c>
      <c r="Q493" s="3">
        <v>4.5160000000000002E-8</v>
      </c>
      <c r="R493" s="3">
        <v>1.793E-6</v>
      </c>
      <c r="S493" s="13">
        <v>99999</v>
      </c>
      <c r="T493" s="13">
        <v>99999</v>
      </c>
      <c r="U493" s="13">
        <v>0.16127720100762549</v>
      </c>
    </row>
    <row r="494" spans="1:21" x14ac:dyDescent="0.2">
      <c r="A494">
        <v>396</v>
      </c>
      <c r="B494" s="12">
        <v>1</v>
      </c>
      <c r="C494" s="16">
        <v>2953</v>
      </c>
      <c r="D494" s="16">
        <v>2953</v>
      </c>
      <c r="E494" s="3">
        <v>8.0436155280480008</v>
      </c>
      <c r="F494" s="3">
        <v>4.7637551295000007</v>
      </c>
      <c r="G494" s="3">
        <v>-1.4149999999999999E-7</v>
      </c>
      <c r="H494" s="3">
        <v>1.5890000000000003E-7</v>
      </c>
      <c r="I494" s="3">
        <v>-1.6789999999999999E-7</v>
      </c>
      <c r="J494" s="3">
        <v>1.667E-7</v>
      </c>
      <c r="K494" s="3">
        <v>-1.149E-10</v>
      </c>
      <c r="L494" s="3">
        <v>1.1179999999999999E-10</v>
      </c>
      <c r="M494" s="3">
        <v>-1.4870000000000001E-6</v>
      </c>
      <c r="N494" s="3">
        <v>1.4710000000000002E-6</v>
      </c>
      <c r="O494" s="3">
        <v>-1.6959999999999999E-6</v>
      </c>
      <c r="P494" s="3">
        <v>1.153E-6</v>
      </c>
      <c r="Q494" s="3">
        <v>8.3859999999999998E-8</v>
      </c>
      <c r="R494" s="3">
        <v>1.8450000000000001E-6</v>
      </c>
      <c r="S494" s="13">
        <v>99999</v>
      </c>
      <c r="T494" s="13">
        <v>99999</v>
      </c>
      <c r="U494" s="13">
        <v>0.16139697147047494</v>
      </c>
    </row>
    <row r="495" spans="1:21" x14ac:dyDescent="0.2">
      <c r="A495">
        <v>397</v>
      </c>
      <c r="B495" s="12">
        <v>1</v>
      </c>
      <c r="C495" s="16">
        <v>2959</v>
      </c>
      <c r="D495" s="16">
        <v>2959</v>
      </c>
      <c r="E495" s="3">
        <v>7.9620204527999991</v>
      </c>
      <c r="F495" s="3">
        <v>4.7139011999999996</v>
      </c>
      <c r="G495" s="3">
        <v>-1.3229999999999999E-7</v>
      </c>
      <c r="H495" s="3">
        <v>1.593E-7</v>
      </c>
      <c r="I495" s="3">
        <v>-1.3329999999999998E-7</v>
      </c>
      <c r="J495" s="3">
        <v>1.3660000000000002E-7</v>
      </c>
      <c r="K495" s="3">
        <v>-1.143E-10</v>
      </c>
      <c r="L495" s="3">
        <v>1.115E-10</v>
      </c>
      <c r="M495" s="3">
        <v>-1.6980000000000001E-6</v>
      </c>
      <c r="N495" s="3">
        <v>2.1660000000000001E-6</v>
      </c>
      <c r="O495" s="3">
        <v>-1.7990000000000001E-6</v>
      </c>
      <c r="P495" s="3">
        <v>1.421E-6</v>
      </c>
      <c r="Q495" s="3">
        <v>1.212E-7</v>
      </c>
      <c r="R495" s="3">
        <v>2.2300000000000002E-6</v>
      </c>
      <c r="S495" s="13">
        <v>99999</v>
      </c>
      <c r="T495" s="13">
        <v>99999</v>
      </c>
      <c r="U495" s="13">
        <v>0.16147212807226002</v>
      </c>
    </row>
    <row r="496" spans="1:21" x14ac:dyDescent="0.2">
      <c r="A496">
        <v>398</v>
      </c>
      <c r="B496" s="12">
        <v>1</v>
      </c>
      <c r="C496" s="16">
        <v>2966</v>
      </c>
      <c r="D496" s="16">
        <v>2966</v>
      </c>
      <c r="E496" s="3">
        <v>7.8804089202959995</v>
      </c>
      <c r="F496" s="3">
        <v>4.6640372152500005</v>
      </c>
      <c r="G496" s="3">
        <v>-1.069E-7</v>
      </c>
      <c r="H496" s="3">
        <v>1.431E-7</v>
      </c>
      <c r="I496" s="3">
        <v>-1.561E-7</v>
      </c>
      <c r="J496" s="3">
        <v>1.7009999999999999E-7</v>
      </c>
      <c r="K496" s="3">
        <v>-1.1370000000000001E-10</v>
      </c>
      <c r="L496" s="3">
        <v>1.112E-10</v>
      </c>
      <c r="M496" s="3">
        <v>-1.866E-6</v>
      </c>
      <c r="N496" s="3">
        <v>2.255E-6</v>
      </c>
      <c r="O496" s="3">
        <v>-1.6390000000000001E-6</v>
      </c>
      <c r="P496" s="3">
        <v>1.559E-6</v>
      </c>
      <c r="Q496" s="3">
        <v>1.791E-8</v>
      </c>
      <c r="R496" s="3">
        <v>2.2670000000000001E-6</v>
      </c>
      <c r="S496" s="13">
        <v>99999</v>
      </c>
      <c r="T496" s="13">
        <v>99999</v>
      </c>
      <c r="U496" s="13">
        <v>0.16159727051053016</v>
      </c>
    </row>
    <row r="497" spans="1:21" x14ac:dyDescent="0.2">
      <c r="A497">
        <v>399</v>
      </c>
      <c r="B497" s="12">
        <v>1</v>
      </c>
      <c r="C497" s="16">
        <v>2973</v>
      </c>
      <c r="D497" s="16">
        <v>2973</v>
      </c>
      <c r="E497" s="3">
        <v>7.7988138450480005</v>
      </c>
      <c r="F497" s="3">
        <v>4.6141832857500011</v>
      </c>
      <c r="G497" s="3">
        <v>-1.3620000000000002E-7</v>
      </c>
      <c r="H497" s="3">
        <v>2.008E-7</v>
      </c>
      <c r="I497" s="3">
        <v>-2.0919999999999999E-7</v>
      </c>
      <c r="J497" s="3">
        <v>1.607E-7</v>
      </c>
      <c r="K497" s="3">
        <v>-1.131E-10</v>
      </c>
      <c r="L497" s="3">
        <v>1.106E-10</v>
      </c>
      <c r="M497" s="3">
        <v>-1.513E-6</v>
      </c>
      <c r="N497" s="3">
        <v>1.792E-6</v>
      </c>
      <c r="O497" s="3">
        <v>-1.4790000000000002E-6</v>
      </c>
      <c r="P497" s="3">
        <v>1.5349999999999999E-6</v>
      </c>
      <c r="Q497" s="3">
        <v>8.0719999999999998E-8</v>
      </c>
      <c r="R497" s="3">
        <v>1.9099999999999999E-6</v>
      </c>
      <c r="S497" s="13">
        <v>99999</v>
      </c>
      <c r="T497" s="13">
        <v>99999</v>
      </c>
      <c r="U497" s="13">
        <v>0.16172516919182625</v>
      </c>
    </row>
    <row r="498" spans="1:21" x14ac:dyDescent="0.2">
      <c r="A498">
        <v>400</v>
      </c>
      <c r="B498" s="12">
        <v>1</v>
      </c>
      <c r="C498" s="16">
        <v>2979</v>
      </c>
      <c r="D498" s="16">
        <v>2979</v>
      </c>
      <c r="E498" s="3">
        <v>7.7172187697999988</v>
      </c>
      <c r="F498" s="3">
        <v>4.5643293562499991</v>
      </c>
      <c r="G498" s="3">
        <v>-1.6229999999999999E-7</v>
      </c>
      <c r="H498" s="3">
        <v>2.0269999999999998E-7</v>
      </c>
      <c r="I498" s="3">
        <v>-2.2910000000000001E-7</v>
      </c>
      <c r="J498" s="3">
        <v>1.91E-7</v>
      </c>
      <c r="K498" s="3">
        <v>-1.123E-10</v>
      </c>
      <c r="L498" s="3">
        <v>1.1000000000000001E-10</v>
      </c>
      <c r="M498" s="3">
        <v>-1.254E-6</v>
      </c>
      <c r="N498" s="3">
        <v>1.575E-6</v>
      </c>
      <c r="O498" s="3">
        <v>-1.1399999999999999E-6</v>
      </c>
      <c r="P498" s="3">
        <v>1.5579999999999999E-6</v>
      </c>
      <c r="Q498" s="3">
        <v>9.6509999999999995E-8</v>
      </c>
      <c r="R498" s="3">
        <v>1.64E-6</v>
      </c>
      <c r="S498" s="13">
        <v>99999</v>
      </c>
      <c r="T498" s="13">
        <v>99999</v>
      </c>
      <c r="U498" s="13">
        <v>0.16180817196900382</v>
      </c>
    </row>
    <row r="499" spans="1:21" x14ac:dyDescent="0.2">
      <c r="A499">
        <v>401</v>
      </c>
      <c r="B499" s="12">
        <v>1</v>
      </c>
      <c r="C499" s="16">
        <v>2986</v>
      </c>
      <c r="D499" s="16">
        <v>2986</v>
      </c>
      <c r="E499" s="3">
        <v>7.635607237296</v>
      </c>
      <c r="F499" s="3">
        <v>4.5144653715</v>
      </c>
      <c r="G499" s="3">
        <v>-1.5529999999999999E-7</v>
      </c>
      <c r="H499" s="3">
        <v>1.6860000000000001E-7</v>
      </c>
      <c r="I499" s="3">
        <v>-1.815E-7</v>
      </c>
      <c r="J499" s="3">
        <v>1.431E-7</v>
      </c>
      <c r="K499" s="3">
        <v>-1.115E-10</v>
      </c>
      <c r="L499" s="3">
        <v>1.092E-10</v>
      </c>
      <c r="M499" s="3">
        <v>-1.584E-6</v>
      </c>
      <c r="N499" s="3">
        <v>1.9740000000000001E-6</v>
      </c>
      <c r="O499" s="3">
        <v>-1.198E-6</v>
      </c>
      <c r="P499" s="3">
        <v>1.226E-6</v>
      </c>
      <c r="Q499" s="3">
        <v>6.137E-8</v>
      </c>
      <c r="R499" s="3">
        <v>1.9750000000000001E-6</v>
      </c>
      <c r="S499" s="13">
        <v>99999</v>
      </c>
      <c r="T499" s="13">
        <v>99999</v>
      </c>
      <c r="U499" s="13">
        <v>0.16194136767844247</v>
      </c>
    </row>
    <row r="500" spans="1:21" x14ac:dyDescent="0.2">
      <c r="A500">
        <v>402</v>
      </c>
      <c r="B500" s="12">
        <v>1</v>
      </c>
      <c r="C500" s="16">
        <v>2992</v>
      </c>
      <c r="D500" s="16">
        <v>2992</v>
      </c>
      <c r="E500" s="3">
        <v>7.5540121620480001</v>
      </c>
      <c r="F500" s="3">
        <v>4.4646114420000007</v>
      </c>
      <c r="G500" s="3">
        <v>-1.384E-7</v>
      </c>
      <c r="H500" s="3">
        <v>1.4740000000000001E-7</v>
      </c>
      <c r="I500" s="3">
        <v>-1.3260000000000001E-7</v>
      </c>
      <c r="J500" s="3">
        <v>1.0900000000000001E-7</v>
      </c>
      <c r="K500" s="3">
        <v>-1.1050000000000001E-10</v>
      </c>
      <c r="L500" s="3">
        <v>1.083E-10</v>
      </c>
      <c r="M500" s="3">
        <v>-1.8309999999999999E-6</v>
      </c>
      <c r="N500" s="3">
        <v>1.894E-6</v>
      </c>
      <c r="O500" s="3">
        <v>-1.463E-6</v>
      </c>
      <c r="P500" s="3">
        <v>1.6670000000000001E-6</v>
      </c>
      <c r="Q500" s="3">
        <v>8.4729999999999992E-8</v>
      </c>
      <c r="R500" s="3">
        <v>1.9429999999999999E-6</v>
      </c>
      <c r="S500" s="13">
        <v>99999</v>
      </c>
      <c r="T500" s="13">
        <v>99999</v>
      </c>
      <c r="U500" s="13">
        <v>0.16202955325587717</v>
      </c>
    </row>
    <row r="501" spans="1:21" x14ac:dyDescent="0.2">
      <c r="A501">
        <v>403</v>
      </c>
      <c r="B501" s="12">
        <v>1</v>
      </c>
      <c r="C501" s="16">
        <v>2999</v>
      </c>
      <c r="D501" s="16">
        <v>2999</v>
      </c>
      <c r="E501" s="3">
        <v>7.4724006295439995</v>
      </c>
      <c r="F501" s="3">
        <v>4.4147474572499998</v>
      </c>
      <c r="G501" s="3">
        <v>-1.115E-7</v>
      </c>
      <c r="H501" s="3">
        <v>9.8220000000000002E-8</v>
      </c>
      <c r="I501" s="3">
        <v>-1.896E-7</v>
      </c>
      <c r="J501" s="3">
        <v>1.304E-7</v>
      </c>
      <c r="K501" s="3">
        <v>-1.094E-10</v>
      </c>
      <c r="L501" s="3">
        <v>1.0730000000000001E-10</v>
      </c>
      <c r="M501" s="3">
        <v>-1.8389999999999999E-6</v>
      </c>
      <c r="N501" s="3">
        <v>1.8330000000000001E-6</v>
      </c>
      <c r="O501" s="3">
        <v>-1.367E-6</v>
      </c>
      <c r="P501" s="3">
        <v>1.7719999999999999E-6</v>
      </c>
      <c r="Q501" s="3">
        <v>9.1250000000000006E-9</v>
      </c>
      <c r="R501" s="3">
        <v>1.945E-6</v>
      </c>
      <c r="S501" s="13">
        <v>99999</v>
      </c>
      <c r="T501" s="13">
        <v>99999</v>
      </c>
      <c r="U501" s="13">
        <v>0.16216806404705209</v>
      </c>
    </row>
    <row r="502" spans="1:21" x14ac:dyDescent="0.2">
      <c r="A502">
        <v>404</v>
      </c>
      <c r="B502" s="12">
        <v>1</v>
      </c>
      <c r="C502" s="16">
        <v>3005</v>
      </c>
      <c r="D502" s="16">
        <v>3005</v>
      </c>
      <c r="E502" s="3">
        <v>7.3908055542959996</v>
      </c>
      <c r="F502" s="3">
        <v>4.3648935277500005</v>
      </c>
      <c r="G502" s="3">
        <v>-1.367E-7</v>
      </c>
      <c r="H502" s="3">
        <v>1.67E-7</v>
      </c>
      <c r="I502" s="3">
        <v>-2.163E-7</v>
      </c>
      <c r="J502" s="3">
        <v>1.779E-7</v>
      </c>
      <c r="K502" s="3">
        <v>-1.082E-10</v>
      </c>
      <c r="L502" s="3">
        <v>1.0619999999999999E-10</v>
      </c>
      <c r="M502" s="3">
        <v>-1.6449999999999999E-6</v>
      </c>
      <c r="N502" s="3">
        <v>1.601E-6</v>
      </c>
      <c r="O502" s="3">
        <v>-1.2099999999999998E-6</v>
      </c>
      <c r="P502" s="3">
        <v>1.5369999999999999E-6</v>
      </c>
      <c r="Q502" s="3">
        <v>5.4400000000000004E-8</v>
      </c>
      <c r="R502" s="3">
        <v>2.041E-6</v>
      </c>
      <c r="S502" s="13">
        <v>99999</v>
      </c>
      <c r="T502" s="13">
        <v>99999</v>
      </c>
      <c r="U502" s="13">
        <v>0.16226141236686259</v>
      </c>
    </row>
    <row r="503" spans="1:21" x14ac:dyDescent="0.2">
      <c r="A503">
        <v>405</v>
      </c>
      <c r="B503" s="12">
        <v>1</v>
      </c>
      <c r="C503" s="16">
        <v>3012</v>
      </c>
      <c r="D503" s="16">
        <v>3012</v>
      </c>
      <c r="E503" s="3">
        <v>7.3092104790480006</v>
      </c>
      <c r="F503" s="3">
        <v>4.3150395982500012</v>
      </c>
      <c r="G503" s="3">
        <v>-1.5489999999999999E-7</v>
      </c>
      <c r="H503" s="3">
        <v>1.8670000000000002E-7</v>
      </c>
      <c r="I503" s="3">
        <v>-1.9049999999999999E-7</v>
      </c>
      <c r="J503" s="3">
        <v>1.8900000000000001E-7</v>
      </c>
      <c r="K503" s="3">
        <v>-1.069E-10</v>
      </c>
      <c r="L503" s="3">
        <v>1.0490000000000001E-10</v>
      </c>
      <c r="M503" s="3">
        <v>-1.4090000000000002E-6</v>
      </c>
      <c r="N503" s="3">
        <v>1.3459999999999999E-6</v>
      </c>
      <c r="O503" s="3">
        <v>-9.7010000000000004E-7</v>
      </c>
      <c r="P503" s="3">
        <v>1.4649999999999999E-6</v>
      </c>
      <c r="Q503" s="3">
        <v>5.6230000000000001E-8</v>
      </c>
      <c r="R503" s="3">
        <v>1.951E-6</v>
      </c>
      <c r="S503" s="13">
        <v>99999</v>
      </c>
      <c r="T503" s="13">
        <v>99999</v>
      </c>
      <c r="U503" s="13">
        <v>0.1624052528073589</v>
      </c>
    </row>
    <row r="504" spans="1:21" x14ac:dyDescent="0.2">
      <c r="A504">
        <v>406</v>
      </c>
      <c r="B504" s="12">
        <v>1</v>
      </c>
      <c r="C504" s="16">
        <v>3018</v>
      </c>
      <c r="D504" s="16">
        <v>3018</v>
      </c>
      <c r="E504" s="3">
        <v>7.2275989465439991</v>
      </c>
      <c r="F504" s="3">
        <v>4.2651756135000003</v>
      </c>
      <c r="G504" s="3">
        <v>-1.564E-7</v>
      </c>
      <c r="H504" s="3">
        <v>1.43E-7</v>
      </c>
      <c r="I504" s="3">
        <v>-1.7359999999999999E-7</v>
      </c>
      <c r="J504" s="3">
        <v>1.561E-7</v>
      </c>
      <c r="K504" s="3">
        <v>-1.0540000000000001E-10</v>
      </c>
      <c r="L504" s="3">
        <v>1.037E-10</v>
      </c>
      <c r="M504" s="3">
        <v>-1.6310000000000001E-6</v>
      </c>
      <c r="N504" s="3">
        <v>1.567E-6</v>
      </c>
      <c r="O504" s="3">
        <v>-9.0530000000000004E-7</v>
      </c>
      <c r="P504" s="3">
        <v>1.083E-6</v>
      </c>
      <c r="Q504" s="3">
        <v>3.3890000000000001E-8</v>
      </c>
      <c r="R504" s="3">
        <v>1.6390000000000001E-6</v>
      </c>
      <c r="S504" s="13">
        <v>99999</v>
      </c>
      <c r="T504" s="13">
        <v>99999</v>
      </c>
      <c r="U504" s="13">
        <v>0.16250370434128666</v>
      </c>
    </row>
    <row r="505" spans="1:21" x14ac:dyDescent="0.2">
      <c r="A505">
        <v>407</v>
      </c>
      <c r="B505" s="12">
        <v>1</v>
      </c>
      <c r="C505" s="16">
        <v>3025</v>
      </c>
      <c r="D505" s="16">
        <v>3025</v>
      </c>
      <c r="E505" s="3">
        <v>7.1460038712960001</v>
      </c>
      <c r="F505" s="3">
        <v>4.2153216840000001</v>
      </c>
      <c r="G505" s="3">
        <v>-1.74E-7</v>
      </c>
      <c r="H505" s="3">
        <v>1.103E-7</v>
      </c>
      <c r="I505" s="3">
        <v>-1.631E-7</v>
      </c>
      <c r="J505" s="3">
        <v>1.529E-7</v>
      </c>
      <c r="K505" s="3">
        <v>-1.0380000000000001E-10</v>
      </c>
      <c r="L505" s="3">
        <v>1.024E-10</v>
      </c>
      <c r="M505" s="3">
        <v>-2.108E-6</v>
      </c>
      <c r="N505" s="3">
        <v>1.7999999999999999E-6</v>
      </c>
      <c r="O505" s="3">
        <v>-1.006E-6</v>
      </c>
      <c r="P505" s="3">
        <v>1.5820000000000001E-6</v>
      </c>
      <c r="Q505" s="3">
        <v>7.8969999999999998E-8</v>
      </c>
      <c r="R505" s="3">
        <v>2.108E-6</v>
      </c>
      <c r="S505" s="13">
        <v>99999</v>
      </c>
      <c r="T505" s="13">
        <v>99999</v>
      </c>
      <c r="U505" s="13">
        <v>0.16265281056043579</v>
      </c>
    </row>
    <row r="506" spans="1:21" x14ac:dyDescent="0.2">
      <c r="A506">
        <v>408</v>
      </c>
      <c r="B506" s="12">
        <v>1</v>
      </c>
      <c r="C506" s="16">
        <v>3032</v>
      </c>
      <c r="D506" s="16">
        <v>3032</v>
      </c>
      <c r="E506" s="3">
        <v>7.0643923387919987</v>
      </c>
      <c r="F506" s="3">
        <v>4.1654576992499992</v>
      </c>
      <c r="G506" s="3">
        <v>-1.417E-7</v>
      </c>
      <c r="H506" s="3">
        <v>8.0420000000000001E-8</v>
      </c>
      <c r="I506" s="3">
        <v>-1.5479999999999998E-7</v>
      </c>
      <c r="J506" s="3">
        <v>1.1110000000000001E-7</v>
      </c>
      <c r="K506" s="3">
        <v>-1.02E-10</v>
      </c>
      <c r="L506" s="3">
        <v>1.0110000000000001E-10</v>
      </c>
      <c r="M506" s="3">
        <v>-2.063E-6</v>
      </c>
      <c r="N506" s="3">
        <v>1.5200000000000001E-6</v>
      </c>
      <c r="O506" s="3">
        <v>-1.083E-6</v>
      </c>
      <c r="P506" s="3">
        <v>1.807E-6</v>
      </c>
      <c r="Q506" s="3">
        <v>4.7780000000000002E-8</v>
      </c>
      <c r="R506" s="3">
        <v>2.1600000000000001E-6</v>
      </c>
      <c r="S506" s="13">
        <v>99999</v>
      </c>
      <c r="T506" s="13">
        <v>99999</v>
      </c>
      <c r="U506" s="13">
        <v>0.16280453568105013</v>
      </c>
    </row>
    <row r="507" spans="1:21" x14ac:dyDescent="0.2">
      <c r="A507">
        <v>409</v>
      </c>
      <c r="B507" s="12">
        <v>1</v>
      </c>
      <c r="C507" s="16">
        <v>3038</v>
      </c>
      <c r="D507" s="16">
        <v>3038</v>
      </c>
      <c r="E507" s="3">
        <v>6.9827972635439988</v>
      </c>
      <c r="F507" s="3">
        <v>4.1156037697499999</v>
      </c>
      <c r="G507" s="3">
        <v>-1.385E-7</v>
      </c>
      <c r="H507" s="3">
        <v>1.212E-7</v>
      </c>
      <c r="I507" s="3">
        <v>-1.9530000000000001E-7</v>
      </c>
      <c r="J507" s="3">
        <v>1.7070000000000001E-7</v>
      </c>
      <c r="K507" s="3">
        <v>-1.04E-10</v>
      </c>
      <c r="L507" s="3">
        <v>1.004E-10</v>
      </c>
      <c r="M507" s="3">
        <v>-1.5410000000000002E-6</v>
      </c>
      <c r="N507" s="3">
        <v>1.406E-6</v>
      </c>
      <c r="O507" s="3">
        <v>-1.3489999999999999E-6</v>
      </c>
      <c r="P507" s="3">
        <v>1.5430000000000001E-6</v>
      </c>
      <c r="Q507" s="3">
        <v>2.754E-8</v>
      </c>
      <c r="R507" s="3">
        <v>1.717E-6</v>
      </c>
      <c r="S507" s="13">
        <v>99999</v>
      </c>
      <c r="T507" s="13">
        <v>99999</v>
      </c>
      <c r="U507" s="13">
        <v>0.16291072888894048</v>
      </c>
    </row>
    <row r="508" spans="1:21" x14ac:dyDescent="0.2">
      <c r="A508">
        <v>410</v>
      </c>
      <c r="B508" s="12">
        <v>1</v>
      </c>
      <c r="C508" s="16">
        <v>3045</v>
      </c>
      <c r="D508" s="16">
        <v>3045</v>
      </c>
      <c r="E508" s="3">
        <v>6.9012021882959997</v>
      </c>
      <c r="F508" s="3">
        <v>4.0657498402499996</v>
      </c>
      <c r="G508" s="3">
        <v>-1.536E-7</v>
      </c>
      <c r="H508" s="3">
        <v>1.4880000000000001E-7</v>
      </c>
      <c r="I508" s="3">
        <v>-1.9330000000000002E-7</v>
      </c>
      <c r="J508" s="3">
        <v>1.9080000000000001E-7</v>
      </c>
      <c r="K508" s="3">
        <v>-1.0780000000000001E-10</v>
      </c>
      <c r="L508" s="3">
        <v>1.0209999999999999E-10</v>
      </c>
      <c r="M508" s="3">
        <v>-1.446E-6</v>
      </c>
      <c r="N508" s="3">
        <v>1.2500000000000001E-6</v>
      </c>
      <c r="O508" s="3">
        <v>-1.6649999999999999E-6</v>
      </c>
      <c r="P508" s="3">
        <v>1.074E-6</v>
      </c>
      <c r="Q508" s="3">
        <v>1.0189999999999999E-7</v>
      </c>
      <c r="R508" s="3">
        <v>2.0260000000000002E-6</v>
      </c>
      <c r="S508" s="13">
        <v>99999</v>
      </c>
      <c r="T508" s="13">
        <v>99999</v>
      </c>
      <c r="U508" s="13">
        <v>0.16306771707189011</v>
      </c>
    </row>
    <row r="509" spans="1:21" x14ac:dyDescent="0.2">
      <c r="A509">
        <v>411</v>
      </c>
      <c r="B509" s="12">
        <v>1</v>
      </c>
      <c r="C509" s="16">
        <v>3051</v>
      </c>
      <c r="D509" s="16">
        <v>3051</v>
      </c>
      <c r="E509" s="3">
        <v>6.8195906557919992</v>
      </c>
      <c r="F509" s="3">
        <v>4.0158858554999997</v>
      </c>
      <c r="G509" s="3">
        <v>-1.2919999999999999E-7</v>
      </c>
      <c r="H509" s="3">
        <v>1.3960000000000001E-7</v>
      </c>
      <c r="I509" s="3">
        <v>-1.7420000000000001E-7</v>
      </c>
      <c r="J509" s="3">
        <v>1.5899999999999998E-7</v>
      </c>
      <c r="K509" s="3">
        <v>-1.1140000000000001E-10</v>
      </c>
      <c r="L509" s="3">
        <v>1.036E-10</v>
      </c>
      <c r="M509" s="3">
        <v>-1.328E-6</v>
      </c>
      <c r="N509" s="3">
        <v>1.2639999999999999E-6</v>
      </c>
      <c r="O509" s="3">
        <v>-1.4619999999999999E-6</v>
      </c>
      <c r="P509" s="3">
        <v>9.2569999999999998E-7</v>
      </c>
      <c r="Q509" s="3">
        <v>1.438E-7</v>
      </c>
      <c r="R509" s="3">
        <v>1.857E-6</v>
      </c>
      <c r="S509" s="13">
        <v>99999</v>
      </c>
      <c r="T509" s="13">
        <v>99999</v>
      </c>
      <c r="U509" s="13">
        <v>0.16317895907029736</v>
      </c>
    </row>
    <row r="510" spans="1:21" x14ac:dyDescent="0.2">
      <c r="A510">
        <v>412</v>
      </c>
      <c r="B510" s="12">
        <v>1</v>
      </c>
      <c r="C510" s="16">
        <v>3058</v>
      </c>
      <c r="D510" s="16">
        <v>3058</v>
      </c>
      <c r="E510" s="3">
        <v>6.7379955805439993</v>
      </c>
      <c r="F510" s="3">
        <v>3.9660319259999999</v>
      </c>
      <c r="G510" s="3">
        <v>-1.222E-7</v>
      </c>
      <c r="H510" s="3">
        <v>1.948E-7</v>
      </c>
      <c r="I510" s="3">
        <v>-1.765E-7</v>
      </c>
      <c r="J510" s="3">
        <v>1.384E-7</v>
      </c>
      <c r="K510" s="3">
        <v>-1.149E-10</v>
      </c>
      <c r="L510" s="3">
        <v>1.0490000000000001E-10</v>
      </c>
      <c r="M510" s="3">
        <v>-1.827E-6</v>
      </c>
      <c r="N510" s="3">
        <v>1.2750000000000001E-6</v>
      </c>
      <c r="O510" s="3">
        <v>-1.02E-6</v>
      </c>
      <c r="P510" s="3">
        <v>1.3430000000000001E-6</v>
      </c>
      <c r="Q510" s="3">
        <v>2.2210000000000001E-7</v>
      </c>
      <c r="R510" s="3">
        <v>1.8819999999999999E-6</v>
      </c>
      <c r="S510" s="13">
        <v>99999</v>
      </c>
      <c r="T510" s="13">
        <v>99999</v>
      </c>
      <c r="U510" s="13">
        <v>0.16334114609187433</v>
      </c>
    </row>
    <row r="511" spans="1:21" x14ac:dyDescent="0.2">
      <c r="A511">
        <v>413</v>
      </c>
      <c r="B511" s="12">
        <v>1</v>
      </c>
      <c r="C511" s="16">
        <v>3064</v>
      </c>
      <c r="D511" s="16">
        <v>3064</v>
      </c>
      <c r="E511" s="3">
        <v>6.6563840480399996</v>
      </c>
      <c r="F511" s="3">
        <v>3.9161679412500003</v>
      </c>
      <c r="G511" s="3">
        <v>-1.151E-7</v>
      </c>
      <c r="H511" s="3">
        <v>1.8129999999999999E-7</v>
      </c>
      <c r="I511" s="3">
        <v>-1.3820000000000001E-7</v>
      </c>
      <c r="J511" s="3">
        <v>1.2659999999999998E-7</v>
      </c>
      <c r="K511" s="3">
        <v>-1.1829999999999999E-10</v>
      </c>
      <c r="L511" s="3">
        <v>1.06E-10</v>
      </c>
      <c r="M511" s="3">
        <v>-2.0590000000000001E-6</v>
      </c>
      <c r="N511" s="3">
        <v>1.437E-6</v>
      </c>
      <c r="O511" s="3">
        <v>-1.2249999999999999E-6</v>
      </c>
      <c r="P511" s="3">
        <v>1.5089999999999999E-6</v>
      </c>
      <c r="Q511" s="3">
        <v>6.2169999999999994E-8</v>
      </c>
      <c r="R511" s="3">
        <v>2.1559999999999998E-6</v>
      </c>
      <c r="S511" s="13">
        <v>99999</v>
      </c>
      <c r="T511" s="13">
        <v>99999</v>
      </c>
      <c r="U511" s="13">
        <v>0.16345745020166985</v>
      </c>
    </row>
    <row r="512" spans="1:21" x14ac:dyDescent="0.2">
      <c r="A512">
        <v>414</v>
      </c>
      <c r="B512" s="12">
        <v>1</v>
      </c>
      <c r="C512" s="16">
        <v>3071</v>
      </c>
      <c r="D512" s="16">
        <v>3071</v>
      </c>
      <c r="E512" s="3">
        <v>6.5747889727919988</v>
      </c>
      <c r="F512" s="3">
        <v>3.8663140117499997</v>
      </c>
      <c r="G512" s="3">
        <v>-1.2809999999999999E-7</v>
      </c>
      <c r="H512" s="3">
        <v>1.031E-7</v>
      </c>
      <c r="I512" s="3">
        <v>-1.547E-7</v>
      </c>
      <c r="J512" s="3">
        <v>1.533E-7</v>
      </c>
      <c r="K512" s="3">
        <v>-1.216E-10</v>
      </c>
      <c r="L512" s="3">
        <v>1.0680000000000001E-10</v>
      </c>
      <c r="M512" s="3">
        <v>-1.7659999999999999E-6</v>
      </c>
      <c r="N512" s="3">
        <v>1.3339999999999998E-6</v>
      </c>
      <c r="O512" s="3">
        <v>-1.122E-6</v>
      </c>
      <c r="P512" s="3">
        <v>1.4100000000000001E-6</v>
      </c>
      <c r="Q512" s="3">
        <v>8.2889999999999996E-8</v>
      </c>
      <c r="R512" s="3">
        <v>1.8779999999999998E-6</v>
      </c>
      <c r="S512" s="13">
        <v>99999</v>
      </c>
      <c r="T512" s="13">
        <v>99999</v>
      </c>
      <c r="U512" s="13">
        <v>0.16362480834699819</v>
      </c>
    </row>
    <row r="513" spans="1:21" x14ac:dyDescent="0.2">
      <c r="A513">
        <v>415</v>
      </c>
      <c r="B513" s="12">
        <v>1</v>
      </c>
      <c r="C513" s="16">
        <v>3077</v>
      </c>
      <c r="D513" s="16">
        <v>3077</v>
      </c>
      <c r="E513" s="3">
        <v>6.493177440288</v>
      </c>
      <c r="F513" s="3">
        <v>3.8164500270000001</v>
      </c>
      <c r="G513" s="3">
        <v>-1.4259999999999999E-7</v>
      </c>
      <c r="H513" s="3">
        <v>1.104E-7</v>
      </c>
      <c r="I513" s="3">
        <v>-1.505E-7</v>
      </c>
      <c r="J513" s="3">
        <v>1.881E-7</v>
      </c>
      <c r="K513" s="3">
        <v>-1.248E-10</v>
      </c>
      <c r="L513" s="3">
        <v>1.074E-10</v>
      </c>
      <c r="M513" s="3">
        <v>-1.6190000000000001E-6</v>
      </c>
      <c r="N513" s="3">
        <v>1.2869999999999999E-6</v>
      </c>
      <c r="O513" s="3">
        <v>-1.1559999999999998E-6</v>
      </c>
      <c r="P513" s="3">
        <v>1.5800000000000001E-6</v>
      </c>
      <c r="Q513" s="3">
        <v>4.8030000000000001E-8</v>
      </c>
      <c r="R513" s="3">
        <v>1.7429999999999999E-6</v>
      </c>
      <c r="S513" s="13">
        <v>99999</v>
      </c>
      <c r="T513" s="13">
        <v>99999</v>
      </c>
      <c r="U513" s="13">
        <v>0.16374614959941</v>
      </c>
    </row>
    <row r="514" spans="1:21" x14ac:dyDescent="0.2">
      <c r="A514">
        <v>416</v>
      </c>
      <c r="B514" s="12">
        <v>1</v>
      </c>
      <c r="C514" s="16">
        <v>3084</v>
      </c>
      <c r="D514" s="16">
        <v>3084</v>
      </c>
      <c r="E514" s="3">
        <v>6.4115823650400001</v>
      </c>
      <c r="F514" s="3">
        <v>3.7665960975000004</v>
      </c>
      <c r="G514" s="3">
        <v>-1.3269999999999999E-7</v>
      </c>
      <c r="H514" s="3">
        <v>1.159E-7</v>
      </c>
      <c r="I514" s="3">
        <v>-1.539E-7</v>
      </c>
      <c r="J514" s="3">
        <v>1.6850000000000001E-7</v>
      </c>
      <c r="K514" s="3">
        <v>-1.2789999999999999E-10</v>
      </c>
      <c r="L514" s="3">
        <v>1.077E-10</v>
      </c>
      <c r="M514" s="3">
        <v>-1.3370000000000001E-6</v>
      </c>
      <c r="N514" s="3">
        <v>1.2810000000000001E-6</v>
      </c>
      <c r="O514" s="3">
        <v>-1.142E-6</v>
      </c>
      <c r="P514" s="3">
        <v>1.466E-6</v>
      </c>
      <c r="Q514" s="3">
        <v>9.9740000000000005E-9</v>
      </c>
      <c r="R514" s="3">
        <v>1.6819999999999999E-6</v>
      </c>
      <c r="S514" s="13">
        <v>99999</v>
      </c>
      <c r="T514" s="13">
        <v>99999</v>
      </c>
      <c r="U514" s="13">
        <v>0.16391865058577387</v>
      </c>
    </row>
    <row r="515" spans="1:21" x14ac:dyDescent="0.2">
      <c r="A515">
        <v>417</v>
      </c>
      <c r="B515" s="12">
        <v>1</v>
      </c>
      <c r="C515" s="16">
        <v>3091</v>
      </c>
      <c r="D515" s="16">
        <v>3091</v>
      </c>
      <c r="E515" s="3">
        <v>6.3299872897919984</v>
      </c>
      <c r="F515" s="3">
        <v>3.7167421679999997</v>
      </c>
      <c r="G515" s="3">
        <v>-1.7430000000000002E-7</v>
      </c>
      <c r="H515" s="3">
        <v>1.29E-7</v>
      </c>
      <c r="I515" s="3">
        <v>-1.325E-7</v>
      </c>
      <c r="J515" s="3">
        <v>1.6610000000000001E-7</v>
      </c>
      <c r="K515" s="3">
        <v>-1.307E-10</v>
      </c>
      <c r="L515" s="3">
        <v>1.0809999999999999E-10</v>
      </c>
      <c r="M515" s="3">
        <v>-1.5239999999999999E-6</v>
      </c>
      <c r="N515" s="3">
        <v>1.3849999999999999E-6</v>
      </c>
      <c r="O515" s="3">
        <v>-1.0859999999999999E-6</v>
      </c>
      <c r="P515" s="3">
        <v>1.105E-6</v>
      </c>
      <c r="Q515" s="3">
        <v>3.4789999999999996E-8</v>
      </c>
      <c r="R515" s="3">
        <v>1.5540000000000001E-6</v>
      </c>
      <c r="S515" s="13">
        <v>99999</v>
      </c>
      <c r="T515" s="13">
        <v>99999</v>
      </c>
      <c r="U515" s="13">
        <v>0.16409374099278679</v>
      </c>
    </row>
    <row r="516" spans="1:21" x14ac:dyDescent="0.2">
      <c r="A516">
        <v>418</v>
      </c>
      <c r="B516" s="12">
        <v>1</v>
      </c>
      <c r="C516" s="16">
        <v>3097</v>
      </c>
      <c r="D516" s="16">
        <v>3097</v>
      </c>
      <c r="E516" s="3">
        <v>6.2483757572879997</v>
      </c>
      <c r="F516" s="3">
        <v>3.6668781832500001</v>
      </c>
      <c r="G516" s="3">
        <v>-1.483E-7</v>
      </c>
      <c r="H516" s="3">
        <v>1.279E-7</v>
      </c>
      <c r="I516" s="3">
        <v>-1.05E-7</v>
      </c>
      <c r="J516" s="3">
        <v>1.3129999999999999E-7</v>
      </c>
      <c r="K516" s="3">
        <v>-1.334E-10</v>
      </c>
      <c r="L516" s="3">
        <v>1.1019999999999999E-10</v>
      </c>
      <c r="M516" s="3">
        <v>-1.6169999999999999E-6</v>
      </c>
      <c r="N516" s="3">
        <v>1.296E-6</v>
      </c>
      <c r="O516" s="3">
        <v>-1.077E-6</v>
      </c>
      <c r="P516" s="3">
        <v>1.2249999999999999E-6</v>
      </c>
      <c r="Q516" s="3">
        <v>3.208E-8</v>
      </c>
      <c r="R516" s="3">
        <v>1.7570000000000001E-6</v>
      </c>
      <c r="S516" s="13">
        <v>99999</v>
      </c>
      <c r="T516" s="13">
        <v>99999</v>
      </c>
      <c r="U516" s="13">
        <v>0.16422261833871662</v>
      </c>
    </row>
    <row r="517" spans="1:21" x14ac:dyDescent="0.2">
      <c r="A517">
        <v>419</v>
      </c>
      <c r="B517" s="12">
        <v>1</v>
      </c>
      <c r="C517" s="16">
        <v>3104</v>
      </c>
      <c r="D517" s="16">
        <v>3104</v>
      </c>
      <c r="E517" s="3">
        <v>6.1667806820400006</v>
      </c>
      <c r="F517" s="3">
        <v>3.6170242537500004</v>
      </c>
      <c r="G517" s="3">
        <v>-1.166E-7</v>
      </c>
      <c r="H517" s="3">
        <v>1.4499999999999999E-7</v>
      </c>
      <c r="I517" s="3">
        <v>-1.2669999999999999E-7</v>
      </c>
      <c r="J517" s="3">
        <v>1.4070000000000001E-7</v>
      </c>
      <c r="K517" s="3">
        <v>-1.36E-10</v>
      </c>
      <c r="L517" s="3">
        <v>1.1239999999999999E-10</v>
      </c>
      <c r="M517" s="3">
        <v>-1.5679999999999999E-6</v>
      </c>
      <c r="N517" s="3">
        <v>1.3689999999999999E-6</v>
      </c>
      <c r="O517" s="3">
        <v>-1.1260000000000001E-6</v>
      </c>
      <c r="P517" s="3">
        <v>1.2270000000000001E-6</v>
      </c>
      <c r="Q517" s="3">
        <v>7.3430000000000003E-8</v>
      </c>
      <c r="R517" s="3">
        <v>1.6390000000000001E-6</v>
      </c>
      <c r="S517" s="13">
        <v>99999</v>
      </c>
      <c r="T517" s="13">
        <v>99999</v>
      </c>
      <c r="U517" s="13">
        <v>0.16440280652312697</v>
      </c>
    </row>
    <row r="518" spans="1:21" x14ac:dyDescent="0.2">
      <c r="A518">
        <v>420</v>
      </c>
      <c r="B518" s="12">
        <v>1</v>
      </c>
      <c r="C518" s="16">
        <v>3110</v>
      </c>
      <c r="D518" s="16">
        <v>3110</v>
      </c>
      <c r="E518" s="3">
        <v>6.0851691495360001</v>
      </c>
      <c r="F518" s="3">
        <v>3.5671602689999999</v>
      </c>
      <c r="G518" s="3">
        <v>-1.2180000000000002E-7</v>
      </c>
      <c r="H518" s="3">
        <v>1.059E-7</v>
      </c>
      <c r="I518" s="3">
        <v>-1.24E-7</v>
      </c>
      <c r="J518" s="3">
        <v>1.793E-7</v>
      </c>
      <c r="K518" s="3">
        <v>-1.3829999999999998E-10</v>
      </c>
      <c r="L518" s="3">
        <v>1.147E-10</v>
      </c>
      <c r="M518" s="3">
        <v>-1.373E-6</v>
      </c>
      <c r="N518" s="3">
        <v>1.42E-6</v>
      </c>
      <c r="O518" s="3">
        <v>-1.1680000000000001E-6</v>
      </c>
      <c r="P518" s="3">
        <v>1.0640000000000001E-6</v>
      </c>
      <c r="Q518" s="3">
        <v>7.4679999999999991E-8</v>
      </c>
      <c r="R518" s="3">
        <v>1.584E-6</v>
      </c>
      <c r="S518" s="13">
        <v>99999</v>
      </c>
      <c r="T518" s="13">
        <v>99999</v>
      </c>
      <c r="U518" s="13">
        <v>0.16453665529090566</v>
      </c>
    </row>
    <row r="519" spans="1:21" x14ac:dyDescent="0.2">
      <c r="A519">
        <v>421</v>
      </c>
      <c r="B519" s="12">
        <v>1</v>
      </c>
      <c r="C519" s="16">
        <v>3117</v>
      </c>
      <c r="D519" s="16">
        <v>3117</v>
      </c>
      <c r="E519" s="3">
        <v>6.0035740742879993</v>
      </c>
      <c r="F519" s="3">
        <v>3.5173063395000002</v>
      </c>
      <c r="G519" s="3">
        <v>-1.2410000000000001E-7</v>
      </c>
      <c r="H519" s="3">
        <v>1.0700000000000001E-7</v>
      </c>
      <c r="I519" s="3">
        <v>-1.2909999999999998E-7</v>
      </c>
      <c r="J519" s="3">
        <v>1.7949999999999999E-7</v>
      </c>
      <c r="K519" s="3">
        <v>-1.404E-10</v>
      </c>
      <c r="L519" s="3">
        <v>1.169E-10</v>
      </c>
      <c r="M519" s="3">
        <v>-1.217E-6</v>
      </c>
      <c r="N519" s="3">
        <v>1.4100000000000001E-6</v>
      </c>
      <c r="O519" s="3">
        <v>-1.0560000000000001E-6</v>
      </c>
      <c r="P519" s="3">
        <v>1.1509999999999999E-6</v>
      </c>
      <c r="Q519" s="3">
        <v>6.4759999999999992E-8</v>
      </c>
      <c r="R519" s="3">
        <v>1.6190000000000001E-6</v>
      </c>
      <c r="S519" s="13">
        <v>99999</v>
      </c>
      <c r="T519" s="13">
        <v>99999</v>
      </c>
      <c r="U519" s="13">
        <v>0.16472191100891123</v>
      </c>
    </row>
    <row r="520" spans="1:21" x14ac:dyDescent="0.2">
      <c r="A520">
        <v>422</v>
      </c>
      <c r="B520" s="12">
        <v>1</v>
      </c>
      <c r="C520" s="16">
        <v>3123</v>
      </c>
      <c r="D520" s="16">
        <v>3123</v>
      </c>
      <c r="E520" s="3">
        <v>5.9219625417840005</v>
      </c>
      <c r="F520" s="3">
        <v>3.4674423547500006</v>
      </c>
      <c r="G520" s="3">
        <v>-1.2210000000000001E-7</v>
      </c>
      <c r="H520" s="3">
        <v>1.098E-7</v>
      </c>
      <c r="I520" s="3">
        <v>-1.645E-7</v>
      </c>
      <c r="J520" s="3">
        <v>1.5799999999999999E-7</v>
      </c>
      <c r="K520" s="3">
        <v>-1.4229999999999999E-10</v>
      </c>
      <c r="L520" s="3">
        <v>1.1910000000000001E-10</v>
      </c>
      <c r="M520" s="3">
        <v>-1.33E-6</v>
      </c>
      <c r="N520" s="3">
        <v>1.2130000000000001E-6</v>
      </c>
      <c r="O520" s="3">
        <v>-1.159E-6</v>
      </c>
      <c r="P520" s="3">
        <v>1.2390000000000001E-6</v>
      </c>
      <c r="Q520" s="3">
        <v>9.1580000000000003E-8</v>
      </c>
      <c r="R520" s="3">
        <v>1.4339999999999999E-6</v>
      </c>
      <c r="S520" s="13">
        <v>99999</v>
      </c>
      <c r="T520" s="13">
        <v>99999</v>
      </c>
      <c r="U520" s="13">
        <v>0.16486070400351652</v>
      </c>
    </row>
    <row r="521" spans="1:21" x14ac:dyDescent="0.2">
      <c r="A521">
        <v>423</v>
      </c>
      <c r="B521" s="12">
        <v>1</v>
      </c>
      <c r="C521" s="16">
        <v>3130</v>
      </c>
      <c r="D521" s="16">
        <v>3130</v>
      </c>
      <c r="E521" s="3">
        <v>5.8403674665359997</v>
      </c>
      <c r="F521" s="3">
        <v>3.41758842525</v>
      </c>
      <c r="G521" s="3">
        <v>-1.303E-7</v>
      </c>
      <c r="H521" s="3">
        <v>9.8750000000000007E-8</v>
      </c>
      <c r="I521" s="3">
        <v>-1.8939999999999999E-7</v>
      </c>
      <c r="J521" s="3">
        <v>1.4889999999999999E-7</v>
      </c>
      <c r="K521" s="3">
        <v>-1.441E-10</v>
      </c>
      <c r="L521" s="3">
        <v>1.2130000000000001E-10</v>
      </c>
      <c r="M521" s="3">
        <v>-1.4159999999999999E-6</v>
      </c>
      <c r="N521" s="3">
        <v>1.3480000000000001E-6</v>
      </c>
      <c r="O521" s="3">
        <v>-1.06E-6</v>
      </c>
      <c r="P521" s="3">
        <v>1.184E-6</v>
      </c>
      <c r="Q521" s="3">
        <v>9.9769999999999999E-8</v>
      </c>
      <c r="R521" s="3">
        <v>1.5169999999999998E-6</v>
      </c>
      <c r="S521" s="13">
        <v>99999</v>
      </c>
      <c r="T521" s="13">
        <v>99999</v>
      </c>
      <c r="U521" s="13">
        <v>0.16505099623143979</v>
      </c>
    </row>
    <row r="522" spans="1:21" x14ac:dyDescent="0.2">
      <c r="A522">
        <v>424</v>
      </c>
      <c r="B522" s="12">
        <v>1</v>
      </c>
      <c r="C522" s="16">
        <v>3136</v>
      </c>
      <c r="D522" s="16">
        <v>3136</v>
      </c>
      <c r="E522" s="3">
        <v>5.758755934032</v>
      </c>
      <c r="F522" s="3">
        <v>3.3677244405</v>
      </c>
      <c r="G522" s="3">
        <v>-1.4540000000000002E-7</v>
      </c>
      <c r="H522" s="3">
        <v>1.4149999999999999E-7</v>
      </c>
      <c r="I522" s="3">
        <v>-1.392E-7</v>
      </c>
      <c r="J522" s="3">
        <v>1.7149999999999999E-7</v>
      </c>
      <c r="K522" s="3">
        <v>-1.457E-10</v>
      </c>
      <c r="L522" s="3">
        <v>1.2340000000000001E-10</v>
      </c>
      <c r="M522" s="3">
        <v>-1.516E-6</v>
      </c>
      <c r="N522" s="3">
        <v>1.454E-6</v>
      </c>
      <c r="O522" s="3">
        <v>-9.7719999999999994E-7</v>
      </c>
      <c r="P522" s="3">
        <v>1.0560000000000001E-6</v>
      </c>
      <c r="Q522" s="3">
        <v>1.2490000000000001E-7</v>
      </c>
      <c r="R522" s="3">
        <v>1.609E-6</v>
      </c>
      <c r="S522" s="13">
        <v>99999</v>
      </c>
      <c r="T522" s="13">
        <v>99999</v>
      </c>
      <c r="U522" s="13">
        <v>0.16519470567472799</v>
      </c>
    </row>
    <row r="523" spans="1:21" x14ac:dyDescent="0.2">
      <c r="A523">
        <v>425</v>
      </c>
      <c r="B523" s="12">
        <v>1</v>
      </c>
      <c r="C523" s="16">
        <v>3143</v>
      </c>
      <c r="D523" s="16">
        <v>3143</v>
      </c>
      <c r="E523" s="3">
        <v>5.6771608587840001</v>
      </c>
      <c r="F523" s="3">
        <v>3.3178705110000002</v>
      </c>
      <c r="G523" s="3">
        <v>-1.638E-7</v>
      </c>
      <c r="H523" s="3">
        <v>1.349E-7</v>
      </c>
      <c r="I523" s="3">
        <v>-1.417E-7</v>
      </c>
      <c r="J523" s="3">
        <v>1.758E-7</v>
      </c>
      <c r="K523" s="3">
        <v>-1.4700000000000001E-10</v>
      </c>
      <c r="L523" s="3">
        <v>1.254E-10</v>
      </c>
      <c r="M523" s="3">
        <v>-1.4189999999999999E-6</v>
      </c>
      <c r="N523" s="3">
        <v>1.3780000000000002E-6</v>
      </c>
      <c r="O523" s="3">
        <v>-8.6629999999999997E-7</v>
      </c>
      <c r="P523" s="3">
        <v>9.6190000000000006E-7</v>
      </c>
      <c r="Q523" s="3">
        <v>1.5160000000000001E-7</v>
      </c>
      <c r="R523" s="3">
        <v>1.525E-6</v>
      </c>
      <c r="S523" s="13">
        <v>99999</v>
      </c>
      <c r="T523" s="13">
        <v>99999</v>
      </c>
      <c r="U523" s="13">
        <v>0.16539000268641613</v>
      </c>
    </row>
    <row r="524" spans="1:21" x14ac:dyDescent="0.2">
      <c r="A524">
        <v>426</v>
      </c>
      <c r="B524" s="12">
        <v>1</v>
      </c>
      <c r="C524" s="16">
        <v>3150</v>
      </c>
      <c r="D524" s="16">
        <v>3150</v>
      </c>
      <c r="E524" s="3">
        <v>5.5955657835359993</v>
      </c>
      <c r="F524" s="3">
        <v>3.2680165815</v>
      </c>
      <c r="G524" s="3">
        <v>-1.42E-7</v>
      </c>
      <c r="H524" s="3">
        <v>1.216E-7</v>
      </c>
      <c r="I524" s="3">
        <v>-1.4950000000000001E-7</v>
      </c>
      <c r="J524" s="3">
        <v>1.585E-7</v>
      </c>
      <c r="K524" s="3">
        <v>-1.4880000000000002E-10</v>
      </c>
      <c r="L524" s="3">
        <v>1.275E-10</v>
      </c>
      <c r="M524" s="3">
        <v>-1.6110000000000001E-6</v>
      </c>
      <c r="N524" s="3">
        <v>1.3600000000000001E-6</v>
      </c>
      <c r="O524" s="3">
        <v>-1.0219999999999999E-6</v>
      </c>
      <c r="P524" s="3">
        <v>9.3870000000000001E-7</v>
      </c>
      <c r="Q524" s="3">
        <v>4.8879999999999998E-8</v>
      </c>
      <c r="R524" s="3">
        <v>1.7210000000000001E-6</v>
      </c>
      <c r="S524" s="13">
        <v>99999</v>
      </c>
      <c r="T524" s="13">
        <v>99999</v>
      </c>
      <c r="U524" s="13">
        <v>0.16558781525268176</v>
      </c>
    </row>
    <row r="525" spans="1:21" x14ac:dyDescent="0.2">
      <c r="A525">
        <v>427</v>
      </c>
      <c r="B525" s="12">
        <v>1</v>
      </c>
      <c r="C525" s="16">
        <v>3156</v>
      </c>
      <c r="D525" s="16">
        <v>3156</v>
      </c>
      <c r="E525" s="3">
        <v>5.5139542510320005</v>
      </c>
      <c r="F525" s="3">
        <v>3.21815259675</v>
      </c>
      <c r="G525" s="3">
        <v>-1.0289999999999999E-7</v>
      </c>
      <c r="H525" s="3">
        <v>1.154E-7</v>
      </c>
      <c r="I525" s="3">
        <v>-1.5029999999999999E-7</v>
      </c>
      <c r="J525" s="3">
        <v>1.5210000000000002E-7</v>
      </c>
      <c r="K525" s="3">
        <v>-1.5180000000000001E-10</v>
      </c>
      <c r="L525" s="3">
        <v>1.2940000000000001E-10</v>
      </c>
      <c r="M525" s="3">
        <v>-1.6360000000000001E-6</v>
      </c>
      <c r="N525" s="3">
        <v>1.508E-6</v>
      </c>
      <c r="O525" s="3">
        <v>-1.291E-6</v>
      </c>
      <c r="P525" s="3">
        <v>1.24E-6</v>
      </c>
      <c r="Q525" s="3">
        <v>6.7559999999999991E-8</v>
      </c>
      <c r="R525" s="3">
        <v>1.846E-6</v>
      </c>
      <c r="S525" s="13">
        <v>99999</v>
      </c>
      <c r="T525" s="13">
        <v>99999</v>
      </c>
      <c r="U525" s="13">
        <v>0.16573886957301764</v>
      </c>
    </row>
    <row r="526" spans="1:21" x14ac:dyDescent="0.2">
      <c r="A526">
        <v>428</v>
      </c>
      <c r="B526" s="12">
        <v>1</v>
      </c>
      <c r="C526" s="16">
        <v>3163</v>
      </c>
      <c r="D526" s="16">
        <v>3163</v>
      </c>
      <c r="E526" s="3">
        <v>5.4323591757840006</v>
      </c>
      <c r="F526" s="3">
        <v>3.1682986672500002</v>
      </c>
      <c r="G526" s="3">
        <v>-1.1670000000000001E-7</v>
      </c>
      <c r="H526" s="3">
        <v>1.149E-7</v>
      </c>
      <c r="I526" s="3">
        <v>-1.9649999999999999E-7</v>
      </c>
      <c r="J526" s="3">
        <v>1.5970000000000001E-7</v>
      </c>
      <c r="K526" s="3">
        <v>-1.5469999999999999E-10</v>
      </c>
      <c r="L526" s="3">
        <v>1.313E-10</v>
      </c>
      <c r="M526" s="3">
        <v>-1.423E-6</v>
      </c>
      <c r="N526" s="3">
        <v>1.556E-6</v>
      </c>
      <c r="O526" s="3">
        <v>-1.463E-6</v>
      </c>
      <c r="P526" s="3">
        <v>1.4250000000000001E-6</v>
      </c>
      <c r="Q526" s="3">
        <v>1.08E-7</v>
      </c>
      <c r="R526" s="3">
        <v>1.7060000000000001E-6</v>
      </c>
      <c r="S526" s="13">
        <v>99999</v>
      </c>
      <c r="T526" s="13">
        <v>99999</v>
      </c>
      <c r="U526" s="13">
        <v>0.16594163736223394</v>
      </c>
    </row>
    <row r="527" spans="1:21" x14ac:dyDescent="0.2">
      <c r="A527">
        <v>429</v>
      </c>
      <c r="B527" s="12">
        <v>1</v>
      </c>
      <c r="C527" s="16">
        <v>3169</v>
      </c>
      <c r="D527" s="16">
        <v>3169</v>
      </c>
      <c r="E527" s="3">
        <v>5.3507476432799992</v>
      </c>
      <c r="F527" s="3">
        <v>3.1184346825000002</v>
      </c>
      <c r="G527" s="3">
        <v>-1.4399999999999999E-7</v>
      </c>
      <c r="H527" s="3">
        <v>1.4840000000000001E-7</v>
      </c>
      <c r="I527" s="3">
        <v>-1.9359999999999999E-7</v>
      </c>
      <c r="J527" s="3">
        <v>1.815E-7</v>
      </c>
      <c r="K527" s="3">
        <v>-1.5739999999999999E-10</v>
      </c>
      <c r="L527" s="3">
        <v>1.3309999999999998E-10</v>
      </c>
      <c r="M527" s="3">
        <v>-1.4159999999999999E-6</v>
      </c>
      <c r="N527" s="3">
        <v>1.502E-6</v>
      </c>
      <c r="O527" s="3">
        <v>-1.24E-6</v>
      </c>
      <c r="P527" s="3">
        <v>1.257E-6</v>
      </c>
      <c r="Q527" s="3">
        <v>1.504E-7</v>
      </c>
      <c r="R527" s="3">
        <v>1.6310000000000001E-6</v>
      </c>
      <c r="S527" s="13">
        <v>99999</v>
      </c>
      <c r="T527" s="13">
        <v>99999</v>
      </c>
      <c r="U527" s="13">
        <v>0.16609753443386668</v>
      </c>
    </row>
    <row r="528" spans="1:21" x14ac:dyDescent="0.2">
      <c r="A528">
        <v>430</v>
      </c>
      <c r="B528" s="12">
        <v>1</v>
      </c>
      <c r="C528" s="16">
        <v>3176</v>
      </c>
      <c r="D528" s="16">
        <v>3176</v>
      </c>
      <c r="E528" s="3">
        <v>5.2691525680320002</v>
      </c>
      <c r="F528" s="3">
        <v>3.068580753</v>
      </c>
      <c r="G528" s="3">
        <v>-1.7780000000000002E-7</v>
      </c>
      <c r="H528" s="3">
        <v>1.6929999999999999E-7</v>
      </c>
      <c r="I528" s="3">
        <v>-1.5119999999999998E-7</v>
      </c>
      <c r="J528" s="3">
        <v>1.6919999999999998E-7</v>
      </c>
      <c r="K528" s="3">
        <v>-1.5989999999999999E-10</v>
      </c>
      <c r="L528" s="3">
        <v>1.3489999999999999E-10</v>
      </c>
      <c r="M528" s="3">
        <v>-1.1689999999999999E-6</v>
      </c>
      <c r="N528" s="3">
        <v>1.5230000000000001E-6</v>
      </c>
      <c r="O528" s="3">
        <v>-1.017E-6</v>
      </c>
      <c r="P528" s="3">
        <v>8.681E-7</v>
      </c>
      <c r="Q528" s="3">
        <v>9.5900000000000005E-8</v>
      </c>
      <c r="R528" s="3">
        <v>1.6609999999999999E-6</v>
      </c>
      <c r="S528" s="13">
        <v>99999</v>
      </c>
      <c r="T528" s="13">
        <v>99999</v>
      </c>
      <c r="U528" s="13">
        <v>0.16630522446423954</v>
      </c>
    </row>
    <row r="529" spans="1:21" x14ac:dyDescent="0.2">
      <c r="A529">
        <v>431</v>
      </c>
      <c r="B529" s="12">
        <v>1</v>
      </c>
      <c r="C529" s="16">
        <v>3182</v>
      </c>
      <c r="D529" s="16">
        <v>3182</v>
      </c>
      <c r="E529" s="3">
        <v>5.1875410355279996</v>
      </c>
      <c r="F529" s="3">
        <v>3.0187167682499996</v>
      </c>
      <c r="G529" s="3">
        <v>-1.7599999999999999E-7</v>
      </c>
      <c r="H529" s="3">
        <v>1.49E-7</v>
      </c>
      <c r="I529" s="3">
        <v>-1.529E-7</v>
      </c>
      <c r="J529" s="3">
        <v>1.487E-7</v>
      </c>
      <c r="K529" s="3">
        <v>-1.623E-10</v>
      </c>
      <c r="L529" s="3">
        <v>1.367E-10</v>
      </c>
      <c r="M529" s="3">
        <v>-1.7090000000000001E-6</v>
      </c>
      <c r="N529" s="3">
        <v>1.598E-6</v>
      </c>
      <c r="O529" s="3">
        <v>-1.0189999999999999E-6</v>
      </c>
      <c r="P529" s="3">
        <v>9.4649999999999996E-7</v>
      </c>
      <c r="Q529" s="3">
        <v>1.3200000000000002E-7</v>
      </c>
      <c r="R529" s="3">
        <v>1.776E-6</v>
      </c>
      <c r="S529" s="13">
        <v>99999</v>
      </c>
      <c r="T529" s="13">
        <v>99999</v>
      </c>
      <c r="U529" s="13">
        <v>0.16646593428061768</v>
      </c>
    </row>
    <row r="530" spans="1:21" x14ac:dyDescent="0.2">
      <c r="A530">
        <v>432</v>
      </c>
      <c r="B530" s="12">
        <v>1</v>
      </c>
      <c r="C530" s="16">
        <v>3189</v>
      </c>
      <c r="D530" s="16">
        <v>3189</v>
      </c>
      <c r="E530" s="3">
        <v>5.1059459602799997</v>
      </c>
      <c r="F530" s="3">
        <v>2.9688628387500002</v>
      </c>
      <c r="G530" s="3">
        <v>-1.2919999999999999E-7</v>
      </c>
      <c r="H530" s="3">
        <v>1.0119999999999999E-7</v>
      </c>
      <c r="I530" s="3">
        <v>-1.4290000000000002E-7</v>
      </c>
      <c r="J530" s="3">
        <v>1.423E-7</v>
      </c>
      <c r="K530" s="3">
        <v>-1.6420000000000001E-10</v>
      </c>
      <c r="L530" s="3">
        <v>1.382E-10</v>
      </c>
      <c r="M530" s="3">
        <v>-1.8819999999999999E-6</v>
      </c>
      <c r="N530" s="3">
        <v>1.6050000000000001E-6</v>
      </c>
      <c r="O530" s="3">
        <v>-1.1519999999999999E-6</v>
      </c>
      <c r="P530" s="3">
        <v>1.1969999999999999E-6</v>
      </c>
      <c r="Q530" s="3">
        <v>9.4790000000000004E-8</v>
      </c>
      <c r="R530" s="3">
        <v>2.1430000000000001E-6</v>
      </c>
      <c r="S530" s="13">
        <v>99999</v>
      </c>
      <c r="T530" s="13">
        <v>99999</v>
      </c>
      <c r="U530" s="13">
        <v>0.16667851287065694</v>
      </c>
    </row>
    <row r="531" spans="1:21" x14ac:dyDescent="0.2">
      <c r="A531">
        <v>433</v>
      </c>
      <c r="B531" s="12">
        <v>1</v>
      </c>
      <c r="C531" s="16">
        <v>3193</v>
      </c>
      <c r="D531" s="16">
        <v>3193</v>
      </c>
      <c r="E531" s="3">
        <v>5.0508635244480002</v>
      </c>
      <c r="F531" s="3">
        <v>2.9352079170000005</v>
      </c>
      <c r="G531" s="3">
        <v>-1.172E-7</v>
      </c>
      <c r="H531" s="3">
        <v>1.0620000000000001E-7</v>
      </c>
      <c r="I531" s="3">
        <v>-1.423E-7</v>
      </c>
      <c r="J531" s="3">
        <v>1.4219999999999999E-7</v>
      </c>
      <c r="K531" s="3">
        <v>-1.6540000000000002E-10</v>
      </c>
      <c r="L531" s="3">
        <v>1.3919999999999999E-10</v>
      </c>
      <c r="M531" s="3">
        <v>-1.6479999999999999E-6</v>
      </c>
      <c r="N531" s="3">
        <v>1.533E-6</v>
      </c>
      <c r="O531" s="3">
        <v>-1.5120000000000001E-6</v>
      </c>
      <c r="P531" s="3">
        <v>1.381E-6</v>
      </c>
      <c r="Q531" s="3">
        <v>5.8189999999999994E-8</v>
      </c>
      <c r="R531" s="3">
        <v>2.0600000000000002E-6</v>
      </c>
      <c r="S531" s="13">
        <v>99999</v>
      </c>
      <c r="T531" s="13">
        <v>99999</v>
      </c>
      <c r="U531" s="13">
        <v>0.16678749438622073</v>
      </c>
    </row>
    <row r="532" spans="1:21" x14ac:dyDescent="0.2">
      <c r="A532">
        <v>434</v>
      </c>
      <c r="B532" s="12">
        <v>1</v>
      </c>
      <c r="C532" s="16">
        <v>3196</v>
      </c>
      <c r="D532" s="16">
        <v>3196</v>
      </c>
      <c r="E532" s="3">
        <v>5.0141473863120005</v>
      </c>
      <c r="F532" s="3">
        <v>2.9127746542500002</v>
      </c>
      <c r="G532" s="3">
        <v>-1.198E-7</v>
      </c>
      <c r="H532" s="3">
        <v>1.0390000000000001E-7</v>
      </c>
      <c r="I532" s="3">
        <v>-1.4999999999999999E-7</v>
      </c>
      <c r="J532" s="3">
        <v>1.37E-7</v>
      </c>
      <c r="K532" s="3">
        <v>-1.6630000000000001E-10</v>
      </c>
      <c r="L532" s="3">
        <v>1.398E-10</v>
      </c>
      <c r="M532" s="3">
        <v>-1.418E-6</v>
      </c>
      <c r="N532" s="3">
        <v>1.5800000000000001E-6</v>
      </c>
      <c r="O532" s="3">
        <v>-1.6590000000000001E-6</v>
      </c>
      <c r="P532" s="3">
        <v>1.4009999999999998E-6</v>
      </c>
      <c r="Q532" s="3">
        <v>1.2779999999999999E-7</v>
      </c>
      <c r="R532" s="3">
        <v>1.9580000000000001E-6</v>
      </c>
      <c r="S532" s="13">
        <v>99999</v>
      </c>
      <c r="T532" s="13">
        <v>99999</v>
      </c>
      <c r="U532" s="13">
        <v>0.16687725964488617</v>
      </c>
    </row>
    <row r="533" spans="1:21" x14ac:dyDescent="0.2">
      <c r="A533">
        <v>435</v>
      </c>
      <c r="B533" s="12">
        <v>1</v>
      </c>
      <c r="C533" s="16">
        <v>3198</v>
      </c>
      <c r="D533" s="16">
        <v>3198</v>
      </c>
      <c r="E533" s="3">
        <v>4.9896589893839991</v>
      </c>
      <c r="F533" s="3">
        <v>2.8978124422499998</v>
      </c>
      <c r="G533" s="3">
        <v>-1.1739999999999999E-7</v>
      </c>
      <c r="H533" s="3">
        <v>1.0260000000000001E-7</v>
      </c>
      <c r="I533" s="3">
        <v>-1.5210000000000002E-7</v>
      </c>
      <c r="J533" s="3">
        <v>1.4459999999999998E-7</v>
      </c>
      <c r="K533" s="3">
        <v>-1.6680000000000001E-10</v>
      </c>
      <c r="L533" s="3">
        <v>1.4009999999999999E-10</v>
      </c>
      <c r="M533" s="3">
        <v>-1.5269999999999999E-6</v>
      </c>
      <c r="N533" s="3">
        <v>1.5610000000000002E-6</v>
      </c>
      <c r="O533" s="3">
        <v>-1.7129999999999999E-6</v>
      </c>
      <c r="P533" s="3">
        <v>1.372E-6</v>
      </c>
      <c r="Q533" s="3">
        <v>1.069E-7</v>
      </c>
      <c r="R533" s="3">
        <v>1.9139999999999998E-6</v>
      </c>
      <c r="S533" s="13">
        <v>99999</v>
      </c>
      <c r="T533" s="13">
        <v>99999</v>
      </c>
      <c r="U533" s="13">
        <v>0.16693735737830034</v>
      </c>
    </row>
    <row r="534" spans="1:21" x14ac:dyDescent="0.2">
      <c r="A534">
        <v>436</v>
      </c>
      <c r="B534" s="12">
        <v>1</v>
      </c>
      <c r="C534" s="16">
        <v>3200</v>
      </c>
      <c r="D534" s="16">
        <v>3200</v>
      </c>
      <c r="E534" s="3">
        <v>4.9733498486879988</v>
      </c>
      <c r="F534" s="3">
        <v>2.8878476895</v>
      </c>
      <c r="G534" s="3">
        <v>-1.1340000000000001E-7</v>
      </c>
      <c r="H534" s="3">
        <v>1.054E-7</v>
      </c>
      <c r="I534" s="3">
        <v>-1.5160000000000001E-7</v>
      </c>
      <c r="J534" s="3">
        <v>1.487E-7</v>
      </c>
      <c r="K534" s="3">
        <v>-1.6730000000000001E-10</v>
      </c>
      <c r="L534" s="3">
        <v>1.4050000000000001E-10</v>
      </c>
      <c r="M534" s="3">
        <v>-1.576E-6</v>
      </c>
      <c r="N534" s="3">
        <v>1.5490000000000001E-6</v>
      </c>
      <c r="O534" s="3">
        <v>-1.7229999999999999E-6</v>
      </c>
      <c r="P534" s="3">
        <v>1.336E-6</v>
      </c>
      <c r="Q534" s="3">
        <v>6.2069999999999999E-8</v>
      </c>
      <c r="R534" s="3">
        <v>1.855E-6</v>
      </c>
      <c r="S534" s="13">
        <v>99999</v>
      </c>
      <c r="T534" s="13">
        <v>99999</v>
      </c>
      <c r="U534" s="13">
        <v>0.14679240852471936</v>
      </c>
    </row>
    <row r="535" spans="1:21" x14ac:dyDescent="0.2">
      <c r="A535">
        <v>437</v>
      </c>
      <c r="B535" s="12">
        <v>1</v>
      </c>
      <c r="C535" s="16">
        <v>3201</v>
      </c>
      <c r="D535" s="16">
        <v>3201</v>
      </c>
      <c r="E535" s="3">
        <v>4.9575015111600003</v>
      </c>
      <c r="F535" s="3">
        <v>2.87816448375</v>
      </c>
      <c r="G535" s="3">
        <v>-1.175E-7</v>
      </c>
      <c r="H535" s="3">
        <v>1.064E-7</v>
      </c>
      <c r="I535" s="3">
        <v>-1.483E-7</v>
      </c>
      <c r="J535" s="3">
        <v>1.519E-7</v>
      </c>
      <c r="K535" s="3">
        <v>-1.6799999999999999E-10</v>
      </c>
      <c r="L535" s="3">
        <v>1.409E-10</v>
      </c>
      <c r="M535" s="3">
        <v>-1.604E-6</v>
      </c>
      <c r="N535" s="3">
        <v>1.59E-6</v>
      </c>
      <c r="O535" s="3">
        <v>-1.711E-6</v>
      </c>
      <c r="P535" s="3">
        <v>1.2869999999999999E-6</v>
      </c>
      <c r="Q535" s="3">
        <v>6.085999999999999E-8</v>
      </c>
      <c r="R535" s="3">
        <v>1.7769999999999999E-6</v>
      </c>
      <c r="S535" s="13">
        <v>99999</v>
      </c>
      <c r="T535" s="13">
        <v>99999</v>
      </c>
      <c r="U535" s="13">
        <v>0.14681456442064111</v>
      </c>
    </row>
    <row r="536" spans="1:21" x14ac:dyDescent="0.2">
      <c r="A536">
        <v>438</v>
      </c>
      <c r="B536" s="12">
        <v>1</v>
      </c>
      <c r="C536" s="16">
        <v>3203</v>
      </c>
      <c r="D536" s="16">
        <v>3203</v>
      </c>
      <c r="E536" s="3">
        <v>4.9337207762399995</v>
      </c>
      <c r="F536" s="3">
        <v>2.8636346474999996</v>
      </c>
      <c r="G536" s="3">
        <v>-1.222E-7</v>
      </c>
      <c r="H536" s="3">
        <v>1.157E-7</v>
      </c>
      <c r="I536" s="3">
        <v>-1.564E-7</v>
      </c>
      <c r="J536" s="3">
        <v>1.5630000000000002E-7</v>
      </c>
      <c r="K536" s="3">
        <v>-1.6890000000000001E-10</v>
      </c>
      <c r="L536" s="3">
        <v>1.414E-10</v>
      </c>
      <c r="M536" s="3">
        <v>-1.606E-6</v>
      </c>
      <c r="N536" s="3">
        <v>1.6190000000000001E-6</v>
      </c>
      <c r="O536" s="3">
        <v>-1.649E-6</v>
      </c>
      <c r="P536" s="3">
        <v>1.189E-6</v>
      </c>
      <c r="Q536" s="3">
        <v>7.6140000000000005E-8</v>
      </c>
      <c r="R536" s="3">
        <v>1.7120000000000001E-6</v>
      </c>
      <c r="S536" s="13">
        <v>99999</v>
      </c>
      <c r="T536" s="13">
        <v>99999</v>
      </c>
      <c r="U536" s="13">
        <v>0.14686973522408592</v>
      </c>
    </row>
    <row r="537" spans="1:21" x14ac:dyDescent="0.2">
      <c r="A537">
        <v>439</v>
      </c>
      <c r="B537" s="12">
        <v>1</v>
      </c>
      <c r="C537" s="16">
        <v>3207</v>
      </c>
      <c r="D537" s="16">
        <v>3207</v>
      </c>
      <c r="E537" s="3">
        <v>4.8980743597440002</v>
      </c>
      <c r="F537" s="3">
        <v>2.8418549760000005</v>
      </c>
      <c r="G537" s="3">
        <v>-1.343E-7</v>
      </c>
      <c r="H537" s="3">
        <v>1.6619999999999999E-7</v>
      </c>
      <c r="I537" s="3">
        <v>-1.7450000000000001E-7</v>
      </c>
      <c r="J537" s="3">
        <v>1.5200000000000001E-7</v>
      </c>
      <c r="K537" s="3">
        <v>-1.7030000000000002E-10</v>
      </c>
      <c r="L537" s="3">
        <v>1.4219999999999998E-10</v>
      </c>
      <c r="M537" s="3">
        <v>-1.511E-6</v>
      </c>
      <c r="N537" s="3">
        <v>1.5969999999999999E-6</v>
      </c>
      <c r="O537" s="3">
        <v>-1.4589999999999999E-6</v>
      </c>
      <c r="P537" s="3">
        <v>1.1909999999999999E-6</v>
      </c>
      <c r="Q537" s="3">
        <v>5.8029999999999998E-8</v>
      </c>
      <c r="R537" s="3">
        <v>1.686E-6</v>
      </c>
      <c r="S537" s="13">
        <v>99999</v>
      </c>
      <c r="T537" s="13">
        <v>99999</v>
      </c>
      <c r="U537" s="13">
        <v>0.14699649153466796</v>
      </c>
    </row>
    <row r="538" spans="1:21" x14ac:dyDescent="0.2">
      <c r="A538">
        <v>440</v>
      </c>
      <c r="B538" s="12">
        <v>1</v>
      </c>
      <c r="C538" s="16">
        <v>3212</v>
      </c>
      <c r="D538" s="16">
        <v>3212</v>
      </c>
      <c r="E538" s="3">
        <v>4.8445882777440001</v>
      </c>
      <c r="F538" s="3">
        <v>2.8091754135000002</v>
      </c>
      <c r="G538" s="3">
        <v>-1.561E-7</v>
      </c>
      <c r="H538" s="3">
        <v>2.1039999999999998E-7</v>
      </c>
      <c r="I538" s="3">
        <v>-1.7289999999999999E-7</v>
      </c>
      <c r="J538" s="3">
        <v>1.896E-7</v>
      </c>
      <c r="K538" s="3">
        <v>-1.725E-10</v>
      </c>
      <c r="L538" s="3">
        <v>1.431E-10</v>
      </c>
      <c r="M538" s="3">
        <v>-1.4189999999999999E-6</v>
      </c>
      <c r="N538" s="3">
        <v>1.668E-6</v>
      </c>
      <c r="O538" s="3">
        <v>-1.311E-6</v>
      </c>
      <c r="P538" s="3">
        <v>1.221E-6</v>
      </c>
      <c r="Q538" s="3">
        <v>1.7139999999999999E-7</v>
      </c>
      <c r="R538" s="3">
        <v>1.7379999999999999E-6</v>
      </c>
      <c r="S538" s="13">
        <v>99999</v>
      </c>
      <c r="T538" s="13">
        <v>99999</v>
      </c>
      <c r="U538" s="13">
        <v>0.14714374708490674</v>
      </c>
    </row>
    <row r="539" spans="1:21" x14ac:dyDescent="0.2">
      <c r="A539">
        <v>441</v>
      </c>
      <c r="B539" s="12">
        <v>1</v>
      </c>
      <c r="C539" s="16">
        <v>3220</v>
      </c>
      <c r="D539" s="16">
        <v>3220</v>
      </c>
      <c r="E539" s="3">
        <v>4.7653465901039986</v>
      </c>
      <c r="F539" s="3">
        <v>2.7607593847499996</v>
      </c>
      <c r="G539" s="3">
        <v>-1.6430000000000001E-7</v>
      </c>
      <c r="H539" s="3">
        <v>2.1240000000000002E-7</v>
      </c>
      <c r="I539" s="3">
        <v>-1.716E-7</v>
      </c>
      <c r="J539" s="3">
        <v>2.17E-7</v>
      </c>
      <c r="K539" s="3">
        <v>-1.7490000000000001E-10</v>
      </c>
      <c r="L539" s="3">
        <v>1.441E-10</v>
      </c>
      <c r="M539" s="3">
        <v>-1.4499999999999999E-6</v>
      </c>
      <c r="N539" s="3">
        <v>1.66E-6</v>
      </c>
      <c r="O539" s="3">
        <v>-1.1119999999999999E-6</v>
      </c>
      <c r="P539" s="3">
        <v>1.282E-6</v>
      </c>
      <c r="Q539" s="3">
        <v>3.4159999999999996E-8</v>
      </c>
      <c r="R539" s="3">
        <v>1.7149999999999999E-6</v>
      </c>
      <c r="S539" s="13">
        <v>99999</v>
      </c>
      <c r="T539" s="13">
        <v>99999</v>
      </c>
      <c r="U539" s="13">
        <v>0.14738947121941298</v>
      </c>
    </row>
    <row r="540" spans="1:21" x14ac:dyDescent="0.2">
      <c r="A540">
        <v>442</v>
      </c>
      <c r="B540" s="12">
        <v>1</v>
      </c>
      <c r="C540" s="16">
        <v>3228</v>
      </c>
      <c r="D540" s="16">
        <v>3228</v>
      </c>
      <c r="E540" s="3">
        <v>4.6861213597200004</v>
      </c>
      <c r="F540" s="3">
        <v>2.7123534112500001</v>
      </c>
      <c r="G540" s="3">
        <v>-1.469E-7</v>
      </c>
      <c r="H540" s="3">
        <v>1.9210000000000001E-7</v>
      </c>
      <c r="I540" s="3">
        <v>-1.7709999999999999E-7</v>
      </c>
      <c r="J540" s="3">
        <v>1.811E-7</v>
      </c>
      <c r="K540" s="3">
        <v>-1.7709999999999999E-10</v>
      </c>
      <c r="L540" s="3">
        <v>1.4490000000000001E-10</v>
      </c>
      <c r="M540" s="3">
        <v>-1.8730000000000001E-6</v>
      </c>
      <c r="N540" s="3">
        <v>1.626E-6</v>
      </c>
      <c r="O540" s="3">
        <v>-1.0809999999999999E-6</v>
      </c>
      <c r="P540" s="3">
        <v>1.313E-6</v>
      </c>
      <c r="Q540" s="3">
        <v>1.0490000000000001E-7</v>
      </c>
      <c r="R540" s="3">
        <v>1.9999999999999999E-6</v>
      </c>
      <c r="S540" s="13">
        <v>99999</v>
      </c>
      <c r="T540" s="13">
        <v>99999</v>
      </c>
      <c r="U540" s="13">
        <v>0.14763725311450429</v>
      </c>
    </row>
    <row r="541" spans="1:21" x14ac:dyDescent="0.2">
      <c r="A541">
        <v>443</v>
      </c>
      <c r="B541" s="12">
        <v>1</v>
      </c>
      <c r="C541" s="16">
        <v>3235</v>
      </c>
      <c r="D541" s="16">
        <v>3235</v>
      </c>
      <c r="E541" s="3">
        <v>4.6068796720799989</v>
      </c>
      <c r="F541" s="3">
        <v>2.6639373824999995</v>
      </c>
      <c r="G541" s="3">
        <v>-1.172E-7</v>
      </c>
      <c r="H541" s="3">
        <v>1.903E-7</v>
      </c>
      <c r="I541" s="3">
        <v>-1.7670000000000001E-7</v>
      </c>
      <c r="J541" s="3">
        <v>1.554E-7</v>
      </c>
      <c r="K541" s="3">
        <v>-1.79E-10</v>
      </c>
      <c r="L541" s="3">
        <v>1.4549999999999999E-10</v>
      </c>
      <c r="M541" s="3">
        <v>-1.7440000000000002E-6</v>
      </c>
      <c r="N541" s="3">
        <v>1.6750000000000001E-6</v>
      </c>
      <c r="O541" s="3">
        <v>-1.468E-6</v>
      </c>
      <c r="P541" s="3">
        <v>1.671E-6</v>
      </c>
      <c r="Q541" s="3">
        <v>6.2629999999999999E-8</v>
      </c>
      <c r="R541" s="3">
        <v>2.1270000000000001E-6</v>
      </c>
      <c r="S541" s="13">
        <v>99999</v>
      </c>
      <c r="T541" s="13">
        <v>99999</v>
      </c>
      <c r="U541" s="13">
        <v>0.14784327447231463</v>
      </c>
    </row>
    <row r="542" spans="1:21" x14ac:dyDescent="0.2">
      <c r="A542">
        <v>444</v>
      </c>
      <c r="B542" s="12">
        <v>1</v>
      </c>
      <c r="C542" s="16">
        <v>3243</v>
      </c>
      <c r="D542" s="16">
        <v>3243</v>
      </c>
      <c r="E542" s="3">
        <v>4.5276379844400001</v>
      </c>
      <c r="F542" s="3">
        <v>2.6155213537500002</v>
      </c>
      <c r="G542" s="3">
        <v>-1.205E-7</v>
      </c>
      <c r="H542" s="3">
        <v>1.3479999999999999E-7</v>
      </c>
      <c r="I542" s="3">
        <v>-1.761E-7</v>
      </c>
      <c r="J542" s="3">
        <v>1.8629999999999999E-7</v>
      </c>
      <c r="K542" s="3">
        <v>-1.8070000000000001E-10</v>
      </c>
      <c r="L542" s="3">
        <v>1.457E-10</v>
      </c>
      <c r="M542" s="3">
        <v>-1.5490000000000001E-6</v>
      </c>
      <c r="N542" s="3">
        <v>1.8530000000000001E-6</v>
      </c>
      <c r="O542" s="3">
        <v>-1.5960000000000001E-6</v>
      </c>
      <c r="P542" s="3">
        <v>1.6440000000000001E-6</v>
      </c>
      <c r="Q542" s="3">
        <v>1.4569999999999999E-7</v>
      </c>
      <c r="R542" s="3">
        <v>2.046E-6</v>
      </c>
      <c r="S542" s="13">
        <v>99999</v>
      </c>
      <c r="T542" s="13">
        <v>99999</v>
      </c>
      <c r="U542" s="13">
        <v>0.1480950438585171</v>
      </c>
    </row>
    <row r="543" spans="1:21" x14ac:dyDescent="0.2">
      <c r="A543">
        <v>445</v>
      </c>
      <c r="B543" s="12">
        <v>1</v>
      </c>
      <c r="C543" s="16">
        <v>3251</v>
      </c>
      <c r="D543" s="16">
        <v>3251</v>
      </c>
      <c r="E543" s="3">
        <v>4.4484127540560001</v>
      </c>
      <c r="F543" s="3">
        <v>2.5671153802500002</v>
      </c>
      <c r="G543" s="3">
        <v>-1.645E-7</v>
      </c>
      <c r="H543" s="3">
        <v>1.6330000000000001E-7</v>
      </c>
      <c r="I543" s="3">
        <v>-1.7459999999999999E-7</v>
      </c>
      <c r="J543" s="3">
        <v>1.828E-7</v>
      </c>
      <c r="K543" s="3">
        <v>-1.821E-10</v>
      </c>
      <c r="L543" s="3">
        <v>1.457E-10</v>
      </c>
      <c r="M543" s="3">
        <v>-1.601E-6</v>
      </c>
      <c r="N543" s="3">
        <v>1.646E-6</v>
      </c>
      <c r="O543" s="3">
        <v>-1.2979999999999999E-6</v>
      </c>
      <c r="P543" s="3">
        <v>1.8480000000000001E-6</v>
      </c>
      <c r="Q543" s="3">
        <v>4.58E-8</v>
      </c>
      <c r="R543" s="3">
        <v>1.968E-6</v>
      </c>
      <c r="S543" s="13">
        <v>99999</v>
      </c>
      <c r="T543" s="13">
        <v>99999</v>
      </c>
      <c r="U543" s="13">
        <v>0.14834883977830046</v>
      </c>
    </row>
    <row r="544" spans="1:21" x14ac:dyDescent="0.2">
      <c r="A544">
        <v>446</v>
      </c>
      <c r="B544" s="12">
        <v>1</v>
      </c>
      <c r="C544" s="16">
        <v>3258</v>
      </c>
      <c r="D544" s="16">
        <v>3258</v>
      </c>
      <c r="E544" s="3">
        <v>4.3691710664160004</v>
      </c>
      <c r="F544" s="3">
        <v>2.5186993515</v>
      </c>
      <c r="G544" s="3">
        <v>-1.6E-7</v>
      </c>
      <c r="H544" s="3">
        <v>1.977E-7</v>
      </c>
      <c r="I544" s="3">
        <v>-1.9249999999999998E-7</v>
      </c>
      <c r="J544" s="3">
        <v>1.7949999999999999E-7</v>
      </c>
      <c r="K544" s="3">
        <v>-1.8300000000000001E-10</v>
      </c>
      <c r="L544" s="3">
        <v>1.4539999999999998E-10</v>
      </c>
      <c r="M544" s="3">
        <v>-1.2650000000000002E-6</v>
      </c>
      <c r="N544" s="3">
        <v>1.468E-6</v>
      </c>
      <c r="O544" s="3">
        <v>-1.237E-6</v>
      </c>
      <c r="P544" s="3">
        <v>1.84E-6</v>
      </c>
      <c r="Q544" s="3">
        <v>6.760000000000001E-8</v>
      </c>
      <c r="R544" s="3">
        <v>1.8899999999999999E-6</v>
      </c>
      <c r="S544" s="13">
        <v>99999</v>
      </c>
      <c r="T544" s="13">
        <v>99999</v>
      </c>
      <c r="U544" s="13">
        <v>0.14856074794813587</v>
      </c>
    </row>
    <row r="545" spans="1:21" x14ac:dyDescent="0.2">
      <c r="A545">
        <v>447</v>
      </c>
      <c r="B545" s="12">
        <v>1</v>
      </c>
      <c r="C545" s="16">
        <v>3266</v>
      </c>
      <c r="D545" s="16">
        <v>3266</v>
      </c>
      <c r="E545" s="3">
        <v>4.2899293787760007</v>
      </c>
      <c r="F545" s="3">
        <v>2.4702833227500003</v>
      </c>
      <c r="G545" s="3">
        <v>-1.5990000000000002E-7</v>
      </c>
      <c r="H545" s="3">
        <v>1.8440000000000001E-7</v>
      </c>
      <c r="I545" s="3">
        <v>-1.6850000000000001E-7</v>
      </c>
      <c r="J545" s="3">
        <v>2.1369999999999999E-7</v>
      </c>
      <c r="K545" s="3">
        <v>-1.8349999999999999E-10</v>
      </c>
      <c r="L545" s="3">
        <v>1.4480000000000001E-10</v>
      </c>
      <c r="M545" s="3">
        <v>-1.353E-6</v>
      </c>
      <c r="N545" s="3">
        <v>1.4549999999999998E-6</v>
      </c>
      <c r="O545" s="3">
        <v>-1.201E-6</v>
      </c>
      <c r="P545" s="3">
        <v>1.4750000000000001E-6</v>
      </c>
      <c r="Q545" s="3">
        <v>2.4290000000000001E-8</v>
      </c>
      <c r="R545" s="3">
        <v>1.5629999999999999E-6</v>
      </c>
      <c r="S545" s="13">
        <v>99999</v>
      </c>
      <c r="T545" s="13">
        <v>99999</v>
      </c>
      <c r="U545" s="13">
        <v>0.14881847435296916</v>
      </c>
    </row>
    <row r="546" spans="1:21" x14ac:dyDescent="0.2">
      <c r="A546">
        <v>448</v>
      </c>
      <c r="B546" s="12">
        <v>1</v>
      </c>
      <c r="C546" s="16">
        <v>3274</v>
      </c>
      <c r="D546" s="16">
        <v>3274</v>
      </c>
      <c r="E546" s="3">
        <v>4.2107041483919989</v>
      </c>
      <c r="F546" s="3">
        <v>2.4218773492499994</v>
      </c>
      <c r="G546" s="3">
        <v>-2.1019999999999999E-7</v>
      </c>
      <c r="H546" s="3">
        <v>2.202E-7</v>
      </c>
      <c r="I546" s="3">
        <v>-1.6559999999999997E-7</v>
      </c>
      <c r="J546" s="3">
        <v>1.8479999999999999E-7</v>
      </c>
      <c r="K546" s="3">
        <v>-1.8349999999999999E-10</v>
      </c>
      <c r="L546" s="3">
        <v>1.4390000000000001E-10</v>
      </c>
      <c r="M546" s="3">
        <v>-1.421E-6</v>
      </c>
      <c r="N546" s="3">
        <v>1.4090000000000002E-6</v>
      </c>
      <c r="O546" s="3">
        <v>-1.2049999999999999E-6</v>
      </c>
      <c r="P546" s="3">
        <v>1.313E-6</v>
      </c>
      <c r="Q546" s="3">
        <v>2.2269999999999997E-8</v>
      </c>
      <c r="R546" s="3">
        <v>1.5460000000000001E-6</v>
      </c>
      <c r="S546" s="13">
        <v>99999</v>
      </c>
      <c r="T546" s="13">
        <v>99999</v>
      </c>
      <c r="U546" s="13">
        <v>0.14907819614885778</v>
      </c>
    </row>
    <row r="547" spans="1:21" x14ac:dyDescent="0.2">
      <c r="A547">
        <v>449</v>
      </c>
      <c r="B547" s="12">
        <v>1</v>
      </c>
      <c r="C547" s="16">
        <v>3282</v>
      </c>
      <c r="D547" s="16">
        <v>3282</v>
      </c>
      <c r="E547" s="3">
        <v>4.1314624607520001</v>
      </c>
      <c r="F547" s="3">
        <v>2.3734613205000006</v>
      </c>
      <c r="G547" s="3">
        <v>-1.9070000000000001E-7</v>
      </c>
      <c r="H547" s="3">
        <v>1.977E-7</v>
      </c>
      <c r="I547" s="3">
        <v>-1.6199999999999999E-7</v>
      </c>
      <c r="J547" s="3">
        <v>1.7959999999999999E-7</v>
      </c>
      <c r="K547" s="3">
        <v>-1.8290000000000001E-10</v>
      </c>
      <c r="L547" s="3">
        <v>1.43E-10</v>
      </c>
      <c r="M547" s="3">
        <v>-1.4710000000000002E-6</v>
      </c>
      <c r="N547" s="3">
        <v>1.539E-6</v>
      </c>
      <c r="O547" s="3">
        <v>-1.24E-6</v>
      </c>
      <c r="P547" s="3">
        <v>1.649E-6</v>
      </c>
      <c r="Q547" s="3">
        <v>3.2660000000000003E-8</v>
      </c>
      <c r="R547" s="3">
        <v>1.736E-6</v>
      </c>
      <c r="S547" s="13">
        <v>99999</v>
      </c>
      <c r="T547" s="13">
        <v>99999</v>
      </c>
      <c r="U547" s="13">
        <v>0.14933986494984752</v>
      </c>
    </row>
    <row r="548" spans="1:21" x14ac:dyDescent="0.2">
      <c r="A548">
        <v>450</v>
      </c>
      <c r="B548" s="12">
        <v>1</v>
      </c>
      <c r="C548" s="16">
        <v>3289</v>
      </c>
      <c r="D548" s="16">
        <v>3289</v>
      </c>
      <c r="E548" s="3">
        <v>4.0522372303679992</v>
      </c>
      <c r="F548" s="3">
        <v>2.3250553469999997</v>
      </c>
      <c r="G548" s="3">
        <v>-1.4540000000000002E-7</v>
      </c>
      <c r="H548" s="3">
        <v>1.275E-7</v>
      </c>
      <c r="I548" s="3">
        <v>-1.568E-7</v>
      </c>
      <c r="J548" s="3">
        <v>1.6689999999999999E-7</v>
      </c>
      <c r="K548" s="3">
        <v>-1.8180000000000001E-10</v>
      </c>
      <c r="L548" s="3">
        <v>1.4649999999999999E-10</v>
      </c>
      <c r="M548" s="3">
        <v>-1.5039999999999999E-6</v>
      </c>
      <c r="N548" s="3">
        <v>1.8920000000000001E-6</v>
      </c>
      <c r="O548" s="3">
        <v>-1.308E-6</v>
      </c>
      <c r="P548" s="3">
        <v>1.8619999999999999E-6</v>
      </c>
      <c r="Q548" s="3">
        <v>3.9300000000000001E-8</v>
      </c>
      <c r="R548" s="3">
        <v>2.1009999999999999E-6</v>
      </c>
      <c r="S548" s="13">
        <v>99999</v>
      </c>
      <c r="T548" s="13">
        <v>99999</v>
      </c>
      <c r="U548" s="13">
        <v>0.14955952232504369</v>
      </c>
    </row>
    <row r="549" spans="1:21" x14ac:dyDescent="0.2">
      <c r="A549">
        <v>451</v>
      </c>
      <c r="B549" s="12">
        <v>1</v>
      </c>
      <c r="C549" s="16">
        <v>3297</v>
      </c>
      <c r="D549" s="16">
        <v>3297</v>
      </c>
      <c r="E549" s="3">
        <v>3.9729955427279999</v>
      </c>
      <c r="F549" s="3">
        <v>2.27663931825</v>
      </c>
      <c r="G549" s="3">
        <v>-1.6780000000000001E-7</v>
      </c>
      <c r="H549" s="3">
        <v>1.3100000000000002E-7</v>
      </c>
      <c r="I549" s="3">
        <v>-1.5210000000000002E-7</v>
      </c>
      <c r="J549" s="3">
        <v>1.7009999999999999E-7</v>
      </c>
      <c r="K549" s="3">
        <v>-1.8039999999999999E-10</v>
      </c>
      <c r="L549" s="3">
        <v>1.4920000000000001E-10</v>
      </c>
      <c r="M549" s="3">
        <v>-1.4890000000000001E-6</v>
      </c>
      <c r="N549" s="3">
        <v>1.7409999999999999E-6</v>
      </c>
      <c r="O549" s="3">
        <v>-1.66E-6</v>
      </c>
      <c r="P549" s="3">
        <v>2.244E-6</v>
      </c>
      <c r="Q549" s="3">
        <v>2.8340000000000001E-8</v>
      </c>
      <c r="R549" s="3">
        <v>2.3149999999999999E-6</v>
      </c>
      <c r="S549" s="13">
        <v>99999</v>
      </c>
      <c r="T549" s="13">
        <v>99999</v>
      </c>
      <c r="U549" s="13">
        <v>0.14982506325850428</v>
      </c>
    </row>
    <row r="550" spans="1:21" x14ac:dyDescent="0.2">
      <c r="A550">
        <v>452</v>
      </c>
      <c r="B550" s="12">
        <v>1</v>
      </c>
      <c r="C550" s="16">
        <v>3302</v>
      </c>
      <c r="D550" s="16">
        <v>3302</v>
      </c>
      <c r="E550" s="3">
        <v>3.9195094607279999</v>
      </c>
      <c r="F550" s="3">
        <v>2.2439597557500002</v>
      </c>
      <c r="G550" s="3">
        <v>-1.7489999999999998E-7</v>
      </c>
      <c r="H550" s="3">
        <v>1.371E-7</v>
      </c>
      <c r="I550" s="3">
        <v>-1.6619999999999999E-7</v>
      </c>
      <c r="J550" s="3">
        <v>1.61E-7</v>
      </c>
      <c r="K550" s="3">
        <v>-1.795E-10</v>
      </c>
      <c r="L550" s="3">
        <v>1.5069999999999998E-10</v>
      </c>
      <c r="M550" s="3">
        <v>-1.514E-6</v>
      </c>
      <c r="N550" s="3">
        <v>1.4020000000000001E-6</v>
      </c>
      <c r="O550" s="3">
        <v>-1.5430000000000001E-6</v>
      </c>
      <c r="P550" s="3">
        <v>2.075E-6</v>
      </c>
      <c r="Q550" s="3">
        <v>7.9469999999999996E-8</v>
      </c>
      <c r="R550" s="3">
        <v>2.0890000000000002E-6</v>
      </c>
      <c r="S550" s="13">
        <v>99999</v>
      </c>
      <c r="T550" s="13">
        <v>99999</v>
      </c>
      <c r="U550" s="13">
        <v>0.14998778721761391</v>
      </c>
    </row>
    <row r="551" spans="1:21" x14ac:dyDescent="0.2">
      <c r="A551">
        <v>453</v>
      </c>
      <c r="B551" s="12">
        <v>1</v>
      </c>
      <c r="C551" s="16">
        <v>3306</v>
      </c>
      <c r="D551" s="16">
        <v>3306</v>
      </c>
      <c r="E551" s="3">
        <v>3.8838465869759995</v>
      </c>
      <c r="F551" s="3">
        <v>2.2221700289999995</v>
      </c>
      <c r="G551" s="3">
        <v>-1.6390000000000001E-7</v>
      </c>
      <c r="H551" s="3">
        <v>1.385E-7</v>
      </c>
      <c r="I551" s="3">
        <v>-1.74E-7</v>
      </c>
      <c r="J551" s="3">
        <v>1.5620000000000001E-7</v>
      </c>
      <c r="K551" s="3">
        <v>-1.7880000000000002E-10</v>
      </c>
      <c r="L551" s="3">
        <v>1.516E-10</v>
      </c>
      <c r="M551" s="3">
        <v>-1.421E-6</v>
      </c>
      <c r="N551" s="3">
        <v>1.3600000000000001E-6</v>
      </c>
      <c r="O551" s="3">
        <v>-1.4400000000000002E-6</v>
      </c>
      <c r="P551" s="3">
        <v>1.8020000000000001E-6</v>
      </c>
      <c r="Q551" s="3">
        <v>5.4429999999999998E-8</v>
      </c>
      <c r="R551" s="3">
        <v>1.8049999999999999E-6</v>
      </c>
      <c r="S551" s="13">
        <v>99999</v>
      </c>
      <c r="T551" s="13">
        <v>99999</v>
      </c>
      <c r="U551" s="13">
        <v>0.15012610779834276</v>
      </c>
    </row>
    <row r="552" spans="1:21" x14ac:dyDescent="0.2">
      <c r="A552">
        <v>454</v>
      </c>
      <c r="B552" s="12">
        <v>1</v>
      </c>
      <c r="C552" s="16">
        <v>3308</v>
      </c>
      <c r="D552" s="16">
        <v>3308</v>
      </c>
      <c r="E552" s="3">
        <v>3.8600823093119998</v>
      </c>
      <c r="F552" s="3">
        <v>2.2076502480000002</v>
      </c>
      <c r="G552" s="3">
        <v>-1.8340000000000001E-7</v>
      </c>
      <c r="H552" s="3">
        <v>1.417E-7</v>
      </c>
      <c r="I552" s="3">
        <v>-1.815E-7</v>
      </c>
      <c r="J552" s="3">
        <v>1.4459999999999998E-7</v>
      </c>
      <c r="K552" s="3">
        <v>-1.784E-10</v>
      </c>
      <c r="L552" s="3">
        <v>1.521E-10</v>
      </c>
      <c r="M552" s="3">
        <v>-1.4270000000000001E-6</v>
      </c>
      <c r="N552" s="3">
        <v>1.3060000000000001E-6</v>
      </c>
      <c r="O552" s="3">
        <v>-1.297E-6</v>
      </c>
      <c r="P552" s="3">
        <v>1.6360000000000001E-6</v>
      </c>
      <c r="Q552" s="3">
        <v>6.2959999999999989E-8</v>
      </c>
      <c r="R552" s="3">
        <v>1.646E-6</v>
      </c>
      <c r="S552" s="13">
        <v>99999</v>
      </c>
      <c r="T552" s="13">
        <v>99999</v>
      </c>
      <c r="U552" s="13">
        <v>0.15018918590741157</v>
      </c>
    </row>
    <row r="553" spans="1:21" x14ac:dyDescent="0.2">
      <c r="A553">
        <v>455</v>
      </c>
      <c r="B553" s="12">
        <v>1</v>
      </c>
      <c r="C553" s="16">
        <v>3310</v>
      </c>
      <c r="D553" s="16">
        <v>3310</v>
      </c>
      <c r="E553" s="3">
        <v>3.8442339717840008</v>
      </c>
      <c r="F553" s="3">
        <v>2.1979670422500006</v>
      </c>
      <c r="G553" s="3">
        <v>-1.8909999999999999E-7</v>
      </c>
      <c r="H553" s="3">
        <v>1.4329999999999999E-7</v>
      </c>
      <c r="I553" s="3">
        <v>-1.825E-7</v>
      </c>
      <c r="J553" s="3">
        <v>1.4039999999999999E-7</v>
      </c>
      <c r="K553" s="3">
        <v>-1.7800000000000001E-10</v>
      </c>
      <c r="L553" s="3">
        <v>1.5239999999999999E-10</v>
      </c>
      <c r="M553" s="3">
        <v>-1.403E-6</v>
      </c>
      <c r="N553" s="3">
        <v>1.2449999999999999E-6</v>
      </c>
      <c r="O553" s="3">
        <v>-1.1720000000000002E-6</v>
      </c>
      <c r="P553" s="3">
        <v>1.4959999999999999E-6</v>
      </c>
      <c r="Q553" s="3">
        <v>6.2860000000000008E-8</v>
      </c>
      <c r="R553" s="3">
        <v>1.513E-6</v>
      </c>
      <c r="S553" s="13">
        <v>99999</v>
      </c>
      <c r="T553" s="13">
        <v>99999</v>
      </c>
      <c r="U553" s="13">
        <v>0.15026069752682156</v>
      </c>
    </row>
    <row r="554" spans="1:21" x14ac:dyDescent="0.2">
      <c r="A554">
        <v>456</v>
      </c>
      <c r="B554" s="12">
        <v>1</v>
      </c>
      <c r="C554" s="16">
        <v>3317</v>
      </c>
      <c r="D554" s="16">
        <v>3317</v>
      </c>
      <c r="E554" s="3">
        <v>3.8277931730400003</v>
      </c>
      <c r="F554" s="3">
        <v>2.1879218475000002</v>
      </c>
      <c r="G554" s="3">
        <v>-1.8720000000000001E-7</v>
      </c>
      <c r="H554" s="3">
        <v>1.501E-7</v>
      </c>
      <c r="I554" s="3">
        <v>-1.7919999999999999E-7</v>
      </c>
      <c r="J554" s="3">
        <v>1.441E-7</v>
      </c>
      <c r="K554" s="3">
        <v>-1.7750000000000001E-10</v>
      </c>
      <c r="L554" s="3">
        <v>1.5290000000000001E-10</v>
      </c>
      <c r="M554" s="3">
        <v>-1.3630000000000001E-6</v>
      </c>
      <c r="N554" s="3">
        <v>1.2489999999999998E-6</v>
      </c>
      <c r="O554" s="3">
        <v>-1.029E-6</v>
      </c>
      <c r="P554" s="3">
        <v>1.3370000000000001E-6</v>
      </c>
      <c r="Q554" s="3">
        <v>8.522999999999999E-8</v>
      </c>
      <c r="R554" s="3">
        <v>1.4319999999999998E-6</v>
      </c>
      <c r="S554" s="13">
        <v>99999</v>
      </c>
      <c r="T554" s="13">
        <v>99999</v>
      </c>
      <c r="U554" s="13">
        <v>0.15055200505677785</v>
      </c>
    </row>
    <row r="555" spans="1:21" x14ac:dyDescent="0.2">
      <c r="A555">
        <v>457</v>
      </c>
      <c r="B555" s="12">
        <v>1</v>
      </c>
      <c r="C555" s="16">
        <v>3328</v>
      </c>
      <c r="D555" s="16">
        <v>3328</v>
      </c>
      <c r="E555" s="3">
        <v>3.8031237462959999</v>
      </c>
      <c r="F555" s="3">
        <v>2.1728490277499999</v>
      </c>
      <c r="G555" s="3">
        <v>-1.8129999999999999E-7</v>
      </c>
      <c r="H555" s="3">
        <v>1.5599999999999999E-7</v>
      </c>
      <c r="I555" s="3">
        <v>-1.7060000000000001E-7</v>
      </c>
      <c r="J555" s="3">
        <v>1.458E-7</v>
      </c>
      <c r="K555" s="3">
        <v>-1.768E-10</v>
      </c>
      <c r="L555" s="3">
        <v>1.533E-10</v>
      </c>
      <c r="M555" s="3">
        <v>-1.2890000000000001E-6</v>
      </c>
      <c r="N555" s="3">
        <v>1.2719999999999998E-6</v>
      </c>
      <c r="O555" s="3">
        <v>-8.0409999999999995E-7</v>
      </c>
      <c r="P555" s="3">
        <v>1.0899999999999999E-6</v>
      </c>
      <c r="Q555" s="3">
        <v>4.8879999999999998E-8</v>
      </c>
      <c r="R555" s="3">
        <v>1.3820000000000001E-6</v>
      </c>
      <c r="S555" s="13">
        <v>99999</v>
      </c>
      <c r="T555" s="13">
        <v>99999</v>
      </c>
      <c r="U555" s="13">
        <v>0.15101128513544895</v>
      </c>
    </row>
    <row r="556" spans="1:21" x14ac:dyDescent="0.2">
      <c r="A556">
        <v>458</v>
      </c>
      <c r="B556" s="12">
        <v>1</v>
      </c>
      <c r="C556" s="16">
        <v>3344</v>
      </c>
      <c r="D556" s="16">
        <v>3344</v>
      </c>
      <c r="E556" s="3">
        <v>3.7661278348079992</v>
      </c>
      <c r="F556" s="3">
        <v>2.1502448257499993</v>
      </c>
      <c r="G556" s="3">
        <v>-1.6829999999999999E-7</v>
      </c>
      <c r="H556" s="3">
        <v>1.4840000000000001E-7</v>
      </c>
      <c r="I556" s="3">
        <v>-1.4999999999999999E-7</v>
      </c>
      <c r="J556" s="3">
        <v>1.3610000000000001E-7</v>
      </c>
      <c r="K556" s="3">
        <v>-1.758E-10</v>
      </c>
      <c r="L556" s="3">
        <v>1.5379999999999998E-10</v>
      </c>
      <c r="M556" s="3">
        <v>-1.3179999999999999E-6</v>
      </c>
      <c r="N556" s="3">
        <v>1.2500000000000001E-6</v>
      </c>
      <c r="O556" s="3">
        <v>-7.9070000000000001E-7</v>
      </c>
      <c r="P556" s="3">
        <v>1.037E-6</v>
      </c>
      <c r="Q556" s="3">
        <v>1.269E-7</v>
      </c>
      <c r="R556" s="3">
        <v>1.373E-6</v>
      </c>
      <c r="S556" s="13">
        <v>99999</v>
      </c>
      <c r="T556" s="13">
        <v>99999</v>
      </c>
      <c r="U556" s="13">
        <v>0.15167882893201898</v>
      </c>
    </row>
    <row r="557" spans="1:21" x14ac:dyDescent="0.2">
      <c r="A557">
        <v>459</v>
      </c>
      <c r="B557" s="12">
        <v>1</v>
      </c>
      <c r="C557" s="16">
        <v>3366</v>
      </c>
      <c r="D557" s="16">
        <v>3366</v>
      </c>
      <c r="E557" s="3">
        <v>3.7167889813200001</v>
      </c>
      <c r="F557" s="3">
        <v>2.12009918625</v>
      </c>
      <c r="G557" s="3">
        <v>-1.511E-7</v>
      </c>
      <c r="H557" s="3">
        <v>1.2109999999999999E-7</v>
      </c>
      <c r="I557" s="3">
        <v>-1.166E-7</v>
      </c>
      <c r="J557" s="3">
        <v>1.2709999999999999E-7</v>
      </c>
      <c r="K557" s="3">
        <v>-1.747E-10</v>
      </c>
      <c r="L557" s="3">
        <v>1.5400000000000001E-10</v>
      </c>
      <c r="M557" s="3">
        <v>-1.299E-6</v>
      </c>
      <c r="N557" s="3">
        <v>1.3480000000000001E-6</v>
      </c>
      <c r="O557" s="3">
        <v>-9.6049999999999995E-7</v>
      </c>
      <c r="P557" s="3">
        <v>1.077E-6</v>
      </c>
      <c r="Q557" s="3">
        <v>7.2410000000000011E-8</v>
      </c>
      <c r="R557" s="3">
        <v>1.4130000000000001E-6</v>
      </c>
      <c r="S557" s="13">
        <v>99999</v>
      </c>
      <c r="T557" s="13">
        <v>99999</v>
      </c>
      <c r="U557" s="13">
        <v>0.15259948356620723</v>
      </c>
    </row>
    <row r="558" spans="1:21" x14ac:dyDescent="0.2">
      <c r="A558">
        <v>460</v>
      </c>
      <c r="B558" s="12">
        <v>1</v>
      </c>
      <c r="C558" s="16">
        <v>3388</v>
      </c>
      <c r="D558" s="16">
        <v>3388</v>
      </c>
      <c r="E558" s="3">
        <v>3.6674501278319998</v>
      </c>
      <c r="F558" s="3">
        <v>2.0899535467499999</v>
      </c>
      <c r="G558" s="3">
        <v>-1.3129999999999999E-7</v>
      </c>
      <c r="H558" s="3">
        <v>1.251E-7</v>
      </c>
      <c r="I558" s="3">
        <v>-1.191E-7</v>
      </c>
      <c r="J558" s="3">
        <v>1.2590000000000001E-7</v>
      </c>
      <c r="K558" s="3">
        <v>-1.7350000000000002E-10</v>
      </c>
      <c r="L558" s="3">
        <v>1.5390000000000001E-10</v>
      </c>
      <c r="M558" s="3">
        <v>-1.372E-6</v>
      </c>
      <c r="N558" s="3">
        <v>1.375E-6</v>
      </c>
      <c r="O558" s="3">
        <v>-9.9739999999999997E-7</v>
      </c>
      <c r="P558" s="3">
        <v>1.1930000000000001E-6</v>
      </c>
      <c r="Q558" s="3">
        <v>1.159E-7</v>
      </c>
      <c r="R558" s="3">
        <v>1.42E-6</v>
      </c>
      <c r="S558" s="13">
        <v>99999</v>
      </c>
      <c r="T558" s="13">
        <v>99999</v>
      </c>
      <c r="U558" s="13">
        <v>0.1535215113330208</v>
      </c>
    </row>
    <row r="559" spans="1:21" x14ac:dyDescent="0.2">
      <c r="A559">
        <v>461</v>
      </c>
      <c r="B559" s="12">
        <v>1</v>
      </c>
      <c r="C559" s="16">
        <v>3410</v>
      </c>
      <c r="D559" s="16">
        <v>3410</v>
      </c>
      <c r="E559" s="3">
        <v>3.6181277316</v>
      </c>
      <c r="F559" s="3">
        <v>2.0598179624999999</v>
      </c>
      <c r="G559" s="3">
        <v>-1.1759999999999999E-7</v>
      </c>
      <c r="H559" s="3">
        <v>1.1189999999999999E-7</v>
      </c>
      <c r="I559" s="3">
        <v>-1.076E-7</v>
      </c>
      <c r="J559" s="3">
        <v>1.17E-7</v>
      </c>
      <c r="K559" s="3">
        <v>-1.7229999999999999E-10</v>
      </c>
      <c r="L559" s="3">
        <v>1.537E-10</v>
      </c>
      <c r="M559" s="3">
        <v>-1.3740000000000001E-6</v>
      </c>
      <c r="N559" s="3">
        <v>1.412E-6</v>
      </c>
      <c r="O559" s="3">
        <v>-9.1089999999999993E-7</v>
      </c>
      <c r="P559" s="3">
        <v>1.2420000000000001E-6</v>
      </c>
      <c r="Q559" s="3">
        <v>9.0190000000000002E-8</v>
      </c>
      <c r="R559" s="3">
        <v>1.5410000000000002E-6</v>
      </c>
      <c r="S559" s="13">
        <v>99999</v>
      </c>
      <c r="T559" s="13">
        <v>99999</v>
      </c>
      <c r="U559" s="13">
        <v>0.15444490353351598</v>
      </c>
    </row>
    <row r="560" spans="1:21" x14ac:dyDescent="0.2">
      <c r="A560">
        <v>462</v>
      </c>
      <c r="B560" s="12">
        <v>1</v>
      </c>
      <c r="C560" s="16">
        <v>3432</v>
      </c>
      <c r="D560" s="16">
        <v>3432</v>
      </c>
      <c r="E560" s="3">
        <v>3.5687888781119996</v>
      </c>
      <c r="F560" s="3">
        <v>2.0296723229999998</v>
      </c>
      <c r="G560" s="3">
        <v>-1.011E-7</v>
      </c>
      <c r="H560" s="3">
        <v>8.3949999999999994E-8</v>
      </c>
      <c r="I560" s="3">
        <v>-1.108E-7</v>
      </c>
      <c r="J560" s="3">
        <v>1.2000000000000002E-7</v>
      </c>
      <c r="K560" s="3">
        <v>-1.71E-10</v>
      </c>
      <c r="L560" s="3">
        <v>1.532E-10</v>
      </c>
      <c r="M560" s="3">
        <v>-1.4090000000000002E-6</v>
      </c>
      <c r="N560" s="3">
        <v>1.435E-6</v>
      </c>
      <c r="O560" s="3">
        <v>-1.1570000000000001E-6</v>
      </c>
      <c r="P560" s="3">
        <v>1.299E-6</v>
      </c>
      <c r="Q560" s="3">
        <v>1.1440000000000001E-7</v>
      </c>
      <c r="R560" s="3">
        <v>1.824E-6</v>
      </c>
      <c r="S560" s="13">
        <v>99999</v>
      </c>
      <c r="T560" s="13">
        <v>99999</v>
      </c>
      <c r="U560" s="13">
        <v>0.15536960416668888</v>
      </c>
    </row>
    <row r="561" spans="1:21" x14ac:dyDescent="0.2">
      <c r="A561">
        <v>463</v>
      </c>
      <c r="B561" s="12">
        <v>1</v>
      </c>
      <c r="C561" s="16">
        <v>3454</v>
      </c>
      <c r="D561" s="16">
        <v>3454</v>
      </c>
      <c r="E561" s="3">
        <v>3.5194500246240001</v>
      </c>
      <c r="F561" s="3">
        <v>1.9995266835000005</v>
      </c>
      <c r="G561" s="3">
        <v>-1.071E-7</v>
      </c>
      <c r="H561" s="3">
        <v>8.9360000000000001E-8</v>
      </c>
      <c r="I561" s="3">
        <v>-9.6860000000000008E-8</v>
      </c>
      <c r="J561" s="3">
        <v>1.1759999999999999E-7</v>
      </c>
      <c r="K561" s="3">
        <v>-1.6969999999999999E-10</v>
      </c>
      <c r="L561" s="3">
        <v>1.5720000000000001E-10</v>
      </c>
      <c r="M561" s="3">
        <v>-1.3879999999999999E-6</v>
      </c>
      <c r="N561" s="3">
        <v>1.4580000000000001E-6</v>
      </c>
      <c r="O561" s="3">
        <v>-1.4250000000000001E-6</v>
      </c>
      <c r="P561" s="3">
        <v>1.5380000000000001E-6</v>
      </c>
      <c r="Q561" s="3">
        <v>8.3019999999999998E-8</v>
      </c>
      <c r="R561" s="3">
        <v>1.9599999999999999E-6</v>
      </c>
      <c r="S561" s="13">
        <v>99999</v>
      </c>
      <c r="T561" s="13">
        <v>99999</v>
      </c>
      <c r="U561" s="13">
        <v>0.15629560575097193</v>
      </c>
    </row>
    <row r="562" spans="1:21" x14ac:dyDescent="0.2">
      <c r="A562">
        <v>464</v>
      </c>
      <c r="B562" s="12">
        <v>1</v>
      </c>
      <c r="C562" s="16">
        <v>3476</v>
      </c>
      <c r="D562" s="16">
        <v>3476</v>
      </c>
      <c r="E562" s="3">
        <v>3.4701276283919991</v>
      </c>
      <c r="F562" s="3">
        <v>1.9693910992499997</v>
      </c>
      <c r="G562" s="3">
        <v>-1.14E-7</v>
      </c>
      <c r="H562" s="3">
        <v>8.5300000000000003E-8</v>
      </c>
      <c r="I562" s="3">
        <v>-1.0419999999999999E-7</v>
      </c>
      <c r="J562" s="3">
        <v>1.182E-7</v>
      </c>
      <c r="K562" s="3">
        <v>-1.725E-10</v>
      </c>
      <c r="L562" s="3">
        <v>1.6199999999999998E-10</v>
      </c>
      <c r="M562" s="3">
        <v>-1.392E-6</v>
      </c>
      <c r="N562" s="3">
        <v>1.4649999999999999E-6</v>
      </c>
      <c r="O562" s="3">
        <v>-1.5610000000000002E-6</v>
      </c>
      <c r="P562" s="3">
        <v>1.6339999999999999E-6</v>
      </c>
      <c r="Q562" s="3">
        <v>6.2760000000000001E-8</v>
      </c>
      <c r="R562" s="3">
        <v>1.9300000000000002E-6</v>
      </c>
      <c r="S562" s="13">
        <v>99999</v>
      </c>
      <c r="T562" s="13">
        <v>99999</v>
      </c>
      <c r="U562" s="13">
        <v>0.15722290027996996</v>
      </c>
    </row>
    <row r="563" spans="1:21" x14ac:dyDescent="0.2">
      <c r="A563">
        <v>465</v>
      </c>
      <c r="B563" s="12">
        <v>1</v>
      </c>
      <c r="C563" s="16">
        <v>3498</v>
      </c>
      <c r="D563" s="16">
        <v>3498</v>
      </c>
      <c r="E563" s="3">
        <v>3.4207887749040005</v>
      </c>
      <c r="F563" s="3">
        <v>1.9392454597500004</v>
      </c>
      <c r="G563" s="3">
        <v>-1.226E-7</v>
      </c>
      <c r="H563" s="3">
        <v>9.7310000000000002E-8</v>
      </c>
      <c r="I563" s="3">
        <v>-1.099E-7</v>
      </c>
      <c r="J563" s="3">
        <v>1.1249999999999999E-7</v>
      </c>
      <c r="K563" s="3">
        <v>-1.7660000000000002E-10</v>
      </c>
      <c r="L563" s="3">
        <v>1.6680000000000001E-10</v>
      </c>
      <c r="M563" s="3">
        <v>-1.367E-6</v>
      </c>
      <c r="N563" s="3">
        <v>1.4020000000000001E-6</v>
      </c>
      <c r="O563" s="3">
        <v>-1.5610000000000002E-6</v>
      </c>
      <c r="P563" s="3">
        <v>1.6019999999999999E-6</v>
      </c>
      <c r="Q563" s="3">
        <v>6.2550000000000001E-8</v>
      </c>
      <c r="R563" s="3">
        <v>1.759E-6</v>
      </c>
      <c r="S563" s="13">
        <v>99999</v>
      </c>
      <c r="T563" s="13">
        <v>99999</v>
      </c>
      <c r="U563" s="13">
        <v>0.15815143502792051</v>
      </c>
    </row>
    <row r="564" spans="1:21" x14ac:dyDescent="0.2">
      <c r="A564">
        <v>466</v>
      </c>
      <c r="B564" s="12">
        <v>1</v>
      </c>
      <c r="C564" s="16">
        <v>3520</v>
      </c>
      <c r="D564" s="16">
        <v>3520</v>
      </c>
      <c r="E564" s="3">
        <v>3.3714499214159996</v>
      </c>
      <c r="F564" s="3">
        <v>1.9090998202499998</v>
      </c>
      <c r="G564" s="3">
        <v>-1.2459999999999999E-7</v>
      </c>
      <c r="H564" s="3">
        <v>1.112E-7</v>
      </c>
      <c r="I564" s="3">
        <v>-1.2980000000000001E-7</v>
      </c>
      <c r="J564" s="3">
        <v>1.229E-7</v>
      </c>
      <c r="K564" s="3">
        <v>-1.8080000000000001E-10</v>
      </c>
      <c r="L564" s="3">
        <v>1.7160000000000001E-10</v>
      </c>
      <c r="M564" s="3">
        <v>-1.3519999999999999E-6</v>
      </c>
      <c r="N564" s="3">
        <v>1.4499999999999999E-6</v>
      </c>
      <c r="O564" s="3">
        <v>-1.5269999999999999E-6</v>
      </c>
      <c r="P564" s="3">
        <v>1.544E-6</v>
      </c>
      <c r="Q564" s="3">
        <v>4.1060000000000005E-8</v>
      </c>
      <c r="R564" s="3">
        <v>1.6160000000000001E-6</v>
      </c>
      <c r="S564" s="13">
        <v>99999</v>
      </c>
      <c r="T564" s="13">
        <v>99999</v>
      </c>
      <c r="U564" s="13">
        <v>0.15908120333801476</v>
      </c>
    </row>
    <row r="565" spans="1:21" x14ac:dyDescent="0.2">
      <c r="A565">
        <v>467</v>
      </c>
      <c r="B565" s="12">
        <v>1</v>
      </c>
      <c r="C565" s="16">
        <v>3542</v>
      </c>
      <c r="D565" s="16">
        <v>3542</v>
      </c>
      <c r="E565" s="3">
        <v>3.322111067928001</v>
      </c>
      <c r="F565" s="3">
        <v>1.8789541807500005</v>
      </c>
      <c r="G565" s="3">
        <v>-1.4960000000000002E-7</v>
      </c>
      <c r="H565" s="3">
        <v>1.3310000000000002E-7</v>
      </c>
      <c r="I565" s="3">
        <v>-1.3579999999999999E-7</v>
      </c>
      <c r="J565" s="3">
        <v>1.1550000000000001E-7</v>
      </c>
      <c r="K565" s="3">
        <v>-1.849E-10</v>
      </c>
      <c r="L565" s="3">
        <v>1.7639999999999998E-10</v>
      </c>
      <c r="M565" s="3">
        <v>-1.291E-6</v>
      </c>
      <c r="N565" s="3">
        <v>1.327E-6</v>
      </c>
      <c r="O565" s="3">
        <v>-1.3510000000000001E-6</v>
      </c>
      <c r="P565" s="3">
        <v>1.336E-6</v>
      </c>
      <c r="Q565" s="3">
        <v>5.9349999999999999E-8</v>
      </c>
      <c r="R565" s="3">
        <v>1.381E-6</v>
      </c>
      <c r="S565" s="13">
        <v>99999</v>
      </c>
      <c r="T565" s="13">
        <v>99999</v>
      </c>
      <c r="U565" s="13">
        <v>0.16001218366546216</v>
      </c>
    </row>
    <row r="566" spans="1:21" x14ac:dyDescent="0.2">
      <c r="A566">
        <v>468</v>
      </c>
      <c r="B566" s="12">
        <v>1</v>
      </c>
      <c r="C566" s="16">
        <v>3563</v>
      </c>
      <c r="D566" s="16">
        <v>3563</v>
      </c>
      <c r="E566" s="3">
        <v>3.272788671696</v>
      </c>
      <c r="F566" s="3">
        <v>1.8488185964999997</v>
      </c>
      <c r="G566" s="3">
        <v>-1.5239999999999999E-7</v>
      </c>
      <c r="H566" s="3">
        <v>1.4669999999999998E-7</v>
      </c>
      <c r="I566" s="3">
        <v>-1.2740000000000002E-7</v>
      </c>
      <c r="J566" s="3">
        <v>1.2769999999999999E-7</v>
      </c>
      <c r="K566" s="3">
        <v>-1.8890000000000001E-10</v>
      </c>
      <c r="L566" s="3">
        <v>1.812E-10</v>
      </c>
      <c r="M566" s="3">
        <v>-1.212E-6</v>
      </c>
      <c r="N566" s="3">
        <v>1.3780000000000002E-6</v>
      </c>
      <c r="O566" s="3">
        <v>-1.0280000000000002E-6</v>
      </c>
      <c r="P566" s="3">
        <v>1.0410000000000001E-6</v>
      </c>
      <c r="Q566" s="3">
        <v>4.8890000000000003E-8</v>
      </c>
      <c r="R566" s="3">
        <v>1.392E-6</v>
      </c>
      <c r="S566" s="13">
        <v>99999</v>
      </c>
      <c r="T566" s="13">
        <v>99999</v>
      </c>
      <c r="U566" s="13">
        <v>0.16090007776916793</v>
      </c>
    </row>
    <row r="567" spans="1:21" x14ac:dyDescent="0.2">
      <c r="A567">
        <v>469</v>
      </c>
      <c r="B567" s="12">
        <v>1</v>
      </c>
      <c r="C567" s="16">
        <v>3585</v>
      </c>
      <c r="D567" s="16">
        <v>3585</v>
      </c>
      <c r="E567" s="3">
        <v>3.2234498182080005</v>
      </c>
      <c r="F567" s="3">
        <v>1.8186729570000006</v>
      </c>
      <c r="G567" s="3">
        <v>-1.6919999999999998E-7</v>
      </c>
      <c r="H567" s="3">
        <v>1.6369999999999999E-7</v>
      </c>
      <c r="I567" s="3">
        <v>-1.2879999999999999E-7</v>
      </c>
      <c r="J567" s="3">
        <v>1.3019999999999999E-7</v>
      </c>
      <c r="K567" s="3">
        <v>-1.9269999999999999E-10</v>
      </c>
      <c r="L567" s="3">
        <v>1.86E-10</v>
      </c>
      <c r="M567" s="3">
        <v>-1.178E-6</v>
      </c>
      <c r="N567" s="3">
        <v>1.296E-6</v>
      </c>
      <c r="O567" s="3">
        <v>-8.5860000000000003E-7</v>
      </c>
      <c r="P567" s="3">
        <v>8.3310000000000002E-7</v>
      </c>
      <c r="Q567" s="3">
        <v>7.5250000000000002E-8</v>
      </c>
      <c r="R567" s="3">
        <v>1.4130000000000001E-6</v>
      </c>
      <c r="S567" s="13">
        <v>99999</v>
      </c>
      <c r="T567" s="13">
        <v>99999</v>
      </c>
      <c r="U567" s="13">
        <v>0.16183340291557061</v>
      </c>
    </row>
    <row r="568" spans="1:21" x14ac:dyDescent="0.2">
      <c r="A568">
        <v>470</v>
      </c>
      <c r="B568" s="12">
        <v>1</v>
      </c>
      <c r="C568" s="16">
        <v>3607</v>
      </c>
      <c r="D568" s="16">
        <v>3607</v>
      </c>
      <c r="E568" s="3">
        <v>3.1741109647200001</v>
      </c>
      <c r="F568" s="3">
        <v>1.7885273175</v>
      </c>
      <c r="G568" s="3">
        <v>-1.6300000000000002E-7</v>
      </c>
      <c r="H568" s="3">
        <v>1.5129999999999999E-7</v>
      </c>
      <c r="I568" s="3">
        <v>-1.1759999999999999E-7</v>
      </c>
      <c r="J568" s="3">
        <v>1.2430000000000002E-7</v>
      </c>
      <c r="K568" s="3">
        <v>-1.9649999999999999E-10</v>
      </c>
      <c r="L568" s="3">
        <v>1.9090000000000001E-10</v>
      </c>
      <c r="M568" s="3">
        <v>-1.175E-6</v>
      </c>
      <c r="N568" s="3">
        <v>1.3320000000000001E-6</v>
      </c>
      <c r="O568" s="3">
        <v>-9.8039999999999996E-7</v>
      </c>
      <c r="P568" s="3">
        <v>8.7620000000000008E-7</v>
      </c>
      <c r="Q568" s="3">
        <v>6.6250000000000001E-8</v>
      </c>
      <c r="R568" s="3">
        <v>1.485E-6</v>
      </c>
      <c r="S568" s="13">
        <v>99999</v>
      </c>
      <c r="T568" s="13">
        <v>99999</v>
      </c>
      <c r="U568" s="13">
        <v>0.16276787889637856</v>
      </c>
    </row>
    <row r="569" spans="1:21" x14ac:dyDescent="0.2">
      <c r="A569">
        <v>471</v>
      </c>
      <c r="B569" s="12">
        <v>1</v>
      </c>
      <c r="C569" s="16">
        <v>3629</v>
      </c>
      <c r="D569" s="16">
        <v>3629</v>
      </c>
      <c r="E569" s="3">
        <v>3.1247721112319988</v>
      </c>
      <c r="F569" s="3">
        <v>1.7583816779999997</v>
      </c>
      <c r="G569" s="3">
        <v>-1.4630000000000001E-7</v>
      </c>
      <c r="H569" s="3">
        <v>1.3779999999999998E-7</v>
      </c>
      <c r="I569" s="3">
        <v>-1.3159999999999999E-7</v>
      </c>
      <c r="J569" s="3">
        <v>1.2840000000000001E-7</v>
      </c>
      <c r="K569" s="3">
        <v>-1.9999999999999998E-10</v>
      </c>
      <c r="L569" s="3">
        <v>1.9570000000000001E-10</v>
      </c>
      <c r="M569" s="3">
        <v>-1.22E-6</v>
      </c>
      <c r="N569" s="3">
        <v>1.263E-6</v>
      </c>
      <c r="O569" s="3">
        <v>-9.7409999999999991E-7</v>
      </c>
      <c r="P569" s="3">
        <v>9.0019999999999997E-7</v>
      </c>
      <c r="Q569" s="3">
        <v>5.0949999999999996E-8</v>
      </c>
      <c r="R569" s="3">
        <v>1.4480000000000002E-6</v>
      </c>
      <c r="S569" s="13">
        <v>99999</v>
      </c>
      <c r="T569" s="13">
        <v>99999</v>
      </c>
      <c r="U569" s="13">
        <v>0.16370348594811557</v>
      </c>
    </row>
    <row r="570" spans="1:21" x14ac:dyDescent="0.2">
      <c r="A570">
        <v>472</v>
      </c>
      <c r="B570" s="12">
        <v>1</v>
      </c>
      <c r="C570" s="16">
        <v>3651</v>
      </c>
      <c r="D570" s="16">
        <v>3651</v>
      </c>
      <c r="E570" s="3">
        <v>3.075449715</v>
      </c>
      <c r="F570" s="3">
        <v>1.7282460937499999</v>
      </c>
      <c r="G570" s="3">
        <v>-1.3760000000000001E-7</v>
      </c>
      <c r="H570" s="3">
        <v>1.215E-7</v>
      </c>
      <c r="I570" s="3">
        <v>-1.177E-7</v>
      </c>
      <c r="J570" s="3">
        <v>1.084E-7</v>
      </c>
      <c r="K570" s="3">
        <v>-2.035E-10</v>
      </c>
      <c r="L570" s="3">
        <v>2.0060000000000001E-10</v>
      </c>
      <c r="M570" s="3">
        <v>-1.2179999999999998E-6</v>
      </c>
      <c r="N570" s="3">
        <v>1.254E-6</v>
      </c>
      <c r="O570" s="3">
        <v>-9.9999999999999995E-7</v>
      </c>
      <c r="P570" s="3">
        <v>9.4180000000000003E-7</v>
      </c>
      <c r="Q570" s="3">
        <v>3.7009999999999999E-8</v>
      </c>
      <c r="R570" s="3">
        <v>1.449E-6</v>
      </c>
      <c r="S570" s="13">
        <v>99999</v>
      </c>
      <c r="T570" s="13">
        <v>99999</v>
      </c>
      <c r="U570" s="13">
        <v>0.16464021768702547</v>
      </c>
    </row>
    <row r="571" spans="1:21" x14ac:dyDescent="0.2">
      <c r="A571">
        <v>473</v>
      </c>
      <c r="B571" s="12">
        <v>1</v>
      </c>
      <c r="C571" s="16">
        <v>3673</v>
      </c>
      <c r="D571" s="16">
        <v>3673</v>
      </c>
      <c r="E571" s="3">
        <v>3.0261108615119992</v>
      </c>
      <c r="F571" s="3">
        <v>1.6981004542499996</v>
      </c>
      <c r="G571" s="3">
        <v>-1.1319999999999999E-7</v>
      </c>
      <c r="H571" s="3">
        <v>1.2940000000000001E-7</v>
      </c>
      <c r="I571" s="3">
        <v>-1.154E-7</v>
      </c>
      <c r="J571" s="3">
        <v>1.198E-7</v>
      </c>
      <c r="K571" s="3">
        <v>-2.0669999999999999E-10</v>
      </c>
      <c r="L571" s="3">
        <v>2.0550000000000001E-10</v>
      </c>
      <c r="M571" s="3">
        <v>-1.2589999999999999E-6</v>
      </c>
      <c r="N571" s="3">
        <v>1.1340000000000001E-6</v>
      </c>
      <c r="O571" s="3">
        <v>-1.153E-6</v>
      </c>
      <c r="P571" s="3">
        <v>1.0419999999999999E-6</v>
      </c>
      <c r="Q571" s="3">
        <v>3.2209999999999995E-8</v>
      </c>
      <c r="R571" s="3">
        <v>1.3680000000000001E-6</v>
      </c>
      <c r="S571" s="13">
        <v>99999</v>
      </c>
      <c r="T571" s="13">
        <v>99999</v>
      </c>
      <c r="U571" s="13">
        <v>0.16557802924993165</v>
      </c>
    </row>
    <row r="572" spans="1:21" x14ac:dyDescent="0.2">
      <c r="A572">
        <v>474</v>
      </c>
      <c r="B572" s="12">
        <v>1</v>
      </c>
      <c r="C572" s="16">
        <v>3695</v>
      </c>
      <c r="D572" s="16">
        <v>3695</v>
      </c>
      <c r="E572" s="3">
        <v>2.9767720080240001</v>
      </c>
      <c r="F572" s="3">
        <v>1.6679548147500001</v>
      </c>
      <c r="G572" s="3">
        <v>-1.1969999999999999E-7</v>
      </c>
      <c r="H572" s="3">
        <v>1.215E-7</v>
      </c>
      <c r="I572" s="3">
        <v>-1.1160000000000001E-7</v>
      </c>
      <c r="J572" s="3">
        <v>1.1230000000000001E-7</v>
      </c>
      <c r="K572" s="3">
        <v>-2.0980000000000001E-10</v>
      </c>
      <c r="L572" s="3">
        <v>2.1029999999999999E-10</v>
      </c>
      <c r="M572" s="3">
        <v>-1.2890000000000001E-6</v>
      </c>
      <c r="N572" s="3">
        <v>1.0360000000000001E-6</v>
      </c>
      <c r="O572" s="3">
        <v>-1.294E-6</v>
      </c>
      <c r="P572" s="3">
        <v>1.0389999999999999E-6</v>
      </c>
      <c r="Q572" s="3">
        <v>8.4709999999999996E-8</v>
      </c>
      <c r="R572" s="3">
        <v>1.423E-6</v>
      </c>
      <c r="S572" s="13">
        <v>99999</v>
      </c>
      <c r="T572" s="13">
        <v>99999</v>
      </c>
      <c r="U572" s="13">
        <v>0.1665169153524739</v>
      </c>
    </row>
    <row r="573" spans="1:21" x14ac:dyDescent="0.2">
      <c r="A573">
        <v>475</v>
      </c>
      <c r="B573" s="12">
        <v>1</v>
      </c>
      <c r="C573" s="16">
        <v>3717</v>
      </c>
      <c r="D573" s="16">
        <v>3717</v>
      </c>
      <c r="E573" s="3">
        <v>2.9274331545359997</v>
      </c>
      <c r="F573" s="3">
        <v>1.6378091752499997</v>
      </c>
      <c r="G573" s="3">
        <v>-1.118E-7</v>
      </c>
      <c r="H573" s="3">
        <v>1.283E-7</v>
      </c>
      <c r="I573" s="3">
        <v>-1.1900000000000001E-7</v>
      </c>
      <c r="J573" s="3">
        <v>1.1900000000000001E-7</v>
      </c>
      <c r="K573" s="3">
        <v>-2.127E-10</v>
      </c>
      <c r="L573" s="3">
        <v>2.1519999999999999E-10</v>
      </c>
      <c r="M573" s="3">
        <v>-1.3400000000000001E-6</v>
      </c>
      <c r="N573" s="3">
        <v>1.0349999999999998E-6</v>
      </c>
      <c r="O573" s="3">
        <v>-1.313E-6</v>
      </c>
      <c r="P573" s="3">
        <v>1.0790000000000002E-6</v>
      </c>
      <c r="Q573" s="3">
        <v>9.3489999999999999E-8</v>
      </c>
      <c r="R573" s="3">
        <v>1.488E-6</v>
      </c>
      <c r="S573" s="13">
        <v>99999</v>
      </c>
      <c r="T573" s="13">
        <v>99999</v>
      </c>
      <c r="U573" s="13">
        <v>0.16745685787758396</v>
      </c>
    </row>
    <row r="574" spans="1:21" x14ac:dyDescent="0.2">
      <c r="A574">
        <v>476</v>
      </c>
      <c r="B574" s="12">
        <v>1</v>
      </c>
      <c r="C574" s="16">
        <v>3739</v>
      </c>
      <c r="D574" s="16">
        <v>3739</v>
      </c>
      <c r="E574" s="3">
        <v>2.8780943010480002</v>
      </c>
      <c r="F574" s="3">
        <v>1.6076635357500002</v>
      </c>
      <c r="G574" s="3">
        <v>-1.297E-7</v>
      </c>
      <c r="H574" s="3">
        <v>1.1390000000000001E-7</v>
      </c>
      <c r="I574" s="3">
        <v>-1.1629999999999999E-7</v>
      </c>
      <c r="J574" s="3">
        <v>1.1739999999999999E-7</v>
      </c>
      <c r="K574" s="3">
        <v>-2.154E-10</v>
      </c>
      <c r="L574" s="3">
        <v>2.2009999999999999E-10</v>
      </c>
      <c r="M574" s="3">
        <v>-1.339E-6</v>
      </c>
      <c r="N574" s="3">
        <v>1.046E-6</v>
      </c>
      <c r="O574" s="3">
        <v>-1.2730000000000001E-6</v>
      </c>
      <c r="P574" s="3">
        <v>1.1460000000000001E-6</v>
      </c>
      <c r="Q574" s="3">
        <v>8.2479999999999995E-8</v>
      </c>
      <c r="R574" s="3">
        <v>1.4619999999999999E-6</v>
      </c>
      <c r="S574" s="13">
        <v>99999</v>
      </c>
      <c r="T574" s="13">
        <v>99999</v>
      </c>
      <c r="U574" s="13">
        <v>0.16839783910026257</v>
      </c>
    </row>
    <row r="575" spans="1:21" x14ac:dyDescent="0.2">
      <c r="A575">
        <v>477</v>
      </c>
      <c r="B575" s="12">
        <v>1</v>
      </c>
      <c r="C575" s="16">
        <v>3761</v>
      </c>
      <c r="D575" s="16">
        <v>3761</v>
      </c>
      <c r="E575" s="3">
        <v>2.8287719048159992</v>
      </c>
      <c r="F575" s="3">
        <v>1.5775279514999998</v>
      </c>
      <c r="G575" s="3">
        <v>-1.2349999999999999E-7</v>
      </c>
      <c r="H575" s="3">
        <v>1.078E-7</v>
      </c>
      <c r="I575" s="3">
        <v>-1.0419999999999999E-7</v>
      </c>
      <c r="J575" s="3">
        <v>1.1809999999999999E-7</v>
      </c>
      <c r="K575" s="3">
        <v>-2.1780000000000001E-10</v>
      </c>
      <c r="L575" s="3">
        <v>2.25E-10</v>
      </c>
      <c r="M575" s="3">
        <v>-1.3769999999999999E-6</v>
      </c>
      <c r="N575" s="3">
        <v>1.0899999999999999E-6</v>
      </c>
      <c r="O575" s="3">
        <v>-1.2279999999999999E-6</v>
      </c>
      <c r="P575" s="3">
        <v>1.124E-6</v>
      </c>
      <c r="Q575" s="3">
        <v>1.395E-7</v>
      </c>
      <c r="R575" s="3">
        <v>1.3769999999999999E-6</v>
      </c>
      <c r="S575" s="13">
        <v>99999</v>
      </c>
      <c r="T575" s="13">
        <v>99999</v>
      </c>
      <c r="U575" s="13">
        <v>0.16933985331782567</v>
      </c>
    </row>
    <row r="576" spans="1:21" x14ac:dyDescent="0.2">
      <c r="A576">
        <v>478</v>
      </c>
      <c r="B576" s="12">
        <v>1</v>
      </c>
      <c r="C576" s="16">
        <v>3782</v>
      </c>
      <c r="D576" s="16">
        <v>3782</v>
      </c>
      <c r="E576" s="3">
        <v>2.7794330513280006</v>
      </c>
      <c r="F576" s="3">
        <v>1.5473823120000003</v>
      </c>
      <c r="G576" s="3">
        <v>-1.339E-7</v>
      </c>
      <c r="H576" s="3">
        <v>1.1139999999999999E-7</v>
      </c>
      <c r="I576" s="3">
        <v>-1.1390000000000001E-7</v>
      </c>
      <c r="J576" s="3">
        <v>1.2730000000000001E-7</v>
      </c>
      <c r="K576" s="3">
        <v>-2.1990000000000001E-10</v>
      </c>
      <c r="L576" s="3">
        <v>2.3020000000000002E-10</v>
      </c>
      <c r="M576" s="3">
        <v>-1.2919999999999999E-6</v>
      </c>
      <c r="N576" s="3">
        <v>1.1709999999999999E-6</v>
      </c>
      <c r="O576" s="3">
        <v>-1.1659999999999999E-6</v>
      </c>
      <c r="P576" s="3">
        <v>1.1370000000000001E-6</v>
      </c>
      <c r="Q576" s="3">
        <v>2.9280000000000001E-8</v>
      </c>
      <c r="R576" s="3">
        <v>1.33E-6</v>
      </c>
      <c r="S576" s="13">
        <v>99999</v>
      </c>
      <c r="T576" s="13">
        <v>99999</v>
      </c>
      <c r="U576" s="13">
        <v>0.17023842553912433</v>
      </c>
    </row>
    <row r="577" spans="1:21" x14ac:dyDescent="0.2">
      <c r="A577">
        <v>479</v>
      </c>
      <c r="B577" s="12">
        <v>1</v>
      </c>
      <c r="C577" s="16">
        <v>3804</v>
      </c>
      <c r="D577" s="16">
        <v>3804</v>
      </c>
      <c r="E577" s="3">
        <v>2.7300941978399997</v>
      </c>
      <c r="F577" s="3">
        <v>1.5172366724999999</v>
      </c>
      <c r="G577" s="3">
        <v>-1.3970000000000001E-7</v>
      </c>
      <c r="H577" s="3">
        <v>1.1880000000000001E-7</v>
      </c>
      <c r="I577" s="3">
        <v>-1.02E-7</v>
      </c>
      <c r="J577" s="3">
        <v>1.1990000000000001E-7</v>
      </c>
      <c r="K577" s="3">
        <v>-2.2169999999999999E-10</v>
      </c>
      <c r="L577" s="3">
        <v>2.3539999999999998E-10</v>
      </c>
      <c r="M577" s="3">
        <v>-1.3470000000000002E-6</v>
      </c>
      <c r="N577" s="3">
        <v>1.24E-6</v>
      </c>
      <c r="O577" s="3">
        <v>-9.8529999999999991E-7</v>
      </c>
      <c r="P577" s="3">
        <v>1.091E-6</v>
      </c>
      <c r="Q577" s="3">
        <v>1.3369999999999999E-7</v>
      </c>
      <c r="R577" s="3">
        <v>1.3999999999999999E-6</v>
      </c>
      <c r="S577" s="13">
        <v>99999</v>
      </c>
      <c r="T577" s="13">
        <v>99999</v>
      </c>
      <c r="U577" s="13">
        <v>0.17118240828384784</v>
      </c>
    </row>
    <row r="578" spans="1:21" x14ac:dyDescent="0.2">
      <c r="A578">
        <v>480</v>
      </c>
      <c r="B578" s="12">
        <v>1</v>
      </c>
      <c r="C578" s="16">
        <v>3826</v>
      </c>
      <c r="D578" s="16">
        <v>3826</v>
      </c>
      <c r="E578" s="3">
        <v>2.6807553443520007</v>
      </c>
      <c r="F578" s="3">
        <v>1.4870910330000005</v>
      </c>
      <c r="G578" s="3">
        <v>-1.5459999999999999E-7</v>
      </c>
      <c r="H578" s="3">
        <v>1.4149999999999999E-7</v>
      </c>
      <c r="I578" s="3">
        <v>-1.0009999999999999E-7</v>
      </c>
      <c r="J578" s="3">
        <v>1.2599999999999999E-7</v>
      </c>
      <c r="K578" s="3">
        <v>-2.2329999999999999E-10</v>
      </c>
      <c r="L578" s="3">
        <v>2.4069999999999995E-10</v>
      </c>
      <c r="M578" s="3">
        <v>-1.257E-6</v>
      </c>
      <c r="N578" s="3">
        <v>1.237E-6</v>
      </c>
      <c r="O578" s="3">
        <v>-8.3590000000000001E-7</v>
      </c>
      <c r="P578" s="3">
        <v>1.001E-6</v>
      </c>
      <c r="Q578" s="3">
        <v>6.3209999999999995E-8</v>
      </c>
      <c r="R578" s="3">
        <v>1.412E-6</v>
      </c>
      <c r="S578" s="13">
        <v>99999</v>
      </c>
      <c r="T578" s="13">
        <v>99999</v>
      </c>
      <c r="U578" s="13">
        <v>0.17212736301086837</v>
      </c>
    </row>
    <row r="579" spans="1:21" x14ac:dyDescent="0.2">
      <c r="A579">
        <v>481</v>
      </c>
      <c r="B579" s="12">
        <v>1</v>
      </c>
      <c r="C579" s="16">
        <v>3848</v>
      </c>
      <c r="D579" s="16">
        <v>3848</v>
      </c>
      <c r="E579" s="3">
        <v>2.6314164908639999</v>
      </c>
      <c r="F579" s="3">
        <v>1.4569453935000001</v>
      </c>
      <c r="G579" s="3">
        <v>-1.5839999999999999E-7</v>
      </c>
      <c r="H579" s="3">
        <v>1.5339999999999998E-7</v>
      </c>
      <c r="I579" s="3">
        <v>-1.1299999999999999E-7</v>
      </c>
      <c r="J579" s="3">
        <v>1.148E-7</v>
      </c>
      <c r="K579" s="3">
        <v>-2.2460000000000001E-10</v>
      </c>
      <c r="L579" s="3">
        <v>2.459E-10</v>
      </c>
      <c r="M579" s="3">
        <v>-1.3510000000000001E-6</v>
      </c>
      <c r="N579" s="3">
        <v>1.274E-6</v>
      </c>
      <c r="O579" s="3">
        <v>-9.1109999999999995E-7</v>
      </c>
      <c r="P579" s="3">
        <v>8.6459999999999995E-7</v>
      </c>
      <c r="Q579" s="3">
        <v>8.9120000000000007E-8</v>
      </c>
      <c r="R579" s="3">
        <v>1.4139999999999999E-6</v>
      </c>
      <c r="S579" s="13">
        <v>99999</v>
      </c>
      <c r="T579" s="13">
        <v>99999</v>
      </c>
      <c r="U579" s="13">
        <v>0.17307327381596169</v>
      </c>
    </row>
    <row r="580" spans="1:21" x14ac:dyDescent="0.2">
      <c r="A580">
        <v>482</v>
      </c>
      <c r="B580" s="12">
        <v>1</v>
      </c>
      <c r="C580" s="16">
        <v>3870</v>
      </c>
      <c r="D580" s="16">
        <v>3870</v>
      </c>
      <c r="E580" s="3">
        <v>2.582077637375999</v>
      </c>
      <c r="F580" s="3">
        <v>1.4267997539999995</v>
      </c>
      <c r="G580" s="3">
        <v>-1.417E-7</v>
      </c>
      <c r="H580" s="3">
        <v>1.335E-7</v>
      </c>
      <c r="I580" s="3">
        <v>-1.2139999999999999E-7</v>
      </c>
      <c r="J580" s="3">
        <v>1.205E-7</v>
      </c>
      <c r="K580" s="3">
        <v>-2.2569999999999998E-10</v>
      </c>
      <c r="L580" s="3">
        <v>2.5110000000000004E-10</v>
      </c>
      <c r="M580" s="3">
        <v>-1.283E-6</v>
      </c>
      <c r="N580" s="3">
        <v>1.2019999999999999E-6</v>
      </c>
      <c r="O580" s="3">
        <v>-9.5909999999999985E-7</v>
      </c>
      <c r="P580" s="3">
        <v>8.8550000000000003E-7</v>
      </c>
      <c r="Q580" s="3">
        <v>7.3029999999999999E-8</v>
      </c>
      <c r="R580" s="3">
        <v>1.418E-6</v>
      </c>
      <c r="S580" s="13">
        <v>99999</v>
      </c>
      <c r="T580" s="13">
        <v>99999</v>
      </c>
      <c r="U580" s="13">
        <v>0.17402012511257178</v>
      </c>
    </row>
    <row r="581" spans="1:21" x14ac:dyDescent="0.2">
      <c r="A581">
        <v>483</v>
      </c>
      <c r="B581" s="12">
        <v>1</v>
      </c>
      <c r="C581" s="16">
        <v>3892</v>
      </c>
      <c r="D581" s="16">
        <v>3892</v>
      </c>
      <c r="E581" s="3">
        <v>2.5327552411440002</v>
      </c>
      <c r="F581" s="3">
        <v>1.3966641697500002</v>
      </c>
      <c r="G581" s="3">
        <v>-1.4630000000000001E-7</v>
      </c>
      <c r="H581" s="3">
        <v>1.4329999999999999E-7</v>
      </c>
      <c r="I581" s="3">
        <v>-1.205E-7</v>
      </c>
      <c r="J581" s="3">
        <v>1.2100000000000001E-7</v>
      </c>
      <c r="K581" s="3">
        <v>-2.2649999999999999E-10</v>
      </c>
      <c r="L581" s="3">
        <v>2.5629999999999998E-10</v>
      </c>
      <c r="M581" s="3">
        <v>-1.3630000000000001E-6</v>
      </c>
      <c r="N581" s="3">
        <v>1.314E-6</v>
      </c>
      <c r="O581" s="3">
        <v>-1.0589999999999999E-6</v>
      </c>
      <c r="P581" s="3">
        <v>9.0549999999999995E-7</v>
      </c>
      <c r="Q581" s="3">
        <v>6.9090000000000005E-8</v>
      </c>
      <c r="R581" s="3">
        <v>1.4359999999999999E-6</v>
      </c>
      <c r="S581" s="13">
        <v>99999</v>
      </c>
      <c r="T581" s="13">
        <v>99999</v>
      </c>
      <c r="U581" s="13">
        <v>0.17496791183178492</v>
      </c>
    </row>
    <row r="582" spans="1:21" x14ac:dyDescent="0.2">
      <c r="A582">
        <v>484</v>
      </c>
      <c r="B582" s="12">
        <v>1</v>
      </c>
      <c r="C582" s="16">
        <v>3914</v>
      </c>
      <c r="D582" s="16">
        <v>3914</v>
      </c>
      <c r="E582" s="3">
        <v>2.4834163876559989</v>
      </c>
      <c r="F582" s="3">
        <v>1.3665185302499996</v>
      </c>
      <c r="G582" s="3">
        <v>-1.215E-7</v>
      </c>
      <c r="H582" s="3">
        <v>1.2249999999999999E-7</v>
      </c>
      <c r="I582" s="3">
        <v>-1.3229999999999999E-7</v>
      </c>
      <c r="J582" s="3">
        <v>1.0930000000000001E-7</v>
      </c>
      <c r="K582" s="3">
        <v>-2.2700000000000002E-10</v>
      </c>
      <c r="L582" s="3">
        <v>2.6160000000000001E-10</v>
      </c>
      <c r="M582" s="3">
        <v>-1.3240000000000002E-6</v>
      </c>
      <c r="N582" s="3">
        <v>1.279E-6</v>
      </c>
      <c r="O582" s="3">
        <v>-1.299E-6</v>
      </c>
      <c r="P582" s="3">
        <v>1.0050000000000001E-6</v>
      </c>
      <c r="Q582" s="3">
        <v>9.4199999999999996E-8</v>
      </c>
      <c r="R582" s="3">
        <v>1.437E-6</v>
      </c>
      <c r="S582" s="13">
        <v>99999</v>
      </c>
      <c r="T582" s="13">
        <v>99999</v>
      </c>
      <c r="U582" s="13">
        <v>0.17591659839117665</v>
      </c>
    </row>
    <row r="583" spans="1:21" x14ac:dyDescent="0.2">
      <c r="A583">
        <v>485</v>
      </c>
      <c r="B583" s="12">
        <v>1</v>
      </c>
      <c r="C583" s="16">
        <v>3936</v>
      </c>
      <c r="D583" s="16">
        <v>3936</v>
      </c>
      <c r="E583" s="3">
        <v>2.4340775341680003</v>
      </c>
      <c r="F583" s="3">
        <v>1.3363728907500003</v>
      </c>
      <c r="G583" s="3">
        <v>-1.4100000000000001E-7</v>
      </c>
      <c r="H583" s="3">
        <v>1.2799999999999998E-7</v>
      </c>
      <c r="I583" s="3">
        <v>-1.2139999999999999E-7</v>
      </c>
      <c r="J583" s="3">
        <v>1.2709999999999999E-7</v>
      </c>
      <c r="K583" s="3">
        <v>-2.271E-10</v>
      </c>
      <c r="L583" s="3">
        <v>2.668E-10</v>
      </c>
      <c r="M583" s="3">
        <v>-1.2529999999999999E-6</v>
      </c>
      <c r="N583" s="3">
        <v>1.2529999999999999E-6</v>
      </c>
      <c r="O583" s="3">
        <v>-1.3940000000000001E-6</v>
      </c>
      <c r="P583" s="3">
        <v>1.0189999999999999E-6</v>
      </c>
      <c r="Q583" s="3">
        <v>6.0609999999999998E-8</v>
      </c>
      <c r="R583" s="3">
        <v>1.4109999999999999E-6</v>
      </c>
      <c r="S583" s="13">
        <v>99999</v>
      </c>
      <c r="T583" s="13">
        <v>99999</v>
      </c>
      <c r="U583" s="13">
        <v>0.17686618056374409</v>
      </c>
    </row>
    <row r="584" spans="1:21" x14ac:dyDescent="0.2">
      <c r="A584">
        <v>486</v>
      </c>
      <c r="B584" s="12">
        <v>1</v>
      </c>
      <c r="C584" s="16">
        <v>3958</v>
      </c>
      <c r="D584" s="16">
        <v>3958</v>
      </c>
      <c r="E584" s="3">
        <v>2.3847386806799995</v>
      </c>
      <c r="F584" s="3">
        <v>1.3062272512499997</v>
      </c>
      <c r="G584" s="3">
        <v>-1.586E-7</v>
      </c>
      <c r="H584" s="3">
        <v>1.272E-7</v>
      </c>
      <c r="I584" s="3">
        <v>-1.2310000000000001E-7</v>
      </c>
      <c r="J584" s="3">
        <v>1.0349999999999999E-7</v>
      </c>
      <c r="K584" s="3">
        <v>-2.2679999999999998E-10</v>
      </c>
      <c r="L584" s="3">
        <v>2.7210000000000002E-10</v>
      </c>
      <c r="M584" s="3">
        <v>-1.2279999999999999E-6</v>
      </c>
      <c r="N584" s="3">
        <v>1.2310000000000002E-6</v>
      </c>
      <c r="O584" s="3">
        <v>-1.3940000000000001E-6</v>
      </c>
      <c r="P584" s="3">
        <v>1.1199999999999999E-6</v>
      </c>
      <c r="Q584" s="3">
        <v>6.1710000000000001E-8</v>
      </c>
      <c r="R584" s="3">
        <v>1.4469999999999999E-6</v>
      </c>
      <c r="S584" s="13">
        <v>99999</v>
      </c>
      <c r="T584" s="13">
        <v>99999</v>
      </c>
      <c r="U584" s="13">
        <v>0.17781664403210498</v>
      </c>
    </row>
    <row r="585" spans="1:21" x14ac:dyDescent="0.2">
      <c r="A585">
        <v>487</v>
      </c>
      <c r="B585" s="12">
        <v>1</v>
      </c>
      <c r="C585" s="16">
        <v>3980</v>
      </c>
      <c r="D585" s="16">
        <v>3980</v>
      </c>
      <c r="E585" s="3">
        <v>2.3353998271920005</v>
      </c>
      <c r="F585" s="3">
        <v>1.2760816117500005</v>
      </c>
      <c r="G585" s="3">
        <v>-1.416E-7</v>
      </c>
      <c r="H585" s="3">
        <v>1.3239999999999999E-7</v>
      </c>
      <c r="I585" s="3">
        <v>-1.1689999999999999E-7</v>
      </c>
      <c r="J585" s="3">
        <v>1.3779999999999998E-7</v>
      </c>
      <c r="K585" s="3">
        <v>-2.261E-10</v>
      </c>
      <c r="L585" s="3">
        <v>2.7720000000000004E-10</v>
      </c>
      <c r="M585" s="3">
        <v>-1.1030000000000001E-6</v>
      </c>
      <c r="N585" s="3">
        <v>1.1650000000000001E-6</v>
      </c>
      <c r="O585" s="3">
        <v>-1.4560000000000001E-6</v>
      </c>
      <c r="P585" s="3">
        <v>1.1089999999999999E-6</v>
      </c>
      <c r="Q585" s="3">
        <v>3.9419999999999998E-8</v>
      </c>
      <c r="R585" s="3">
        <v>1.4809999999999999E-6</v>
      </c>
      <c r="S585" s="13">
        <v>99999</v>
      </c>
      <c r="T585" s="13">
        <v>99999</v>
      </c>
      <c r="U585" s="13">
        <v>0.17876797471736416</v>
      </c>
    </row>
    <row r="586" spans="1:21" x14ac:dyDescent="0.2">
      <c r="A586">
        <v>488</v>
      </c>
      <c r="B586" s="12">
        <v>1</v>
      </c>
      <c r="C586" s="16">
        <v>4002</v>
      </c>
      <c r="D586" s="16">
        <v>4002</v>
      </c>
      <c r="E586" s="3">
        <v>2.2860609737039996</v>
      </c>
      <c r="F586" s="3">
        <v>1.2459359722499999</v>
      </c>
      <c r="G586" s="3">
        <v>-1.6019999999999999E-7</v>
      </c>
      <c r="H586" s="3">
        <v>1.283E-7</v>
      </c>
      <c r="I586" s="3">
        <v>-1.3059999999999999E-7</v>
      </c>
      <c r="J586" s="3">
        <v>1.5650000000000001E-7</v>
      </c>
      <c r="K586" s="3">
        <v>-2.3079999999999999E-10</v>
      </c>
      <c r="L586" s="3">
        <v>2.8239999999999998E-10</v>
      </c>
      <c r="M586" s="3">
        <v>-1.124E-6</v>
      </c>
      <c r="N586" s="3">
        <v>1.19E-6</v>
      </c>
      <c r="O586" s="3">
        <v>-1.3309999999999998E-6</v>
      </c>
      <c r="P586" s="3">
        <v>9.3829999999999998E-7</v>
      </c>
      <c r="Q586" s="3">
        <v>1.386E-8</v>
      </c>
      <c r="R586" s="3">
        <v>1.339E-6</v>
      </c>
      <c r="S586" s="13">
        <v>99999</v>
      </c>
      <c r="T586" s="13">
        <v>99999</v>
      </c>
      <c r="U586" s="13">
        <v>0.1797201587870636</v>
      </c>
    </row>
    <row r="587" spans="1:21" x14ac:dyDescent="0.2">
      <c r="A587">
        <v>489</v>
      </c>
      <c r="B587" s="12">
        <v>1</v>
      </c>
      <c r="C587" s="16">
        <v>4023</v>
      </c>
      <c r="D587" s="16">
        <v>4023</v>
      </c>
      <c r="E587" s="3">
        <v>2.2367221202159988</v>
      </c>
      <c r="F587" s="3">
        <v>1.2157903327499993</v>
      </c>
      <c r="G587" s="3">
        <v>-1.4119999999999999E-7</v>
      </c>
      <c r="H587" s="3">
        <v>1.269E-7</v>
      </c>
      <c r="I587" s="3">
        <v>-1.251E-7</v>
      </c>
      <c r="J587" s="3">
        <v>1.7849999999999999E-7</v>
      </c>
      <c r="K587" s="3">
        <v>-2.363E-10</v>
      </c>
      <c r="L587" s="3">
        <v>2.8740000000000001E-10</v>
      </c>
      <c r="M587" s="3">
        <v>-1.0950000000000001E-6</v>
      </c>
      <c r="N587" s="3">
        <v>1.0920000000000001E-6</v>
      </c>
      <c r="O587" s="3">
        <v>-1.3400000000000001E-6</v>
      </c>
      <c r="P587" s="3">
        <v>9.6089999999999998E-7</v>
      </c>
      <c r="Q587" s="3">
        <v>1.208E-8</v>
      </c>
      <c r="R587" s="3">
        <v>1.3740000000000001E-6</v>
      </c>
      <c r="S587" s="13">
        <v>99999</v>
      </c>
      <c r="T587" s="13">
        <v>99999</v>
      </c>
      <c r="U587" s="13">
        <v>0.18062863563783976</v>
      </c>
    </row>
    <row r="588" spans="1:21" x14ac:dyDescent="0.2">
      <c r="A588">
        <v>490</v>
      </c>
      <c r="B588" s="12">
        <v>1</v>
      </c>
      <c r="C588" s="16">
        <v>4045</v>
      </c>
      <c r="D588" s="16">
        <v>4045</v>
      </c>
      <c r="E588" s="3">
        <v>2.1873832667280002</v>
      </c>
      <c r="F588" s="3">
        <v>1.18564469325</v>
      </c>
      <c r="G588" s="3">
        <v>-1.3059999999999999E-7</v>
      </c>
      <c r="H588" s="3">
        <v>1.265E-7</v>
      </c>
      <c r="I588" s="3">
        <v>-1.385E-7</v>
      </c>
      <c r="J588" s="3">
        <v>1.635E-7</v>
      </c>
      <c r="K588" s="3">
        <v>-2.417E-10</v>
      </c>
      <c r="L588" s="3">
        <v>2.9239999999999999E-10</v>
      </c>
      <c r="M588" s="3">
        <v>-1.0729999999999999E-6</v>
      </c>
      <c r="N588" s="3">
        <v>1.1509999999999999E-6</v>
      </c>
      <c r="O588" s="3">
        <v>-1.279E-6</v>
      </c>
      <c r="P588" s="3">
        <v>9.4369999999999996E-7</v>
      </c>
      <c r="Q588" s="3">
        <v>5.6169999999999999E-8</v>
      </c>
      <c r="R588" s="3">
        <v>1.279E-6</v>
      </c>
      <c r="S588" s="13">
        <v>99999</v>
      </c>
      <c r="T588" s="13">
        <v>99999</v>
      </c>
      <c r="U588" s="13">
        <v>0.18158247808391542</v>
      </c>
    </row>
    <row r="589" spans="1:21" x14ac:dyDescent="0.2">
      <c r="A589">
        <v>491</v>
      </c>
      <c r="B589" s="12">
        <v>1</v>
      </c>
      <c r="C589" s="16">
        <v>4067</v>
      </c>
      <c r="D589" s="16">
        <v>4067</v>
      </c>
      <c r="E589" s="3">
        <v>2.1380444132399994</v>
      </c>
      <c r="F589" s="3">
        <v>1.1554990537499998</v>
      </c>
      <c r="G589" s="3">
        <v>-1.4719999999999999E-7</v>
      </c>
      <c r="H589" s="3">
        <v>1.4469999999999999E-7</v>
      </c>
      <c r="I589" s="3">
        <v>-1.3679999999999998E-7</v>
      </c>
      <c r="J589" s="3">
        <v>1.3109999999999998E-7</v>
      </c>
      <c r="K589" s="3">
        <v>-2.4699999999999997E-10</v>
      </c>
      <c r="L589" s="3">
        <v>2.973E-10</v>
      </c>
      <c r="M589" s="3">
        <v>-1.1180000000000001E-6</v>
      </c>
      <c r="N589" s="3">
        <v>1.057E-6</v>
      </c>
      <c r="O589" s="3">
        <v>-1.5039999999999999E-6</v>
      </c>
      <c r="P589" s="3">
        <v>9.8919999999999999E-7</v>
      </c>
      <c r="Q589" s="3">
        <v>9.1020000000000004E-8</v>
      </c>
      <c r="R589" s="3">
        <v>1.516E-6</v>
      </c>
      <c r="S589" s="13">
        <v>99999</v>
      </c>
      <c r="T589" s="13">
        <v>99999</v>
      </c>
      <c r="U589" s="13">
        <v>0.18253713470516386</v>
      </c>
    </row>
    <row r="590" spans="1:21" x14ac:dyDescent="0.2">
      <c r="A590">
        <v>492</v>
      </c>
      <c r="B590" s="12">
        <v>1</v>
      </c>
      <c r="C590" s="16">
        <v>4089</v>
      </c>
      <c r="D590" s="16">
        <v>4089</v>
      </c>
      <c r="E590" s="3">
        <v>2.0887220170080001</v>
      </c>
      <c r="F590" s="3">
        <v>1.1253634695000001</v>
      </c>
      <c r="G590" s="3">
        <v>-1.3019999999999999E-7</v>
      </c>
      <c r="H590" s="3">
        <v>1.3059999999999999E-7</v>
      </c>
      <c r="I590" s="3">
        <v>-1.3880000000000003E-7</v>
      </c>
      <c r="J590" s="3">
        <v>1.4280000000000001E-7</v>
      </c>
      <c r="K590" s="3">
        <v>-2.5220000000000002E-10</v>
      </c>
      <c r="L590" s="3">
        <v>3.0209999999999997E-10</v>
      </c>
      <c r="M590" s="3">
        <v>-1.1089999999999999E-6</v>
      </c>
      <c r="N590" s="3">
        <v>1.116E-6</v>
      </c>
      <c r="O590" s="3">
        <v>-1.4760000000000001E-6</v>
      </c>
      <c r="P590" s="3">
        <v>9.8279999999999993E-7</v>
      </c>
      <c r="Q590" s="3">
        <v>5.222E-8</v>
      </c>
      <c r="R590" s="3">
        <v>1.5369999999999999E-6</v>
      </c>
      <c r="S590" s="13">
        <v>99999</v>
      </c>
      <c r="T590" s="13">
        <v>99999</v>
      </c>
      <c r="U590" s="13">
        <v>0.18349260084760194</v>
      </c>
    </row>
    <row r="591" spans="1:21" x14ac:dyDescent="0.2">
      <c r="A591">
        <v>493</v>
      </c>
      <c r="B591" s="12">
        <v>1</v>
      </c>
      <c r="C591" s="16">
        <v>4111</v>
      </c>
      <c r="D591" s="16">
        <v>4111</v>
      </c>
      <c r="E591" s="3">
        <v>2.0393831635199993</v>
      </c>
      <c r="F591" s="3">
        <v>1.0952178299999995</v>
      </c>
      <c r="G591" s="3">
        <v>-1.3019999999999999E-7</v>
      </c>
      <c r="H591" s="3">
        <v>1.5129999999999999E-7</v>
      </c>
      <c r="I591" s="3">
        <v>-1.4740000000000001E-7</v>
      </c>
      <c r="J591" s="3">
        <v>1.1249999999999999E-7</v>
      </c>
      <c r="K591" s="3">
        <v>-2.5740000000000001E-10</v>
      </c>
      <c r="L591" s="3">
        <v>3.0680000000000002E-10</v>
      </c>
      <c r="M591" s="3">
        <v>-1.2249999999999999E-6</v>
      </c>
      <c r="N591" s="3">
        <v>1.215E-6</v>
      </c>
      <c r="O591" s="3">
        <v>-1.4100000000000001E-6</v>
      </c>
      <c r="P591" s="3">
        <v>9.7219999999999998E-7</v>
      </c>
      <c r="Q591" s="3">
        <v>8.4680000000000001E-8</v>
      </c>
      <c r="R591" s="3">
        <v>1.525E-6</v>
      </c>
      <c r="S591" s="13">
        <v>99999</v>
      </c>
      <c r="T591" s="13">
        <v>99999</v>
      </c>
      <c r="U591" s="13">
        <v>0.18444884742852649</v>
      </c>
    </row>
    <row r="592" spans="1:21" x14ac:dyDescent="0.2">
      <c r="A592">
        <v>494</v>
      </c>
      <c r="B592" s="12">
        <v>1</v>
      </c>
      <c r="C592" s="16">
        <v>4133</v>
      </c>
      <c r="D592" s="16">
        <v>4133</v>
      </c>
      <c r="E592" s="3">
        <v>1.9900443100320002</v>
      </c>
      <c r="F592" s="3">
        <v>1.0650721905000002</v>
      </c>
      <c r="G592" s="3">
        <v>-1.554E-7</v>
      </c>
      <c r="H592" s="3">
        <v>1.4809999999999998E-7</v>
      </c>
      <c r="I592" s="3">
        <v>-1.335E-7</v>
      </c>
      <c r="J592" s="3">
        <v>1.4190000000000002E-7</v>
      </c>
      <c r="K592" s="3">
        <v>-2.6249999999999997E-10</v>
      </c>
      <c r="L592" s="3">
        <v>3.1139999999999998E-10</v>
      </c>
      <c r="M592" s="3">
        <v>-1.133E-6</v>
      </c>
      <c r="N592" s="3">
        <v>1.127E-6</v>
      </c>
      <c r="O592" s="3">
        <v>-1.3510000000000001E-6</v>
      </c>
      <c r="P592" s="3">
        <v>9.9949999999999992E-7</v>
      </c>
      <c r="Q592" s="3">
        <v>3.8110000000000002E-8</v>
      </c>
      <c r="R592" s="3">
        <v>1.5650000000000001E-6</v>
      </c>
      <c r="S592" s="13">
        <v>99999</v>
      </c>
      <c r="T592" s="13">
        <v>99999</v>
      </c>
      <c r="U592" s="13">
        <v>0.18540587072317047</v>
      </c>
    </row>
    <row r="593" spans="1:21" x14ac:dyDescent="0.2">
      <c r="A593">
        <v>495</v>
      </c>
      <c r="B593" s="12">
        <v>1</v>
      </c>
      <c r="C593" s="16">
        <v>4155</v>
      </c>
      <c r="D593" s="16">
        <v>4155</v>
      </c>
      <c r="E593" s="3">
        <v>1.9407054565439994</v>
      </c>
      <c r="F593" s="3">
        <v>1.0349265509999996</v>
      </c>
      <c r="G593" s="3">
        <v>-1.5630000000000002E-7</v>
      </c>
      <c r="H593" s="3">
        <v>1.649E-7</v>
      </c>
      <c r="I593" s="3">
        <v>-1.6049999999999999E-7</v>
      </c>
      <c r="J593" s="3">
        <v>1.304E-7</v>
      </c>
      <c r="K593" s="3">
        <v>-2.6749999999999996E-10</v>
      </c>
      <c r="L593" s="3">
        <v>3.1570000000000001E-10</v>
      </c>
      <c r="M593" s="3">
        <v>-1.274E-6</v>
      </c>
      <c r="N593" s="3">
        <v>1.1290000000000001E-6</v>
      </c>
      <c r="O593" s="3">
        <v>-1.2810000000000001E-6</v>
      </c>
      <c r="P593" s="3">
        <v>1.0360000000000001E-6</v>
      </c>
      <c r="Q593" s="3">
        <v>6.211999999999999E-8</v>
      </c>
      <c r="R593" s="3">
        <v>1.437E-6</v>
      </c>
      <c r="S593" s="13">
        <v>99999</v>
      </c>
      <c r="T593" s="13">
        <v>99999</v>
      </c>
      <c r="U593" s="13">
        <v>0.18636365868891974</v>
      </c>
    </row>
    <row r="594" spans="1:21" x14ac:dyDescent="0.2">
      <c r="A594">
        <v>496</v>
      </c>
      <c r="B594" s="12">
        <v>1</v>
      </c>
      <c r="C594" s="16">
        <v>4177</v>
      </c>
      <c r="D594" s="16">
        <v>4177</v>
      </c>
      <c r="E594" s="3">
        <v>1.8913666030560006</v>
      </c>
      <c r="F594" s="3">
        <v>1.0047809115000004</v>
      </c>
      <c r="G594" s="3">
        <v>-1.37E-7</v>
      </c>
      <c r="H594" s="3">
        <v>1.7990000000000002E-7</v>
      </c>
      <c r="I594" s="3">
        <v>-1.427E-7</v>
      </c>
      <c r="J594" s="3">
        <v>1.417E-7</v>
      </c>
      <c r="K594" s="3">
        <v>-2.7239999999999996E-10</v>
      </c>
      <c r="L594" s="3">
        <v>3.2000000000000003E-10</v>
      </c>
      <c r="M594" s="3">
        <v>-1.2310000000000002E-6</v>
      </c>
      <c r="N594" s="3">
        <v>1.0809999999999999E-6</v>
      </c>
      <c r="O594" s="3">
        <v>-1.403E-6</v>
      </c>
      <c r="P594" s="3">
        <v>1.0750000000000001E-6</v>
      </c>
      <c r="Q594" s="3">
        <v>5.8210000000000003E-8</v>
      </c>
      <c r="R594" s="3">
        <v>1.4330000000000001E-6</v>
      </c>
      <c r="S594" s="13">
        <v>99999</v>
      </c>
      <c r="T594" s="13">
        <v>99999</v>
      </c>
      <c r="U594" s="13">
        <v>0.18732219969772609</v>
      </c>
    </row>
    <row r="595" spans="1:21" x14ac:dyDescent="0.2">
      <c r="A595">
        <v>497</v>
      </c>
      <c r="B595" s="12">
        <v>1</v>
      </c>
      <c r="C595" s="16">
        <v>4199</v>
      </c>
      <c r="D595" s="16">
        <v>4199</v>
      </c>
      <c r="E595" s="3">
        <v>1.842027749568</v>
      </c>
      <c r="F595" s="3">
        <v>0.974635272</v>
      </c>
      <c r="G595" s="3">
        <v>-1.4630000000000001E-7</v>
      </c>
      <c r="H595" s="3">
        <v>1.483E-7</v>
      </c>
      <c r="I595" s="3">
        <v>-1.7029999999999998E-7</v>
      </c>
      <c r="J595" s="3">
        <v>1.5510000000000001E-7</v>
      </c>
      <c r="K595" s="3">
        <v>-2.7729999999999996E-10</v>
      </c>
      <c r="L595" s="3">
        <v>3.2399999999999997E-10</v>
      </c>
      <c r="M595" s="3">
        <v>-1.263E-6</v>
      </c>
      <c r="N595" s="3">
        <v>1.1039999999999999E-6</v>
      </c>
      <c r="O595" s="3">
        <v>-1.3090000000000001E-6</v>
      </c>
      <c r="P595" s="3">
        <v>9.8660000000000001E-7</v>
      </c>
      <c r="Q595" s="3">
        <v>2.1149999999999997E-8</v>
      </c>
      <c r="R595" s="3">
        <v>1.437E-6</v>
      </c>
      <c r="S595" s="13">
        <v>99999</v>
      </c>
      <c r="T595" s="13">
        <v>99999</v>
      </c>
      <c r="U595" s="13">
        <v>0.18828148220840535</v>
      </c>
    </row>
    <row r="596" spans="1:21" x14ac:dyDescent="0.2">
      <c r="A596">
        <v>498</v>
      </c>
      <c r="B596" s="12">
        <v>1</v>
      </c>
      <c r="C596" s="16">
        <v>4221</v>
      </c>
      <c r="D596" s="16">
        <v>4221</v>
      </c>
      <c r="E596" s="3">
        <v>1.7926888960799992</v>
      </c>
      <c r="F596" s="3">
        <v>0.94448963249999951</v>
      </c>
      <c r="G596" s="3">
        <v>-1.5839999999999999E-7</v>
      </c>
      <c r="H596" s="3">
        <v>1.7359999999999999E-7</v>
      </c>
      <c r="I596" s="3">
        <v>-1.5970000000000001E-7</v>
      </c>
      <c r="J596" s="3">
        <v>1.525E-7</v>
      </c>
      <c r="K596" s="3">
        <v>-2.8189999999999998E-10</v>
      </c>
      <c r="L596" s="3">
        <v>3.278E-10</v>
      </c>
      <c r="M596" s="3">
        <v>-1.297E-6</v>
      </c>
      <c r="N596" s="3">
        <v>9.9109999999999992E-7</v>
      </c>
      <c r="O596" s="3">
        <v>-1.4790000000000002E-6</v>
      </c>
      <c r="P596" s="3">
        <v>1.0859999999999999E-6</v>
      </c>
      <c r="Q596" s="3">
        <v>8.3510000000000011E-8</v>
      </c>
      <c r="R596" s="3">
        <v>1.5369999999999999E-6</v>
      </c>
      <c r="S596" s="13">
        <v>99999</v>
      </c>
      <c r="T596" s="13">
        <v>99999</v>
      </c>
      <c r="U596" s="13">
        <v>0.18924149497561379</v>
      </c>
    </row>
    <row r="597" spans="1:21" x14ac:dyDescent="0.2">
      <c r="A597">
        <v>499</v>
      </c>
      <c r="B597" s="12">
        <v>1</v>
      </c>
      <c r="C597" s="16">
        <v>4243</v>
      </c>
      <c r="D597" s="16">
        <v>4243</v>
      </c>
      <c r="E597" s="3">
        <v>1.7433500425920003</v>
      </c>
      <c r="F597" s="3">
        <v>0.91434399300000013</v>
      </c>
      <c r="G597" s="3">
        <v>-1.498E-7</v>
      </c>
      <c r="H597" s="3">
        <v>1.564E-7</v>
      </c>
      <c r="I597" s="3">
        <v>-1.6090000000000002E-7</v>
      </c>
      <c r="J597" s="3">
        <v>1.747E-7</v>
      </c>
      <c r="K597" s="3">
        <v>-2.8649999999999999E-10</v>
      </c>
      <c r="L597" s="3">
        <v>3.3140000000000001E-10</v>
      </c>
      <c r="M597" s="3">
        <v>-1.1990000000000001E-6</v>
      </c>
      <c r="N597" s="3">
        <v>1.046E-6</v>
      </c>
      <c r="O597" s="3">
        <v>-1.437E-6</v>
      </c>
      <c r="P597" s="3">
        <v>9.9559999999999984E-7</v>
      </c>
      <c r="Q597" s="3">
        <v>4.807E-8</v>
      </c>
      <c r="R597" s="3">
        <v>1.4480000000000002E-6</v>
      </c>
      <c r="S597" s="13">
        <v>99999</v>
      </c>
      <c r="T597" s="13">
        <v>99999</v>
      </c>
      <c r="U597" s="13">
        <v>0.19020222684246718</v>
      </c>
    </row>
    <row r="598" spans="1:21" x14ac:dyDescent="0.2">
      <c r="A598">
        <v>500</v>
      </c>
      <c r="B598" s="12">
        <v>1</v>
      </c>
      <c r="C598" s="16">
        <v>4264</v>
      </c>
      <c r="D598" s="16">
        <v>4264</v>
      </c>
      <c r="E598" s="3">
        <v>1.6940111891039995</v>
      </c>
      <c r="F598" s="3">
        <v>0.88419835349999976</v>
      </c>
      <c r="G598" s="3">
        <v>-1.7310000000000001E-7</v>
      </c>
      <c r="H598" s="3">
        <v>1.705E-7</v>
      </c>
      <c r="I598" s="3">
        <v>-1.607E-7</v>
      </c>
      <c r="J598" s="3">
        <v>1.66E-7</v>
      </c>
      <c r="K598" s="3">
        <v>-2.9079999999999997E-10</v>
      </c>
      <c r="L598" s="3">
        <v>3.3469999999999999E-10</v>
      </c>
      <c r="M598" s="3">
        <v>-1.3029999999999998E-6</v>
      </c>
      <c r="N598" s="3">
        <v>1.1150000000000001E-6</v>
      </c>
      <c r="O598" s="3">
        <v>-1.4560000000000001E-6</v>
      </c>
      <c r="P598" s="3">
        <v>1.0549999999999999E-6</v>
      </c>
      <c r="Q598" s="3">
        <v>6.6720000000000005E-8</v>
      </c>
      <c r="R598" s="3">
        <v>1.508E-6</v>
      </c>
      <c r="S598" s="13">
        <v>99999</v>
      </c>
      <c r="T598" s="13">
        <v>99999</v>
      </c>
      <c r="U598" s="13">
        <v>0.19111904289494208</v>
      </c>
    </row>
    <row r="599" spans="1:21" x14ac:dyDescent="0.2">
      <c r="A599">
        <v>501</v>
      </c>
      <c r="B599" s="12">
        <v>1</v>
      </c>
      <c r="C599" s="16">
        <v>4286</v>
      </c>
      <c r="D599" s="16">
        <v>4286</v>
      </c>
      <c r="E599" s="3">
        <v>1.6446723356160005</v>
      </c>
      <c r="F599" s="3">
        <v>0.85405271400000038</v>
      </c>
      <c r="G599" s="3">
        <v>-1.543E-7</v>
      </c>
      <c r="H599" s="3">
        <v>1.758E-7</v>
      </c>
      <c r="I599" s="3">
        <v>-1.5489999999999999E-7</v>
      </c>
      <c r="J599" s="3">
        <v>1.7670000000000001E-7</v>
      </c>
      <c r="K599" s="3">
        <v>-2.9489999999999998E-10</v>
      </c>
      <c r="L599" s="3">
        <v>3.3780000000000001E-10</v>
      </c>
      <c r="M599" s="3">
        <v>-1.153E-6</v>
      </c>
      <c r="N599" s="3">
        <v>1.1069999999999999E-6</v>
      </c>
      <c r="O599" s="3">
        <v>-1.466E-6</v>
      </c>
      <c r="P599" s="3">
        <v>1.023E-6</v>
      </c>
      <c r="Q599" s="3">
        <v>8.001E-8</v>
      </c>
      <c r="R599" s="3">
        <v>1.4699999999999999E-6</v>
      </c>
      <c r="S599" s="13">
        <v>99999</v>
      </c>
      <c r="T599" s="13">
        <v>99999</v>
      </c>
      <c r="U599" s="13">
        <v>0.1920811752310356</v>
      </c>
    </row>
    <row r="600" spans="1:21" x14ac:dyDescent="0.2">
      <c r="A600">
        <v>502</v>
      </c>
      <c r="B600" s="12">
        <v>1</v>
      </c>
      <c r="C600" s="16">
        <v>4308</v>
      </c>
      <c r="D600" s="16">
        <v>4308</v>
      </c>
      <c r="E600" s="3">
        <v>1.5953334821279996</v>
      </c>
      <c r="F600" s="3">
        <v>0.82390707449999989</v>
      </c>
      <c r="G600" s="3">
        <v>-1.7129999999999998E-7</v>
      </c>
      <c r="H600" s="3">
        <v>1.7149999999999999E-7</v>
      </c>
      <c r="I600" s="3">
        <v>-1.596E-7</v>
      </c>
      <c r="J600" s="3">
        <v>1.835E-7</v>
      </c>
      <c r="K600" s="3">
        <v>-2.9890000000000002E-10</v>
      </c>
      <c r="L600" s="3">
        <v>3.4060000000000004E-10</v>
      </c>
      <c r="M600" s="3">
        <v>-1.243E-6</v>
      </c>
      <c r="N600" s="3">
        <v>1.209E-6</v>
      </c>
      <c r="O600" s="3">
        <v>-1.308E-6</v>
      </c>
      <c r="P600" s="3">
        <v>1.155E-6</v>
      </c>
      <c r="Q600" s="3">
        <v>2.4909999999999999E-8</v>
      </c>
      <c r="R600" s="3">
        <v>1.3860000000000002E-6</v>
      </c>
      <c r="S600" s="13">
        <v>99999</v>
      </c>
      <c r="T600" s="13">
        <v>99999</v>
      </c>
      <c r="U600" s="13">
        <v>0.19304399502493924</v>
      </c>
    </row>
    <row r="601" spans="1:21" x14ac:dyDescent="0.2">
      <c r="A601">
        <v>503</v>
      </c>
      <c r="B601" s="12">
        <v>1</v>
      </c>
      <c r="C601" s="16">
        <v>4330</v>
      </c>
      <c r="D601" s="16">
        <v>4330</v>
      </c>
      <c r="E601" s="3">
        <v>1.5459946286400008</v>
      </c>
      <c r="F601" s="3">
        <v>0.79376143500000051</v>
      </c>
      <c r="G601" s="3">
        <v>-1.7029999999999998E-7</v>
      </c>
      <c r="H601" s="3">
        <v>1.906E-7</v>
      </c>
      <c r="I601" s="3">
        <v>-1.6459999999999998E-7</v>
      </c>
      <c r="J601" s="3">
        <v>1.653E-7</v>
      </c>
      <c r="K601" s="3">
        <v>-3.027E-10</v>
      </c>
      <c r="L601" s="3">
        <v>3.43E-10</v>
      </c>
      <c r="M601" s="3">
        <v>-1.2049999999999999E-6</v>
      </c>
      <c r="N601" s="3">
        <v>1.178E-6</v>
      </c>
      <c r="O601" s="3">
        <v>-1.4109999999999999E-6</v>
      </c>
      <c r="P601" s="3">
        <v>1.2329999999999999E-6</v>
      </c>
      <c r="Q601" s="3">
        <v>5.0150000000000002E-8</v>
      </c>
      <c r="R601" s="3">
        <v>1.412E-6</v>
      </c>
      <c r="S601" s="13">
        <v>99999</v>
      </c>
      <c r="T601" s="13">
        <v>99999</v>
      </c>
      <c r="U601" s="13">
        <v>0.1940074920959638</v>
      </c>
    </row>
    <row r="602" spans="1:21" x14ac:dyDescent="0.2">
      <c r="A602">
        <v>504</v>
      </c>
      <c r="B602" s="12">
        <v>1</v>
      </c>
      <c r="C602" s="16">
        <v>4352</v>
      </c>
      <c r="D602" s="16">
        <v>4352</v>
      </c>
      <c r="E602" s="3">
        <v>1.4966557751520002</v>
      </c>
      <c r="F602" s="3">
        <v>0.76361579550000014</v>
      </c>
      <c r="G602" s="3">
        <v>-1.7770000000000001E-7</v>
      </c>
      <c r="H602" s="3">
        <v>1.822E-7</v>
      </c>
      <c r="I602" s="3">
        <v>-1.7799999999999998E-7</v>
      </c>
      <c r="J602" s="3">
        <v>1.8489999999999999E-7</v>
      </c>
      <c r="K602" s="3">
        <v>-3.0629999999999997E-10</v>
      </c>
      <c r="L602" s="3">
        <v>3.4509999999999998E-10</v>
      </c>
      <c r="M602" s="3">
        <v>-1.195E-6</v>
      </c>
      <c r="N602" s="3">
        <v>1.297E-6</v>
      </c>
      <c r="O602" s="3">
        <v>-1.2639999999999999E-6</v>
      </c>
      <c r="P602" s="3">
        <v>1.345E-6</v>
      </c>
      <c r="Q602" s="3">
        <v>5.0290000000000002E-8</v>
      </c>
      <c r="R602" s="3">
        <v>1.4610000000000001E-6</v>
      </c>
      <c r="S602" s="13">
        <v>99999</v>
      </c>
      <c r="T602" s="13">
        <v>99999</v>
      </c>
      <c r="U602" s="13">
        <v>0.19497165637342725</v>
      </c>
    </row>
    <row r="603" spans="1:21" x14ac:dyDescent="0.2">
      <c r="A603">
        <v>505</v>
      </c>
      <c r="B603" s="12">
        <v>1</v>
      </c>
      <c r="C603" s="16">
        <v>4374</v>
      </c>
      <c r="D603" s="16">
        <v>4374</v>
      </c>
      <c r="E603" s="3">
        <v>1.4473169216639994</v>
      </c>
      <c r="F603" s="3">
        <v>0.73347015599999965</v>
      </c>
      <c r="G603" s="3">
        <v>-1.7229999999999997E-7</v>
      </c>
      <c r="H603" s="3">
        <v>2.0780000000000002E-7</v>
      </c>
      <c r="I603" s="3">
        <v>-1.691E-7</v>
      </c>
      <c r="J603" s="3">
        <v>1.9249999999999998E-7</v>
      </c>
      <c r="K603" s="3">
        <v>-3.096E-10</v>
      </c>
      <c r="L603" s="3">
        <v>3.467E-10</v>
      </c>
      <c r="M603" s="3">
        <v>-1.285E-6</v>
      </c>
      <c r="N603" s="3">
        <v>1.1930000000000001E-6</v>
      </c>
      <c r="O603" s="3">
        <v>-1.4109999999999999E-6</v>
      </c>
      <c r="P603" s="3">
        <v>1.392E-6</v>
      </c>
      <c r="Q603" s="3">
        <v>4.2489999999999999E-8</v>
      </c>
      <c r="R603" s="3">
        <v>1.4450000000000001E-6</v>
      </c>
      <c r="S603" s="13">
        <v>99999</v>
      </c>
      <c r="T603" s="13">
        <v>99999</v>
      </c>
      <c r="U603" s="13">
        <v>0.19593647797702129</v>
      </c>
    </row>
    <row r="604" spans="1:21" x14ac:dyDescent="0.2">
      <c r="A604">
        <v>506</v>
      </c>
      <c r="B604" s="12">
        <v>1</v>
      </c>
      <c r="C604" s="16">
        <v>4396</v>
      </c>
      <c r="D604" s="16">
        <v>4396</v>
      </c>
      <c r="E604" s="3">
        <v>1.3979780681760003</v>
      </c>
      <c r="F604" s="3">
        <v>0.70332451650000027</v>
      </c>
      <c r="G604" s="3">
        <v>-1.8340000000000001E-7</v>
      </c>
      <c r="H604" s="3">
        <v>1.952E-7</v>
      </c>
      <c r="I604" s="3">
        <v>-1.9010000000000001E-7</v>
      </c>
      <c r="J604" s="3">
        <v>1.962E-7</v>
      </c>
      <c r="K604" s="3">
        <v>-3.1269999999999996E-10</v>
      </c>
      <c r="L604" s="3">
        <v>3.4779999999999998E-10</v>
      </c>
      <c r="M604" s="3">
        <v>-1.1880000000000001E-6</v>
      </c>
      <c r="N604" s="3">
        <v>1.297E-6</v>
      </c>
      <c r="O604" s="3">
        <v>-1.3470000000000002E-6</v>
      </c>
      <c r="P604" s="3">
        <v>1.2110000000000001E-6</v>
      </c>
      <c r="Q604" s="3">
        <v>3.1329999999999997E-8</v>
      </c>
      <c r="R604" s="3">
        <v>1.48E-6</v>
      </c>
      <c r="S604" s="13">
        <v>99999</v>
      </c>
      <c r="T604" s="13">
        <v>99999</v>
      </c>
      <c r="U604" s="13">
        <v>0.1969019472843741</v>
      </c>
    </row>
    <row r="605" spans="1:21" x14ac:dyDescent="0.2">
      <c r="A605">
        <v>507</v>
      </c>
      <c r="B605" s="12">
        <v>1</v>
      </c>
      <c r="C605" s="16">
        <v>4418</v>
      </c>
      <c r="D605" s="16">
        <v>4418</v>
      </c>
      <c r="E605" s="3">
        <v>1.3486392146879995</v>
      </c>
      <c r="F605" s="3">
        <v>0.67317887699999979</v>
      </c>
      <c r="G605" s="3">
        <v>-1.9369999999999999E-7</v>
      </c>
      <c r="H605" s="3">
        <v>2.311E-7</v>
      </c>
      <c r="I605" s="3">
        <v>-1.7289999999999999E-7</v>
      </c>
      <c r="J605" s="3">
        <v>2.237E-7</v>
      </c>
      <c r="K605" s="3">
        <v>-3.1539999999999997E-10</v>
      </c>
      <c r="L605" s="3">
        <v>3.4830000000000003E-10</v>
      </c>
      <c r="M605" s="3">
        <v>-1.3149999999999999E-6</v>
      </c>
      <c r="N605" s="3">
        <v>1.2949999999999999E-6</v>
      </c>
      <c r="O605" s="3">
        <v>-1.4250000000000001E-6</v>
      </c>
      <c r="P605" s="3">
        <v>1.158E-6</v>
      </c>
      <c r="Q605" s="3">
        <v>9.3629999999999999E-8</v>
      </c>
      <c r="R605" s="3">
        <v>1.536E-6</v>
      </c>
      <c r="S605" s="13">
        <v>99999</v>
      </c>
      <c r="T605" s="13">
        <v>99999</v>
      </c>
      <c r="U605" s="13">
        <v>0.19786805480409236</v>
      </c>
    </row>
    <row r="606" spans="1:21" x14ac:dyDescent="0.2">
      <c r="A606">
        <v>508</v>
      </c>
      <c r="B606" s="12">
        <v>1</v>
      </c>
      <c r="C606" s="16">
        <v>4440</v>
      </c>
      <c r="D606" s="16">
        <v>4440</v>
      </c>
      <c r="E606" s="3">
        <v>1.2993003612000007</v>
      </c>
      <c r="F606" s="3">
        <v>0.64303323750000052</v>
      </c>
      <c r="G606" s="3">
        <v>-1.871E-7</v>
      </c>
      <c r="H606" s="3">
        <v>2.2880000000000001E-7</v>
      </c>
      <c r="I606" s="3">
        <v>-1.9340000000000002E-7</v>
      </c>
      <c r="J606" s="3">
        <v>1.9399999999999999E-7</v>
      </c>
      <c r="K606" s="3">
        <v>-3.1790000000000001E-10</v>
      </c>
      <c r="L606" s="3">
        <v>3.4830000000000003E-10</v>
      </c>
      <c r="M606" s="3">
        <v>-1.223E-6</v>
      </c>
      <c r="N606" s="3">
        <v>1.232E-6</v>
      </c>
      <c r="O606" s="3">
        <v>-1.499E-6</v>
      </c>
      <c r="P606" s="3">
        <v>9.8330000000000018E-7</v>
      </c>
      <c r="Q606" s="3">
        <v>3.9709999999999996E-8</v>
      </c>
      <c r="R606" s="3">
        <v>1.5269999999999999E-6</v>
      </c>
      <c r="S606" s="13">
        <v>99999</v>
      </c>
      <c r="T606" s="13">
        <v>99999</v>
      </c>
      <c r="U606" s="13">
        <v>0.19883479120319134</v>
      </c>
    </row>
    <row r="607" spans="1:21" x14ac:dyDescent="0.2">
      <c r="A607">
        <v>509</v>
      </c>
      <c r="B607" s="12">
        <v>1</v>
      </c>
      <c r="C607" s="16">
        <v>4462</v>
      </c>
      <c r="D607" s="16">
        <v>4462</v>
      </c>
      <c r="E607" s="3">
        <v>1.2499615077119999</v>
      </c>
      <c r="F607" s="3">
        <v>0.61288759800000003</v>
      </c>
      <c r="G607" s="3">
        <v>-2.1939999999999999E-7</v>
      </c>
      <c r="H607" s="3">
        <v>2.2000000000000001E-7</v>
      </c>
      <c r="I607" s="3">
        <v>-2.023E-7</v>
      </c>
      <c r="J607" s="3">
        <v>2.4140000000000003E-7</v>
      </c>
      <c r="K607" s="3">
        <v>-3.1979999999999997E-10</v>
      </c>
      <c r="L607" s="3">
        <v>3.4760000000000002E-10</v>
      </c>
      <c r="M607" s="3">
        <v>-1.279E-6</v>
      </c>
      <c r="N607" s="3">
        <v>1.344E-6</v>
      </c>
      <c r="O607" s="3">
        <v>-1.3430000000000001E-6</v>
      </c>
      <c r="P607" s="3">
        <v>1.1479999999999999E-6</v>
      </c>
      <c r="Q607" s="3">
        <v>8.3059999999999991E-8</v>
      </c>
      <c r="R607" s="3">
        <v>1.6390000000000001E-6</v>
      </c>
      <c r="S607" s="13">
        <v>99999</v>
      </c>
      <c r="T607" s="13">
        <v>99999</v>
      </c>
      <c r="U607" s="13">
        <v>0.19980214741814908</v>
      </c>
    </row>
    <row r="608" spans="1:21" x14ac:dyDescent="0.2">
      <c r="A608">
        <v>510</v>
      </c>
      <c r="B608" s="12">
        <v>1</v>
      </c>
      <c r="C608" s="16">
        <v>4483</v>
      </c>
      <c r="D608" s="16">
        <v>4483</v>
      </c>
      <c r="E608" s="3">
        <v>1.2006061969679995</v>
      </c>
      <c r="F608" s="3">
        <v>0.58273190324999979</v>
      </c>
      <c r="G608" s="3">
        <v>-1.9750000000000001E-7</v>
      </c>
      <c r="H608" s="3">
        <v>2.4560000000000003E-7</v>
      </c>
      <c r="I608" s="3">
        <v>-2.2249999999999999E-7</v>
      </c>
      <c r="J608" s="3">
        <v>2.4960000000000001E-7</v>
      </c>
      <c r="K608" s="3">
        <v>-3.2130000000000002E-10</v>
      </c>
      <c r="L608" s="3">
        <v>3.462E-10</v>
      </c>
      <c r="M608" s="3">
        <v>-1.3069999999999999E-6</v>
      </c>
      <c r="N608" s="3">
        <v>1.2839999999999999E-6</v>
      </c>
      <c r="O608" s="3">
        <v>-1.502E-6</v>
      </c>
      <c r="P608" s="3">
        <v>1.128E-6</v>
      </c>
      <c r="Q608" s="3">
        <v>4.5649999999999995E-8</v>
      </c>
      <c r="R608" s="3">
        <v>1.533E-6</v>
      </c>
      <c r="S608" s="13">
        <v>99999</v>
      </c>
      <c r="T608" s="13">
        <v>99999</v>
      </c>
      <c r="U608" s="13">
        <v>0.20072543878141605</v>
      </c>
    </row>
    <row r="609" spans="1:21" x14ac:dyDescent="0.2">
      <c r="A609">
        <v>511</v>
      </c>
      <c r="B609" s="12">
        <v>1</v>
      </c>
      <c r="C609" s="16">
        <v>4505</v>
      </c>
      <c r="D609" s="16">
        <v>4505</v>
      </c>
      <c r="E609" s="3">
        <v>1.1512673434800005</v>
      </c>
      <c r="F609" s="3">
        <v>0.55258626375000042</v>
      </c>
      <c r="G609" s="3">
        <v>-2.3770000000000002E-7</v>
      </c>
      <c r="H609" s="3">
        <v>2.1819999999999998E-7</v>
      </c>
      <c r="I609" s="3">
        <v>-2.2289999999999999E-7</v>
      </c>
      <c r="J609" s="3">
        <v>2.4750000000000001E-7</v>
      </c>
      <c r="K609" s="3">
        <v>-3.2230000000000001E-10</v>
      </c>
      <c r="L609" s="3">
        <v>3.4390000000000002E-10</v>
      </c>
      <c r="M609" s="3">
        <v>-1.389E-6</v>
      </c>
      <c r="N609" s="3">
        <v>1.2890000000000001E-6</v>
      </c>
      <c r="O609" s="3">
        <v>-1.345E-6</v>
      </c>
      <c r="P609" s="3">
        <v>1.1119999999999999E-6</v>
      </c>
      <c r="Q609" s="3">
        <v>6.3769999999999995E-8</v>
      </c>
      <c r="R609" s="3">
        <v>1.739E-6</v>
      </c>
      <c r="S609" s="13">
        <v>99999</v>
      </c>
      <c r="T609" s="13">
        <v>99999</v>
      </c>
      <c r="U609" s="13">
        <v>0.20169400439010463</v>
      </c>
    </row>
    <row r="610" spans="1:21" x14ac:dyDescent="0.2">
      <c r="A610">
        <v>512</v>
      </c>
      <c r="B610" s="12">
        <v>1</v>
      </c>
      <c r="C610" s="16">
        <v>4527</v>
      </c>
      <c r="D610" s="16">
        <v>4527</v>
      </c>
      <c r="E610" s="3">
        <v>1.1019284899919999</v>
      </c>
      <c r="F610" s="3">
        <v>0.52244062424999993</v>
      </c>
      <c r="G610" s="3">
        <v>-2.2000000000000001E-7</v>
      </c>
      <c r="H610" s="3">
        <v>2.5480000000000003E-7</v>
      </c>
      <c r="I610" s="3">
        <v>-2.3809999999999999E-7</v>
      </c>
      <c r="J610" s="3">
        <v>3.0200000000000003E-7</v>
      </c>
      <c r="K610" s="3">
        <v>-3.3619999999999999E-10</v>
      </c>
      <c r="L610" s="3">
        <v>3.4370000000000001E-10</v>
      </c>
      <c r="M610" s="3">
        <v>-1.344E-6</v>
      </c>
      <c r="N610" s="3">
        <v>1.3569999999999999E-6</v>
      </c>
      <c r="O610" s="3">
        <v>-1.4020000000000001E-6</v>
      </c>
      <c r="P610" s="3">
        <v>1.2310000000000002E-6</v>
      </c>
      <c r="Q610" s="3">
        <v>9.4430000000000006E-8</v>
      </c>
      <c r="R610" s="3">
        <v>1.6750000000000001E-6</v>
      </c>
      <c r="S610" s="13">
        <v>99999</v>
      </c>
      <c r="T610" s="13">
        <v>99999</v>
      </c>
      <c r="U610" s="13">
        <v>0.20266316346093807</v>
      </c>
    </row>
    <row r="611" spans="1:21" x14ac:dyDescent="0.2">
      <c r="A611">
        <v>513</v>
      </c>
      <c r="B611" s="12">
        <v>1</v>
      </c>
      <c r="C611" s="16">
        <v>4549</v>
      </c>
      <c r="D611" s="16">
        <v>4549</v>
      </c>
      <c r="E611" s="3">
        <v>1.0525896365039991</v>
      </c>
      <c r="F611" s="3">
        <v>0.4922949847499995</v>
      </c>
      <c r="G611" s="3">
        <v>-2.4420000000000003E-7</v>
      </c>
      <c r="H611" s="3">
        <v>2.572E-7</v>
      </c>
      <c r="I611" s="3">
        <v>-2.5290000000000005E-7</v>
      </c>
      <c r="J611" s="3">
        <v>2.403E-7</v>
      </c>
      <c r="K611" s="3">
        <v>-3.5069999999999999E-10</v>
      </c>
      <c r="L611" s="3">
        <v>3.4680000000000003E-10</v>
      </c>
      <c r="M611" s="3">
        <v>-1.4729999999999999E-6</v>
      </c>
      <c r="N611" s="3">
        <v>1.238E-6</v>
      </c>
      <c r="O611" s="3">
        <v>-1.389E-6</v>
      </c>
      <c r="P611" s="3">
        <v>1.257E-6</v>
      </c>
      <c r="Q611" s="3">
        <v>8.1470000000000001E-8</v>
      </c>
      <c r="R611" s="3">
        <v>1.784E-6</v>
      </c>
      <c r="S611" s="13">
        <v>99999</v>
      </c>
      <c r="T611" s="13">
        <v>99999</v>
      </c>
      <c r="U611" s="13">
        <v>0.20363290767453807</v>
      </c>
    </row>
    <row r="612" spans="1:21" x14ac:dyDescent="0.2">
      <c r="A612">
        <v>514</v>
      </c>
      <c r="B612" s="12">
        <v>1</v>
      </c>
      <c r="C612" s="16">
        <v>4571</v>
      </c>
      <c r="D612" s="16">
        <v>4571</v>
      </c>
      <c r="E612" s="3">
        <v>1.0032507830160002</v>
      </c>
      <c r="F612" s="3">
        <v>0.46214934525000012</v>
      </c>
      <c r="G612" s="3">
        <v>-2.6160000000000001E-7</v>
      </c>
      <c r="H612" s="3">
        <v>2.6160000000000001E-7</v>
      </c>
      <c r="I612" s="3">
        <v>-2.5270000000000003E-7</v>
      </c>
      <c r="J612" s="3">
        <v>3.4079999999999998E-7</v>
      </c>
      <c r="K612" s="3">
        <v>-3.6510000000000001E-10</v>
      </c>
      <c r="L612" s="3">
        <v>3.4849999999999999E-10</v>
      </c>
      <c r="M612" s="3">
        <v>-1.4950000000000001E-6</v>
      </c>
      <c r="N612" s="3">
        <v>1.3379999999999999E-6</v>
      </c>
      <c r="O612" s="3">
        <v>-1.2949999999999999E-6</v>
      </c>
      <c r="P612" s="3">
        <v>1.2839999999999999E-6</v>
      </c>
      <c r="Q612" s="3">
        <v>1.346E-7</v>
      </c>
      <c r="R612" s="3">
        <v>1.8500000000000001E-6</v>
      </c>
      <c r="S612" s="13">
        <v>99999</v>
      </c>
      <c r="T612" s="13">
        <v>99999</v>
      </c>
      <c r="U612" s="13">
        <v>0.2046032286358864</v>
      </c>
    </row>
    <row r="613" spans="1:21" x14ac:dyDescent="0.2">
      <c r="A613">
        <v>515</v>
      </c>
      <c r="B613" s="12">
        <v>1</v>
      </c>
      <c r="C613" s="16">
        <v>4593</v>
      </c>
      <c r="D613" s="16">
        <v>4593</v>
      </c>
      <c r="E613" s="3">
        <v>0.95391192952799941</v>
      </c>
      <c r="F613" s="3">
        <v>0.43200370574999969</v>
      </c>
      <c r="G613" s="3">
        <v>-2.5109999999999997E-7</v>
      </c>
      <c r="H613" s="3">
        <v>2.868E-7</v>
      </c>
      <c r="I613" s="3">
        <v>-3.1650000000000001E-7</v>
      </c>
      <c r="J613" s="3">
        <v>2.9639999999999998E-7</v>
      </c>
      <c r="K613" s="3">
        <v>-3.7930000000000002E-10</v>
      </c>
      <c r="L613" s="3">
        <v>3.487E-10</v>
      </c>
      <c r="M613" s="3">
        <v>-1.463E-6</v>
      </c>
      <c r="N613" s="3">
        <v>1.3379999999999999E-6</v>
      </c>
      <c r="O613" s="3">
        <v>-1.466E-6</v>
      </c>
      <c r="P613" s="3">
        <v>1.2930000000000002E-6</v>
      </c>
      <c r="Q613" s="3">
        <v>8.1589999999999991E-8</v>
      </c>
      <c r="R613" s="3">
        <v>1.7440000000000002E-6</v>
      </c>
      <c r="S613" s="13">
        <v>99999</v>
      </c>
      <c r="T613" s="13">
        <v>99999</v>
      </c>
      <c r="U613" s="13">
        <v>0.20557411813264678</v>
      </c>
    </row>
    <row r="614" spans="1:21" x14ac:dyDescent="0.2">
      <c r="A614">
        <v>516</v>
      </c>
      <c r="B614" s="12">
        <v>1</v>
      </c>
      <c r="C614" s="16">
        <v>4615</v>
      </c>
      <c r="D614" s="16">
        <v>4615</v>
      </c>
      <c r="E614" s="3">
        <v>0.90457307604000037</v>
      </c>
      <c r="F614" s="3">
        <v>0.40185806625000031</v>
      </c>
      <c r="G614" s="3">
        <v>-2.9090000000000004E-7</v>
      </c>
      <c r="H614" s="3">
        <v>2.9280000000000003E-7</v>
      </c>
      <c r="I614" s="3">
        <v>-3.0459999999999996E-7</v>
      </c>
      <c r="J614" s="3">
        <v>3.5280000000000004E-7</v>
      </c>
      <c r="K614" s="3">
        <v>-3.932E-10</v>
      </c>
      <c r="L614" s="3">
        <v>3.4729999999999998E-10</v>
      </c>
      <c r="M614" s="3">
        <v>-1.6649999999999999E-6</v>
      </c>
      <c r="N614" s="3">
        <v>1.3960000000000001E-6</v>
      </c>
      <c r="O614" s="3">
        <v>-1.2340000000000002E-6</v>
      </c>
      <c r="P614" s="3">
        <v>1.3259999999999999E-6</v>
      </c>
      <c r="Q614" s="3">
        <v>2.9280000000000001E-8</v>
      </c>
      <c r="R614" s="3">
        <v>1.9740000000000001E-6</v>
      </c>
      <c r="S614" s="13">
        <v>99999</v>
      </c>
      <c r="T614" s="13">
        <v>99999</v>
      </c>
      <c r="U614" s="13">
        <v>0.20654556832488688</v>
      </c>
    </row>
    <row r="615" spans="1:21" x14ac:dyDescent="0.2">
      <c r="A615">
        <v>517</v>
      </c>
      <c r="B615" s="12">
        <v>1</v>
      </c>
      <c r="C615" s="16">
        <v>4637</v>
      </c>
      <c r="D615" s="16">
        <v>4637</v>
      </c>
      <c r="E615" s="3">
        <v>0.85523422255199977</v>
      </c>
      <c r="F615" s="3">
        <v>0.37171242674999988</v>
      </c>
      <c r="G615" s="3">
        <v>-2.7510000000000002E-7</v>
      </c>
      <c r="H615" s="3">
        <v>3.0190000000000002E-7</v>
      </c>
      <c r="I615" s="3">
        <v>-3.6230000000000001E-7</v>
      </c>
      <c r="J615" s="3">
        <v>3.8370000000000003E-7</v>
      </c>
      <c r="K615" s="3">
        <v>-4.0690000000000001E-10</v>
      </c>
      <c r="L615" s="3">
        <v>3.6660000000000001E-10</v>
      </c>
      <c r="M615" s="3">
        <v>-1.604E-6</v>
      </c>
      <c r="N615" s="3">
        <v>1.5740000000000001E-6</v>
      </c>
      <c r="O615" s="3">
        <v>-1.598E-6</v>
      </c>
      <c r="P615" s="3">
        <v>1.3600000000000001E-6</v>
      </c>
      <c r="Q615" s="3">
        <v>4.3149999999999999E-8</v>
      </c>
      <c r="R615" s="3">
        <v>1.77E-6</v>
      </c>
      <c r="S615" s="13">
        <v>99999</v>
      </c>
      <c r="T615" s="13">
        <v>99999</v>
      </c>
      <c r="U615" s="13">
        <v>0.20751757106965177</v>
      </c>
    </row>
    <row r="616" spans="1:21" x14ac:dyDescent="0.2">
      <c r="A616">
        <v>518</v>
      </c>
      <c r="B616" s="12">
        <v>1</v>
      </c>
      <c r="C616" s="16">
        <v>4659</v>
      </c>
      <c r="D616" s="16">
        <v>4659</v>
      </c>
      <c r="E616" s="3">
        <v>0.80589536906400083</v>
      </c>
      <c r="F616" s="3">
        <v>0.3415667872500005</v>
      </c>
      <c r="G616" s="3">
        <v>-3.0149999999999999E-7</v>
      </c>
      <c r="H616" s="3">
        <v>3.2749999999999999E-7</v>
      </c>
      <c r="I616" s="3">
        <v>-3.4640000000000003E-7</v>
      </c>
      <c r="J616" s="3">
        <v>3.4640000000000003E-7</v>
      </c>
      <c r="K616" s="3">
        <v>-4.2030000000000004E-10</v>
      </c>
      <c r="L616" s="3">
        <v>3.9560000000000001E-10</v>
      </c>
      <c r="M616" s="3">
        <v>-1.793E-6</v>
      </c>
      <c r="N616" s="3">
        <v>1.384E-6</v>
      </c>
      <c r="O616" s="3">
        <v>-1.505E-6</v>
      </c>
      <c r="P616" s="3">
        <v>1.5540000000000001E-6</v>
      </c>
      <c r="Q616" s="3">
        <v>1.2709999999999999E-7</v>
      </c>
      <c r="R616" s="3">
        <v>2.0379999999999998E-6</v>
      </c>
      <c r="S616" s="13">
        <v>99999</v>
      </c>
      <c r="T616" s="13">
        <v>99999</v>
      </c>
      <c r="U616" s="13">
        <v>0.20849011895466668</v>
      </c>
    </row>
    <row r="617" spans="1:21" x14ac:dyDescent="0.2">
      <c r="A617">
        <v>519</v>
      </c>
      <c r="B617" s="12">
        <v>1</v>
      </c>
      <c r="C617" s="16">
        <v>4681</v>
      </c>
      <c r="D617" s="16">
        <v>4681</v>
      </c>
      <c r="E617" s="3">
        <v>0.75654005832000037</v>
      </c>
      <c r="F617" s="3">
        <v>0.31141109250000026</v>
      </c>
      <c r="G617" s="3">
        <v>-2.953E-7</v>
      </c>
      <c r="H617" s="3">
        <v>3.4000000000000003E-7</v>
      </c>
      <c r="I617" s="3">
        <v>-3.7179999999999998E-7</v>
      </c>
      <c r="J617" s="3">
        <v>4.6559999999999999E-7</v>
      </c>
      <c r="K617" s="3">
        <v>-4.3320000000000001E-10</v>
      </c>
      <c r="L617" s="3">
        <v>4.264E-10</v>
      </c>
      <c r="M617" s="3">
        <v>-1.8309999999999999E-6</v>
      </c>
      <c r="N617" s="3">
        <v>1.7780000000000002E-6</v>
      </c>
      <c r="O617" s="3">
        <v>-1.612E-6</v>
      </c>
      <c r="P617" s="3">
        <v>1.5169999999999998E-6</v>
      </c>
      <c r="Q617" s="3">
        <v>1.543E-7</v>
      </c>
      <c r="R617" s="3">
        <v>2.0539999999999997E-6</v>
      </c>
      <c r="S617" s="13">
        <v>99999</v>
      </c>
      <c r="T617" s="13">
        <v>99999</v>
      </c>
      <c r="U617" s="13">
        <v>0.20946320079790784</v>
      </c>
    </row>
    <row r="618" spans="1:21" x14ac:dyDescent="0.2">
      <c r="A618">
        <v>520</v>
      </c>
      <c r="B618" s="12">
        <v>1</v>
      </c>
      <c r="C618" s="16">
        <v>4703</v>
      </c>
      <c r="D618" s="16">
        <v>4703</v>
      </c>
      <c r="E618" s="3">
        <v>0.70720120483199966</v>
      </c>
      <c r="F618" s="3">
        <v>0.28126545299999983</v>
      </c>
      <c r="G618" s="3">
        <v>-3.0969999999999997E-7</v>
      </c>
      <c r="H618" s="3">
        <v>3.9280000000000002E-7</v>
      </c>
      <c r="I618" s="3">
        <v>-4.5350000000000003E-7</v>
      </c>
      <c r="J618" s="3">
        <v>3.6949999999999997E-7</v>
      </c>
      <c r="K618" s="3">
        <v>-4.576E-10</v>
      </c>
      <c r="L618" s="3">
        <v>4.5890000000000004E-10</v>
      </c>
      <c r="M618" s="3">
        <v>-1.889E-6</v>
      </c>
      <c r="N618" s="3">
        <v>1.6670000000000001E-6</v>
      </c>
      <c r="O618" s="3">
        <v>-1.6919999999999999E-6</v>
      </c>
      <c r="P618" s="3">
        <v>1.796E-6</v>
      </c>
      <c r="Q618" s="3">
        <v>8.8560000000000007E-8</v>
      </c>
      <c r="R618" s="3">
        <v>2.058E-6</v>
      </c>
      <c r="S618" s="13">
        <v>99999</v>
      </c>
      <c r="T618" s="13">
        <v>99999</v>
      </c>
      <c r="U618" s="13">
        <v>0.21043681606118311</v>
      </c>
    </row>
    <row r="619" spans="1:21" x14ac:dyDescent="0.2">
      <c r="A619">
        <v>521</v>
      </c>
      <c r="B619" s="12">
        <v>1</v>
      </c>
      <c r="C619" s="16">
        <v>4724</v>
      </c>
      <c r="D619" s="16">
        <v>4724</v>
      </c>
      <c r="E619" s="3">
        <v>0.65786235134400073</v>
      </c>
      <c r="F619" s="3">
        <v>0.25111981350000045</v>
      </c>
      <c r="G619" s="3">
        <v>-3.0009999999999999E-7</v>
      </c>
      <c r="H619" s="3">
        <v>4.129E-7</v>
      </c>
      <c r="I619" s="3">
        <v>-3.8780000000000002E-7</v>
      </c>
      <c r="J619" s="3">
        <v>5.3420000000000001E-7</v>
      </c>
      <c r="K619" s="3">
        <v>-4.8329999999999998E-10</v>
      </c>
      <c r="L619" s="3">
        <v>4.9339999999999997E-10</v>
      </c>
      <c r="M619" s="3">
        <v>-2.2750000000000002E-6</v>
      </c>
      <c r="N619" s="3">
        <v>1.9130000000000001E-6</v>
      </c>
      <c r="O619" s="3">
        <v>-1.4330000000000001E-6</v>
      </c>
      <c r="P619" s="3">
        <v>1.6819999999999999E-6</v>
      </c>
      <c r="Q619" s="3">
        <v>3.8710000000000001E-8</v>
      </c>
      <c r="R619" s="3">
        <v>2.3990000000000002E-6</v>
      </c>
      <c r="S619" s="13">
        <v>99999</v>
      </c>
      <c r="T619" s="13">
        <v>99999</v>
      </c>
      <c r="U619" s="13">
        <v>0.21136625161481995</v>
      </c>
    </row>
    <row r="620" spans="1:21" x14ac:dyDescent="0.2">
      <c r="A620">
        <v>522</v>
      </c>
      <c r="B620" s="12">
        <v>1</v>
      </c>
      <c r="C620" s="16">
        <v>4746</v>
      </c>
      <c r="D620" s="16">
        <v>4746</v>
      </c>
      <c r="E620" s="3">
        <v>0.60852349785600002</v>
      </c>
      <c r="F620" s="3">
        <v>0.220974174</v>
      </c>
      <c r="G620" s="3">
        <v>-3.7950000000000003E-7</v>
      </c>
      <c r="H620" s="3">
        <v>4.4579999999999998E-7</v>
      </c>
      <c r="I620" s="3">
        <v>-5.5290000000000003E-7</v>
      </c>
      <c r="J620" s="3">
        <v>4.376E-7</v>
      </c>
      <c r="K620" s="3">
        <v>-5.1029999999999999E-10</v>
      </c>
      <c r="L620" s="3">
        <v>5.2979999999999997E-10</v>
      </c>
      <c r="M620" s="3">
        <v>-2.1849999999999998E-6</v>
      </c>
      <c r="N620" s="3">
        <v>1.829E-6</v>
      </c>
      <c r="O620" s="3">
        <v>-1.7619999999999998E-6</v>
      </c>
      <c r="P620" s="3">
        <v>2.029E-6</v>
      </c>
      <c r="Q620" s="3">
        <v>1.6300000000000002E-7</v>
      </c>
      <c r="R620" s="3">
        <v>2.2560000000000001E-6</v>
      </c>
      <c r="S620" s="13">
        <v>99999</v>
      </c>
      <c r="T620" s="13">
        <v>99999</v>
      </c>
      <c r="U620" s="13">
        <v>0.21234090280628479</v>
      </c>
    </row>
    <row r="621" spans="1:21" x14ac:dyDescent="0.2">
      <c r="A621">
        <v>523</v>
      </c>
      <c r="B621" s="12">
        <v>1</v>
      </c>
      <c r="C621" s="16">
        <v>4768</v>
      </c>
      <c r="D621" s="16">
        <v>4768</v>
      </c>
      <c r="E621" s="3">
        <v>0.55920110162400072</v>
      </c>
      <c r="F621" s="3">
        <v>0.19083858975000043</v>
      </c>
      <c r="G621" s="3">
        <v>-4.6250000000000002E-7</v>
      </c>
      <c r="H621" s="3">
        <v>5.3229999999999997E-7</v>
      </c>
      <c r="I621" s="3">
        <v>-4.7399999999999998E-7</v>
      </c>
      <c r="J621" s="3">
        <v>5.961E-7</v>
      </c>
      <c r="K621" s="3">
        <v>-5.3509999999999994E-10</v>
      </c>
      <c r="L621" s="3">
        <v>5.6349999999999997E-10</v>
      </c>
      <c r="M621" s="3">
        <v>-2.672E-6</v>
      </c>
      <c r="N621" s="3">
        <v>1.9810000000000002E-6</v>
      </c>
      <c r="O621" s="3">
        <v>-1.5610000000000002E-6</v>
      </c>
      <c r="P621" s="3">
        <v>2.176E-6</v>
      </c>
      <c r="Q621" s="3">
        <v>1.4880000000000001E-7</v>
      </c>
      <c r="R621" s="3">
        <v>2.7369999999999998E-6</v>
      </c>
      <c r="S621" s="13">
        <v>99999</v>
      </c>
      <c r="T621" s="13">
        <v>99999</v>
      </c>
      <c r="U621" s="13">
        <v>0.21331606540490267</v>
      </c>
    </row>
    <row r="622" spans="1:21" x14ac:dyDescent="0.2">
      <c r="A622">
        <v>524</v>
      </c>
      <c r="B622" s="12">
        <v>1</v>
      </c>
      <c r="C622" s="16">
        <v>4785</v>
      </c>
      <c r="D622" s="16">
        <v>4785</v>
      </c>
      <c r="E622" s="3">
        <v>0.52172792971199999</v>
      </c>
      <c r="F622" s="3">
        <v>0.16794278549999997</v>
      </c>
      <c r="G622" s="3">
        <v>-4.6329999999999997E-7</v>
      </c>
      <c r="H622" s="3">
        <v>5.2959999999999998E-7</v>
      </c>
      <c r="I622" s="3">
        <v>-5.8670000000000003E-7</v>
      </c>
      <c r="J622" s="3">
        <v>6.9530000000000004E-7</v>
      </c>
      <c r="K622" s="3">
        <v>-5.535E-10</v>
      </c>
      <c r="L622" s="3">
        <v>5.8879999999999997E-10</v>
      </c>
      <c r="M622" s="3">
        <v>-2.711E-6</v>
      </c>
      <c r="N622" s="3">
        <v>2.3640000000000002E-6</v>
      </c>
      <c r="O622" s="3">
        <v>-1.781E-6</v>
      </c>
      <c r="P622" s="3">
        <v>1.9870000000000002E-6</v>
      </c>
      <c r="Q622" s="3">
        <v>1.807E-7</v>
      </c>
      <c r="R622" s="3">
        <v>2.7889999999999999E-6</v>
      </c>
      <c r="S622" s="13">
        <v>99999</v>
      </c>
      <c r="T622" s="13">
        <v>99999</v>
      </c>
      <c r="U622" s="13">
        <v>0.21407004449987821</v>
      </c>
    </row>
    <row r="623" spans="1:21" x14ac:dyDescent="0.2">
      <c r="A623">
        <v>525</v>
      </c>
      <c r="B623" s="12">
        <v>1</v>
      </c>
      <c r="C623" s="16">
        <v>4796</v>
      </c>
      <c r="D623" s="16">
        <v>4796</v>
      </c>
      <c r="E623" s="3">
        <v>0.49676227235999909</v>
      </c>
      <c r="F623" s="3">
        <v>0.15268897124999944</v>
      </c>
      <c r="G623" s="3">
        <v>-5.7260000000000003E-7</v>
      </c>
      <c r="H623" s="3">
        <v>5.2300000000000001E-7</v>
      </c>
      <c r="I623" s="3">
        <v>-6.9770000000000001E-7</v>
      </c>
      <c r="J623" s="3">
        <v>6.8390000000000003E-7</v>
      </c>
      <c r="K623" s="3">
        <v>-5.6600000000000001E-10</v>
      </c>
      <c r="L623" s="3">
        <v>6.0610000000000001E-10</v>
      </c>
      <c r="M623" s="3">
        <v>-2.5730000000000002E-6</v>
      </c>
      <c r="N623" s="3">
        <v>2.509E-6</v>
      </c>
      <c r="O623" s="3">
        <v>-2.0650000000000001E-6</v>
      </c>
      <c r="P623" s="3">
        <v>2.6189999999999998E-6</v>
      </c>
      <c r="Q623" s="3">
        <v>3.2709999999999996E-7</v>
      </c>
      <c r="R623" s="3">
        <v>2.6189999999999998E-6</v>
      </c>
      <c r="S623" s="13">
        <v>99999</v>
      </c>
      <c r="T623" s="13">
        <v>99999</v>
      </c>
      <c r="U623" s="13">
        <v>0.21455795646873407</v>
      </c>
    </row>
    <row r="624" spans="1:21" x14ac:dyDescent="0.2">
      <c r="A624">
        <v>526</v>
      </c>
      <c r="B624" s="12">
        <v>1</v>
      </c>
      <c r="C624" s="16">
        <v>4803</v>
      </c>
      <c r="D624" s="16">
        <v>4803</v>
      </c>
      <c r="E624" s="3">
        <v>0.48010752928800005</v>
      </c>
      <c r="F624" s="3">
        <v>0.14251305825000002</v>
      </c>
      <c r="G624" s="3">
        <v>-6.2069999999999994E-7</v>
      </c>
      <c r="H624" s="3">
        <v>6.0269999999999996E-7</v>
      </c>
      <c r="I624" s="3">
        <v>-7.6539999999999991E-7</v>
      </c>
      <c r="J624" s="3">
        <v>7.5509999999999998E-7</v>
      </c>
      <c r="K624" s="3">
        <v>-5.7449999999999993E-10</v>
      </c>
      <c r="L624" s="3">
        <v>6.1780000000000008E-10</v>
      </c>
      <c r="M624" s="3">
        <v>-2.4899999999999999E-6</v>
      </c>
      <c r="N624" s="3">
        <v>2.491E-6</v>
      </c>
      <c r="O624" s="3">
        <v>-2.2649999999999999E-6</v>
      </c>
      <c r="P624" s="3">
        <v>2.9359999999999999E-6</v>
      </c>
      <c r="Q624" s="3">
        <v>3.0269999999999998E-7</v>
      </c>
      <c r="R624" s="3">
        <v>3.0109999999999996E-6</v>
      </c>
      <c r="S624" s="13">
        <v>99999</v>
      </c>
      <c r="T624" s="13">
        <v>99999</v>
      </c>
      <c r="U624" s="13">
        <v>0.2148683966185001</v>
      </c>
    </row>
    <row r="625" spans="1:21" x14ac:dyDescent="0.2">
      <c r="A625">
        <v>527</v>
      </c>
      <c r="B625" s="12">
        <v>1</v>
      </c>
      <c r="C625" s="16">
        <v>4808</v>
      </c>
      <c r="D625" s="16">
        <v>4808</v>
      </c>
      <c r="E625" s="3">
        <v>0.46899888148800073</v>
      </c>
      <c r="F625" s="3">
        <v>0.13572576450000048</v>
      </c>
      <c r="G625" s="3">
        <v>-6.6299999999999994E-7</v>
      </c>
      <c r="H625" s="3">
        <v>6.5550000000000001E-7</v>
      </c>
      <c r="I625" s="3">
        <v>-7.935E-7</v>
      </c>
      <c r="J625" s="3">
        <v>7.8940000000000001E-7</v>
      </c>
      <c r="K625" s="3">
        <v>-5.8019999999999992E-10</v>
      </c>
      <c r="L625" s="3">
        <v>6.2570000000000002E-10</v>
      </c>
      <c r="M625" s="3">
        <v>-2.3429999999999998E-6</v>
      </c>
      <c r="N625" s="3">
        <v>2.6020000000000002E-6</v>
      </c>
      <c r="O625" s="3">
        <v>-2.469E-6</v>
      </c>
      <c r="P625" s="3">
        <v>3.0900000000000001E-6</v>
      </c>
      <c r="Q625" s="3">
        <v>1.165E-7</v>
      </c>
      <c r="R625" s="3">
        <v>3.3000000000000002E-6</v>
      </c>
      <c r="S625" s="13">
        <v>99999</v>
      </c>
      <c r="T625" s="13">
        <v>99999</v>
      </c>
      <c r="U625" s="13">
        <v>0.21509028991966905</v>
      </c>
    </row>
    <row r="626" spans="1:21" x14ac:dyDescent="0.2">
      <c r="A626">
        <v>528</v>
      </c>
      <c r="B626" s="12">
        <v>1</v>
      </c>
      <c r="C626" s="16">
        <v>4812</v>
      </c>
      <c r="D626" s="16">
        <v>4812</v>
      </c>
      <c r="E626" s="3">
        <v>0.46159311628800004</v>
      </c>
      <c r="F626" s="3">
        <v>0.13120090200000004</v>
      </c>
      <c r="G626" s="3">
        <v>-6.8889999999999998E-7</v>
      </c>
      <c r="H626" s="3">
        <v>6.8759999999999999E-7</v>
      </c>
      <c r="I626" s="3">
        <v>-8.047E-7</v>
      </c>
      <c r="J626" s="3">
        <v>8.0589999999999998E-7</v>
      </c>
      <c r="K626" s="3">
        <v>-5.8400000000000005E-10</v>
      </c>
      <c r="L626" s="3">
        <v>6.3099999999999999E-10</v>
      </c>
      <c r="M626" s="3">
        <v>-2.2050000000000001E-6</v>
      </c>
      <c r="N626" s="3">
        <v>2.7629999999999996E-6</v>
      </c>
      <c r="O626" s="3">
        <v>-2.587E-6</v>
      </c>
      <c r="P626" s="3">
        <v>3.1659999999999998E-6</v>
      </c>
      <c r="Q626" s="3">
        <v>7.8540000000000001E-8</v>
      </c>
      <c r="R626" s="3">
        <v>3.4999999999999999E-6</v>
      </c>
      <c r="S626" s="13">
        <v>99999</v>
      </c>
      <c r="T626" s="13">
        <v>99999</v>
      </c>
      <c r="U626" s="13">
        <v>0.21526803913730716</v>
      </c>
    </row>
    <row r="627" spans="1:21" x14ac:dyDescent="0.2">
      <c r="A627">
        <v>529</v>
      </c>
      <c r="B627" s="12">
        <v>1</v>
      </c>
      <c r="C627" s="16">
        <v>4814</v>
      </c>
      <c r="D627" s="16">
        <v>4814</v>
      </c>
      <c r="E627" s="3">
        <v>0.45665593948800076</v>
      </c>
      <c r="F627" s="3">
        <v>0.12818432700000046</v>
      </c>
      <c r="G627" s="3">
        <v>-7.0240000000000004E-7</v>
      </c>
      <c r="H627" s="3">
        <v>7.0790000000000003E-7</v>
      </c>
      <c r="I627" s="3">
        <v>-8.0739999999999999E-7</v>
      </c>
      <c r="J627" s="3">
        <v>8.103E-7</v>
      </c>
      <c r="K627" s="3">
        <v>-5.8940000000000005E-10</v>
      </c>
      <c r="L627" s="3">
        <v>6.3839999999999999E-10</v>
      </c>
      <c r="M627" s="3">
        <v>-2.2000000000000001E-6</v>
      </c>
      <c r="N627" s="3">
        <v>2.8650000000000001E-6</v>
      </c>
      <c r="O627" s="3">
        <v>-2.6570000000000001E-6</v>
      </c>
      <c r="P627" s="3">
        <v>3.2039999999999997E-6</v>
      </c>
      <c r="Q627" s="3">
        <v>1.339E-7</v>
      </c>
      <c r="R627" s="3">
        <v>3.6340000000000003E-6</v>
      </c>
      <c r="S627" s="13">
        <v>99999</v>
      </c>
      <c r="T627" s="13">
        <v>99999</v>
      </c>
      <c r="U627" s="13">
        <v>0.11724260820706139</v>
      </c>
    </row>
    <row r="628" spans="1:21" x14ac:dyDescent="0.2">
      <c r="A628">
        <v>530</v>
      </c>
      <c r="B628" s="12">
        <v>1</v>
      </c>
      <c r="C628" s="16">
        <v>4817</v>
      </c>
      <c r="D628" s="16">
        <v>4817</v>
      </c>
      <c r="E628" s="3">
        <v>0.45219602311199958</v>
      </c>
      <c r="F628" s="3">
        <v>0.12545935424999977</v>
      </c>
      <c r="G628" s="3">
        <v>-7.1219999999999993E-7</v>
      </c>
      <c r="H628" s="3">
        <v>7.2890000000000002E-7</v>
      </c>
      <c r="I628" s="3">
        <v>-8.0299999999999998E-7</v>
      </c>
      <c r="J628" s="3">
        <v>8.0480000000000001E-7</v>
      </c>
      <c r="K628" s="3">
        <v>-5.9889999999999997E-10</v>
      </c>
      <c r="L628" s="3">
        <v>6.5170000000000003E-10</v>
      </c>
      <c r="M628" s="3">
        <v>-2.2369999999999999E-6</v>
      </c>
      <c r="N628" s="3">
        <v>3.0850000000000001E-6</v>
      </c>
      <c r="O628" s="3">
        <v>-2.7139999999999998E-6</v>
      </c>
      <c r="P628" s="3">
        <v>3.23E-6</v>
      </c>
      <c r="Q628" s="3">
        <v>1.818E-7</v>
      </c>
      <c r="R628" s="3">
        <v>3.755E-6</v>
      </c>
      <c r="S628" s="13">
        <v>99999</v>
      </c>
      <c r="T628" s="13">
        <v>99999</v>
      </c>
      <c r="U628" s="13">
        <v>0.1173147876717891</v>
      </c>
    </row>
    <row r="629" spans="1:21" x14ac:dyDescent="0.2">
      <c r="A629">
        <v>531</v>
      </c>
      <c r="B629" s="12">
        <v>1</v>
      </c>
      <c r="C629" s="16">
        <v>4821</v>
      </c>
      <c r="D629" s="16">
        <v>4821</v>
      </c>
      <c r="E629" s="3">
        <v>0.44549791992000076</v>
      </c>
      <c r="F629" s="3">
        <v>0.1213668675000005</v>
      </c>
      <c r="G629" s="3">
        <v>-7.1489999999999992E-7</v>
      </c>
      <c r="H629" s="3">
        <v>7.6869999999999994E-7</v>
      </c>
      <c r="I629" s="3">
        <v>-7.8399999999999993E-7</v>
      </c>
      <c r="J629" s="3">
        <v>7.8680000000000003E-7</v>
      </c>
      <c r="K629" s="3">
        <v>-6.1330000000000004E-10</v>
      </c>
      <c r="L629" s="3">
        <v>6.7169999999999997E-10</v>
      </c>
      <c r="M629" s="3">
        <v>-2.4420000000000001E-6</v>
      </c>
      <c r="N629" s="3">
        <v>3.4129999999999998E-6</v>
      </c>
      <c r="O629" s="3">
        <v>-2.7839999999999999E-6</v>
      </c>
      <c r="P629" s="3">
        <v>3.247E-6</v>
      </c>
      <c r="Q629" s="3">
        <v>4.0070000000000001E-8</v>
      </c>
      <c r="R629" s="3">
        <v>3.9280000000000003E-6</v>
      </c>
      <c r="S629" s="13">
        <v>99999</v>
      </c>
      <c r="T629" s="13">
        <v>99999</v>
      </c>
      <c r="U629" s="13">
        <v>0.11741090332372785</v>
      </c>
    </row>
    <row r="630" spans="1:21" x14ac:dyDescent="0.2">
      <c r="A630">
        <v>532</v>
      </c>
      <c r="B630" s="12">
        <v>1</v>
      </c>
      <c r="C630" s="16">
        <v>4827</v>
      </c>
      <c r="D630" s="16">
        <v>4827</v>
      </c>
      <c r="E630" s="3">
        <v>0.43544253650399911</v>
      </c>
      <c r="F630" s="3">
        <v>0.11522310974999947</v>
      </c>
      <c r="G630" s="3">
        <v>-7.4479999999999995E-7</v>
      </c>
      <c r="H630" s="3">
        <v>8.4210000000000006E-7</v>
      </c>
      <c r="I630" s="3">
        <v>-7.2519999999999996E-7</v>
      </c>
      <c r="J630" s="3">
        <v>8.1649999999999993E-7</v>
      </c>
      <c r="K630" s="3">
        <v>-6.3410000000000001E-10</v>
      </c>
      <c r="L630" s="3">
        <v>7.0070000000000007E-10</v>
      </c>
      <c r="M630" s="3">
        <v>-2.8709999999999997E-6</v>
      </c>
      <c r="N630" s="3">
        <v>3.8920000000000002E-6</v>
      </c>
      <c r="O630" s="3">
        <v>-2.8540000000000001E-6</v>
      </c>
      <c r="P630" s="3">
        <v>3.225E-6</v>
      </c>
      <c r="Q630" s="3">
        <v>2.0939999999999998E-7</v>
      </c>
      <c r="R630" s="3">
        <v>4.1640000000000003E-6</v>
      </c>
      <c r="S630" s="13">
        <v>99999</v>
      </c>
      <c r="T630" s="13">
        <v>99999</v>
      </c>
      <c r="U630" s="13">
        <v>0.1175550968710751</v>
      </c>
    </row>
    <row r="631" spans="1:21" x14ac:dyDescent="0.2">
      <c r="A631">
        <v>533</v>
      </c>
      <c r="B631" s="12">
        <v>1</v>
      </c>
      <c r="C631" s="16">
        <v>4836</v>
      </c>
      <c r="D631" s="16">
        <v>4836</v>
      </c>
      <c r="E631" s="3">
        <v>0.42128929634400075</v>
      </c>
      <c r="F631" s="3">
        <v>0.10657559475000047</v>
      </c>
      <c r="G631" s="3">
        <v>-7.793E-7</v>
      </c>
      <c r="H631" s="3">
        <v>8.8489999999999999E-7</v>
      </c>
      <c r="I631" s="3">
        <v>-7.2670000000000007E-7</v>
      </c>
      <c r="J631" s="3">
        <v>8.9150000000000006E-7</v>
      </c>
      <c r="K631" s="3">
        <v>-6.6669999999999998E-10</v>
      </c>
      <c r="L631" s="3">
        <v>7.3470000000000006E-10</v>
      </c>
      <c r="M631" s="3">
        <v>-3.444E-6</v>
      </c>
      <c r="N631" s="3">
        <v>4.5180000000000006E-6</v>
      </c>
      <c r="O631" s="3">
        <v>-2.9799999999999998E-6</v>
      </c>
      <c r="P631" s="3">
        <v>3.0920000000000002E-6</v>
      </c>
      <c r="Q631" s="3">
        <v>6.4309999999999998E-8</v>
      </c>
      <c r="R631" s="3">
        <v>4.5199999999999999E-6</v>
      </c>
      <c r="S631" s="13">
        <v>99999</v>
      </c>
      <c r="T631" s="13">
        <v>99999</v>
      </c>
      <c r="U631" s="13">
        <v>0.11777159306918403</v>
      </c>
    </row>
    <row r="632" spans="1:21" x14ac:dyDescent="0.2">
      <c r="A632">
        <v>534</v>
      </c>
      <c r="B632" s="12">
        <v>1</v>
      </c>
      <c r="C632" s="16">
        <v>4845</v>
      </c>
      <c r="D632" s="16">
        <v>4845</v>
      </c>
      <c r="E632" s="3">
        <v>0.40713605618400051</v>
      </c>
      <c r="F632" s="3">
        <v>9.7928079750000327E-2</v>
      </c>
      <c r="G632" s="3">
        <v>-7.8940000000000001E-7</v>
      </c>
      <c r="H632" s="3">
        <v>8.766E-7</v>
      </c>
      <c r="I632" s="3">
        <v>-7.8810000000000002E-7</v>
      </c>
      <c r="J632" s="3">
        <v>9.3180000000000002E-7</v>
      </c>
      <c r="K632" s="3">
        <v>-7.0279999999999999E-10</v>
      </c>
      <c r="L632" s="3">
        <v>7.6879999999999997E-10</v>
      </c>
      <c r="M632" s="3">
        <v>-3.9580000000000001E-6</v>
      </c>
      <c r="N632" s="3">
        <v>5.0530000000000006E-6</v>
      </c>
      <c r="O632" s="3">
        <v>-3.3579999999999999E-6</v>
      </c>
      <c r="P632" s="3">
        <v>3.4120000000000001E-6</v>
      </c>
      <c r="Q632" s="3">
        <v>2.3900000000000001E-7</v>
      </c>
      <c r="R632" s="3">
        <v>5.0530000000000006E-6</v>
      </c>
      <c r="S632" s="13">
        <v>99999</v>
      </c>
      <c r="T632" s="13">
        <v>99999</v>
      </c>
      <c r="U632" s="13">
        <v>0.11798814064388805</v>
      </c>
    </row>
    <row r="633" spans="1:21" x14ac:dyDescent="0.2">
      <c r="A633">
        <v>535</v>
      </c>
      <c r="B633" s="12">
        <v>1</v>
      </c>
      <c r="C633" s="16">
        <v>4854</v>
      </c>
      <c r="D633" s="16">
        <v>4854</v>
      </c>
      <c r="E633" s="3">
        <v>0.39296635876800068</v>
      </c>
      <c r="F633" s="3">
        <v>8.9270509500000442E-2</v>
      </c>
      <c r="G633" s="3">
        <v>-7.7439999999999995E-7</v>
      </c>
      <c r="H633" s="3">
        <v>8.1790000000000004E-7</v>
      </c>
      <c r="I633" s="3">
        <v>-8.1550000000000007E-7</v>
      </c>
      <c r="J633" s="3">
        <v>9.6410000000000001E-7</v>
      </c>
      <c r="K633" s="3">
        <v>-7.3910000000000006E-10</v>
      </c>
      <c r="L633" s="3">
        <v>8.0300000000000002E-10</v>
      </c>
      <c r="M633" s="3">
        <v>-4.3880000000000002E-6</v>
      </c>
      <c r="N633" s="3">
        <v>5.4650000000000002E-6</v>
      </c>
      <c r="O633" s="3">
        <v>-3.822E-6</v>
      </c>
      <c r="P633" s="3">
        <v>4.065E-6</v>
      </c>
      <c r="Q633" s="3">
        <v>2.3409999999999999E-7</v>
      </c>
      <c r="R633" s="3">
        <v>5.4650000000000002E-6</v>
      </c>
      <c r="S633" s="13">
        <v>99999</v>
      </c>
      <c r="T633" s="13">
        <v>99999</v>
      </c>
      <c r="U633" s="13">
        <v>0.11820473658266567</v>
      </c>
    </row>
    <row r="634" spans="1:21" x14ac:dyDescent="0.2">
      <c r="A634">
        <v>536</v>
      </c>
      <c r="B634" s="12">
        <v>1</v>
      </c>
      <c r="C634" s="16">
        <v>4862</v>
      </c>
      <c r="D634" s="16">
        <v>4862</v>
      </c>
      <c r="E634" s="3">
        <v>0.37881311860800043</v>
      </c>
      <c r="F634" s="3">
        <v>8.0622994500000295E-2</v>
      </c>
      <c r="G634" s="3">
        <v>-7.8329999999999998E-7</v>
      </c>
      <c r="H634" s="3">
        <v>7.6610000000000006E-7</v>
      </c>
      <c r="I634" s="3">
        <v>-8.1279999999999997E-7</v>
      </c>
      <c r="J634" s="3">
        <v>9.935000000000001E-7</v>
      </c>
      <c r="K634" s="3">
        <v>-7.7559999999999999E-10</v>
      </c>
      <c r="L634" s="3">
        <v>8.3740000000000002E-10</v>
      </c>
      <c r="M634" s="3">
        <v>-4.7140000000000001E-6</v>
      </c>
      <c r="N634" s="3">
        <v>5.7279999999999992E-6</v>
      </c>
      <c r="O634" s="3">
        <v>-4.2249999999999994E-6</v>
      </c>
      <c r="P634" s="3">
        <v>4.6750000000000001E-6</v>
      </c>
      <c r="Q634" s="3">
        <v>3.841E-7</v>
      </c>
      <c r="R634" s="3">
        <v>5.7370000000000003E-6</v>
      </c>
      <c r="S634" s="13">
        <v>99999</v>
      </c>
      <c r="T634" s="13">
        <v>99999</v>
      </c>
      <c r="U634" s="13">
        <v>0.11839705971157337</v>
      </c>
    </row>
    <row r="635" spans="1:21" x14ac:dyDescent="0.2">
      <c r="A635">
        <v>537</v>
      </c>
      <c r="B635" s="12">
        <v>1</v>
      </c>
      <c r="C635" s="16">
        <v>4871</v>
      </c>
      <c r="D635" s="16">
        <v>4871</v>
      </c>
      <c r="E635" s="3">
        <v>0.36465987844800024</v>
      </c>
      <c r="F635" s="3">
        <v>7.1975479500000161E-2</v>
      </c>
      <c r="G635" s="3">
        <v>-9.1579999999999998E-7</v>
      </c>
      <c r="H635" s="3">
        <v>8.4769999999999995E-7</v>
      </c>
      <c r="I635" s="3">
        <v>-8.9790000000000001E-7</v>
      </c>
      <c r="J635" s="3">
        <v>1.13E-6</v>
      </c>
      <c r="K635" s="3">
        <v>-8.1230000000000008E-10</v>
      </c>
      <c r="L635" s="3">
        <v>8.7189999999999996E-10</v>
      </c>
      <c r="M635" s="3">
        <v>-4.9109999999999992E-6</v>
      </c>
      <c r="N635" s="3">
        <v>5.8209999999999998E-6</v>
      </c>
      <c r="O635" s="3">
        <v>-4.6909999999999996E-6</v>
      </c>
      <c r="P635" s="3">
        <v>5.2220000000000001E-6</v>
      </c>
      <c r="Q635" s="3">
        <v>2.9339999999999997E-7</v>
      </c>
      <c r="R635" s="3">
        <v>5.8619999999999999E-6</v>
      </c>
      <c r="S635" s="13">
        <v>99999</v>
      </c>
      <c r="T635" s="13">
        <v>99999</v>
      </c>
      <c r="U635" s="13">
        <v>0.11861375913251659</v>
      </c>
    </row>
    <row r="636" spans="1:21" x14ac:dyDescent="0.2">
      <c r="A636">
        <v>538</v>
      </c>
      <c r="B636" s="12">
        <v>1</v>
      </c>
      <c r="C636" s="16">
        <v>4880</v>
      </c>
      <c r="D636" s="16">
        <v>4880</v>
      </c>
      <c r="E636" s="3">
        <v>0.35049018103200041</v>
      </c>
      <c r="F636" s="3">
        <v>6.3317909250000262E-2</v>
      </c>
      <c r="G636" s="3">
        <v>-1.0130000000000001E-6</v>
      </c>
      <c r="H636" s="3">
        <v>9.1719999999999998E-7</v>
      </c>
      <c r="I636" s="3">
        <v>-9.9999999999999995E-7</v>
      </c>
      <c r="J636" s="3">
        <v>1.2500000000000001E-6</v>
      </c>
      <c r="K636" s="3">
        <v>-8.4929999999999995E-10</v>
      </c>
      <c r="L636" s="3">
        <v>9.0650000000000002E-10</v>
      </c>
      <c r="M636" s="3">
        <v>-4.9589999999999994E-6</v>
      </c>
      <c r="N636" s="3">
        <v>5.733E-6</v>
      </c>
      <c r="O636" s="3">
        <v>-5.2579999999999995E-6</v>
      </c>
      <c r="P636" s="3">
        <v>5.6880000000000004E-6</v>
      </c>
      <c r="Q636" s="3">
        <v>4.6170000000000001E-7</v>
      </c>
      <c r="R636" s="3">
        <v>5.8490000000000002E-6</v>
      </c>
      <c r="S636" s="13">
        <v>99999</v>
      </c>
      <c r="T636" s="13">
        <v>99999</v>
      </c>
      <c r="U636" s="13">
        <v>0.11883050625149701</v>
      </c>
    </row>
    <row r="637" spans="1:21" x14ac:dyDescent="0.2">
      <c r="A637">
        <v>539</v>
      </c>
      <c r="B637" s="12">
        <v>1</v>
      </c>
      <c r="C637" s="16">
        <v>4889</v>
      </c>
      <c r="D637" s="16">
        <v>4889</v>
      </c>
      <c r="E637" s="3">
        <v>0.33633694087200017</v>
      </c>
      <c r="F637" s="3">
        <v>5.4670394250000122E-2</v>
      </c>
      <c r="G637" s="3">
        <v>-1.063E-6</v>
      </c>
      <c r="H637" s="3">
        <v>9.4609999999999993E-7</v>
      </c>
      <c r="I637" s="3">
        <v>-1.0899999999999999E-6</v>
      </c>
      <c r="J637" s="3">
        <v>1.3259999999999999E-6</v>
      </c>
      <c r="K637" s="3">
        <v>-8.8660000000000002E-10</v>
      </c>
      <c r="L637" s="3">
        <v>9.4130000000000005E-10</v>
      </c>
      <c r="M637" s="3">
        <v>-5.1989999999999997E-6</v>
      </c>
      <c r="N637" s="3">
        <v>5.4660000000000007E-6</v>
      </c>
      <c r="O637" s="3">
        <v>-5.7340000000000005E-6</v>
      </c>
      <c r="P637" s="3">
        <v>6.0560000000000001E-6</v>
      </c>
      <c r="Q637" s="3">
        <v>2.882E-7</v>
      </c>
      <c r="R637" s="3">
        <v>6.3430000000000001E-6</v>
      </c>
      <c r="S637" s="13">
        <v>99999</v>
      </c>
      <c r="T637" s="13">
        <v>99999</v>
      </c>
      <c r="U637" s="13">
        <v>0.11904730599647452</v>
      </c>
    </row>
    <row r="638" spans="1:21" x14ac:dyDescent="0.2">
      <c r="A638">
        <v>540</v>
      </c>
      <c r="B638" s="12">
        <v>1</v>
      </c>
      <c r="C638" s="16">
        <v>4898</v>
      </c>
      <c r="D638" s="16">
        <v>4898</v>
      </c>
      <c r="E638" s="3">
        <v>0.32218370071199998</v>
      </c>
      <c r="F638" s="3">
        <v>4.6022879249999982E-2</v>
      </c>
      <c r="G638" s="3">
        <v>-1.0250000000000001E-6</v>
      </c>
      <c r="H638" s="3">
        <v>1.2780000000000001E-6</v>
      </c>
      <c r="I638" s="3">
        <v>-1.2979999999999999E-6</v>
      </c>
      <c r="J638" s="3">
        <v>1.2470000000000001E-6</v>
      </c>
      <c r="K638" s="3">
        <v>-9.3340000000000011E-10</v>
      </c>
      <c r="L638" s="3">
        <v>9.8480000000000016E-10</v>
      </c>
      <c r="M638" s="3">
        <v>-5.553E-6</v>
      </c>
      <c r="N638" s="3">
        <v>5.6420000000000004E-6</v>
      </c>
      <c r="O638" s="3">
        <v>-6.0970000000000002E-6</v>
      </c>
      <c r="P638" s="3">
        <v>6.319E-6</v>
      </c>
      <c r="Q638" s="3">
        <v>4.3080000000000002E-7</v>
      </c>
      <c r="R638" s="3">
        <v>6.888E-6</v>
      </c>
      <c r="S638" s="13">
        <v>99999</v>
      </c>
      <c r="T638" s="13">
        <v>99999</v>
      </c>
      <c r="U638" s="13">
        <v>0.11926415544630313</v>
      </c>
    </row>
    <row r="639" spans="1:21" x14ac:dyDescent="0.2">
      <c r="A639">
        <v>541</v>
      </c>
      <c r="B639" s="12">
        <v>1</v>
      </c>
      <c r="C639" s="16">
        <v>4911</v>
      </c>
      <c r="D639" s="16">
        <v>4911</v>
      </c>
      <c r="E639" s="3">
        <v>0.30115132754399965</v>
      </c>
      <c r="F639" s="3">
        <v>3.3172269749999782E-2</v>
      </c>
      <c r="G639" s="3">
        <v>-1.2999999999999998E-6</v>
      </c>
      <c r="H639" s="3">
        <v>1.449E-6</v>
      </c>
      <c r="I639" s="3">
        <v>-1.361E-6</v>
      </c>
      <c r="J639" s="3">
        <v>1.1150000000000001E-6</v>
      </c>
      <c r="K639" s="3">
        <v>-9.8879999999999994E-10</v>
      </c>
      <c r="L639" s="3">
        <v>1.0359999999999999E-9</v>
      </c>
      <c r="M639" s="3">
        <v>-5.7250000000000002E-6</v>
      </c>
      <c r="N639" s="3">
        <v>7.2350000000000002E-6</v>
      </c>
      <c r="O639" s="3">
        <v>-6.224E-6</v>
      </c>
      <c r="P639" s="3">
        <v>6.5950000000000004E-6</v>
      </c>
      <c r="Q639" s="3">
        <v>7.4700000000000001E-7</v>
      </c>
      <c r="R639" s="3">
        <v>7.8019999999999992E-6</v>
      </c>
      <c r="S639" s="13">
        <v>99999</v>
      </c>
      <c r="T639" s="13">
        <v>99999</v>
      </c>
      <c r="U639" s="13">
        <v>0.11957738584472978</v>
      </c>
    </row>
    <row r="640" spans="1:21" x14ac:dyDescent="0.2">
      <c r="A640">
        <v>542</v>
      </c>
      <c r="B640" s="12">
        <v>1</v>
      </c>
      <c r="C640" s="16">
        <v>4924</v>
      </c>
      <c r="D640" s="16">
        <v>4924</v>
      </c>
      <c r="E640" s="3">
        <v>0.28104056071199995</v>
      </c>
      <c r="F640" s="3">
        <v>2.0884754249999981E-2</v>
      </c>
      <c r="G640" s="3">
        <v>-1.449E-6</v>
      </c>
      <c r="H640" s="3">
        <v>1.519E-6</v>
      </c>
      <c r="I640" s="3">
        <v>-1.7990000000000001E-6</v>
      </c>
      <c r="J640" s="3">
        <v>1.3769999999999999E-6</v>
      </c>
      <c r="K640" s="3">
        <v>-1.0330000000000001E-9</v>
      </c>
      <c r="L640" s="3">
        <v>1.0770000000000001E-9</v>
      </c>
      <c r="M640" s="3">
        <v>-5.587E-6</v>
      </c>
      <c r="N640" s="3">
        <v>8.5970000000000009E-6</v>
      </c>
      <c r="O640" s="3">
        <v>-6.7869999999999996E-6</v>
      </c>
      <c r="P640" s="3">
        <v>6.5849999999999996E-6</v>
      </c>
      <c r="Q640" s="3">
        <v>2.5890000000000002E-7</v>
      </c>
      <c r="R640" s="3">
        <v>8.6349999999999995E-6</v>
      </c>
      <c r="S640" s="13">
        <v>99999</v>
      </c>
      <c r="T640" s="13">
        <v>99999</v>
      </c>
      <c r="U640" s="13">
        <v>0.11989085086486678</v>
      </c>
    </row>
    <row r="641" spans="1:21" x14ac:dyDescent="0.2">
      <c r="A641">
        <v>543</v>
      </c>
      <c r="B641" s="12">
        <v>1</v>
      </c>
      <c r="C641" s="16">
        <v>4932</v>
      </c>
      <c r="D641" s="16">
        <v>4932</v>
      </c>
      <c r="E641" s="3">
        <v>0.26835201633600064</v>
      </c>
      <c r="F641" s="3">
        <v>1.3132156500000403E-2</v>
      </c>
      <c r="G641" s="3">
        <v>-1.4959999999999999E-6</v>
      </c>
      <c r="H641" s="3">
        <v>1.7750000000000002E-6</v>
      </c>
      <c r="I641" s="3">
        <v>-2.0679999999999999E-6</v>
      </c>
      <c r="J641" s="3">
        <v>1.5800000000000001E-6</v>
      </c>
      <c r="K641" s="3">
        <v>-1.0629999999999999E-9</v>
      </c>
      <c r="L641" s="3">
        <v>1.1039999999999999E-9</v>
      </c>
      <c r="M641" s="3">
        <v>-6.618E-6</v>
      </c>
      <c r="N641" s="3">
        <v>9.2820000000000002E-6</v>
      </c>
      <c r="O641" s="3">
        <v>-7.3780000000000003E-6</v>
      </c>
      <c r="P641" s="3">
        <v>6.4409999999999998E-6</v>
      </c>
      <c r="Q641" s="3">
        <v>8.0959999999999994E-7</v>
      </c>
      <c r="R641" s="3">
        <v>9.2820000000000002E-6</v>
      </c>
      <c r="S641" s="13">
        <v>99999</v>
      </c>
      <c r="T641" s="13">
        <v>99999</v>
      </c>
      <c r="U641" s="13">
        <v>0.12008375924614316</v>
      </c>
    </row>
    <row r="642" spans="1:21" x14ac:dyDescent="0.2">
      <c r="A642">
        <v>544</v>
      </c>
      <c r="B642" s="12">
        <v>1</v>
      </c>
      <c r="C642" s="16">
        <v>4937</v>
      </c>
      <c r="D642" s="16">
        <v>4937</v>
      </c>
      <c r="E642" s="3">
        <v>0.25934989730400021</v>
      </c>
      <c r="F642" s="3">
        <v>7.6319347500001461E-3</v>
      </c>
      <c r="G642" s="3">
        <v>-1.5510000000000001E-6</v>
      </c>
      <c r="H642" s="3">
        <v>2.001E-6</v>
      </c>
      <c r="I642" s="3">
        <v>-2.2980000000000003E-6</v>
      </c>
      <c r="J642" s="3">
        <v>1.773E-6</v>
      </c>
      <c r="K642" s="3">
        <v>-1.088E-9</v>
      </c>
      <c r="L642" s="3">
        <v>1.1269999999999999E-9</v>
      </c>
      <c r="M642" s="3">
        <v>-7.3850000000000004E-6</v>
      </c>
      <c r="N642" s="3">
        <v>9.6600000000000007E-6</v>
      </c>
      <c r="O642" s="3">
        <v>-7.7079999999999997E-6</v>
      </c>
      <c r="P642" s="3">
        <v>6.2830000000000007E-6</v>
      </c>
      <c r="Q642" s="3">
        <v>8.5290000000000002E-7</v>
      </c>
      <c r="R642" s="3">
        <v>9.6649999999999998E-6</v>
      </c>
      <c r="S642" s="13">
        <v>99999</v>
      </c>
      <c r="T642" s="13">
        <v>99999</v>
      </c>
      <c r="U642" s="13">
        <v>0.12020420414813549</v>
      </c>
    </row>
    <row r="643" spans="1:21" x14ac:dyDescent="0.2">
      <c r="A643">
        <v>545</v>
      </c>
      <c r="B643" s="12">
        <v>1</v>
      </c>
      <c r="C643" s="16">
        <v>4943</v>
      </c>
      <c r="D643" s="16">
        <v>4943</v>
      </c>
      <c r="E643" s="3">
        <v>0.2503313210160002</v>
      </c>
      <c r="F643" s="3">
        <v>2.1216577500001283E-3</v>
      </c>
      <c r="G643" s="3">
        <v>-1.751E-6</v>
      </c>
      <c r="H643" s="3">
        <v>2.204E-6</v>
      </c>
      <c r="I643" s="3">
        <v>-2.497E-6</v>
      </c>
      <c r="J643" s="3">
        <v>2.0779999999999998E-6</v>
      </c>
      <c r="K643" s="3">
        <v>-1.109E-9</v>
      </c>
      <c r="L643" s="3">
        <v>1.1470000000000001E-9</v>
      </c>
      <c r="M643" s="3">
        <v>-8.1689999999999992E-6</v>
      </c>
      <c r="N643" s="3">
        <v>9.929000000000001E-6</v>
      </c>
      <c r="O643" s="3">
        <v>-7.9389999999999997E-6</v>
      </c>
      <c r="P643" s="3">
        <v>7.0179999999999996E-6</v>
      </c>
      <c r="Q643" s="3">
        <v>5.2459999999999992E-7</v>
      </c>
      <c r="R643" s="3">
        <v>1.005E-5</v>
      </c>
      <c r="S643" s="13">
        <v>99999</v>
      </c>
      <c r="T643" s="13">
        <v>99999</v>
      </c>
      <c r="U643" s="13">
        <v>0.12034899649923571</v>
      </c>
    </row>
    <row r="644" spans="1:21" x14ac:dyDescent="0.2">
      <c r="A644">
        <v>546</v>
      </c>
      <c r="B644" s="12">
        <v>1</v>
      </c>
      <c r="C644" s="16">
        <v>4947</v>
      </c>
      <c r="D644" s="16">
        <v>4947</v>
      </c>
      <c r="E644" s="3">
        <v>0.24406110648000065</v>
      </c>
      <c r="F644" s="3">
        <v>0</v>
      </c>
      <c r="G644" s="3">
        <v>-1.8649999999999999E-6</v>
      </c>
      <c r="H644" s="3">
        <v>2.3149999999999999E-6</v>
      </c>
      <c r="I644" s="3">
        <v>-2.6029999999999999E-6</v>
      </c>
      <c r="J644" s="3">
        <v>2.2479999999999999E-6</v>
      </c>
      <c r="K644" s="3">
        <v>-1.124E-9</v>
      </c>
      <c r="L644" s="3">
        <v>1.1599999999999999E-9</v>
      </c>
      <c r="M644" s="3">
        <v>-8.7259999999999991E-6</v>
      </c>
      <c r="N644" s="3">
        <v>1.004E-5</v>
      </c>
      <c r="O644" s="3">
        <v>-8.3469999999999999E-6</v>
      </c>
      <c r="P644" s="3">
        <v>7.5630000000000003E-6</v>
      </c>
      <c r="Q644" s="3">
        <v>3.918E-7</v>
      </c>
      <c r="R644" s="3">
        <v>1.041E-5</v>
      </c>
      <c r="S644" s="13">
        <v>99999</v>
      </c>
      <c r="T644" s="13">
        <v>99999</v>
      </c>
      <c r="U644" s="13">
        <v>0.12044493511156432</v>
      </c>
    </row>
    <row r="645" spans="1:21" x14ac:dyDescent="0.2">
      <c r="A645">
        <v>547</v>
      </c>
      <c r="B645" s="12">
        <v>1</v>
      </c>
      <c r="C645" s="16">
        <v>4951</v>
      </c>
      <c r="D645" s="16">
        <v>4951</v>
      </c>
      <c r="E645" s="3">
        <v>0.23986450620000074</v>
      </c>
      <c r="F645" s="3">
        <v>0</v>
      </c>
      <c r="G645" s="3">
        <v>-1.9550000000000003E-6</v>
      </c>
      <c r="H645" s="3">
        <v>2.3999999999999999E-6</v>
      </c>
      <c r="I645" s="3">
        <v>-2.6809999999999998E-6</v>
      </c>
      <c r="J645" s="3">
        <v>2.3770000000000003E-6</v>
      </c>
      <c r="K645" s="3">
        <v>-1.1370000000000001E-9</v>
      </c>
      <c r="L645" s="3">
        <v>1.1710000000000002E-9</v>
      </c>
      <c r="M645" s="3">
        <v>-9.1009999999999998E-6</v>
      </c>
      <c r="N645" s="3">
        <v>1.009E-5</v>
      </c>
      <c r="O645" s="3">
        <v>-8.7240000000000015E-6</v>
      </c>
      <c r="P645" s="3">
        <v>7.9609999999999988E-6</v>
      </c>
      <c r="Q645" s="3">
        <v>2.818E-7</v>
      </c>
      <c r="R645" s="3">
        <v>1.0680000000000001E-5</v>
      </c>
      <c r="S645" s="13">
        <v>99999</v>
      </c>
      <c r="T645" s="13">
        <v>99999</v>
      </c>
      <c r="U645" s="13">
        <v>0.12054088367832574</v>
      </c>
    </row>
    <row r="646" spans="1:21" x14ac:dyDescent="0.2">
      <c r="A646">
        <v>548</v>
      </c>
      <c r="B646" s="12">
        <v>1</v>
      </c>
      <c r="C646" s="16">
        <v>4956</v>
      </c>
      <c r="D646" s="16">
        <v>4956</v>
      </c>
      <c r="E646" s="3">
        <v>0.23496024391200071</v>
      </c>
      <c r="F646" s="3">
        <v>0</v>
      </c>
      <c r="G646" s="3">
        <v>-2.092E-6</v>
      </c>
      <c r="H646" s="3">
        <v>2.5240000000000003E-6</v>
      </c>
      <c r="I646" s="3">
        <v>-2.791E-6</v>
      </c>
      <c r="J646" s="3">
        <v>2.5630000000000003E-6</v>
      </c>
      <c r="K646" s="3">
        <v>-1.1540000000000002E-9</v>
      </c>
      <c r="L646" s="3">
        <v>1.1869999999999999E-9</v>
      </c>
      <c r="M646" s="3">
        <v>-9.5429999999999999E-6</v>
      </c>
      <c r="N646" s="3">
        <v>1.0120000000000001E-5</v>
      </c>
      <c r="O646" s="3">
        <v>-9.1619999999999997E-6</v>
      </c>
      <c r="P646" s="3">
        <v>8.6759999999999996E-6</v>
      </c>
      <c r="Q646" s="3">
        <v>1.808E-7</v>
      </c>
      <c r="R646" s="3">
        <v>1.1E-5</v>
      </c>
      <c r="S646" s="13">
        <v>99999</v>
      </c>
      <c r="T646" s="13">
        <v>99999</v>
      </c>
      <c r="U646" s="13">
        <v>0.12066096447003337</v>
      </c>
    </row>
    <row r="647" spans="1:21" x14ac:dyDescent="0.2">
      <c r="A647">
        <v>549</v>
      </c>
      <c r="B647" s="12">
        <v>1</v>
      </c>
      <c r="C647" s="16">
        <v>4962</v>
      </c>
      <c r="D647" s="16">
        <v>4962</v>
      </c>
      <c r="E647" s="3">
        <v>0.22760385048000067</v>
      </c>
      <c r="F647" s="3">
        <v>0</v>
      </c>
      <c r="G647" s="3">
        <v>-2.3910000000000001E-6</v>
      </c>
      <c r="H647" s="3">
        <v>2.7049999999999999E-6</v>
      </c>
      <c r="I647" s="3">
        <v>-2.9459999999999998E-6</v>
      </c>
      <c r="J647" s="3">
        <v>2.8389999999999998E-6</v>
      </c>
      <c r="K647" s="3">
        <v>-1.1799999999999999E-9</v>
      </c>
      <c r="L647" s="3">
        <v>1.2109999999999999E-9</v>
      </c>
      <c r="M647" s="3">
        <v>-1.022E-5</v>
      </c>
      <c r="N647" s="3">
        <v>1.01E-5</v>
      </c>
      <c r="O647" s="3">
        <v>-9.8060000000000006E-6</v>
      </c>
      <c r="P647" s="3">
        <v>9.8050000000000001E-6</v>
      </c>
      <c r="Q647" s="3">
        <v>2.118E-7</v>
      </c>
      <c r="R647" s="3">
        <v>1.155E-5</v>
      </c>
      <c r="S647" s="13">
        <v>99999</v>
      </c>
      <c r="T647" s="13">
        <v>99999</v>
      </c>
      <c r="U647" s="13">
        <v>0.12080465482546847</v>
      </c>
    </row>
    <row r="648" spans="1:21" x14ac:dyDescent="0.2">
      <c r="A648">
        <v>550</v>
      </c>
      <c r="B648" s="12">
        <v>1</v>
      </c>
      <c r="C648" s="16">
        <v>4972</v>
      </c>
      <c r="D648" s="16">
        <v>4972</v>
      </c>
      <c r="E648" s="3">
        <v>0.21656103170399985</v>
      </c>
      <c r="F648" s="3">
        <v>0</v>
      </c>
      <c r="G648" s="3">
        <v>-2.8670000000000002E-6</v>
      </c>
      <c r="H648" s="3">
        <v>2.993E-6</v>
      </c>
      <c r="I648" s="3">
        <v>-3.4940000000000003E-6</v>
      </c>
      <c r="J648" s="3">
        <v>3.2230000000000003E-6</v>
      </c>
      <c r="K648" s="3">
        <v>-1.219E-9</v>
      </c>
      <c r="L648" s="3">
        <v>1.246E-9</v>
      </c>
      <c r="M648" s="3">
        <v>-1.1469999999999999E-5</v>
      </c>
      <c r="N648" s="3">
        <v>9.9319999999999991E-6</v>
      </c>
      <c r="O648" s="3">
        <v>-1.0730000000000001E-5</v>
      </c>
      <c r="P648" s="3">
        <v>1.1620000000000001E-5</v>
      </c>
      <c r="Q648" s="3">
        <v>5.5429999999999993E-7</v>
      </c>
      <c r="R648" s="3">
        <v>1.2500000000000001E-5</v>
      </c>
      <c r="S648" s="13">
        <v>99999</v>
      </c>
      <c r="T648" s="13">
        <v>99999</v>
      </c>
      <c r="U648" s="13">
        <v>0.12104466785220391</v>
      </c>
    </row>
    <row r="649" spans="1:21" x14ac:dyDescent="0.2">
      <c r="A649">
        <v>551</v>
      </c>
      <c r="B649" s="12">
        <v>1</v>
      </c>
      <c r="C649" s="16">
        <v>4986</v>
      </c>
      <c r="D649" s="16">
        <v>4986</v>
      </c>
      <c r="E649" s="3">
        <v>0.20020251923999938</v>
      </c>
      <c r="F649" s="3">
        <v>0</v>
      </c>
      <c r="G649" s="3">
        <v>-3.394E-6</v>
      </c>
      <c r="H649" s="3">
        <v>3.478E-6</v>
      </c>
      <c r="I649" s="3">
        <v>-4.109E-6</v>
      </c>
      <c r="J649" s="3">
        <v>3.5650000000000002E-6</v>
      </c>
      <c r="K649" s="3">
        <v>-1.266E-9</v>
      </c>
      <c r="L649" s="3">
        <v>1.2879999999999999E-9</v>
      </c>
      <c r="M649" s="3">
        <v>-1.3709999999999999E-5</v>
      </c>
      <c r="N649" s="3">
        <v>1.0319999999999999E-5</v>
      </c>
      <c r="O649" s="3">
        <v>-1.1969999999999999E-5</v>
      </c>
      <c r="P649" s="3">
        <v>1.456E-5</v>
      </c>
      <c r="Q649" s="3">
        <v>7.468000000000001E-7</v>
      </c>
      <c r="R649" s="3">
        <v>1.5270000000000001E-5</v>
      </c>
      <c r="S649" s="13">
        <v>99999</v>
      </c>
      <c r="T649" s="13">
        <v>99999</v>
      </c>
      <c r="U649" s="13">
        <v>0.12138074192767054</v>
      </c>
    </row>
    <row r="650" spans="1:21" x14ac:dyDescent="0.2">
      <c r="A650">
        <v>552</v>
      </c>
      <c r="B650" s="12">
        <v>1</v>
      </c>
      <c r="C650" s="16">
        <v>5001</v>
      </c>
      <c r="D650" s="16">
        <v>5001</v>
      </c>
      <c r="E650" s="3">
        <v>0.18384400677600082</v>
      </c>
      <c r="F650" s="3">
        <v>0</v>
      </c>
      <c r="G650" s="3">
        <v>-3.7309999999999999E-6</v>
      </c>
      <c r="H650" s="3">
        <v>3.76E-6</v>
      </c>
      <c r="I650" s="3">
        <v>-4.4619999999999998E-6</v>
      </c>
      <c r="J650" s="3">
        <v>3.703E-6</v>
      </c>
      <c r="K650" s="3">
        <v>-1.306E-9</v>
      </c>
      <c r="L650" s="3">
        <v>1.324E-9</v>
      </c>
      <c r="M650" s="3">
        <v>-1.6990000000000002E-5</v>
      </c>
      <c r="N650" s="3">
        <v>1.313E-5</v>
      </c>
      <c r="O650" s="3">
        <v>-1.4430000000000001E-5</v>
      </c>
      <c r="P650" s="3">
        <v>1.7760000000000003E-5</v>
      </c>
      <c r="Q650" s="3">
        <v>1.519E-6</v>
      </c>
      <c r="R650" s="3">
        <v>1.8689999999999999E-5</v>
      </c>
      <c r="S650" s="13">
        <v>99999</v>
      </c>
      <c r="T650" s="13">
        <v>99999</v>
      </c>
      <c r="U650" s="13">
        <v>0.12174153519450613</v>
      </c>
    </row>
    <row r="651" spans="1:21" x14ac:dyDescent="0.2">
      <c r="A651">
        <v>553</v>
      </c>
      <c r="B651" s="12">
        <v>1</v>
      </c>
      <c r="C651" s="16">
        <v>5011</v>
      </c>
      <c r="D651" s="16">
        <v>5011</v>
      </c>
      <c r="E651" s="3">
        <v>0.17280118799999999</v>
      </c>
      <c r="F651" s="3">
        <v>0</v>
      </c>
      <c r="G651" s="3">
        <v>-3.8549999999999995E-6</v>
      </c>
      <c r="H651" s="3">
        <v>3.8330000000000004E-6</v>
      </c>
      <c r="I651" s="3">
        <v>-4.5599999999999995E-6</v>
      </c>
      <c r="J651" s="3">
        <v>3.6900000000000002E-6</v>
      </c>
      <c r="K651" s="3">
        <v>-1.333E-9</v>
      </c>
      <c r="L651" s="3">
        <v>1.3480000000000001E-9</v>
      </c>
      <c r="M651" s="3">
        <v>-1.9220000000000002E-5</v>
      </c>
      <c r="N651" s="3">
        <v>1.521E-5</v>
      </c>
      <c r="O651" s="3">
        <v>-1.6930000000000002E-5</v>
      </c>
      <c r="P651" s="3">
        <v>2.0000000000000002E-5</v>
      </c>
      <c r="Q651" s="3">
        <v>1.3929999999999998E-6</v>
      </c>
      <c r="R651" s="3">
        <v>2.103E-5</v>
      </c>
      <c r="S651" s="13">
        <v>99999</v>
      </c>
      <c r="T651" s="13">
        <v>99999</v>
      </c>
      <c r="U651" s="13">
        <v>0.12198224538608435</v>
      </c>
    </row>
    <row r="652" spans="1:21" x14ac:dyDescent="0.2">
      <c r="A652">
        <v>554</v>
      </c>
      <c r="B652" s="12">
        <v>1</v>
      </c>
      <c r="C652" s="16">
        <v>5017</v>
      </c>
      <c r="D652" s="16">
        <v>5017</v>
      </c>
      <c r="E652" s="3">
        <v>0.16544479456799996</v>
      </c>
      <c r="F652" s="3">
        <v>0</v>
      </c>
      <c r="G652" s="3">
        <v>-3.8870000000000002E-6</v>
      </c>
      <c r="H652" s="3">
        <v>3.8240000000000001E-6</v>
      </c>
      <c r="I652" s="3">
        <v>-4.5630000000000002E-6</v>
      </c>
      <c r="J652" s="3">
        <v>3.636E-6</v>
      </c>
      <c r="K652" s="3">
        <v>-1.351E-9</v>
      </c>
      <c r="L652" s="3">
        <v>1.364E-9</v>
      </c>
      <c r="M652" s="3">
        <v>-2.0699999999999998E-5</v>
      </c>
      <c r="N652" s="3">
        <v>1.6629999999999998E-5</v>
      </c>
      <c r="O652" s="3">
        <v>-1.8660000000000001E-5</v>
      </c>
      <c r="P652" s="3">
        <v>2.1520000000000001E-5</v>
      </c>
      <c r="Q652" s="3">
        <v>1.5510000000000001E-6</v>
      </c>
      <c r="R652" s="3">
        <v>2.2580000000000001E-5</v>
      </c>
      <c r="S652" s="13">
        <v>99999</v>
      </c>
      <c r="T652" s="13">
        <v>99999</v>
      </c>
      <c r="U652" s="13">
        <v>0.12212659295028658</v>
      </c>
    </row>
    <row r="653" spans="1:21" x14ac:dyDescent="0.2">
      <c r="A653">
        <v>555</v>
      </c>
      <c r="B653" s="12">
        <v>1</v>
      </c>
      <c r="C653" s="16">
        <v>5022</v>
      </c>
      <c r="D653" s="16">
        <v>5022</v>
      </c>
      <c r="E653" s="3">
        <v>0.16054053227999993</v>
      </c>
      <c r="F653" s="3">
        <v>0</v>
      </c>
      <c r="G653" s="3">
        <v>-3.878E-6</v>
      </c>
      <c r="H653" s="3">
        <v>3.7759999999999999E-6</v>
      </c>
      <c r="I653" s="3">
        <v>-4.5229999999999997E-6</v>
      </c>
      <c r="J653" s="3">
        <v>3.563E-6</v>
      </c>
      <c r="K653" s="3">
        <v>-1.3659999999999998E-9</v>
      </c>
      <c r="L653" s="3">
        <v>1.376E-9</v>
      </c>
      <c r="M653" s="3">
        <v>-2.1680000000000002E-5</v>
      </c>
      <c r="N653" s="3">
        <v>1.7590000000000003E-5</v>
      </c>
      <c r="O653" s="3">
        <v>-1.982E-5</v>
      </c>
      <c r="P653" s="3">
        <v>2.2530000000000003E-5</v>
      </c>
      <c r="Q653" s="3">
        <v>1.73E-6</v>
      </c>
      <c r="R653" s="3">
        <v>2.3600000000000001E-5</v>
      </c>
      <c r="S653" s="13">
        <v>99999</v>
      </c>
      <c r="T653" s="13">
        <v>99999</v>
      </c>
      <c r="U653" s="13">
        <v>0.1222472025030166</v>
      </c>
    </row>
    <row r="654" spans="1:21" x14ac:dyDescent="0.2">
      <c r="A654">
        <v>556</v>
      </c>
      <c r="B654" s="12">
        <v>1</v>
      </c>
      <c r="C654" s="16">
        <v>-4.4229999999999998E-3</v>
      </c>
      <c r="D654" s="16">
        <v>-4.4229999999999998E-3</v>
      </c>
      <c r="E654" s="3">
        <v>0.15560335548000068</v>
      </c>
      <c r="F654" s="3">
        <v>0</v>
      </c>
      <c r="G654" s="3">
        <v>-1.0079999999999999E-6</v>
      </c>
      <c r="H654" s="3">
        <v>1.012E-6</v>
      </c>
      <c r="I654" s="3">
        <v>-1.226E-6</v>
      </c>
      <c r="J654" s="3">
        <v>1.0109999999999999E-6</v>
      </c>
      <c r="K654" s="3">
        <v>-1.8900000000000002E-10</v>
      </c>
      <c r="L654" s="3">
        <v>2.0289999999999999E-10</v>
      </c>
      <c r="M654" s="3">
        <v>-8.3750000000000003E-6</v>
      </c>
      <c r="N654" s="3">
        <v>1.004E-5</v>
      </c>
      <c r="O654" s="3">
        <v>-8.1499999999999999E-6</v>
      </c>
      <c r="P654" s="3">
        <v>7.8910000000000012E-6</v>
      </c>
      <c r="Q654" s="3">
        <v>6.088E-8</v>
      </c>
      <c r="R654" s="3">
        <v>1.1259999999999999E-5</v>
      </c>
      <c r="S654" s="13">
        <v>99999</v>
      </c>
      <c r="T654" s="13">
        <v>99999</v>
      </c>
      <c r="U654" s="13">
        <v>2.4198206473271134E-2</v>
      </c>
    </row>
    <row r="655" spans="1:21" x14ac:dyDescent="0.2">
      <c r="A655">
        <v>557</v>
      </c>
      <c r="B655" s="12">
        <v>1</v>
      </c>
      <c r="C655" s="16">
        <v>-4.254E-3</v>
      </c>
      <c r="D655" s="16">
        <v>-4.254E-3</v>
      </c>
      <c r="E655" s="3">
        <v>3.9530328912000715E-2</v>
      </c>
      <c r="F655" s="3">
        <v>0</v>
      </c>
      <c r="G655" s="3">
        <v>-8.1950000000000005E-7</v>
      </c>
      <c r="H655" s="3">
        <v>8.9930000000000001E-7</v>
      </c>
      <c r="I655" s="3">
        <v>-1.145E-6</v>
      </c>
      <c r="J655" s="3">
        <v>1.0039999999999998E-6</v>
      </c>
      <c r="K655" s="3">
        <v>-1.8830000000000001E-10</v>
      </c>
      <c r="L655" s="3">
        <v>2.0209999999999998E-10</v>
      </c>
      <c r="M655" s="3">
        <v>-1.254E-6</v>
      </c>
      <c r="N655" s="3">
        <v>1.0589999999999999E-6</v>
      </c>
      <c r="O655" s="3">
        <v>-8.5990000000000002E-7</v>
      </c>
      <c r="P655" s="3">
        <v>1.0920000000000001E-6</v>
      </c>
      <c r="Q655" s="3">
        <v>9.8620000000000006E-8</v>
      </c>
      <c r="R655" s="3">
        <v>1.269E-6</v>
      </c>
      <c r="S655" s="13">
        <v>99999</v>
      </c>
      <c r="T655" s="13">
        <v>99999</v>
      </c>
      <c r="U655" s="13">
        <v>1.0123305855803907E-3</v>
      </c>
    </row>
    <row r="656" spans="1:21" x14ac:dyDescent="0.2">
      <c r="A656">
        <v>558</v>
      </c>
      <c r="B656" s="12">
        <v>1</v>
      </c>
      <c r="C656" s="16">
        <v>26.38</v>
      </c>
      <c r="D656" s="16">
        <v>26.38</v>
      </c>
      <c r="E656" s="3">
        <v>3.5564130215999086E-2</v>
      </c>
      <c r="F656" s="3">
        <v>0</v>
      </c>
      <c r="G656" s="3">
        <v>-1.0939999999999998E-6</v>
      </c>
      <c r="H656" s="3">
        <v>8.7889999999999996E-7</v>
      </c>
      <c r="I656" s="3">
        <v>-1.1249999999999998E-6</v>
      </c>
      <c r="J656" s="3">
        <v>1.2310000000000002E-6</v>
      </c>
      <c r="K656" s="3">
        <v>-1.8710000000000001E-10</v>
      </c>
      <c r="L656" s="3">
        <v>2.0050000000000001E-10</v>
      </c>
      <c r="M656" s="3">
        <v>-1.037E-6</v>
      </c>
      <c r="N656" s="3">
        <v>9.2369999999999994E-7</v>
      </c>
      <c r="O656" s="3">
        <v>-7.3330000000000003E-7</v>
      </c>
      <c r="P656" s="3">
        <v>9.0779999999999991E-7</v>
      </c>
      <c r="Q656" s="3">
        <v>7.4190000000000005E-8</v>
      </c>
      <c r="R656" s="3">
        <v>1.063E-6</v>
      </c>
      <c r="S656" s="13">
        <v>99999</v>
      </c>
      <c r="T656" s="13">
        <v>99999</v>
      </c>
      <c r="U656" s="13">
        <v>2.0671933692622572E-3</v>
      </c>
    </row>
    <row r="657" spans="1:21" x14ac:dyDescent="0.2">
      <c r="A657">
        <v>559</v>
      </c>
      <c r="B657" s="12">
        <v>1</v>
      </c>
      <c r="C657" s="16">
        <v>49.22</v>
      </c>
      <c r="D657" s="16">
        <v>49.22</v>
      </c>
      <c r="E657" s="3">
        <v>3.2141020967999576E-2</v>
      </c>
      <c r="F657" s="3">
        <v>0</v>
      </c>
      <c r="G657" s="3">
        <v>-1.277E-6</v>
      </c>
      <c r="H657" s="3">
        <v>1.0560000000000001E-6</v>
      </c>
      <c r="I657" s="3">
        <v>-1.2890000000000001E-6</v>
      </c>
      <c r="J657" s="3">
        <v>1.4239999999999998E-6</v>
      </c>
      <c r="K657" s="3">
        <v>-1.8610000000000001E-10</v>
      </c>
      <c r="L657" s="3">
        <v>1.9920000000000002E-10</v>
      </c>
      <c r="M657" s="3">
        <v>-7.807E-7</v>
      </c>
      <c r="N657" s="3">
        <v>7.0979999999999996E-7</v>
      </c>
      <c r="O657" s="3">
        <v>-5.5900000000000007E-7</v>
      </c>
      <c r="P657" s="3">
        <v>6.7960000000000002E-7</v>
      </c>
      <c r="Q657" s="3">
        <v>6.8750000000000004E-8</v>
      </c>
      <c r="R657" s="3">
        <v>8.0620000000000001E-7</v>
      </c>
      <c r="S657" s="13">
        <v>99999</v>
      </c>
      <c r="T657" s="13">
        <v>99999</v>
      </c>
      <c r="U657" s="13">
        <v>3.5589584650947271E-3</v>
      </c>
    </row>
    <row r="658" spans="1:21" x14ac:dyDescent="0.2">
      <c r="A658">
        <v>560</v>
      </c>
      <c r="B658" s="12">
        <v>1</v>
      </c>
      <c r="C658" s="16">
        <v>69.010000000000005</v>
      </c>
      <c r="D658" s="16">
        <v>69.010000000000005</v>
      </c>
      <c r="E658" s="3">
        <v>2.9162257632000789E-2</v>
      </c>
      <c r="F658" s="3">
        <v>0</v>
      </c>
      <c r="G658" s="3">
        <v>-1.37E-6</v>
      </c>
      <c r="H658" s="3">
        <v>1.153E-6</v>
      </c>
      <c r="I658" s="3">
        <v>-1.4270000000000001E-6</v>
      </c>
      <c r="J658" s="3">
        <v>1.5269999999999999E-6</v>
      </c>
      <c r="K658" s="3">
        <v>-1.853E-10</v>
      </c>
      <c r="L658" s="3">
        <v>1.982E-10</v>
      </c>
      <c r="M658" s="3">
        <v>-5.2340000000000004E-7</v>
      </c>
      <c r="N658" s="3">
        <v>4.7679999999999998E-7</v>
      </c>
      <c r="O658" s="3">
        <v>-3.7430000000000001E-7</v>
      </c>
      <c r="P658" s="3">
        <v>4.488E-7</v>
      </c>
      <c r="Q658" s="3">
        <v>4.0490000000000001E-8</v>
      </c>
      <c r="R658" s="3">
        <v>5.4379999999999999E-7</v>
      </c>
      <c r="S658" s="13">
        <v>99999</v>
      </c>
      <c r="T658" s="13">
        <v>99999</v>
      </c>
      <c r="U658" s="13">
        <v>4.9117397934939824E-3</v>
      </c>
    </row>
    <row r="659" spans="1:21" x14ac:dyDescent="0.2">
      <c r="A659">
        <v>561</v>
      </c>
      <c r="B659" s="12">
        <v>1</v>
      </c>
      <c r="C659" s="16">
        <v>82.2</v>
      </c>
      <c r="D659" s="16">
        <v>82.2</v>
      </c>
      <c r="E659" s="3">
        <v>2.7170929655999237E-2</v>
      </c>
      <c r="F659" s="3">
        <v>0</v>
      </c>
      <c r="G659" s="3">
        <v>-1.404E-6</v>
      </c>
      <c r="H659" s="3">
        <v>1.1960000000000001E-6</v>
      </c>
      <c r="I659" s="3">
        <v>-1.4809999999999999E-6</v>
      </c>
      <c r="J659" s="3">
        <v>1.5690000000000001E-6</v>
      </c>
      <c r="K659" s="3">
        <v>-1.848E-10</v>
      </c>
      <c r="L659" s="3">
        <v>1.9749999999999999E-10</v>
      </c>
      <c r="M659" s="3">
        <v>-3.3949999999999999E-7</v>
      </c>
      <c r="N659" s="3">
        <v>3.0499999999999999E-7</v>
      </c>
      <c r="O659" s="3">
        <v>-2.4079999999999999E-7</v>
      </c>
      <c r="P659" s="3">
        <v>2.8380000000000004E-7</v>
      </c>
      <c r="Q659" s="3">
        <v>4.6200000000000002E-9</v>
      </c>
      <c r="R659" s="3">
        <v>3.5429999999999999E-7</v>
      </c>
      <c r="S659" s="13">
        <v>99999</v>
      </c>
      <c r="T659" s="13">
        <v>99999</v>
      </c>
      <c r="U659" s="13">
        <v>5.8242205196708885E-3</v>
      </c>
    </row>
    <row r="660" spans="1:21" x14ac:dyDescent="0.2">
      <c r="A660">
        <v>562</v>
      </c>
      <c r="B660" s="12">
        <v>1</v>
      </c>
      <c r="C660" s="16">
        <v>90.99</v>
      </c>
      <c r="D660" s="16">
        <v>90.99</v>
      </c>
      <c r="E660" s="3">
        <v>2.5854349176000432E-2</v>
      </c>
      <c r="F660" s="3">
        <v>0</v>
      </c>
      <c r="G660" s="3">
        <v>-1.412E-6</v>
      </c>
      <c r="H660" s="3">
        <v>1.2049999999999999E-6</v>
      </c>
      <c r="I660" s="3">
        <v>-1.494E-6</v>
      </c>
      <c r="J660" s="3">
        <v>1.579E-6</v>
      </c>
      <c r="K660" s="3">
        <v>-1.843E-10</v>
      </c>
      <c r="L660" s="3">
        <v>1.9689999999999999E-10</v>
      </c>
      <c r="M660" s="3">
        <v>-2.135E-7</v>
      </c>
      <c r="N660" s="3">
        <v>1.86E-7</v>
      </c>
      <c r="O660" s="3">
        <v>-1.515E-7</v>
      </c>
      <c r="P660" s="3">
        <v>1.7100000000000001E-7</v>
      </c>
      <c r="Q660" s="3">
        <v>5.4709999999999998E-9</v>
      </c>
      <c r="R660" s="3">
        <v>2.2389999999999999E-7</v>
      </c>
      <c r="S660" s="13">
        <v>99999</v>
      </c>
      <c r="T660" s="13">
        <v>99999</v>
      </c>
      <c r="U660" s="13">
        <v>6.4350073993702144E-3</v>
      </c>
    </row>
    <row r="661" spans="1:21" x14ac:dyDescent="0.2">
      <c r="A661">
        <v>564</v>
      </c>
      <c r="B661" s="12">
        <v>1</v>
      </c>
      <c r="C661" s="16">
        <v>135.4</v>
      </c>
      <c r="D661" s="16">
        <v>135.4</v>
      </c>
      <c r="E661" s="3">
        <v>2.2562897975999682E-2</v>
      </c>
      <c r="F661" s="3">
        <v>0</v>
      </c>
      <c r="G661" s="3">
        <v>-1.3969999999999999E-6</v>
      </c>
      <c r="H661" s="3">
        <v>1.2580000000000001E-6</v>
      </c>
      <c r="I661" s="3">
        <v>-1.5039999999999999E-6</v>
      </c>
      <c r="J661" s="3">
        <v>1.601E-6</v>
      </c>
      <c r="K661" s="3">
        <v>-1.8400000000000001E-10</v>
      </c>
      <c r="L661" s="3">
        <v>1.9649999999999999E-10</v>
      </c>
      <c r="M661" s="3">
        <v>-1.828E-7</v>
      </c>
      <c r="N661" s="3">
        <v>1.7670000000000001E-7</v>
      </c>
      <c r="O661" s="3">
        <v>-1.198E-7</v>
      </c>
      <c r="P661" s="3">
        <v>1.9189999999999999E-7</v>
      </c>
      <c r="Q661" s="3">
        <v>3.9219999999999995E-9</v>
      </c>
      <c r="R661" s="3">
        <v>1.9220000000000001E-7</v>
      </c>
      <c r="S661" s="13">
        <v>99999</v>
      </c>
      <c r="T661" s="13">
        <v>99999</v>
      </c>
      <c r="U661" s="13">
        <v>7.3924137944486011E-3</v>
      </c>
    </row>
    <row r="662" spans="1:21" x14ac:dyDescent="0.2">
      <c r="A662">
        <v>565</v>
      </c>
      <c r="B662" s="12">
        <v>1</v>
      </c>
      <c r="C662" s="16">
        <v>135.80000000000001</v>
      </c>
      <c r="D662" s="16">
        <v>135.80000000000001</v>
      </c>
      <c r="E662" s="3">
        <v>2.0917172375999309E-2</v>
      </c>
      <c r="F662" s="3">
        <v>0</v>
      </c>
      <c r="G662" s="3">
        <v>-1.3929999999999998E-6</v>
      </c>
      <c r="H662" s="3">
        <v>1.2609999999999999E-6</v>
      </c>
      <c r="I662" s="3">
        <v>-1.502E-6</v>
      </c>
      <c r="J662" s="3">
        <v>1.601E-6</v>
      </c>
      <c r="K662" s="3">
        <v>-1.8400000000000001E-10</v>
      </c>
      <c r="L662" s="3">
        <v>1.9649999999999999E-10</v>
      </c>
      <c r="M662" s="3">
        <v>-3.1179999999999997E-7</v>
      </c>
      <c r="N662" s="3">
        <v>2.6449999999999997E-7</v>
      </c>
      <c r="O662" s="3">
        <v>-2.5050000000000003E-7</v>
      </c>
      <c r="P662" s="3">
        <v>2.7730000000000003E-7</v>
      </c>
      <c r="Q662" s="3">
        <v>1.3050000000000001E-8</v>
      </c>
      <c r="R662" s="3">
        <v>3.3000000000000002E-7</v>
      </c>
      <c r="S662" s="13">
        <v>99999</v>
      </c>
      <c r="T662" s="13">
        <v>99999</v>
      </c>
      <c r="U662" s="13">
        <v>7.4123478854503698E-3</v>
      </c>
    </row>
    <row r="663" spans="1:21" x14ac:dyDescent="0.2">
      <c r="A663">
        <v>566</v>
      </c>
      <c r="B663" s="12">
        <v>1</v>
      </c>
      <c r="C663" s="16">
        <v>154.19999999999999</v>
      </c>
      <c r="D663" s="16">
        <v>154.19999999999999</v>
      </c>
      <c r="E663" s="3">
        <v>1.6259768928000927E-2</v>
      </c>
      <c r="F663" s="3">
        <v>0</v>
      </c>
      <c r="G663" s="3">
        <v>-1.3860000000000002E-6</v>
      </c>
      <c r="H663" s="3">
        <v>1.269E-6</v>
      </c>
      <c r="I663" s="3">
        <v>-1.5E-6</v>
      </c>
      <c r="J663" s="3">
        <v>1.6029999999999999E-6</v>
      </c>
      <c r="K663" s="3">
        <v>-1.8400000000000001E-10</v>
      </c>
      <c r="L663" s="3">
        <v>1.9649999999999999E-10</v>
      </c>
      <c r="M663" s="3">
        <v>-6.8979999999999994E-7</v>
      </c>
      <c r="N663" s="3">
        <v>7.1750000000000001E-7</v>
      </c>
      <c r="O663" s="3">
        <v>-6.454E-7</v>
      </c>
      <c r="P663" s="3">
        <v>6.3480000000000005E-7</v>
      </c>
      <c r="Q663" s="3">
        <v>4.7050000000000001E-8</v>
      </c>
      <c r="R663" s="3">
        <v>7.4860000000000002E-7</v>
      </c>
      <c r="S663" s="13">
        <v>99999</v>
      </c>
      <c r="T663" s="13">
        <v>99999</v>
      </c>
      <c r="U663" s="13">
        <v>8.409925702454869E-3</v>
      </c>
    </row>
    <row r="664" spans="1:21" x14ac:dyDescent="0.2">
      <c r="A664">
        <v>567</v>
      </c>
      <c r="B664" s="12">
        <v>1</v>
      </c>
      <c r="C664" s="16">
        <v>171.9</v>
      </c>
      <c r="D664" s="16">
        <v>171.9</v>
      </c>
      <c r="E664" s="3">
        <v>1.1750480784000912E-2</v>
      </c>
      <c r="F664" s="3">
        <v>0</v>
      </c>
      <c r="G664" s="3">
        <v>-1.3829999999999999E-6</v>
      </c>
      <c r="H664" s="3">
        <v>1.2719999999999998E-6</v>
      </c>
      <c r="I664" s="3">
        <v>-1.4979999999999999E-6</v>
      </c>
      <c r="J664" s="3">
        <v>1.604E-6</v>
      </c>
      <c r="K664" s="3">
        <v>-1.8400000000000001E-10</v>
      </c>
      <c r="L664" s="3">
        <v>1.9649999999999999E-10</v>
      </c>
      <c r="M664" s="3">
        <v>-1.1009999999999999E-6</v>
      </c>
      <c r="N664" s="3">
        <v>1.1570000000000001E-6</v>
      </c>
      <c r="O664" s="3">
        <v>-1.0250000000000001E-6</v>
      </c>
      <c r="P664" s="3">
        <v>9.8240000000000011E-7</v>
      </c>
      <c r="Q664" s="3">
        <v>7.8120000000000001E-8</v>
      </c>
      <c r="R664" s="3">
        <v>1.2049999999999999E-6</v>
      </c>
      <c r="S664" s="13">
        <v>99999</v>
      </c>
      <c r="T664" s="13">
        <v>99999</v>
      </c>
      <c r="U664" s="13">
        <v>9.3714194114365278E-3</v>
      </c>
    </row>
    <row r="665" spans="1:21" x14ac:dyDescent="0.2">
      <c r="A665">
        <v>568</v>
      </c>
      <c r="B665" s="12">
        <v>1</v>
      </c>
      <c r="C665" s="16">
        <v>189.1</v>
      </c>
      <c r="D665" s="16">
        <v>189.1</v>
      </c>
      <c r="E665" s="3">
        <v>7.3893079439992662E-3</v>
      </c>
      <c r="F665" s="3">
        <v>0</v>
      </c>
      <c r="G665" s="3">
        <v>-1.3820000000000001E-6</v>
      </c>
      <c r="H665" s="3">
        <v>1.274E-6</v>
      </c>
      <c r="I665" s="3">
        <v>-1.4979999999999999E-6</v>
      </c>
      <c r="J665" s="3">
        <v>1.6050000000000001E-6</v>
      </c>
      <c r="K665" s="3">
        <v>-1.8400000000000001E-10</v>
      </c>
      <c r="L665" s="3">
        <v>1.9649999999999999E-10</v>
      </c>
      <c r="M665" s="3">
        <v>-1.497E-6</v>
      </c>
      <c r="N665" s="3">
        <v>1.581E-6</v>
      </c>
      <c r="O665" s="3">
        <v>-1.3910000000000001E-6</v>
      </c>
      <c r="P665" s="3">
        <v>1.319E-6</v>
      </c>
      <c r="Q665" s="3">
        <v>1.1299999999999999E-7</v>
      </c>
      <c r="R665" s="3">
        <v>1.6500000000000001E-6</v>
      </c>
      <c r="S665" s="13">
        <v>99999</v>
      </c>
      <c r="T665" s="13">
        <v>99999</v>
      </c>
      <c r="U665" s="13">
        <v>1.0307040318326355E-2</v>
      </c>
    </row>
    <row r="666" spans="1:21" x14ac:dyDescent="0.2">
      <c r="A666">
        <v>569</v>
      </c>
      <c r="B666" s="12">
        <v>1</v>
      </c>
      <c r="C666" s="16">
        <v>202.9</v>
      </c>
      <c r="D666" s="16">
        <v>202.9</v>
      </c>
      <c r="E666" s="3">
        <v>3.8839124159998351E-3</v>
      </c>
      <c r="F666" s="3">
        <v>0</v>
      </c>
      <c r="G666" s="3">
        <v>-1.3820000000000001E-6</v>
      </c>
      <c r="H666" s="3">
        <v>1.2750000000000001E-6</v>
      </c>
      <c r="I666" s="3">
        <v>-1.4979999999999999E-6</v>
      </c>
      <c r="J666" s="3">
        <v>1.6050000000000001E-6</v>
      </c>
      <c r="K666" s="3">
        <v>-1.8400000000000001E-10</v>
      </c>
      <c r="L666" s="3">
        <v>1.9649999999999999E-10</v>
      </c>
      <c r="M666" s="3">
        <v>-1.8159999999999999E-6</v>
      </c>
      <c r="N666" s="3">
        <v>1.9230000000000001E-6</v>
      </c>
      <c r="O666" s="3">
        <v>-1.6850000000000002E-6</v>
      </c>
      <c r="P666" s="3">
        <v>1.59E-6</v>
      </c>
      <c r="Q666" s="3">
        <v>1.4190000000000002E-7</v>
      </c>
      <c r="R666" s="3">
        <v>2.007E-6</v>
      </c>
      <c r="S666" s="13">
        <v>99999</v>
      </c>
      <c r="T666" s="13">
        <v>99999</v>
      </c>
      <c r="U666" s="13">
        <v>1.1058401904808796E-2</v>
      </c>
    </row>
    <row r="667" spans="1:21" x14ac:dyDescent="0.2">
      <c r="A667">
        <v>570</v>
      </c>
      <c r="B667" s="12">
        <v>1</v>
      </c>
      <c r="C667" s="16">
        <v>212.1</v>
      </c>
      <c r="D667" s="16">
        <v>212.1</v>
      </c>
      <c r="E667" s="3">
        <v>1.5469820640008382E-3</v>
      </c>
      <c r="F667" s="3">
        <v>0</v>
      </c>
      <c r="G667" s="3">
        <v>-1.3820000000000001E-6</v>
      </c>
      <c r="H667" s="3">
        <v>1.2750000000000001E-6</v>
      </c>
      <c r="I667" s="3">
        <v>-1.499E-6</v>
      </c>
      <c r="J667" s="3">
        <v>1.6050000000000001E-6</v>
      </c>
      <c r="K667" s="3">
        <v>-1.8400000000000001E-10</v>
      </c>
      <c r="L667" s="3">
        <v>1.9649999999999999E-10</v>
      </c>
      <c r="M667" s="3">
        <v>-2.0279999999999999E-6</v>
      </c>
      <c r="N667" s="3">
        <v>2.1500000000000002E-6</v>
      </c>
      <c r="O667" s="3">
        <v>-1.8810000000000001E-6</v>
      </c>
      <c r="P667" s="3">
        <v>1.7710000000000001E-6</v>
      </c>
      <c r="Q667" s="3">
        <v>1.6149999999999998E-7</v>
      </c>
      <c r="R667" s="3">
        <v>2.2450000000000001E-6</v>
      </c>
      <c r="S667" s="13">
        <v>99999</v>
      </c>
      <c r="T667" s="13">
        <v>99999</v>
      </c>
      <c r="U667" s="13">
        <v>1.1559587106945457E-2</v>
      </c>
    </row>
    <row r="668" spans="1:21" x14ac:dyDescent="0.2">
      <c r="A668">
        <v>571</v>
      </c>
      <c r="B668" s="12">
        <v>1</v>
      </c>
      <c r="C668" s="16">
        <v>658</v>
      </c>
      <c r="D668" s="16">
        <v>658</v>
      </c>
      <c r="E668" s="3">
        <v>0</v>
      </c>
      <c r="F668" s="3">
        <v>0</v>
      </c>
      <c r="G668" s="3">
        <v>-1.093E-4</v>
      </c>
      <c r="H668" s="3">
        <v>-1.093E-4</v>
      </c>
      <c r="I668" s="3">
        <v>-3.6899999999999999E-9</v>
      </c>
      <c r="J668" s="3">
        <v>2.984E-9</v>
      </c>
      <c r="K668" s="3">
        <v>-4.2739999999999998E-7</v>
      </c>
      <c r="L668" s="3">
        <v>3.4519999999999999E-7</v>
      </c>
      <c r="M668" s="3">
        <v>-3.0150000000000002E-8</v>
      </c>
      <c r="N668" s="3">
        <v>3.728E-8</v>
      </c>
      <c r="O668" s="3">
        <v>8.2830000000000002E-4</v>
      </c>
      <c r="P668" s="3">
        <v>8.2830000000000002E-4</v>
      </c>
      <c r="Q668" s="3">
        <v>8.2830000000000002E-4</v>
      </c>
      <c r="R668" s="3">
        <v>8.2830000000000002E-4</v>
      </c>
      <c r="S668" s="13">
        <v>120.72920439454303</v>
      </c>
      <c r="T668" s="13">
        <v>120.72920439454303</v>
      </c>
      <c r="U668" s="13">
        <v>507.80923302847782</v>
      </c>
    </row>
    <row r="669" spans="1:21" x14ac:dyDescent="0.2">
      <c r="A669">
        <v>572</v>
      </c>
      <c r="B669" s="12">
        <v>1</v>
      </c>
      <c r="C669" s="16">
        <v>658</v>
      </c>
      <c r="D669" s="16">
        <v>658</v>
      </c>
      <c r="E669" s="3">
        <v>0</v>
      </c>
      <c r="F669" s="3">
        <v>0</v>
      </c>
      <c r="G669" s="3">
        <v>-7.6390000000000006E-5</v>
      </c>
      <c r="H669" s="3">
        <v>-7.6369999999999989E-5</v>
      </c>
      <c r="I669" s="3">
        <v>-7.8129999999999999E-5</v>
      </c>
      <c r="J669" s="3">
        <v>-7.8119999999999991E-5</v>
      </c>
      <c r="K669" s="3">
        <v>-4.6639999999999999E-7</v>
      </c>
      <c r="L669" s="3">
        <v>2.8439999999999998E-7</v>
      </c>
      <c r="M669" s="3">
        <v>5.9209999999999992E-4</v>
      </c>
      <c r="N669" s="3">
        <v>5.9219999999999997E-4</v>
      </c>
      <c r="O669" s="3">
        <v>5.7879999999999997E-4</v>
      </c>
      <c r="P669" s="3">
        <v>5.7899999999999998E-4</v>
      </c>
      <c r="Q669" s="3">
        <v>8.2809999999999991E-4</v>
      </c>
      <c r="R669" s="3">
        <v>8.2809999999999991E-4</v>
      </c>
      <c r="S669" s="13">
        <v>120.75836251660428</v>
      </c>
      <c r="T669" s="13">
        <v>120.75836251660428</v>
      </c>
      <c r="U669" s="13">
        <v>507.80886370591219</v>
      </c>
    </row>
    <row r="670" spans="1:21" x14ac:dyDescent="0.2">
      <c r="A670">
        <v>573</v>
      </c>
      <c r="B670" s="12">
        <v>1</v>
      </c>
      <c r="C670" s="16">
        <v>658</v>
      </c>
      <c r="D670" s="16">
        <v>658</v>
      </c>
      <c r="E670" s="3">
        <v>0</v>
      </c>
      <c r="F670" s="3">
        <v>0</v>
      </c>
      <c r="G670" s="3">
        <v>-2.9039999999999999E-9</v>
      </c>
      <c r="H670" s="3">
        <v>3.1219999999999998E-9</v>
      </c>
      <c r="I670" s="3">
        <v>-1.093E-4</v>
      </c>
      <c r="J670" s="3">
        <v>-1.093E-4</v>
      </c>
      <c r="K670" s="3">
        <v>-3.6249999999999997E-7</v>
      </c>
      <c r="L670" s="3">
        <v>3.3510000000000003E-7</v>
      </c>
      <c r="M670" s="3">
        <v>8.2830000000000002E-4</v>
      </c>
      <c r="N670" s="3">
        <v>8.2830000000000002E-4</v>
      </c>
      <c r="O670" s="3">
        <v>-3.1539999999999997E-8</v>
      </c>
      <c r="P670" s="3">
        <v>2.9349999999999998E-8</v>
      </c>
      <c r="Q670" s="3">
        <v>8.2830000000000002E-4</v>
      </c>
      <c r="R670" s="3">
        <v>8.2830000000000002E-4</v>
      </c>
      <c r="S670" s="13">
        <v>120.72920439454303</v>
      </c>
      <c r="T670" s="13">
        <v>120.72920439454303</v>
      </c>
      <c r="U670" s="13">
        <v>507.80923302847782</v>
      </c>
    </row>
    <row r="671" spans="1:21" x14ac:dyDescent="0.2">
      <c r="A671">
        <v>574</v>
      </c>
      <c r="B671" s="12">
        <v>1</v>
      </c>
      <c r="C671" s="16">
        <v>658</v>
      </c>
      <c r="D671" s="16">
        <v>658</v>
      </c>
      <c r="E671" s="3">
        <v>0</v>
      </c>
      <c r="F671" s="3">
        <v>0</v>
      </c>
      <c r="G671" s="3">
        <v>7.6379999999999997E-5</v>
      </c>
      <c r="H671" s="3">
        <v>7.6390000000000006E-5</v>
      </c>
      <c r="I671" s="3">
        <v>-7.8129999999999999E-5</v>
      </c>
      <c r="J671" s="3">
        <v>-7.8119999999999991E-5</v>
      </c>
      <c r="K671" s="3">
        <v>-3.0059999999999998E-7</v>
      </c>
      <c r="L671" s="3">
        <v>2.8389999999999999E-7</v>
      </c>
      <c r="M671" s="3">
        <v>5.9209999999999992E-4</v>
      </c>
      <c r="N671" s="3">
        <v>5.9209999999999992E-4</v>
      </c>
      <c r="O671" s="3">
        <v>-5.7899999999999998E-4</v>
      </c>
      <c r="P671" s="3">
        <v>-5.7889999999999992E-4</v>
      </c>
      <c r="Q671" s="3">
        <v>8.2809999999999991E-4</v>
      </c>
      <c r="R671" s="3">
        <v>8.2809999999999991E-4</v>
      </c>
      <c r="S671" s="13">
        <v>120.75836251660428</v>
      </c>
      <c r="T671" s="13">
        <v>120.75836251660428</v>
      </c>
      <c r="U671" s="13">
        <v>507.80886370591219</v>
      </c>
    </row>
    <row r="672" spans="1:21" x14ac:dyDescent="0.2">
      <c r="A672">
        <v>575</v>
      </c>
      <c r="B672" s="12">
        <v>1</v>
      </c>
      <c r="C672" s="16">
        <v>658</v>
      </c>
      <c r="D672" s="16">
        <v>658</v>
      </c>
      <c r="E672" s="3">
        <v>0</v>
      </c>
      <c r="F672" s="3">
        <v>0</v>
      </c>
      <c r="G672" s="3">
        <v>1.093E-4</v>
      </c>
      <c r="H672" s="3">
        <v>1.093E-4</v>
      </c>
      <c r="I672" s="3">
        <v>-3.6819999999999999E-9</v>
      </c>
      <c r="J672" s="3">
        <v>2.9870000000000001E-9</v>
      </c>
      <c r="K672" s="3">
        <v>-3.4719999999999999E-7</v>
      </c>
      <c r="L672" s="3">
        <v>4.2240000000000002E-7</v>
      </c>
      <c r="M672" s="3">
        <v>-3.0179999999999996E-8</v>
      </c>
      <c r="N672" s="3">
        <v>3.7200000000000002E-8</v>
      </c>
      <c r="O672" s="3">
        <v>-8.2830000000000002E-4</v>
      </c>
      <c r="P672" s="3">
        <v>-8.2830000000000002E-4</v>
      </c>
      <c r="Q672" s="3">
        <v>8.2830000000000002E-4</v>
      </c>
      <c r="R672" s="3">
        <v>8.2830000000000002E-4</v>
      </c>
      <c r="S672" s="13">
        <v>120.72920439454303</v>
      </c>
      <c r="T672" s="13">
        <v>120.72920439454303</v>
      </c>
      <c r="U672" s="13">
        <v>507.80923302847782</v>
      </c>
    </row>
    <row r="673" spans="1:21" x14ac:dyDescent="0.2">
      <c r="A673">
        <v>576</v>
      </c>
      <c r="B673" s="12">
        <v>1</v>
      </c>
      <c r="C673" s="16">
        <v>658</v>
      </c>
      <c r="D673" s="16">
        <v>658</v>
      </c>
      <c r="E673" s="3">
        <v>0</v>
      </c>
      <c r="F673" s="3">
        <v>0</v>
      </c>
      <c r="G673" s="3">
        <v>7.6379999999999997E-5</v>
      </c>
      <c r="H673" s="3">
        <v>7.6390000000000006E-5</v>
      </c>
      <c r="I673" s="3">
        <v>7.8109999999999996E-5</v>
      </c>
      <c r="J673" s="3">
        <v>7.8129999999999999E-5</v>
      </c>
      <c r="K673" s="3">
        <v>-2.8630000000000002E-7</v>
      </c>
      <c r="L673" s="3">
        <v>4.6190000000000003E-7</v>
      </c>
      <c r="M673" s="3">
        <v>-5.9209999999999992E-4</v>
      </c>
      <c r="N673" s="3">
        <v>-5.9199999999999997E-4</v>
      </c>
      <c r="O673" s="3">
        <v>-5.7899999999999998E-4</v>
      </c>
      <c r="P673" s="3">
        <v>-5.7889999999999992E-4</v>
      </c>
      <c r="Q673" s="3">
        <v>8.2809999999999991E-4</v>
      </c>
      <c r="R673" s="3">
        <v>8.2809999999999991E-4</v>
      </c>
      <c r="S673" s="13">
        <v>120.75836251660428</v>
      </c>
      <c r="T673" s="13">
        <v>120.75836251660428</v>
      </c>
      <c r="U673" s="13">
        <v>507.80886370591219</v>
      </c>
    </row>
    <row r="674" spans="1:21" x14ac:dyDescent="0.2">
      <c r="A674">
        <v>577</v>
      </c>
      <c r="B674" s="12">
        <v>1</v>
      </c>
      <c r="C674" s="16">
        <v>658</v>
      </c>
      <c r="D674" s="16">
        <v>658</v>
      </c>
      <c r="E674" s="3">
        <v>0</v>
      </c>
      <c r="F674" s="3">
        <v>0</v>
      </c>
      <c r="G674" s="3">
        <v>-2.9009999999999998E-9</v>
      </c>
      <c r="H674" s="3">
        <v>3.1289999999999998E-9</v>
      </c>
      <c r="I674" s="3">
        <v>1.093E-4</v>
      </c>
      <c r="J674" s="3">
        <v>1.093E-4</v>
      </c>
      <c r="K674" s="3">
        <v>-3.3270000000000001E-7</v>
      </c>
      <c r="L674" s="3">
        <v>3.6699999999999999E-7</v>
      </c>
      <c r="M674" s="3">
        <v>-8.2830000000000002E-4</v>
      </c>
      <c r="N674" s="3">
        <v>-8.2830000000000002E-4</v>
      </c>
      <c r="O674" s="3">
        <v>-3.1609999999999997E-8</v>
      </c>
      <c r="P674" s="3">
        <v>2.9309999999999999E-8</v>
      </c>
      <c r="Q674" s="3">
        <v>8.2830000000000002E-4</v>
      </c>
      <c r="R674" s="3">
        <v>8.2830000000000002E-4</v>
      </c>
      <c r="S674" s="13">
        <v>120.72920439454303</v>
      </c>
      <c r="T674" s="13">
        <v>120.72920439454303</v>
      </c>
      <c r="U674" s="13">
        <v>507.80923302847782</v>
      </c>
    </row>
    <row r="675" spans="1:21" x14ac:dyDescent="0.2">
      <c r="A675">
        <v>578</v>
      </c>
      <c r="B675" s="12">
        <v>1</v>
      </c>
      <c r="C675" s="16">
        <v>658</v>
      </c>
      <c r="D675" s="16">
        <v>658</v>
      </c>
      <c r="E675" s="3">
        <v>0</v>
      </c>
      <c r="F675" s="3">
        <v>0</v>
      </c>
      <c r="G675" s="3">
        <v>-7.6390000000000006E-5</v>
      </c>
      <c r="H675" s="3">
        <v>-7.6379999999999997E-5</v>
      </c>
      <c r="I675" s="3">
        <v>7.8119999999999991E-5</v>
      </c>
      <c r="J675" s="3">
        <v>7.8129999999999999E-5</v>
      </c>
      <c r="K675" s="3">
        <v>-2.8410000000000001E-7</v>
      </c>
      <c r="L675" s="3">
        <v>2.9690000000000002E-7</v>
      </c>
      <c r="M675" s="3">
        <v>-5.9209999999999992E-4</v>
      </c>
      <c r="N675" s="3">
        <v>-5.9209999999999992E-4</v>
      </c>
      <c r="O675" s="3">
        <v>5.7889999999999992E-4</v>
      </c>
      <c r="P675" s="3">
        <v>5.7899999999999998E-4</v>
      </c>
      <c r="Q675" s="3">
        <v>8.2809999999999991E-4</v>
      </c>
      <c r="R675" s="3">
        <v>8.2809999999999991E-4</v>
      </c>
      <c r="S675" s="13">
        <v>120.75836251660428</v>
      </c>
      <c r="T675" s="13">
        <v>120.75836251660428</v>
      </c>
      <c r="U675" s="13">
        <v>507.80886370591219</v>
      </c>
    </row>
    <row r="676" spans="1:21" x14ac:dyDescent="0.2">
      <c r="A676">
        <v>579</v>
      </c>
      <c r="B676" s="12">
        <v>1</v>
      </c>
      <c r="C676" s="16">
        <v>144.9</v>
      </c>
      <c r="D676" s="16">
        <v>144.9</v>
      </c>
      <c r="E676" s="3">
        <v>0</v>
      </c>
      <c r="F676" s="3">
        <v>0</v>
      </c>
      <c r="G676" s="3">
        <v>636.29999999999995</v>
      </c>
      <c r="H676" s="3">
        <v>636.29999999999995</v>
      </c>
      <c r="I676" s="3">
        <v>-1.2239999999999998E-7</v>
      </c>
      <c r="J676" s="3">
        <v>9.9530000000000005E-8</v>
      </c>
      <c r="K676" s="3">
        <v>-1.895E-7</v>
      </c>
      <c r="L676" s="3">
        <v>1.5320000000000002E-7</v>
      </c>
      <c r="M676" s="3">
        <v>-2.35E-7</v>
      </c>
      <c r="N676" s="3">
        <v>1.889E-7</v>
      </c>
      <c r="O676" s="3">
        <v>-888.9</v>
      </c>
      <c r="P676" s="3">
        <v>-888.9</v>
      </c>
      <c r="Q676" s="3">
        <v>888.9</v>
      </c>
      <c r="R676" s="3">
        <v>888.9</v>
      </c>
      <c r="S676" s="13">
        <v>11249.859376757791</v>
      </c>
      <c r="T676" s="13">
        <v>11249.859376757791</v>
      </c>
      <c r="U676" s="13">
        <v>1641565.6318853523</v>
      </c>
    </row>
    <row r="677" spans="1:21" x14ac:dyDescent="0.2">
      <c r="A677">
        <v>580</v>
      </c>
      <c r="B677" s="12">
        <v>1</v>
      </c>
      <c r="C677" s="16">
        <v>144.80000000000001</v>
      </c>
      <c r="D677" s="16">
        <v>144.80000000000001</v>
      </c>
      <c r="E677" s="3">
        <v>0</v>
      </c>
      <c r="F677" s="3">
        <v>0</v>
      </c>
      <c r="G677" s="3">
        <v>-8.543999999999999E-8</v>
      </c>
      <c r="H677" s="3">
        <v>1.409E-7</v>
      </c>
      <c r="I677" s="3">
        <v>636.29999999999995</v>
      </c>
      <c r="J677" s="3">
        <v>636.29999999999995</v>
      </c>
      <c r="K677" s="3">
        <v>-4.126E-6</v>
      </c>
      <c r="L677" s="3">
        <v>4.8339999999999998E-6</v>
      </c>
      <c r="M677" s="3">
        <v>-889.1</v>
      </c>
      <c r="N677" s="3">
        <v>-889.1</v>
      </c>
      <c r="O677" s="3">
        <v>-1.5220000000000003E-7</v>
      </c>
      <c r="P677" s="3">
        <v>2.494E-7</v>
      </c>
      <c r="Q677" s="3">
        <v>889.1</v>
      </c>
      <c r="R677" s="3">
        <v>889.1</v>
      </c>
      <c r="S677" s="13">
        <v>11247.328759419637</v>
      </c>
      <c r="T677" s="13">
        <v>11247.328759419637</v>
      </c>
      <c r="U677" s="13">
        <v>1641934.877508712</v>
      </c>
    </row>
    <row r="678" spans="1:21" x14ac:dyDescent="0.2">
      <c r="A678">
        <v>581</v>
      </c>
      <c r="B678" s="12">
        <v>1</v>
      </c>
      <c r="C678" s="16">
        <v>144.9</v>
      </c>
      <c r="D678" s="16">
        <v>144.9</v>
      </c>
      <c r="E678" s="3">
        <v>0</v>
      </c>
      <c r="F678" s="3">
        <v>0</v>
      </c>
      <c r="G678" s="3">
        <v>-9.6629999999999999E-8</v>
      </c>
      <c r="H678" s="3">
        <v>1.0260000000000001E-7</v>
      </c>
      <c r="I678" s="3">
        <v>636.29999999999995</v>
      </c>
      <c r="J678" s="3">
        <v>636.29999999999995</v>
      </c>
      <c r="K678" s="3">
        <v>-1.6019999999999999E-7</v>
      </c>
      <c r="L678" s="3">
        <v>1.49E-7</v>
      </c>
      <c r="M678" s="3">
        <v>-888.9</v>
      </c>
      <c r="N678" s="3">
        <v>-888.9</v>
      </c>
      <c r="O678" s="3">
        <v>-1.832E-7</v>
      </c>
      <c r="P678" s="3">
        <v>2.0090000000000001E-7</v>
      </c>
      <c r="Q678" s="3">
        <v>888.9</v>
      </c>
      <c r="R678" s="3">
        <v>888.9</v>
      </c>
      <c r="S678" s="13">
        <v>11249.859376757791</v>
      </c>
      <c r="T678" s="13">
        <v>11249.859376757791</v>
      </c>
      <c r="U678" s="13">
        <v>1641565.6318853523</v>
      </c>
    </row>
    <row r="679" spans="1:21" x14ac:dyDescent="0.2">
      <c r="A679">
        <v>582</v>
      </c>
      <c r="B679" s="12">
        <v>1</v>
      </c>
      <c r="C679" s="16">
        <v>144.80000000000001</v>
      </c>
      <c r="D679" s="16">
        <v>144.80000000000001</v>
      </c>
      <c r="E679" s="3">
        <v>0</v>
      </c>
      <c r="F679" s="3">
        <v>0</v>
      </c>
      <c r="G679" s="3">
        <v>-8.3309999999999996E-8</v>
      </c>
      <c r="H679" s="3">
        <v>8.3889999999999992E-8</v>
      </c>
      <c r="I679" s="3">
        <v>636.29999999999995</v>
      </c>
      <c r="J679" s="3">
        <v>636.29999999999995</v>
      </c>
      <c r="K679" s="3">
        <v>-5.1989999999999997E-6</v>
      </c>
      <c r="L679" s="3">
        <v>4.4939999999999997E-6</v>
      </c>
      <c r="M679" s="3">
        <v>-889.1</v>
      </c>
      <c r="N679" s="3">
        <v>-889.1</v>
      </c>
      <c r="O679" s="3">
        <v>-1.575E-7</v>
      </c>
      <c r="P679" s="3">
        <v>1.67E-7</v>
      </c>
      <c r="Q679" s="3">
        <v>889.1</v>
      </c>
      <c r="R679" s="3">
        <v>889.1</v>
      </c>
      <c r="S679" s="13">
        <v>11247.328759419637</v>
      </c>
      <c r="T679" s="13">
        <v>11247.328759419637</v>
      </c>
      <c r="U679" s="13">
        <v>1641934.877508712</v>
      </c>
    </row>
    <row r="680" spans="1:21" x14ac:dyDescent="0.2">
      <c r="A680">
        <v>583</v>
      </c>
      <c r="B680" s="12">
        <v>1</v>
      </c>
      <c r="C680" s="16">
        <v>144.9</v>
      </c>
      <c r="D680" s="16">
        <v>144.9</v>
      </c>
      <c r="E680" s="3">
        <v>0</v>
      </c>
      <c r="F680" s="3">
        <v>0</v>
      </c>
      <c r="G680" s="3">
        <v>-636.29999999999995</v>
      </c>
      <c r="H680" s="3">
        <v>-636.29999999999995</v>
      </c>
      <c r="I680" s="3">
        <v>-1.2280000000000001E-7</v>
      </c>
      <c r="J680" s="3">
        <v>9.9519999999999994E-8</v>
      </c>
      <c r="K680" s="3">
        <v>-1.5349999999999999E-7</v>
      </c>
      <c r="L680" s="3">
        <v>1.888E-7</v>
      </c>
      <c r="M680" s="3">
        <v>-2.2959999999999999E-7</v>
      </c>
      <c r="N680" s="3">
        <v>1.909E-7</v>
      </c>
      <c r="O680" s="3">
        <v>888.9</v>
      </c>
      <c r="P680" s="3">
        <v>888.9</v>
      </c>
      <c r="Q680" s="3">
        <v>888.9</v>
      </c>
      <c r="R680" s="3">
        <v>888.9</v>
      </c>
      <c r="S680" s="13">
        <v>11249.859376757791</v>
      </c>
      <c r="T680" s="13">
        <v>11249.859376757791</v>
      </c>
      <c r="U680" s="13">
        <v>1641565.6318853523</v>
      </c>
    </row>
    <row r="681" spans="1:21" x14ac:dyDescent="0.2">
      <c r="A681">
        <v>584</v>
      </c>
      <c r="B681" s="12">
        <v>1</v>
      </c>
      <c r="C681" s="16">
        <v>144.80000000000001</v>
      </c>
      <c r="D681" s="16">
        <v>144.80000000000001</v>
      </c>
      <c r="E681" s="3">
        <v>0</v>
      </c>
      <c r="F681" s="3">
        <v>0</v>
      </c>
      <c r="G681" s="3">
        <v>-9.0569999999999996E-8</v>
      </c>
      <c r="H681" s="3">
        <v>1.423E-7</v>
      </c>
      <c r="I681" s="3">
        <v>-636.29999999999995</v>
      </c>
      <c r="J681" s="3">
        <v>-636.29999999999995</v>
      </c>
      <c r="K681" s="3">
        <v>-4.7829999999999998E-6</v>
      </c>
      <c r="L681" s="3">
        <v>4.4010000000000007E-6</v>
      </c>
      <c r="M681" s="3">
        <v>889.1</v>
      </c>
      <c r="N681" s="3">
        <v>889.1</v>
      </c>
      <c r="O681" s="3">
        <v>-1.483E-7</v>
      </c>
      <c r="P681" s="3">
        <v>2.438E-7</v>
      </c>
      <c r="Q681" s="3">
        <v>889.1</v>
      </c>
      <c r="R681" s="3">
        <v>889.1</v>
      </c>
      <c r="S681" s="13">
        <v>11247.328759419637</v>
      </c>
      <c r="T681" s="13">
        <v>11247.328759419637</v>
      </c>
      <c r="U681" s="13">
        <v>1641934.877508712</v>
      </c>
    </row>
    <row r="682" spans="1:21" x14ac:dyDescent="0.2">
      <c r="A682">
        <v>585</v>
      </c>
      <c r="B682" s="12">
        <v>1</v>
      </c>
      <c r="C682" s="16">
        <v>144.9</v>
      </c>
      <c r="D682" s="16">
        <v>144.9</v>
      </c>
      <c r="E682" s="3">
        <v>0</v>
      </c>
      <c r="F682" s="3">
        <v>0</v>
      </c>
      <c r="G682" s="3">
        <v>-9.6199999999999988E-8</v>
      </c>
      <c r="H682" s="3">
        <v>1.045E-7</v>
      </c>
      <c r="I682" s="3">
        <v>-636.29999999999995</v>
      </c>
      <c r="J682" s="3">
        <v>-636.29999999999995</v>
      </c>
      <c r="K682" s="3">
        <v>-1.487E-7</v>
      </c>
      <c r="L682" s="3">
        <v>1.6090000000000002E-7</v>
      </c>
      <c r="M682" s="3">
        <v>888.9</v>
      </c>
      <c r="N682" s="3">
        <v>888.9</v>
      </c>
      <c r="O682" s="3">
        <v>-1.8159999999999999E-7</v>
      </c>
      <c r="P682" s="3">
        <v>2.0279999999999999E-7</v>
      </c>
      <c r="Q682" s="3">
        <v>888.9</v>
      </c>
      <c r="R682" s="3">
        <v>888.9</v>
      </c>
      <c r="S682" s="13">
        <v>11249.859376757791</v>
      </c>
      <c r="T682" s="13">
        <v>11249.859376757791</v>
      </c>
      <c r="U682" s="13">
        <v>1641565.6318853523</v>
      </c>
    </row>
    <row r="683" spans="1:21" x14ac:dyDescent="0.2">
      <c r="A683">
        <v>586</v>
      </c>
      <c r="B683" s="12">
        <v>1</v>
      </c>
      <c r="C683" s="16">
        <v>144.80000000000001</v>
      </c>
      <c r="D683" s="16">
        <v>144.80000000000001</v>
      </c>
      <c r="E683" s="3">
        <v>0</v>
      </c>
      <c r="F683" s="3">
        <v>0</v>
      </c>
      <c r="G683" s="3">
        <v>-8.3579999999999998E-8</v>
      </c>
      <c r="H683" s="3">
        <v>8.5189999999999997E-8</v>
      </c>
      <c r="I683" s="3">
        <v>-636.29999999999995</v>
      </c>
      <c r="J683" s="3">
        <v>-636.29999999999995</v>
      </c>
      <c r="K683" s="3">
        <v>-5.2430000000000005E-6</v>
      </c>
      <c r="L683" s="3">
        <v>5.1330000000000007E-6</v>
      </c>
      <c r="M683" s="3">
        <v>889.1</v>
      </c>
      <c r="N683" s="3">
        <v>889.1</v>
      </c>
      <c r="O683" s="3">
        <v>-1.5310000000000001E-7</v>
      </c>
      <c r="P683" s="3">
        <v>1.6500000000000001E-7</v>
      </c>
      <c r="Q683" s="3">
        <v>889.1</v>
      </c>
      <c r="R683" s="3">
        <v>889.1</v>
      </c>
      <c r="S683" s="13">
        <v>11247.328759419637</v>
      </c>
      <c r="T683" s="13">
        <v>11247.328759419637</v>
      </c>
      <c r="U683" s="13">
        <v>1641934.877508712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66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1" sqref="E1"/>
    </sheetView>
  </sheetViews>
  <sheetFormatPr defaultRowHeight="12.75" x14ac:dyDescent="0.2"/>
  <cols>
    <col min="1" max="1" width="25.7109375" style="12" customWidth="1"/>
    <col min="2" max="16" width="9.140625" style="3"/>
  </cols>
  <sheetData>
    <row r="1" spans="1:16" x14ac:dyDescent="0.2">
      <c r="B1" s="3" t="s">
        <v>34</v>
      </c>
    </row>
    <row r="2" spans="1:16" x14ac:dyDescent="0.2">
      <c r="B2" s="3" t="s">
        <v>35</v>
      </c>
    </row>
    <row r="3" spans="1:16" x14ac:dyDescent="0.2">
      <c r="B3" s="3" t="s">
        <v>36</v>
      </c>
    </row>
    <row r="4" spans="1:16" x14ac:dyDescent="0.2">
      <c r="B4" s="3" t="s">
        <v>37</v>
      </c>
      <c r="F4" s="3" t="s">
        <v>38</v>
      </c>
    </row>
    <row r="5" spans="1:16" s="4" customFormat="1" x14ac:dyDescent="0.2">
      <c r="A5" s="12"/>
      <c r="B5" s="3"/>
      <c r="C5" s="3"/>
      <c r="D5" s="3"/>
      <c r="E5" s="3"/>
      <c r="F5" s="3" t="s">
        <v>178</v>
      </c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x14ac:dyDescent="0.2">
      <c r="A6" s="12" t="s">
        <v>170</v>
      </c>
      <c r="B6" s="3" t="s">
        <v>179</v>
      </c>
      <c r="E6" s="3" t="s">
        <v>180</v>
      </c>
      <c r="G6" s="3" t="s">
        <v>181</v>
      </c>
      <c r="I6" s="3" t="s">
        <v>182</v>
      </c>
      <c r="K6" s="3" t="s">
        <v>183</v>
      </c>
      <c r="M6" s="3" t="s">
        <v>184</v>
      </c>
      <c r="O6" s="3" t="s">
        <v>185</v>
      </c>
    </row>
    <row r="7" spans="1:16" x14ac:dyDescent="0.2">
      <c r="B7" s="3" t="s">
        <v>186</v>
      </c>
      <c r="C7" s="3" t="s">
        <v>187</v>
      </c>
      <c r="D7" s="3" t="s">
        <v>188</v>
      </c>
      <c r="E7" s="3" t="s">
        <v>17</v>
      </c>
      <c r="F7" s="3" t="s">
        <v>18</v>
      </c>
      <c r="G7" s="3" t="s">
        <v>17</v>
      </c>
      <c r="H7" s="3" t="s">
        <v>18</v>
      </c>
      <c r="I7" s="3" t="s">
        <v>17</v>
      </c>
      <c r="J7" s="3" t="s">
        <v>18</v>
      </c>
      <c r="K7" s="3" t="s">
        <v>17</v>
      </c>
      <c r="L7" s="3" t="s">
        <v>18</v>
      </c>
      <c r="M7" s="3" t="s">
        <v>17</v>
      </c>
      <c r="N7" s="3" t="s">
        <v>18</v>
      </c>
      <c r="O7" s="3" t="s">
        <v>17</v>
      </c>
      <c r="P7" s="3" t="s">
        <v>18</v>
      </c>
    </row>
    <row r="8" spans="1:16" x14ac:dyDescent="0.2">
      <c r="A8" s="12" t="s">
        <v>189</v>
      </c>
      <c r="B8" s="3">
        <v>-50</v>
      </c>
      <c r="C8" s="3">
        <v>0</v>
      </c>
      <c r="D8" s="3">
        <v>0</v>
      </c>
      <c r="E8" s="3">
        <v>-50</v>
      </c>
      <c r="F8" s="3">
        <v>-50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</row>
    <row r="9" spans="1:16" x14ac:dyDescent="0.2">
      <c r="A9" s="12" t="s">
        <v>190</v>
      </c>
      <c r="B9" s="3">
        <v>-23.5</v>
      </c>
      <c r="C9" s="3">
        <v>0</v>
      </c>
      <c r="D9" s="3">
        <v>0</v>
      </c>
      <c r="E9" s="3">
        <v>-23.504000000000001</v>
      </c>
      <c r="F9" s="3">
        <v>-23.504000000000001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</row>
    <row r="10" spans="1:16" x14ac:dyDescent="0.2">
      <c r="A10" s="12" t="s">
        <v>191</v>
      </c>
      <c r="B10" s="3">
        <v>-23.297999999999998</v>
      </c>
      <c r="C10" s="3">
        <v>0</v>
      </c>
      <c r="D10" s="3">
        <v>0</v>
      </c>
      <c r="E10" s="3">
        <v>-23.302</v>
      </c>
      <c r="F10" s="3">
        <v>-23.302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</row>
    <row r="11" spans="1:16" x14ac:dyDescent="0.2">
      <c r="A11" s="12" t="s">
        <v>192</v>
      </c>
      <c r="B11" s="3">
        <v>-23.097999999999999</v>
      </c>
      <c r="C11" s="3">
        <v>0</v>
      </c>
      <c r="D11" s="3">
        <v>0</v>
      </c>
      <c r="E11" s="3">
        <v>-23.102</v>
      </c>
      <c r="F11" s="3">
        <v>-23.102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</row>
    <row r="12" spans="1:16" x14ac:dyDescent="0.2">
      <c r="A12" s="12" t="s">
        <v>193</v>
      </c>
      <c r="B12" s="3">
        <v>-11.305999999999999</v>
      </c>
      <c r="C12" s="3">
        <v>0</v>
      </c>
      <c r="D12" s="3">
        <v>0</v>
      </c>
      <c r="E12" s="3">
        <v>-11.311</v>
      </c>
      <c r="F12" s="3">
        <v>-11.311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</row>
    <row r="13" spans="1:16" x14ac:dyDescent="0.2">
      <c r="A13" s="12" t="s">
        <v>194</v>
      </c>
      <c r="B13" s="3">
        <v>-11.106</v>
      </c>
      <c r="C13" s="3">
        <v>0</v>
      </c>
      <c r="D13" s="3">
        <v>0</v>
      </c>
      <c r="E13" s="3">
        <v>-11.111000000000001</v>
      </c>
      <c r="F13" s="3">
        <v>-11.111000000000001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</row>
    <row r="14" spans="1:16" x14ac:dyDescent="0.2">
      <c r="A14" s="12" t="s">
        <v>195</v>
      </c>
      <c r="B14" s="3">
        <v>-10.906000000000001</v>
      </c>
      <c r="C14" s="3">
        <v>0</v>
      </c>
      <c r="D14" s="3">
        <v>0</v>
      </c>
      <c r="E14" s="3">
        <v>-10.911</v>
      </c>
      <c r="F14" s="3">
        <v>-10.911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</row>
    <row r="15" spans="1:16" x14ac:dyDescent="0.2">
      <c r="A15" s="12" t="s">
        <v>196</v>
      </c>
      <c r="B15" s="3">
        <v>0</v>
      </c>
      <c r="C15" s="3">
        <v>0</v>
      </c>
      <c r="D15" s="3">
        <v>0</v>
      </c>
      <c r="E15" s="3">
        <v>-7.0000000000000001E-3</v>
      </c>
      <c r="F15" s="3">
        <v>-7.0000000000000001E-3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</row>
    <row r="16" spans="1:16" x14ac:dyDescent="0.2">
      <c r="A16" s="12" t="s">
        <v>197</v>
      </c>
      <c r="B16" s="3">
        <v>0</v>
      </c>
      <c r="C16" s="3">
        <v>0</v>
      </c>
      <c r="D16" s="3">
        <v>0</v>
      </c>
      <c r="E16" s="3">
        <v>-7.0000000000000001E-3</v>
      </c>
      <c r="F16" s="3">
        <v>-7.0000000000000001E-3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</row>
    <row r="17" spans="1:16" x14ac:dyDescent="0.2">
      <c r="A17" s="12" t="s">
        <v>198</v>
      </c>
      <c r="B17" s="3">
        <v>-50</v>
      </c>
      <c r="C17" s="3">
        <v>0</v>
      </c>
      <c r="D17" s="3">
        <v>0</v>
      </c>
      <c r="E17" s="3">
        <v>-50.015000000000001</v>
      </c>
      <c r="F17" s="3">
        <v>-50.015000000000001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</row>
    <row r="18" spans="1:16" x14ac:dyDescent="0.2">
      <c r="A18" s="12" t="s">
        <v>199</v>
      </c>
      <c r="B18" s="3">
        <v>-23.413</v>
      </c>
      <c r="C18" s="3">
        <v>0</v>
      </c>
      <c r="D18" s="3">
        <v>0</v>
      </c>
      <c r="E18" s="3">
        <v>-23.423999999999999</v>
      </c>
      <c r="F18" s="3">
        <v>-23.423999999999999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</row>
    <row r="19" spans="1:16" x14ac:dyDescent="0.2">
      <c r="A19" s="12" t="s">
        <v>200</v>
      </c>
      <c r="B19" s="3">
        <v>-23.213000000000001</v>
      </c>
      <c r="C19" s="3">
        <v>0</v>
      </c>
      <c r="D19" s="3">
        <v>0</v>
      </c>
      <c r="E19" s="3">
        <v>-23.224</v>
      </c>
      <c r="F19" s="3">
        <v>-23.224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</row>
    <row r="20" spans="1:16" x14ac:dyDescent="0.2">
      <c r="A20" s="12" t="s">
        <v>201</v>
      </c>
      <c r="B20" s="3">
        <v>-23.013000000000002</v>
      </c>
      <c r="C20" s="3">
        <v>0</v>
      </c>
      <c r="D20" s="3">
        <v>0</v>
      </c>
      <c r="E20" s="3">
        <v>-23.024000000000001</v>
      </c>
      <c r="F20" s="3">
        <v>-23.024000000000001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</row>
    <row r="21" spans="1:16" x14ac:dyDescent="0.2">
      <c r="A21" s="12" t="s">
        <v>202</v>
      </c>
      <c r="B21" s="3">
        <v>-11.221</v>
      </c>
      <c r="C21" s="3">
        <v>0</v>
      </c>
      <c r="D21" s="3">
        <v>0</v>
      </c>
      <c r="E21" s="3">
        <v>-11.23</v>
      </c>
      <c r="F21" s="3">
        <v>-11.23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</row>
    <row r="22" spans="1:16" x14ac:dyDescent="0.2">
      <c r="A22" s="12" t="s">
        <v>203</v>
      </c>
      <c r="B22" s="3">
        <v>-11.021000000000001</v>
      </c>
      <c r="C22" s="3">
        <v>0</v>
      </c>
      <c r="D22" s="3">
        <v>0</v>
      </c>
      <c r="E22" s="3">
        <v>-11.03</v>
      </c>
      <c r="F22" s="3">
        <v>-11.03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</row>
    <row r="23" spans="1:16" x14ac:dyDescent="0.2">
      <c r="A23" s="12" t="s">
        <v>204</v>
      </c>
      <c r="B23" s="3">
        <v>-10.821</v>
      </c>
      <c r="C23" s="3">
        <v>0</v>
      </c>
      <c r="D23" s="3">
        <v>0</v>
      </c>
      <c r="E23" s="3">
        <v>-10.83</v>
      </c>
      <c r="F23" s="3">
        <v>-10.83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</row>
    <row r="24" spans="1:16" x14ac:dyDescent="0.2">
      <c r="A24" s="12" t="s">
        <v>205</v>
      </c>
      <c r="B24" s="3">
        <v>0</v>
      </c>
      <c r="C24" s="3">
        <v>0</v>
      </c>
      <c r="D24" s="3">
        <v>0</v>
      </c>
      <c r="E24" s="3">
        <v>-7.0000000000000001E-3</v>
      </c>
      <c r="F24" s="3">
        <v>-7.0000000000000001E-3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</row>
    <row r="25" spans="1:16" x14ac:dyDescent="0.2">
      <c r="A25" s="12" t="s">
        <v>206</v>
      </c>
      <c r="B25" s="3">
        <v>0</v>
      </c>
      <c r="C25" s="3">
        <v>0</v>
      </c>
      <c r="D25" s="3">
        <v>0</v>
      </c>
      <c r="E25" s="3">
        <v>-7.0000000000000001E-3</v>
      </c>
      <c r="F25" s="3">
        <v>-7.0000000000000001E-3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</row>
    <row r="26" spans="1:16" x14ac:dyDescent="0.2">
      <c r="A26" s="12" t="s">
        <v>207</v>
      </c>
      <c r="B26" s="3">
        <v>1.2709999999999999</v>
      </c>
      <c r="C26" s="3">
        <v>0</v>
      </c>
      <c r="D26" s="3">
        <v>0</v>
      </c>
      <c r="E26" s="3">
        <v>1.264</v>
      </c>
      <c r="F26" s="3">
        <v>1.264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</row>
    <row r="27" spans="1:16" x14ac:dyDescent="0.2">
      <c r="A27" s="12" t="s">
        <v>208</v>
      </c>
      <c r="B27" s="3">
        <v>1.2709999999999999</v>
      </c>
      <c r="C27" s="3">
        <v>0</v>
      </c>
      <c r="D27" s="3">
        <v>0</v>
      </c>
      <c r="E27" s="3">
        <v>1.264</v>
      </c>
      <c r="F27" s="3">
        <v>1.264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</row>
    <row r="28" spans="1:16" x14ac:dyDescent="0.2">
      <c r="A28" s="12" t="s">
        <v>209</v>
      </c>
      <c r="B28" s="3">
        <v>0</v>
      </c>
      <c r="C28" s="3">
        <v>0</v>
      </c>
      <c r="D28" s="3">
        <v>0</v>
      </c>
      <c r="E28" s="3">
        <v>-7.0000000000000001E-3</v>
      </c>
      <c r="F28" s="3">
        <v>-7.0000000000000001E-3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</row>
    <row r="29" spans="1:16" x14ac:dyDescent="0.2">
      <c r="A29" s="12" t="s">
        <v>210</v>
      </c>
      <c r="B29" s="3">
        <v>2</v>
      </c>
      <c r="C29" s="3">
        <v>0</v>
      </c>
      <c r="D29" s="3">
        <v>0</v>
      </c>
      <c r="E29" s="3">
        <v>1.9930000000000001</v>
      </c>
      <c r="F29" s="3">
        <v>1.9930000000000001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</row>
    <row r="30" spans="1:16" x14ac:dyDescent="0.2">
      <c r="A30" s="12" t="s">
        <v>211</v>
      </c>
      <c r="B30" s="3">
        <v>2</v>
      </c>
      <c r="C30" s="3">
        <v>0</v>
      </c>
      <c r="D30" s="3">
        <v>0</v>
      </c>
      <c r="E30" s="3">
        <v>1.9930000000000001</v>
      </c>
      <c r="F30" s="3">
        <v>1.9930000000000001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</row>
    <row r="31" spans="1:16" x14ac:dyDescent="0.2">
      <c r="A31" s="12" t="s">
        <v>212</v>
      </c>
      <c r="B31" s="3">
        <v>2</v>
      </c>
      <c r="C31" s="3">
        <v>0</v>
      </c>
      <c r="D31" s="3">
        <v>0</v>
      </c>
      <c r="E31" s="3">
        <v>1.9930000000000001</v>
      </c>
      <c r="F31" s="3">
        <v>1.9930000000000001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</row>
    <row r="32" spans="1:16" x14ac:dyDescent="0.2">
      <c r="A32" s="12" t="s">
        <v>213</v>
      </c>
      <c r="B32" s="3">
        <v>3</v>
      </c>
      <c r="C32" s="3">
        <v>0</v>
      </c>
      <c r="D32" s="3">
        <v>0</v>
      </c>
      <c r="E32" s="3">
        <v>2.9929999999999999</v>
      </c>
      <c r="F32" s="3">
        <v>2.9929999999999999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</row>
    <row r="33" spans="1:16" x14ac:dyDescent="0.2">
      <c r="A33" s="12" t="s">
        <v>214</v>
      </c>
      <c r="B33" s="3">
        <v>976.83100000000002</v>
      </c>
      <c r="C33" s="3">
        <v>0</v>
      </c>
      <c r="D33" s="3">
        <v>0</v>
      </c>
      <c r="E33" s="3">
        <v>977.25199999999995</v>
      </c>
      <c r="F33" s="3">
        <v>977.25199999999995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</row>
    <row r="34" spans="1:16" x14ac:dyDescent="0.2">
      <c r="A34" s="12" t="s">
        <v>215</v>
      </c>
      <c r="B34" s="3">
        <v>976.83100000000002</v>
      </c>
      <c r="C34" s="3">
        <v>0</v>
      </c>
      <c r="D34" s="3">
        <v>0</v>
      </c>
      <c r="E34" s="3">
        <v>977.25199999999995</v>
      </c>
      <c r="F34" s="3">
        <v>977.25199999999995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</row>
    <row r="35" spans="1:16" x14ac:dyDescent="0.2">
      <c r="A35" s="12" t="s">
        <v>216</v>
      </c>
      <c r="B35" s="3">
        <v>985</v>
      </c>
      <c r="C35" s="3">
        <v>0</v>
      </c>
      <c r="D35" s="3">
        <v>0</v>
      </c>
      <c r="E35" s="3">
        <v>985.423</v>
      </c>
      <c r="F35" s="3">
        <v>985.423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</row>
    <row r="36" spans="1:16" x14ac:dyDescent="0.2">
      <c r="A36" s="12" t="s">
        <v>217</v>
      </c>
      <c r="B36" s="3">
        <v>985</v>
      </c>
      <c r="C36" s="3">
        <v>0</v>
      </c>
      <c r="D36" s="3">
        <v>0</v>
      </c>
      <c r="E36" s="3">
        <v>985.423</v>
      </c>
      <c r="F36" s="3">
        <v>985.423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</row>
    <row r="37" spans="1:16" x14ac:dyDescent="0.2">
      <c r="A37" s="12" t="s">
        <v>218</v>
      </c>
      <c r="B37" s="3">
        <v>985</v>
      </c>
      <c r="C37" s="3">
        <v>0</v>
      </c>
      <c r="D37" s="3">
        <v>0</v>
      </c>
      <c r="E37" s="3">
        <v>985.423</v>
      </c>
      <c r="F37" s="3">
        <v>985.423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</row>
    <row r="38" spans="1:16" x14ac:dyDescent="0.2">
      <c r="A38" s="12" t="s">
        <v>219</v>
      </c>
      <c r="B38" s="3">
        <v>987.49900000000002</v>
      </c>
      <c r="C38" s="3">
        <v>0</v>
      </c>
      <c r="D38" s="3">
        <v>0</v>
      </c>
      <c r="E38" s="3">
        <v>987.923</v>
      </c>
      <c r="F38" s="3">
        <v>987.923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</row>
    <row r="39" spans="1:16" x14ac:dyDescent="0.2">
      <c r="A39" s="12" t="s">
        <v>220</v>
      </c>
      <c r="B39" s="3">
        <v>995.11900000000003</v>
      </c>
      <c r="C39" s="3">
        <v>0</v>
      </c>
      <c r="D39" s="3">
        <v>0</v>
      </c>
      <c r="E39" s="3">
        <v>995.54499999999996</v>
      </c>
      <c r="F39" s="3">
        <v>995.54499999999996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</row>
    <row r="40" spans="1:16" x14ac:dyDescent="0.2">
      <c r="A40" s="12" t="s">
        <v>221</v>
      </c>
      <c r="B40" s="3">
        <v>995.11900000000003</v>
      </c>
      <c r="C40" s="3">
        <v>0</v>
      </c>
      <c r="D40" s="3">
        <v>0</v>
      </c>
      <c r="E40" s="3">
        <v>995.54499999999996</v>
      </c>
      <c r="F40" s="3">
        <v>995.54499999999996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</row>
    <row r="41" spans="1:16" x14ac:dyDescent="0.2">
      <c r="A41" s="12" t="s">
        <v>222</v>
      </c>
      <c r="B41" s="3">
        <v>995.11900000000003</v>
      </c>
      <c r="C41" s="3">
        <v>0</v>
      </c>
      <c r="D41" s="3">
        <v>0</v>
      </c>
      <c r="E41" s="3">
        <v>995.54499999999996</v>
      </c>
      <c r="F41" s="3">
        <v>995.54499999999996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</row>
    <row r="42" spans="1:16" x14ac:dyDescent="0.2">
      <c r="A42" s="12" t="s">
        <v>223</v>
      </c>
      <c r="B42" s="3">
        <v>995.11900000000003</v>
      </c>
      <c r="C42" s="3">
        <v>0</v>
      </c>
      <c r="D42" s="3">
        <v>0</v>
      </c>
      <c r="E42" s="3">
        <v>995.54499999999996</v>
      </c>
      <c r="F42" s="3">
        <v>995.54499999999996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</row>
    <row r="43" spans="1:16" x14ac:dyDescent="0.2">
      <c r="A43" s="12" t="s">
        <v>224</v>
      </c>
      <c r="B43" s="3">
        <v>995.11900000000003</v>
      </c>
      <c r="C43" s="3">
        <v>0</v>
      </c>
      <c r="D43" s="3">
        <v>0</v>
      </c>
      <c r="E43" s="3">
        <v>995.54499999999996</v>
      </c>
      <c r="F43" s="3">
        <v>995.54499999999996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</row>
    <row r="44" spans="1:16" x14ac:dyDescent="0.2">
      <c r="A44" s="12" t="s">
        <v>225</v>
      </c>
      <c r="B44" s="3">
        <v>995.11900000000003</v>
      </c>
      <c r="C44" s="3">
        <v>0</v>
      </c>
      <c r="D44" s="3">
        <v>0</v>
      </c>
      <c r="E44" s="3">
        <v>995.54499999999996</v>
      </c>
      <c r="F44" s="3">
        <v>995.54499999999996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</row>
    <row r="45" spans="1:16" x14ac:dyDescent="0.2">
      <c r="A45" s="12" t="s">
        <v>226</v>
      </c>
      <c r="B45" s="3">
        <v>995.11900000000003</v>
      </c>
      <c r="C45" s="3">
        <v>0</v>
      </c>
      <c r="D45" s="3">
        <v>0</v>
      </c>
      <c r="E45" s="3">
        <v>995.54499999999996</v>
      </c>
      <c r="F45" s="3">
        <v>995.54499999999996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</row>
    <row r="46" spans="1:16" x14ac:dyDescent="0.2">
      <c r="A46" s="12" t="s">
        <v>227</v>
      </c>
      <c r="B46" s="3">
        <v>995.11900000000003</v>
      </c>
      <c r="C46" s="3">
        <v>0</v>
      </c>
      <c r="D46" s="3">
        <v>0</v>
      </c>
      <c r="E46" s="3">
        <v>995.54499999999996</v>
      </c>
      <c r="F46" s="3">
        <v>995.54499999999996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</row>
    <row r="47" spans="1:16" x14ac:dyDescent="0.2">
      <c r="A47" s="12" t="s">
        <v>228</v>
      </c>
      <c r="B47" s="3">
        <v>995.11900000000003</v>
      </c>
      <c r="C47" s="3">
        <v>0</v>
      </c>
      <c r="D47" s="3">
        <v>0</v>
      </c>
      <c r="E47" s="3">
        <v>995.54499999999996</v>
      </c>
      <c r="F47" s="3">
        <v>995.54499999999996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</row>
    <row r="48" spans="1:16" x14ac:dyDescent="0.2">
      <c r="A48" s="12" t="s">
        <v>229</v>
      </c>
      <c r="B48" s="3">
        <v>1003.429</v>
      </c>
      <c r="C48" s="3">
        <v>0</v>
      </c>
      <c r="D48" s="3">
        <v>0</v>
      </c>
      <c r="E48" s="3">
        <v>1003.429</v>
      </c>
      <c r="F48" s="3">
        <v>1003.429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</row>
    <row r="49" spans="1:16" x14ac:dyDescent="0.2">
      <c r="A49" s="12" t="s">
        <v>230</v>
      </c>
      <c r="B49" s="3">
        <v>1003.429</v>
      </c>
      <c r="C49" s="3">
        <v>0</v>
      </c>
      <c r="D49" s="3">
        <v>0</v>
      </c>
      <c r="E49" s="3">
        <v>1003.429</v>
      </c>
      <c r="F49" s="3">
        <v>1003.429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</row>
    <row r="50" spans="1:16" x14ac:dyDescent="0.2">
      <c r="A50" s="12" t="s">
        <v>231</v>
      </c>
      <c r="B50" s="3">
        <v>1005</v>
      </c>
      <c r="C50" s="3">
        <v>0</v>
      </c>
      <c r="D50" s="3">
        <v>0</v>
      </c>
      <c r="E50" s="3">
        <v>1005</v>
      </c>
      <c r="F50" s="3">
        <v>1005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</row>
    <row r="51" spans="1:16" x14ac:dyDescent="0.2">
      <c r="A51" s="12" t="s">
        <v>232</v>
      </c>
      <c r="B51" s="3">
        <v>995.11900000000003</v>
      </c>
      <c r="C51" s="3">
        <v>1.397</v>
      </c>
      <c r="D51" s="3">
        <v>0</v>
      </c>
      <c r="E51" s="3">
        <v>995.54499999999996</v>
      </c>
      <c r="F51" s="3">
        <v>995.54499999999996</v>
      </c>
      <c r="G51" s="3">
        <v>1.397</v>
      </c>
      <c r="H51" s="3">
        <v>1.397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-4.0000000000000001E-3</v>
      </c>
      <c r="P51" s="3">
        <v>-4.0000000000000001E-3</v>
      </c>
    </row>
    <row r="52" spans="1:16" x14ac:dyDescent="0.2">
      <c r="A52" s="12" t="s">
        <v>233</v>
      </c>
      <c r="B52" s="3">
        <v>995.11900000000003</v>
      </c>
      <c r="C52" s="3">
        <v>1.397</v>
      </c>
      <c r="D52" s="3">
        <v>0</v>
      </c>
      <c r="E52" s="3">
        <v>995.54499999999996</v>
      </c>
      <c r="F52" s="3">
        <v>995.54499999999996</v>
      </c>
      <c r="G52" s="3">
        <v>1.397</v>
      </c>
      <c r="H52" s="3">
        <v>1.397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-4.0000000000000001E-3</v>
      </c>
      <c r="P52" s="3">
        <v>-4.0000000000000001E-3</v>
      </c>
    </row>
    <row r="53" spans="1:16" x14ac:dyDescent="0.2">
      <c r="A53" s="12" t="s">
        <v>234</v>
      </c>
      <c r="B53" s="3">
        <v>1005</v>
      </c>
      <c r="C53" s="3">
        <v>3.5190000000000001</v>
      </c>
      <c r="D53" s="3">
        <v>0</v>
      </c>
      <c r="E53" s="3">
        <v>1005</v>
      </c>
      <c r="F53" s="3">
        <v>1005</v>
      </c>
      <c r="G53" s="3">
        <v>3.5190000000000001</v>
      </c>
      <c r="H53" s="3">
        <v>3.5190000000000001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0.39600000000000002</v>
      </c>
      <c r="P53" s="3">
        <v>0.39600000000000002</v>
      </c>
    </row>
    <row r="54" spans="1:16" x14ac:dyDescent="0.2">
      <c r="A54" s="12" t="s">
        <v>235</v>
      </c>
      <c r="B54" s="3">
        <v>995.11900000000003</v>
      </c>
      <c r="C54" s="3">
        <v>0.98799999999999999</v>
      </c>
      <c r="D54" s="3">
        <v>0.98799999999999999</v>
      </c>
      <c r="E54" s="3">
        <v>995.54499999999996</v>
      </c>
      <c r="F54" s="3">
        <v>995.54499999999996</v>
      </c>
      <c r="G54" s="3">
        <v>0.98799999999999999</v>
      </c>
      <c r="H54" s="3">
        <v>0.98799999999999999</v>
      </c>
      <c r="I54" s="3">
        <v>0.98799999999999999</v>
      </c>
      <c r="J54" s="3">
        <v>0.98799999999999999</v>
      </c>
      <c r="K54" s="3">
        <v>0</v>
      </c>
      <c r="L54" s="3">
        <v>0</v>
      </c>
      <c r="M54" s="3">
        <v>2E-3</v>
      </c>
      <c r="N54" s="3">
        <v>2E-3</v>
      </c>
      <c r="O54" s="3">
        <v>-2E-3</v>
      </c>
      <c r="P54" s="3">
        <v>-2E-3</v>
      </c>
    </row>
    <row r="55" spans="1:16" x14ac:dyDescent="0.2">
      <c r="A55" s="12" t="s">
        <v>236</v>
      </c>
      <c r="B55" s="3">
        <v>995.11900000000003</v>
      </c>
      <c r="C55" s="3">
        <v>0.98799999999999999</v>
      </c>
      <c r="D55" s="3">
        <v>0.98799999999999999</v>
      </c>
      <c r="E55" s="3">
        <v>995.54499999999996</v>
      </c>
      <c r="F55" s="3">
        <v>995.54499999999996</v>
      </c>
      <c r="G55" s="3">
        <v>0.98799999999999999</v>
      </c>
      <c r="H55" s="3">
        <v>0.98799999999999999</v>
      </c>
      <c r="I55" s="3">
        <v>0.98799999999999999</v>
      </c>
      <c r="J55" s="3">
        <v>0.98799999999999999</v>
      </c>
      <c r="K55" s="3">
        <v>0</v>
      </c>
      <c r="L55" s="3">
        <v>0</v>
      </c>
      <c r="M55" s="3">
        <v>2E-3</v>
      </c>
      <c r="N55" s="3">
        <v>2E-3</v>
      </c>
      <c r="O55" s="3">
        <v>-2E-3</v>
      </c>
      <c r="P55" s="3">
        <v>-2E-3</v>
      </c>
    </row>
    <row r="56" spans="1:16" x14ac:dyDescent="0.2">
      <c r="A56" s="12" t="s">
        <v>237</v>
      </c>
      <c r="B56" s="3">
        <v>1005</v>
      </c>
      <c r="C56" s="3">
        <v>2.488</v>
      </c>
      <c r="D56" s="3">
        <v>2.488</v>
      </c>
      <c r="E56" s="3">
        <v>1005</v>
      </c>
      <c r="F56" s="3">
        <v>1005</v>
      </c>
      <c r="G56" s="3">
        <v>2.488</v>
      </c>
      <c r="H56" s="3">
        <v>2.488</v>
      </c>
      <c r="I56" s="3">
        <v>2.488</v>
      </c>
      <c r="J56" s="3">
        <v>2.488</v>
      </c>
      <c r="K56" s="3">
        <v>0</v>
      </c>
      <c r="L56" s="3">
        <v>0</v>
      </c>
      <c r="M56" s="3">
        <v>-0.28000000000000003</v>
      </c>
      <c r="N56" s="3">
        <v>-0.28000000000000003</v>
      </c>
      <c r="O56" s="3">
        <v>0.28000000000000003</v>
      </c>
      <c r="P56" s="3">
        <v>0.28000000000000003</v>
      </c>
    </row>
    <row r="57" spans="1:16" x14ac:dyDescent="0.2">
      <c r="A57" s="12" t="s">
        <v>238</v>
      </c>
      <c r="B57" s="3">
        <v>995.11900000000003</v>
      </c>
      <c r="C57" s="3">
        <v>0</v>
      </c>
      <c r="D57" s="3">
        <v>1.397</v>
      </c>
      <c r="E57" s="3">
        <v>995.54499999999996</v>
      </c>
      <c r="F57" s="3">
        <v>995.54499999999996</v>
      </c>
      <c r="G57" s="3">
        <v>0</v>
      </c>
      <c r="H57" s="3">
        <v>0</v>
      </c>
      <c r="I57" s="3">
        <v>1.397</v>
      </c>
      <c r="J57" s="3">
        <v>1.397</v>
      </c>
      <c r="K57" s="3">
        <v>0</v>
      </c>
      <c r="L57" s="3">
        <v>0</v>
      </c>
      <c r="M57" s="3">
        <v>4.0000000000000001E-3</v>
      </c>
      <c r="N57" s="3">
        <v>4.0000000000000001E-3</v>
      </c>
      <c r="O57" s="3">
        <v>0</v>
      </c>
      <c r="P57" s="3">
        <v>0</v>
      </c>
    </row>
    <row r="58" spans="1:16" x14ac:dyDescent="0.2">
      <c r="A58" s="12" t="s">
        <v>239</v>
      </c>
      <c r="B58" s="3">
        <v>995.11900000000003</v>
      </c>
      <c r="C58" s="3">
        <v>0</v>
      </c>
      <c r="D58" s="3">
        <v>1.397</v>
      </c>
      <c r="E58" s="3">
        <v>995.54499999999996</v>
      </c>
      <c r="F58" s="3">
        <v>995.54499999999996</v>
      </c>
      <c r="G58" s="3">
        <v>0</v>
      </c>
      <c r="H58" s="3">
        <v>0</v>
      </c>
      <c r="I58" s="3">
        <v>1.397</v>
      </c>
      <c r="J58" s="3">
        <v>1.397</v>
      </c>
      <c r="K58" s="3">
        <v>0</v>
      </c>
      <c r="L58" s="3">
        <v>0</v>
      </c>
      <c r="M58" s="3">
        <v>4.0000000000000001E-3</v>
      </c>
      <c r="N58" s="3">
        <v>4.0000000000000001E-3</v>
      </c>
      <c r="O58" s="3">
        <v>0</v>
      </c>
      <c r="P58" s="3">
        <v>0</v>
      </c>
    </row>
    <row r="59" spans="1:16" x14ac:dyDescent="0.2">
      <c r="A59" s="12" t="s">
        <v>240</v>
      </c>
      <c r="B59" s="3">
        <v>1005</v>
      </c>
      <c r="C59" s="3">
        <v>0</v>
      </c>
      <c r="D59" s="3">
        <v>3.5190000000000001</v>
      </c>
      <c r="E59" s="3">
        <v>1005</v>
      </c>
      <c r="F59" s="3">
        <v>1005</v>
      </c>
      <c r="G59" s="3">
        <v>0</v>
      </c>
      <c r="H59" s="3">
        <v>0</v>
      </c>
      <c r="I59" s="3">
        <v>3.5190000000000001</v>
      </c>
      <c r="J59" s="3">
        <v>3.5190000000000001</v>
      </c>
      <c r="K59" s="3">
        <v>0</v>
      </c>
      <c r="L59" s="3">
        <v>0</v>
      </c>
      <c r="M59" s="3">
        <v>-0.39600000000000002</v>
      </c>
      <c r="N59" s="3">
        <v>-0.39600000000000002</v>
      </c>
      <c r="O59" s="3">
        <v>0</v>
      </c>
      <c r="P59" s="3">
        <v>0</v>
      </c>
    </row>
    <row r="60" spans="1:16" x14ac:dyDescent="0.2">
      <c r="A60" s="12" t="s">
        <v>241</v>
      </c>
      <c r="B60" s="3">
        <v>995.11900000000003</v>
      </c>
      <c r="C60" s="3">
        <v>-0.98799999999999999</v>
      </c>
      <c r="D60" s="3">
        <v>0.98799999999999999</v>
      </c>
      <c r="E60" s="3">
        <v>995.54499999999996</v>
      </c>
      <c r="F60" s="3">
        <v>995.54499999999996</v>
      </c>
      <c r="G60" s="3">
        <v>-0.98799999999999999</v>
      </c>
      <c r="H60" s="3">
        <v>-0.98799999999999999</v>
      </c>
      <c r="I60" s="3">
        <v>0.98799999999999999</v>
      </c>
      <c r="J60" s="3">
        <v>0.98799999999999999</v>
      </c>
      <c r="K60" s="3">
        <v>0</v>
      </c>
      <c r="L60" s="3">
        <v>0</v>
      </c>
      <c r="M60" s="3">
        <v>2E-3</v>
      </c>
      <c r="N60" s="3">
        <v>2E-3</v>
      </c>
      <c r="O60" s="3">
        <v>2E-3</v>
      </c>
      <c r="P60" s="3">
        <v>2E-3</v>
      </c>
    </row>
    <row r="61" spans="1:16" x14ac:dyDescent="0.2">
      <c r="A61" s="12" t="s">
        <v>242</v>
      </c>
      <c r="B61" s="3">
        <v>995.11900000000003</v>
      </c>
      <c r="C61" s="3">
        <v>-0.98799999999999999</v>
      </c>
      <c r="D61" s="3">
        <v>0.98799999999999999</v>
      </c>
      <c r="E61" s="3">
        <v>995.54499999999996</v>
      </c>
      <c r="F61" s="3">
        <v>995.54499999999996</v>
      </c>
      <c r="G61" s="3">
        <v>-0.98799999999999999</v>
      </c>
      <c r="H61" s="3">
        <v>-0.98799999999999999</v>
      </c>
      <c r="I61" s="3">
        <v>0.98799999999999999</v>
      </c>
      <c r="J61" s="3">
        <v>0.98799999999999999</v>
      </c>
      <c r="K61" s="3">
        <v>0</v>
      </c>
      <c r="L61" s="3">
        <v>0</v>
      </c>
      <c r="M61" s="3">
        <v>2E-3</v>
      </c>
      <c r="N61" s="3">
        <v>2E-3</v>
      </c>
      <c r="O61" s="3">
        <v>2E-3</v>
      </c>
      <c r="P61" s="3">
        <v>2E-3</v>
      </c>
    </row>
    <row r="62" spans="1:16" x14ac:dyDescent="0.2">
      <c r="A62" s="12" t="s">
        <v>243</v>
      </c>
      <c r="B62" s="3">
        <v>1005</v>
      </c>
      <c r="C62" s="3">
        <v>-2.488</v>
      </c>
      <c r="D62" s="3">
        <v>2.488</v>
      </c>
      <c r="E62" s="3">
        <v>1005</v>
      </c>
      <c r="F62" s="3">
        <v>1005</v>
      </c>
      <c r="G62" s="3">
        <v>-2.488</v>
      </c>
      <c r="H62" s="3">
        <v>-2.488</v>
      </c>
      <c r="I62" s="3">
        <v>2.488</v>
      </c>
      <c r="J62" s="3">
        <v>2.488</v>
      </c>
      <c r="K62" s="3">
        <v>0</v>
      </c>
      <c r="L62" s="3">
        <v>0</v>
      </c>
      <c r="M62" s="3">
        <v>-0.28000000000000003</v>
      </c>
      <c r="N62" s="3">
        <v>-0.28000000000000003</v>
      </c>
      <c r="O62" s="3">
        <v>-0.28000000000000003</v>
      </c>
      <c r="P62" s="3">
        <v>-0.28000000000000003</v>
      </c>
    </row>
    <row r="63" spans="1:16" x14ac:dyDescent="0.2">
      <c r="A63" s="12" t="s">
        <v>244</v>
      </c>
      <c r="B63" s="3">
        <v>995.11900000000003</v>
      </c>
      <c r="C63" s="3">
        <v>-1.397</v>
      </c>
      <c r="D63" s="3">
        <v>0</v>
      </c>
      <c r="E63" s="3">
        <v>995.54499999999996</v>
      </c>
      <c r="F63" s="3">
        <v>995.54499999999996</v>
      </c>
      <c r="G63" s="3">
        <v>-1.397</v>
      </c>
      <c r="H63" s="3">
        <v>-1.397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4.0000000000000001E-3</v>
      </c>
      <c r="P63" s="3">
        <v>4.0000000000000001E-3</v>
      </c>
    </row>
    <row r="64" spans="1:16" x14ac:dyDescent="0.2">
      <c r="A64" s="12" t="s">
        <v>245</v>
      </c>
      <c r="B64" s="3">
        <v>995.11900000000003</v>
      </c>
      <c r="C64" s="3">
        <v>-1.397</v>
      </c>
      <c r="D64" s="3">
        <v>0</v>
      </c>
      <c r="E64" s="3">
        <v>995.54499999999996</v>
      </c>
      <c r="F64" s="3">
        <v>995.54499999999996</v>
      </c>
      <c r="G64" s="3">
        <v>-1.397</v>
      </c>
      <c r="H64" s="3">
        <v>-1.397</v>
      </c>
      <c r="I64" s="3">
        <v>0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4.0000000000000001E-3</v>
      </c>
      <c r="P64" s="3">
        <v>4.0000000000000001E-3</v>
      </c>
    </row>
    <row r="65" spans="1:16" x14ac:dyDescent="0.2">
      <c r="A65" s="12" t="s">
        <v>246</v>
      </c>
      <c r="B65" s="3">
        <v>1005</v>
      </c>
      <c r="C65" s="3">
        <v>-3.5190000000000001</v>
      </c>
      <c r="D65" s="3">
        <v>0</v>
      </c>
      <c r="E65" s="3">
        <v>1005</v>
      </c>
      <c r="F65" s="3">
        <v>1005</v>
      </c>
      <c r="G65" s="3">
        <v>-3.5190000000000001</v>
      </c>
      <c r="H65" s="3">
        <v>-3.5190000000000001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-0.39600000000000002</v>
      </c>
      <c r="P65" s="3">
        <v>-0.39600000000000002</v>
      </c>
    </row>
    <row r="66" spans="1:16" x14ac:dyDescent="0.2">
      <c r="A66" s="12" t="s">
        <v>247</v>
      </c>
      <c r="B66" s="3">
        <v>995.11900000000003</v>
      </c>
      <c r="C66" s="3">
        <v>-0.98799999999999999</v>
      </c>
      <c r="D66" s="3">
        <v>-0.98799999999999999</v>
      </c>
      <c r="E66" s="3">
        <v>995.54499999999996</v>
      </c>
      <c r="F66" s="3">
        <v>995.54499999999996</v>
      </c>
      <c r="G66" s="3">
        <v>-0.98799999999999999</v>
      </c>
      <c r="H66" s="3">
        <v>-0.98799999999999999</v>
      </c>
      <c r="I66" s="3">
        <v>-0.98799999999999999</v>
      </c>
      <c r="J66" s="3">
        <v>-0.98799999999999999</v>
      </c>
      <c r="K66" s="3">
        <v>0</v>
      </c>
      <c r="L66" s="3">
        <v>0</v>
      </c>
      <c r="M66" s="3">
        <v>-2E-3</v>
      </c>
      <c r="N66" s="3">
        <v>-2E-3</v>
      </c>
      <c r="O66" s="3">
        <v>2E-3</v>
      </c>
      <c r="P66" s="3">
        <v>2E-3</v>
      </c>
    </row>
    <row r="67" spans="1:16" x14ac:dyDescent="0.2">
      <c r="A67" s="12" t="s">
        <v>248</v>
      </c>
      <c r="B67" s="3">
        <v>995.11900000000003</v>
      </c>
      <c r="C67" s="3">
        <v>-0.98799999999999999</v>
      </c>
      <c r="D67" s="3">
        <v>-0.98799999999999999</v>
      </c>
      <c r="E67" s="3">
        <v>995.54499999999996</v>
      </c>
      <c r="F67" s="3">
        <v>995.54499999999996</v>
      </c>
      <c r="G67" s="3">
        <v>-0.98799999999999999</v>
      </c>
      <c r="H67" s="3">
        <v>-0.98799999999999999</v>
      </c>
      <c r="I67" s="3">
        <v>-0.98799999999999999</v>
      </c>
      <c r="J67" s="3">
        <v>-0.98799999999999999</v>
      </c>
      <c r="K67" s="3">
        <v>0</v>
      </c>
      <c r="L67" s="3">
        <v>0</v>
      </c>
      <c r="M67" s="3">
        <v>-2E-3</v>
      </c>
      <c r="N67" s="3">
        <v>-2E-3</v>
      </c>
      <c r="O67" s="3">
        <v>2E-3</v>
      </c>
      <c r="P67" s="3">
        <v>2E-3</v>
      </c>
    </row>
    <row r="68" spans="1:16" x14ac:dyDescent="0.2">
      <c r="A68" s="12" t="s">
        <v>249</v>
      </c>
      <c r="B68" s="3">
        <v>1005</v>
      </c>
      <c r="C68" s="3">
        <v>-2.488</v>
      </c>
      <c r="D68" s="3">
        <v>-2.488</v>
      </c>
      <c r="E68" s="3">
        <v>1005</v>
      </c>
      <c r="F68" s="3">
        <v>1005</v>
      </c>
      <c r="G68" s="3">
        <v>-2.488</v>
      </c>
      <c r="H68" s="3">
        <v>-2.488</v>
      </c>
      <c r="I68" s="3">
        <v>-2.488</v>
      </c>
      <c r="J68" s="3">
        <v>-2.488</v>
      </c>
      <c r="K68" s="3">
        <v>0</v>
      </c>
      <c r="L68" s="3">
        <v>0</v>
      </c>
      <c r="M68" s="3">
        <v>0.28000000000000003</v>
      </c>
      <c r="N68" s="3">
        <v>0.28000000000000003</v>
      </c>
      <c r="O68" s="3">
        <v>-0.28000000000000003</v>
      </c>
      <c r="P68" s="3">
        <v>-0.28000000000000003</v>
      </c>
    </row>
    <row r="69" spans="1:16" x14ac:dyDescent="0.2">
      <c r="A69" s="12" t="s">
        <v>250</v>
      </c>
      <c r="B69" s="3">
        <v>995.11900000000003</v>
      </c>
      <c r="C69" s="3">
        <v>0</v>
      </c>
      <c r="D69" s="3">
        <v>-1.397</v>
      </c>
      <c r="E69" s="3">
        <v>995.54499999999996</v>
      </c>
      <c r="F69" s="3">
        <v>995.54499999999996</v>
      </c>
      <c r="G69" s="3">
        <v>0</v>
      </c>
      <c r="H69" s="3">
        <v>0</v>
      </c>
      <c r="I69" s="3">
        <v>-1.397</v>
      </c>
      <c r="J69" s="3">
        <v>-1.397</v>
      </c>
      <c r="K69" s="3">
        <v>0</v>
      </c>
      <c r="L69" s="3">
        <v>0</v>
      </c>
      <c r="M69" s="3">
        <v>-4.0000000000000001E-3</v>
      </c>
      <c r="N69" s="3">
        <v>-4.0000000000000001E-3</v>
      </c>
      <c r="O69" s="3">
        <v>0</v>
      </c>
      <c r="P69" s="3">
        <v>0</v>
      </c>
    </row>
    <row r="70" spans="1:16" x14ac:dyDescent="0.2">
      <c r="A70" s="12" t="s">
        <v>251</v>
      </c>
      <c r="B70" s="3">
        <v>995.11900000000003</v>
      </c>
      <c r="C70" s="3">
        <v>0</v>
      </c>
      <c r="D70" s="3">
        <v>-1.397</v>
      </c>
      <c r="E70" s="3">
        <v>995.54499999999996</v>
      </c>
      <c r="F70" s="3">
        <v>995.54499999999996</v>
      </c>
      <c r="G70" s="3">
        <v>0</v>
      </c>
      <c r="H70" s="3">
        <v>0</v>
      </c>
      <c r="I70" s="3">
        <v>-1.397</v>
      </c>
      <c r="J70" s="3">
        <v>-1.397</v>
      </c>
      <c r="K70" s="3">
        <v>0</v>
      </c>
      <c r="L70" s="3">
        <v>0</v>
      </c>
      <c r="M70" s="3">
        <v>-4.0000000000000001E-3</v>
      </c>
      <c r="N70" s="3">
        <v>-4.0000000000000001E-3</v>
      </c>
      <c r="O70" s="3">
        <v>0</v>
      </c>
      <c r="P70" s="3">
        <v>0</v>
      </c>
    </row>
    <row r="71" spans="1:16" x14ac:dyDescent="0.2">
      <c r="A71" s="12" t="s">
        <v>252</v>
      </c>
      <c r="B71" s="3">
        <v>1005</v>
      </c>
      <c r="C71" s="3">
        <v>0</v>
      </c>
      <c r="D71" s="3">
        <v>-3.5190000000000001</v>
      </c>
      <c r="E71" s="3">
        <v>1005</v>
      </c>
      <c r="F71" s="3">
        <v>1005</v>
      </c>
      <c r="G71" s="3">
        <v>0</v>
      </c>
      <c r="H71" s="3">
        <v>0</v>
      </c>
      <c r="I71" s="3">
        <v>-3.5190000000000001</v>
      </c>
      <c r="J71" s="3">
        <v>-3.5190000000000001</v>
      </c>
      <c r="K71" s="3">
        <v>0</v>
      </c>
      <c r="L71" s="3">
        <v>0</v>
      </c>
      <c r="M71" s="3">
        <v>0.39600000000000002</v>
      </c>
      <c r="N71" s="3">
        <v>0.39600000000000002</v>
      </c>
      <c r="O71" s="3">
        <v>0</v>
      </c>
      <c r="P71" s="3">
        <v>0</v>
      </c>
    </row>
    <row r="72" spans="1:16" x14ac:dyDescent="0.2">
      <c r="A72" s="12" t="s">
        <v>253</v>
      </c>
      <c r="B72" s="3">
        <v>995.11900000000003</v>
      </c>
      <c r="C72" s="3">
        <v>0.98799999999999999</v>
      </c>
      <c r="D72" s="3">
        <v>-0.98799999999999999</v>
      </c>
      <c r="E72" s="3">
        <v>995.54499999999996</v>
      </c>
      <c r="F72" s="3">
        <v>995.54499999999996</v>
      </c>
      <c r="G72" s="3">
        <v>0.98799999999999999</v>
      </c>
      <c r="H72" s="3">
        <v>0.98799999999999999</v>
      </c>
      <c r="I72" s="3">
        <v>-0.98799999999999999</v>
      </c>
      <c r="J72" s="3">
        <v>-0.98799999999999999</v>
      </c>
      <c r="K72" s="3">
        <v>0</v>
      </c>
      <c r="L72" s="3">
        <v>0</v>
      </c>
      <c r="M72" s="3">
        <v>-2E-3</v>
      </c>
      <c r="N72" s="3">
        <v>-2E-3</v>
      </c>
      <c r="O72" s="3">
        <v>-2E-3</v>
      </c>
      <c r="P72" s="3">
        <v>-2E-3</v>
      </c>
    </row>
    <row r="73" spans="1:16" x14ac:dyDescent="0.2">
      <c r="A73" s="12" t="s">
        <v>254</v>
      </c>
      <c r="B73" s="3">
        <v>995.11900000000003</v>
      </c>
      <c r="C73" s="3">
        <v>0.98799999999999999</v>
      </c>
      <c r="D73" s="3">
        <v>-0.98799999999999999</v>
      </c>
      <c r="E73" s="3">
        <v>995.54499999999996</v>
      </c>
      <c r="F73" s="3">
        <v>995.54499999999996</v>
      </c>
      <c r="G73" s="3">
        <v>0.98799999999999999</v>
      </c>
      <c r="H73" s="3">
        <v>0.98799999999999999</v>
      </c>
      <c r="I73" s="3">
        <v>-0.98799999999999999</v>
      </c>
      <c r="J73" s="3">
        <v>-0.98799999999999999</v>
      </c>
      <c r="K73" s="3">
        <v>0</v>
      </c>
      <c r="L73" s="3">
        <v>0</v>
      </c>
      <c r="M73" s="3">
        <v>-2E-3</v>
      </c>
      <c r="N73" s="3">
        <v>-2E-3</v>
      </c>
      <c r="O73" s="3">
        <v>-2E-3</v>
      </c>
      <c r="P73" s="3">
        <v>-2E-3</v>
      </c>
    </row>
    <row r="74" spans="1:16" x14ac:dyDescent="0.2">
      <c r="A74" s="12" t="s">
        <v>255</v>
      </c>
      <c r="B74" s="3">
        <v>1005</v>
      </c>
      <c r="C74" s="3">
        <v>2.488</v>
      </c>
      <c r="D74" s="3">
        <v>-2.488</v>
      </c>
      <c r="E74" s="3">
        <v>1005</v>
      </c>
      <c r="F74" s="3">
        <v>1005</v>
      </c>
      <c r="G74" s="3">
        <v>2.488</v>
      </c>
      <c r="H74" s="3">
        <v>2.488</v>
      </c>
      <c r="I74" s="3">
        <v>-2.488</v>
      </c>
      <c r="J74" s="3">
        <v>-2.488</v>
      </c>
      <c r="K74" s="3">
        <v>0</v>
      </c>
      <c r="L74" s="3">
        <v>0</v>
      </c>
      <c r="M74" s="3">
        <v>0.28000000000000003</v>
      </c>
      <c r="N74" s="3">
        <v>0.28000000000000003</v>
      </c>
      <c r="O74" s="3">
        <v>0.28000000000000003</v>
      </c>
      <c r="P74" s="3">
        <v>0.28000000000000003</v>
      </c>
    </row>
    <row r="75" spans="1:16" x14ac:dyDescent="0.2">
      <c r="A75" s="12" t="s">
        <v>256</v>
      </c>
      <c r="B75" s="3">
        <v>985</v>
      </c>
      <c r="C75" s="3">
        <v>1000</v>
      </c>
      <c r="D75" s="3">
        <v>0</v>
      </c>
      <c r="E75" s="3">
        <v>985</v>
      </c>
      <c r="F75" s="3">
        <v>985</v>
      </c>
      <c r="G75" s="3">
        <v>1000</v>
      </c>
      <c r="H75" s="3">
        <v>1000</v>
      </c>
      <c r="I75" s="3">
        <v>0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0</v>
      </c>
      <c r="P75" s="3">
        <v>0</v>
      </c>
    </row>
    <row r="76" spans="1:16" x14ac:dyDescent="0.2">
      <c r="A76" s="12" t="s">
        <v>257</v>
      </c>
      <c r="B76" s="3">
        <v>985</v>
      </c>
      <c r="C76" s="3">
        <v>0</v>
      </c>
      <c r="D76" s="3">
        <v>-1000</v>
      </c>
      <c r="E76" s="3">
        <v>985</v>
      </c>
      <c r="F76" s="3">
        <v>985</v>
      </c>
      <c r="G76" s="3">
        <v>0</v>
      </c>
      <c r="H76" s="3">
        <v>0</v>
      </c>
      <c r="I76" s="3">
        <v>-1000</v>
      </c>
      <c r="J76" s="3">
        <v>-1000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</row>
    <row r="77" spans="1:16" x14ac:dyDescent="0.2">
      <c r="A77" s="12">
        <v>1</v>
      </c>
      <c r="B77" s="3">
        <v>-50</v>
      </c>
      <c r="C77" s="3">
        <v>0</v>
      </c>
      <c r="D77" s="3">
        <v>0</v>
      </c>
      <c r="E77" s="3">
        <v>-50</v>
      </c>
      <c r="F77" s="3">
        <v>-50</v>
      </c>
      <c r="G77" s="3">
        <v>0</v>
      </c>
      <c r="H77" s="3">
        <v>0</v>
      </c>
      <c r="I77" s="3">
        <v>0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</row>
    <row r="78" spans="1:16" x14ac:dyDescent="0.2">
      <c r="A78" s="12">
        <v>2</v>
      </c>
      <c r="B78" s="3">
        <v>-49.5</v>
      </c>
      <c r="C78" s="3">
        <v>0</v>
      </c>
      <c r="D78" s="3">
        <v>0</v>
      </c>
      <c r="E78" s="3">
        <v>-49.5</v>
      </c>
      <c r="F78" s="3">
        <v>-49.5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</row>
    <row r="79" spans="1:16" x14ac:dyDescent="0.2">
      <c r="A79" s="12">
        <v>3</v>
      </c>
      <c r="B79" s="3">
        <v>-49</v>
      </c>
      <c r="C79" s="3">
        <v>0</v>
      </c>
      <c r="D79" s="3">
        <v>0</v>
      </c>
      <c r="E79" s="3">
        <v>-49</v>
      </c>
      <c r="F79" s="3">
        <v>-49</v>
      </c>
      <c r="G79" s="3">
        <v>0</v>
      </c>
      <c r="H79" s="3">
        <v>0</v>
      </c>
      <c r="I79" s="3">
        <v>0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</row>
    <row r="80" spans="1:16" x14ac:dyDescent="0.2">
      <c r="A80" s="12">
        <v>4</v>
      </c>
      <c r="B80" s="3">
        <v>-48.5</v>
      </c>
      <c r="C80" s="3">
        <v>0</v>
      </c>
      <c r="D80" s="3">
        <v>0</v>
      </c>
      <c r="E80" s="3">
        <v>-48.5</v>
      </c>
      <c r="F80" s="3">
        <v>-48.5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</row>
    <row r="81" spans="1:16" x14ac:dyDescent="0.2">
      <c r="A81" s="12">
        <v>5</v>
      </c>
      <c r="B81" s="3">
        <v>-48</v>
      </c>
      <c r="C81" s="3">
        <v>0</v>
      </c>
      <c r="D81" s="3">
        <v>0</v>
      </c>
      <c r="E81" s="3">
        <v>-48</v>
      </c>
      <c r="F81" s="3">
        <v>-48</v>
      </c>
      <c r="G81" s="3">
        <v>0</v>
      </c>
      <c r="H81" s="3">
        <v>0</v>
      </c>
      <c r="I81" s="3">
        <v>0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</row>
    <row r="82" spans="1:16" x14ac:dyDescent="0.2">
      <c r="A82" s="12">
        <v>6</v>
      </c>
      <c r="B82" s="3">
        <v>-47.5</v>
      </c>
      <c r="C82" s="3">
        <v>0</v>
      </c>
      <c r="D82" s="3">
        <v>0</v>
      </c>
      <c r="E82" s="3">
        <v>-47.5</v>
      </c>
      <c r="F82" s="3">
        <v>-47.5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</row>
    <row r="83" spans="1:16" x14ac:dyDescent="0.2">
      <c r="A83" s="12">
        <v>7</v>
      </c>
      <c r="B83" s="3">
        <v>-47</v>
      </c>
      <c r="C83" s="3">
        <v>0</v>
      </c>
      <c r="D83" s="3">
        <v>0</v>
      </c>
      <c r="E83" s="3">
        <v>-47</v>
      </c>
      <c r="F83" s="3">
        <v>-47</v>
      </c>
      <c r="G83" s="3">
        <v>0</v>
      </c>
      <c r="H83" s="3">
        <v>0</v>
      </c>
      <c r="I83" s="3">
        <v>0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3">
        <v>0</v>
      </c>
    </row>
    <row r="84" spans="1:16" x14ac:dyDescent="0.2">
      <c r="A84" s="12">
        <v>8</v>
      </c>
      <c r="B84" s="3">
        <v>-46.5</v>
      </c>
      <c r="C84" s="3">
        <v>0</v>
      </c>
      <c r="D84" s="3">
        <v>0</v>
      </c>
      <c r="E84" s="3">
        <v>-46.500999999999998</v>
      </c>
      <c r="F84" s="3">
        <v>-46.500999999999998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</row>
    <row r="85" spans="1:16" x14ac:dyDescent="0.2">
      <c r="A85" s="12">
        <v>9</v>
      </c>
      <c r="B85" s="3">
        <v>-46</v>
      </c>
      <c r="C85" s="3">
        <v>0</v>
      </c>
      <c r="D85" s="3">
        <v>0</v>
      </c>
      <c r="E85" s="3">
        <v>-46.000999999999998</v>
      </c>
      <c r="F85" s="3">
        <v>-46.000999999999998</v>
      </c>
      <c r="G85" s="3">
        <v>0</v>
      </c>
      <c r="H85" s="3">
        <v>0</v>
      </c>
      <c r="I85" s="3">
        <v>0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3">
        <v>0</v>
      </c>
    </row>
    <row r="86" spans="1:16" x14ac:dyDescent="0.2">
      <c r="A86" s="12">
        <v>10</v>
      </c>
      <c r="B86" s="3">
        <v>-45.5</v>
      </c>
      <c r="C86" s="3">
        <v>0</v>
      </c>
      <c r="D86" s="3">
        <v>0</v>
      </c>
      <c r="E86" s="3">
        <v>-45.500999999999998</v>
      </c>
      <c r="F86" s="3">
        <v>-45.500999999999998</v>
      </c>
      <c r="G86" s="3">
        <v>0</v>
      </c>
      <c r="H86" s="3">
        <v>0</v>
      </c>
      <c r="I86" s="3">
        <v>0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</row>
    <row r="87" spans="1:16" x14ac:dyDescent="0.2">
      <c r="A87" s="12">
        <v>11</v>
      </c>
      <c r="B87" s="3">
        <v>-45</v>
      </c>
      <c r="C87" s="3">
        <v>0</v>
      </c>
      <c r="D87" s="3">
        <v>0</v>
      </c>
      <c r="E87" s="3">
        <v>-45.000999999999998</v>
      </c>
      <c r="F87" s="3">
        <v>-45.000999999999998</v>
      </c>
      <c r="G87" s="3">
        <v>0</v>
      </c>
      <c r="H87" s="3">
        <v>0</v>
      </c>
      <c r="I87" s="3">
        <v>0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</v>
      </c>
      <c r="P87" s="3">
        <v>0</v>
      </c>
    </row>
    <row r="88" spans="1:16" x14ac:dyDescent="0.2">
      <c r="A88" s="12">
        <v>12</v>
      </c>
      <c r="B88" s="3">
        <v>-44.5</v>
      </c>
      <c r="C88" s="3">
        <v>0</v>
      </c>
      <c r="D88" s="3">
        <v>0</v>
      </c>
      <c r="E88" s="3">
        <v>-44.500999999999998</v>
      </c>
      <c r="F88" s="3">
        <v>-44.500999999999998</v>
      </c>
      <c r="G88" s="3">
        <v>0</v>
      </c>
      <c r="H88" s="3">
        <v>0</v>
      </c>
      <c r="I88" s="3">
        <v>0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</row>
    <row r="89" spans="1:16" x14ac:dyDescent="0.2">
      <c r="A89" s="12">
        <v>13</v>
      </c>
      <c r="B89" s="3">
        <v>-44</v>
      </c>
      <c r="C89" s="3">
        <v>0</v>
      </c>
      <c r="D89" s="3">
        <v>0</v>
      </c>
      <c r="E89" s="3">
        <v>-44.000999999999998</v>
      </c>
      <c r="F89" s="3">
        <v>-44.000999999999998</v>
      </c>
      <c r="G89" s="3">
        <v>0</v>
      </c>
      <c r="H89" s="3">
        <v>0</v>
      </c>
      <c r="I89" s="3">
        <v>0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</row>
    <row r="90" spans="1:16" x14ac:dyDescent="0.2">
      <c r="A90" s="12">
        <v>14</v>
      </c>
      <c r="B90" s="3">
        <v>-43.5</v>
      </c>
      <c r="C90" s="3">
        <v>0</v>
      </c>
      <c r="D90" s="3">
        <v>0</v>
      </c>
      <c r="E90" s="3">
        <v>-43.500999999999998</v>
      </c>
      <c r="F90" s="3">
        <v>-43.500999999999998</v>
      </c>
      <c r="G90" s="3">
        <v>0</v>
      </c>
      <c r="H90" s="3">
        <v>0</v>
      </c>
      <c r="I90" s="3">
        <v>0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</row>
    <row r="91" spans="1:16" x14ac:dyDescent="0.2">
      <c r="A91" s="12">
        <v>15</v>
      </c>
      <c r="B91" s="3">
        <v>-43</v>
      </c>
      <c r="C91" s="3">
        <v>0</v>
      </c>
      <c r="D91" s="3">
        <v>0</v>
      </c>
      <c r="E91" s="3">
        <v>-43.000999999999998</v>
      </c>
      <c r="F91" s="3">
        <v>-43.000999999999998</v>
      </c>
      <c r="G91" s="3">
        <v>0</v>
      </c>
      <c r="H91" s="3">
        <v>0</v>
      </c>
      <c r="I91" s="3">
        <v>0</v>
      </c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>
        <v>0</v>
      </c>
      <c r="P91" s="3">
        <v>0</v>
      </c>
    </row>
    <row r="92" spans="1:16" x14ac:dyDescent="0.2">
      <c r="A92" s="12">
        <v>16</v>
      </c>
      <c r="B92" s="3">
        <v>-42.5</v>
      </c>
      <c r="C92" s="3">
        <v>0</v>
      </c>
      <c r="D92" s="3">
        <v>0</v>
      </c>
      <c r="E92" s="3">
        <v>-42.500999999999998</v>
      </c>
      <c r="F92" s="3">
        <v>-42.500999999999998</v>
      </c>
      <c r="G92" s="3">
        <v>0</v>
      </c>
      <c r="H92" s="3">
        <v>0</v>
      </c>
      <c r="I92" s="3">
        <v>0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</row>
    <row r="93" spans="1:16" x14ac:dyDescent="0.2">
      <c r="A93" s="12">
        <v>17</v>
      </c>
      <c r="B93" s="3">
        <v>-42</v>
      </c>
      <c r="C93" s="3">
        <v>0</v>
      </c>
      <c r="D93" s="3">
        <v>0</v>
      </c>
      <c r="E93" s="3">
        <v>-42.000999999999998</v>
      </c>
      <c r="F93" s="3">
        <v>-42.000999999999998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</row>
    <row r="94" spans="1:16" x14ac:dyDescent="0.2">
      <c r="A94" s="12">
        <v>18</v>
      </c>
      <c r="B94" s="3">
        <v>-41.5</v>
      </c>
      <c r="C94" s="3">
        <v>0</v>
      </c>
      <c r="D94" s="3">
        <v>0</v>
      </c>
      <c r="E94" s="3">
        <v>-41.500999999999998</v>
      </c>
      <c r="F94" s="3">
        <v>-41.500999999999998</v>
      </c>
      <c r="G94" s="3">
        <v>0</v>
      </c>
      <c r="H94" s="3">
        <v>0</v>
      </c>
      <c r="I94" s="3">
        <v>0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</row>
    <row r="95" spans="1:16" x14ac:dyDescent="0.2">
      <c r="A95" s="12">
        <v>19</v>
      </c>
      <c r="B95" s="3">
        <v>-41</v>
      </c>
      <c r="C95" s="3">
        <v>0</v>
      </c>
      <c r="D95" s="3">
        <v>0</v>
      </c>
      <c r="E95" s="3">
        <v>-41.000999999999998</v>
      </c>
      <c r="F95" s="3">
        <v>-41.000999999999998</v>
      </c>
      <c r="G95" s="3">
        <v>0</v>
      </c>
      <c r="H95" s="3">
        <v>0</v>
      </c>
      <c r="I95" s="3">
        <v>0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</row>
    <row r="96" spans="1:16" x14ac:dyDescent="0.2">
      <c r="A96" s="12">
        <v>20</v>
      </c>
      <c r="B96" s="3">
        <v>-40.5</v>
      </c>
      <c r="C96" s="3">
        <v>0</v>
      </c>
      <c r="D96" s="3">
        <v>0</v>
      </c>
      <c r="E96" s="3">
        <v>-40.500999999999998</v>
      </c>
      <c r="F96" s="3">
        <v>-40.500999999999998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</row>
    <row r="97" spans="1:16" x14ac:dyDescent="0.2">
      <c r="A97" s="12">
        <v>21</v>
      </c>
      <c r="B97" s="3">
        <v>-40</v>
      </c>
      <c r="C97" s="3">
        <v>0</v>
      </c>
      <c r="D97" s="3">
        <v>0</v>
      </c>
      <c r="E97" s="3">
        <v>-40.000999999999998</v>
      </c>
      <c r="F97" s="3">
        <v>-40.000999999999998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</row>
    <row r="98" spans="1:16" x14ac:dyDescent="0.2">
      <c r="A98" s="12">
        <v>22</v>
      </c>
      <c r="B98" s="3">
        <v>-39.5</v>
      </c>
      <c r="C98" s="3">
        <v>0</v>
      </c>
      <c r="D98" s="3">
        <v>0</v>
      </c>
      <c r="E98" s="3">
        <v>-39.502000000000002</v>
      </c>
      <c r="F98" s="3">
        <v>-39.502000000000002</v>
      </c>
      <c r="G98" s="3">
        <v>0</v>
      </c>
      <c r="H98" s="3">
        <v>0</v>
      </c>
      <c r="I98" s="3">
        <v>0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</row>
    <row r="99" spans="1:16" x14ac:dyDescent="0.2">
      <c r="A99" s="12">
        <v>23</v>
      </c>
      <c r="B99" s="3">
        <v>-39</v>
      </c>
      <c r="C99" s="3">
        <v>0</v>
      </c>
      <c r="D99" s="3">
        <v>0</v>
      </c>
      <c r="E99" s="3">
        <v>-39.002000000000002</v>
      </c>
      <c r="F99" s="3">
        <v>-39.002000000000002</v>
      </c>
      <c r="G99" s="3">
        <v>0</v>
      </c>
      <c r="H99" s="3">
        <v>0</v>
      </c>
      <c r="I99" s="3">
        <v>0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</row>
    <row r="100" spans="1:16" x14ac:dyDescent="0.2">
      <c r="A100" s="12">
        <v>24</v>
      </c>
      <c r="B100" s="3">
        <v>-38.5</v>
      </c>
      <c r="C100" s="3">
        <v>0</v>
      </c>
      <c r="D100" s="3">
        <v>0</v>
      </c>
      <c r="E100" s="3">
        <v>-38.502000000000002</v>
      </c>
      <c r="F100" s="3">
        <v>-38.502000000000002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0</v>
      </c>
      <c r="P100" s="3">
        <v>0</v>
      </c>
    </row>
    <row r="101" spans="1:16" x14ac:dyDescent="0.2">
      <c r="A101" s="12">
        <v>25</v>
      </c>
      <c r="B101" s="3">
        <v>-38</v>
      </c>
      <c r="C101" s="3">
        <v>0</v>
      </c>
      <c r="D101" s="3">
        <v>0</v>
      </c>
      <c r="E101" s="3">
        <v>-38.002000000000002</v>
      </c>
      <c r="F101" s="3">
        <v>-38.002000000000002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</row>
    <row r="102" spans="1:16" x14ac:dyDescent="0.2">
      <c r="A102" s="12">
        <v>26</v>
      </c>
      <c r="B102" s="3">
        <v>-37.5</v>
      </c>
      <c r="C102" s="3">
        <v>0</v>
      </c>
      <c r="D102" s="3">
        <v>0</v>
      </c>
      <c r="E102" s="3">
        <v>-37.502000000000002</v>
      </c>
      <c r="F102" s="3">
        <v>-37.502000000000002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</row>
    <row r="103" spans="1:16" x14ac:dyDescent="0.2">
      <c r="A103" s="12">
        <v>27</v>
      </c>
      <c r="B103" s="3">
        <v>-37</v>
      </c>
      <c r="C103" s="3">
        <v>0</v>
      </c>
      <c r="D103" s="3">
        <v>0</v>
      </c>
      <c r="E103" s="3">
        <v>-37.002000000000002</v>
      </c>
      <c r="F103" s="3">
        <v>-37.002000000000002</v>
      </c>
      <c r="G103" s="3">
        <v>0</v>
      </c>
      <c r="H103" s="3">
        <v>0</v>
      </c>
      <c r="I103" s="3">
        <v>0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</v>
      </c>
      <c r="P103" s="3">
        <v>0</v>
      </c>
    </row>
    <row r="104" spans="1:16" x14ac:dyDescent="0.2">
      <c r="A104" s="12">
        <v>28</v>
      </c>
      <c r="B104" s="3">
        <v>-36.5</v>
      </c>
      <c r="C104" s="3">
        <v>0</v>
      </c>
      <c r="D104" s="3">
        <v>0</v>
      </c>
      <c r="E104" s="3">
        <v>-36.502000000000002</v>
      </c>
      <c r="F104" s="3">
        <v>-36.502000000000002</v>
      </c>
      <c r="G104" s="3">
        <v>0</v>
      </c>
      <c r="H104" s="3">
        <v>0</v>
      </c>
      <c r="I104" s="3">
        <v>0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</row>
    <row r="105" spans="1:16" x14ac:dyDescent="0.2">
      <c r="A105" s="12">
        <v>29</v>
      </c>
      <c r="B105" s="3">
        <v>-36</v>
      </c>
      <c r="C105" s="3">
        <v>0</v>
      </c>
      <c r="D105" s="3">
        <v>0</v>
      </c>
      <c r="E105" s="3">
        <v>-36.002000000000002</v>
      </c>
      <c r="F105" s="3">
        <v>-36.002000000000002</v>
      </c>
      <c r="G105" s="3">
        <v>0</v>
      </c>
      <c r="H105" s="3">
        <v>0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</row>
    <row r="106" spans="1:16" x14ac:dyDescent="0.2">
      <c r="A106" s="12">
        <v>30</v>
      </c>
      <c r="B106" s="3">
        <v>-35.5</v>
      </c>
      <c r="C106" s="3">
        <v>0</v>
      </c>
      <c r="D106" s="3">
        <v>0</v>
      </c>
      <c r="E106" s="3">
        <v>-35.502000000000002</v>
      </c>
      <c r="F106" s="3">
        <v>-35.502000000000002</v>
      </c>
      <c r="G106" s="3">
        <v>0</v>
      </c>
      <c r="H106" s="3">
        <v>0</v>
      </c>
      <c r="I106" s="3">
        <v>0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</row>
    <row r="107" spans="1:16" x14ac:dyDescent="0.2">
      <c r="A107" s="12">
        <v>31</v>
      </c>
      <c r="B107" s="3">
        <v>-35</v>
      </c>
      <c r="C107" s="3">
        <v>0</v>
      </c>
      <c r="D107" s="3">
        <v>0</v>
      </c>
      <c r="E107" s="3">
        <v>-35.002000000000002</v>
      </c>
      <c r="F107" s="3">
        <v>-35.002000000000002</v>
      </c>
      <c r="G107" s="3">
        <v>0</v>
      </c>
      <c r="H107" s="3">
        <v>0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</row>
    <row r="108" spans="1:16" x14ac:dyDescent="0.2">
      <c r="A108" s="12">
        <v>32</v>
      </c>
      <c r="B108" s="3">
        <v>-34.5</v>
      </c>
      <c r="C108" s="3">
        <v>0</v>
      </c>
      <c r="D108" s="3">
        <v>0</v>
      </c>
      <c r="E108" s="3">
        <v>-34.502000000000002</v>
      </c>
      <c r="F108" s="3">
        <v>-34.502000000000002</v>
      </c>
      <c r="G108" s="3">
        <v>0</v>
      </c>
      <c r="H108" s="3">
        <v>0</v>
      </c>
      <c r="I108" s="3">
        <v>0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</row>
    <row r="109" spans="1:16" x14ac:dyDescent="0.2">
      <c r="A109" s="12">
        <v>33</v>
      </c>
      <c r="B109" s="3">
        <v>-34</v>
      </c>
      <c r="C109" s="3">
        <v>0</v>
      </c>
      <c r="D109" s="3">
        <v>0</v>
      </c>
      <c r="E109" s="3">
        <v>-34.002000000000002</v>
      </c>
      <c r="F109" s="3">
        <v>-34.002000000000002</v>
      </c>
      <c r="G109" s="3">
        <v>0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</row>
    <row r="110" spans="1:16" x14ac:dyDescent="0.2">
      <c r="A110" s="12">
        <v>34</v>
      </c>
      <c r="B110" s="3">
        <v>-33.5</v>
      </c>
      <c r="C110" s="3">
        <v>0</v>
      </c>
      <c r="D110" s="3">
        <v>0</v>
      </c>
      <c r="E110" s="3">
        <v>-33.502000000000002</v>
      </c>
      <c r="F110" s="3">
        <v>-33.502000000000002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</row>
    <row r="111" spans="1:16" x14ac:dyDescent="0.2">
      <c r="A111" s="12">
        <v>35</v>
      </c>
      <c r="B111" s="3">
        <v>-33</v>
      </c>
      <c r="C111" s="3">
        <v>0</v>
      </c>
      <c r="D111" s="3">
        <v>0</v>
      </c>
      <c r="E111" s="3">
        <v>-33.002000000000002</v>
      </c>
      <c r="F111" s="3">
        <v>-33.002000000000002</v>
      </c>
      <c r="G111" s="3">
        <v>0</v>
      </c>
      <c r="H111" s="3">
        <v>0</v>
      </c>
      <c r="I111" s="3">
        <v>0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</v>
      </c>
    </row>
    <row r="112" spans="1:16" x14ac:dyDescent="0.2">
      <c r="A112" s="12">
        <v>36</v>
      </c>
      <c r="B112" s="3">
        <v>-32.5</v>
      </c>
      <c r="C112" s="3">
        <v>0</v>
      </c>
      <c r="D112" s="3">
        <v>0</v>
      </c>
      <c r="E112" s="3">
        <v>-32.502000000000002</v>
      </c>
      <c r="F112" s="3">
        <v>-32.502000000000002</v>
      </c>
      <c r="G112" s="3">
        <v>0</v>
      </c>
      <c r="H112" s="3">
        <v>0</v>
      </c>
      <c r="I112" s="3">
        <v>0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</row>
    <row r="113" spans="1:16" x14ac:dyDescent="0.2">
      <c r="A113" s="12">
        <v>37</v>
      </c>
      <c r="B113" s="3">
        <v>-32</v>
      </c>
      <c r="C113" s="3">
        <v>0</v>
      </c>
      <c r="D113" s="3">
        <v>0</v>
      </c>
      <c r="E113" s="3">
        <v>-32.003</v>
      </c>
      <c r="F113" s="3">
        <v>-32.003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</row>
    <row r="114" spans="1:16" x14ac:dyDescent="0.2">
      <c r="A114" s="12">
        <v>38</v>
      </c>
      <c r="B114" s="3">
        <v>-31.5</v>
      </c>
      <c r="C114" s="3">
        <v>0</v>
      </c>
      <c r="D114" s="3">
        <v>0</v>
      </c>
      <c r="E114" s="3">
        <v>-31.503</v>
      </c>
      <c r="F114" s="3">
        <v>-31.503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</row>
    <row r="115" spans="1:16" x14ac:dyDescent="0.2">
      <c r="A115" s="12">
        <v>39</v>
      </c>
      <c r="B115" s="3">
        <v>-31</v>
      </c>
      <c r="C115" s="3">
        <v>0</v>
      </c>
      <c r="D115" s="3">
        <v>0</v>
      </c>
      <c r="E115" s="3">
        <v>-31.003</v>
      </c>
      <c r="F115" s="3">
        <v>-31.003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</v>
      </c>
      <c r="P115" s="3">
        <v>0</v>
      </c>
    </row>
    <row r="116" spans="1:16" x14ac:dyDescent="0.2">
      <c r="A116" s="12">
        <v>40</v>
      </c>
      <c r="B116" s="3">
        <v>-30.5</v>
      </c>
      <c r="C116" s="3">
        <v>0</v>
      </c>
      <c r="D116" s="3">
        <v>0</v>
      </c>
      <c r="E116" s="3">
        <v>-30.503</v>
      </c>
      <c r="F116" s="3">
        <v>-30.503</v>
      </c>
      <c r="G116" s="3">
        <v>0</v>
      </c>
      <c r="H116" s="3">
        <v>0</v>
      </c>
      <c r="I116" s="3">
        <v>0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</v>
      </c>
      <c r="P116" s="3">
        <v>0</v>
      </c>
    </row>
    <row r="117" spans="1:16" x14ac:dyDescent="0.2">
      <c r="A117" s="12">
        <v>41</v>
      </c>
      <c r="B117" s="3">
        <v>-30</v>
      </c>
      <c r="C117" s="3">
        <v>0</v>
      </c>
      <c r="D117" s="3">
        <v>0</v>
      </c>
      <c r="E117" s="3">
        <v>-30.003</v>
      </c>
      <c r="F117" s="3">
        <v>-30.003</v>
      </c>
      <c r="G117" s="3">
        <v>0</v>
      </c>
      <c r="H117" s="3">
        <v>0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</row>
    <row r="118" spans="1:16" x14ac:dyDescent="0.2">
      <c r="A118" s="12">
        <v>42</v>
      </c>
      <c r="B118" s="3">
        <v>-29.5</v>
      </c>
      <c r="C118" s="3">
        <v>0</v>
      </c>
      <c r="D118" s="3">
        <v>0</v>
      </c>
      <c r="E118" s="3">
        <v>-29.503</v>
      </c>
      <c r="F118" s="3">
        <v>-29.503</v>
      </c>
      <c r="G118" s="3">
        <v>0</v>
      </c>
      <c r="H118" s="3">
        <v>0</v>
      </c>
      <c r="I118" s="3">
        <v>0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</v>
      </c>
      <c r="P118" s="3">
        <v>0</v>
      </c>
    </row>
    <row r="119" spans="1:16" x14ac:dyDescent="0.2">
      <c r="A119" s="12">
        <v>43</v>
      </c>
      <c r="B119" s="3">
        <v>-29</v>
      </c>
      <c r="C119" s="3">
        <v>0</v>
      </c>
      <c r="D119" s="3">
        <v>0</v>
      </c>
      <c r="E119" s="3">
        <v>-29.003</v>
      </c>
      <c r="F119" s="3">
        <v>-29.003</v>
      </c>
      <c r="G119" s="3">
        <v>0</v>
      </c>
      <c r="H119" s="3">
        <v>0</v>
      </c>
      <c r="I119" s="3">
        <v>0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</v>
      </c>
      <c r="P119" s="3">
        <v>0</v>
      </c>
    </row>
    <row r="120" spans="1:16" x14ac:dyDescent="0.2">
      <c r="A120" s="12">
        <v>44</v>
      </c>
      <c r="B120" s="3">
        <v>-28.5</v>
      </c>
      <c r="C120" s="3">
        <v>0</v>
      </c>
      <c r="D120" s="3">
        <v>0</v>
      </c>
      <c r="E120" s="3">
        <v>-28.503</v>
      </c>
      <c r="F120" s="3">
        <v>-28.503</v>
      </c>
      <c r="G120" s="3">
        <v>0</v>
      </c>
      <c r="H120" s="3">
        <v>0</v>
      </c>
      <c r="I120" s="3">
        <v>0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</v>
      </c>
      <c r="P120" s="3">
        <v>0</v>
      </c>
    </row>
    <row r="121" spans="1:16" x14ac:dyDescent="0.2">
      <c r="A121" s="12">
        <v>45</v>
      </c>
      <c r="B121" s="3">
        <v>-28</v>
      </c>
      <c r="C121" s="3">
        <v>0</v>
      </c>
      <c r="D121" s="3">
        <v>0</v>
      </c>
      <c r="E121" s="3">
        <v>-28.003</v>
      </c>
      <c r="F121" s="3">
        <v>-28.003</v>
      </c>
      <c r="G121" s="3">
        <v>0</v>
      </c>
      <c r="H121" s="3">
        <v>0</v>
      </c>
      <c r="I121" s="3">
        <v>0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</row>
    <row r="122" spans="1:16" x14ac:dyDescent="0.2">
      <c r="A122" s="12">
        <v>46</v>
      </c>
      <c r="B122" s="3">
        <v>-27.5</v>
      </c>
      <c r="C122" s="3">
        <v>0</v>
      </c>
      <c r="D122" s="3">
        <v>0</v>
      </c>
      <c r="E122" s="3">
        <v>-27.503</v>
      </c>
      <c r="F122" s="3">
        <v>-27.503</v>
      </c>
      <c r="G122" s="3">
        <v>0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</row>
    <row r="123" spans="1:16" x14ac:dyDescent="0.2">
      <c r="A123" s="12">
        <v>47</v>
      </c>
      <c r="B123" s="3">
        <v>-27</v>
      </c>
      <c r="C123" s="3">
        <v>0</v>
      </c>
      <c r="D123" s="3">
        <v>0</v>
      </c>
      <c r="E123" s="3">
        <v>-27.003</v>
      </c>
      <c r="F123" s="3">
        <v>-27.003</v>
      </c>
      <c r="G123" s="3">
        <v>0</v>
      </c>
      <c r="H123" s="3">
        <v>0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0</v>
      </c>
    </row>
    <row r="124" spans="1:16" x14ac:dyDescent="0.2">
      <c r="A124" s="12">
        <v>48</v>
      </c>
      <c r="B124" s="3">
        <v>-26.5</v>
      </c>
      <c r="C124" s="3">
        <v>0</v>
      </c>
      <c r="D124" s="3">
        <v>0</v>
      </c>
      <c r="E124" s="3">
        <v>-26.503</v>
      </c>
      <c r="F124" s="3">
        <v>-26.503</v>
      </c>
      <c r="G124" s="3">
        <v>0</v>
      </c>
      <c r="H124" s="3">
        <v>0</v>
      </c>
      <c r="I124" s="3">
        <v>0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</row>
    <row r="125" spans="1:16" x14ac:dyDescent="0.2">
      <c r="A125" s="12">
        <v>49</v>
      </c>
      <c r="B125" s="3">
        <v>-26</v>
      </c>
      <c r="C125" s="3">
        <v>0</v>
      </c>
      <c r="D125" s="3">
        <v>0</v>
      </c>
      <c r="E125" s="3">
        <v>-26.003</v>
      </c>
      <c r="F125" s="3">
        <v>-26.003</v>
      </c>
      <c r="G125" s="3">
        <v>0</v>
      </c>
      <c r="H125" s="3">
        <v>0</v>
      </c>
      <c r="I125" s="3">
        <v>0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</row>
    <row r="126" spans="1:16" x14ac:dyDescent="0.2">
      <c r="A126" s="12">
        <v>50</v>
      </c>
      <c r="B126" s="3">
        <v>-25.5</v>
      </c>
      <c r="C126" s="3">
        <v>0</v>
      </c>
      <c r="D126" s="3">
        <v>0</v>
      </c>
      <c r="E126" s="3">
        <v>-25.503</v>
      </c>
      <c r="F126" s="3">
        <v>-25.503</v>
      </c>
      <c r="G126" s="3">
        <v>0</v>
      </c>
      <c r="H126" s="3">
        <v>0</v>
      </c>
      <c r="I126" s="3">
        <v>0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</v>
      </c>
      <c r="P126" s="3">
        <v>0</v>
      </c>
    </row>
    <row r="127" spans="1:16" x14ac:dyDescent="0.2">
      <c r="A127" s="12">
        <v>51</v>
      </c>
      <c r="B127" s="3">
        <v>-25</v>
      </c>
      <c r="C127" s="3">
        <v>0</v>
      </c>
      <c r="D127" s="3">
        <v>0</v>
      </c>
      <c r="E127" s="3">
        <v>-25.004000000000001</v>
      </c>
      <c r="F127" s="3">
        <v>-25.004000000000001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</row>
    <row r="128" spans="1:16" x14ac:dyDescent="0.2">
      <c r="A128" s="12">
        <v>52</v>
      </c>
      <c r="B128" s="3">
        <v>-24.5</v>
      </c>
      <c r="C128" s="3">
        <v>0</v>
      </c>
      <c r="D128" s="3">
        <v>0</v>
      </c>
      <c r="E128" s="3">
        <v>-24.504000000000001</v>
      </c>
      <c r="F128" s="3">
        <v>-24.504000000000001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</row>
    <row r="129" spans="1:16" x14ac:dyDescent="0.2">
      <c r="A129" s="12">
        <v>53</v>
      </c>
      <c r="B129" s="3">
        <v>-24</v>
      </c>
      <c r="C129" s="3">
        <v>0</v>
      </c>
      <c r="D129" s="3">
        <v>0</v>
      </c>
      <c r="E129" s="3">
        <v>-24.004000000000001</v>
      </c>
      <c r="F129" s="3">
        <v>-24.004000000000001</v>
      </c>
      <c r="G129" s="3">
        <v>0</v>
      </c>
      <c r="H129" s="3">
        <v>0</v>
      </c>
      <c r="I129" s="3">
        <v>0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</row>
    <row r="130" spans="1:16" x14ac:dyDescent="0.2">
      <c r="A130" s="12">
        <v>54</v>
      </c>
      <c r="B130" s="3">
        <v>-23.5</v>
      </c>
      <c r="C130" s="3">
        <v>0</v>
      </c>
      <c r="D130" s="3">
        <v>0</v>
      </c>
      <c r="E130" s="3">
        <v>-23.504000000000001</v>
      </c>
      <c r="F130" s="3">
        <v>-23.504000000000001</v>
      </c>
      <c r="G130" s="3">
        <v>0</v>
      </c>
      <c r="H130" s="3">
        <v>0</v>
      </c>
      <c r="I130" s="3">
        <v>0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</v>
      </c>
      <c r="P130" s="3">
        <v>0</v>
      </c>
    </row>
    <row r="131" spans="1:16" x14ac:dyDescent="0.2">
      <c r="A131" s="12">
        <v>55</v>
      </c>
      <c r="B131" s="3">
        <v>-23.297999999999998</v>
      </c>
      <c r="C131" s="3">
        <v>0</v>
      </c>
      <c r="D131" s="3">
        <v>0</v>
      </c>
      <c r="E131" s="3">
        <v>-23.302</v>
      </c>
      <c r="F131" s="3">
        <v>-23.302</v>
      </c>
      <c r="G131" s="3">
        <v>0</v>
      </c>
      <c r="H131" s="3">
        <v>0</v>
      </c>
      <c r="I131" s="3">
        <v>0</v>
      </c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>
        <v>0</v>
      </c>
      <c r="P131" s="3">
        <v>0</v>
      </c>
    </row>
    <row r="132" spans="1:16" x14ac:dyDescent="0.2">
      <c r="A132" s="12">
        <v>56</v>
      </c>
      <c r="B132" s="3">
        <v>-23.097999999999999</v>
      </c>
      <c r="C132" s="3">
        <v>0</v>
      </c>
      <c r="D132" s="3">
        <v>0</v>
      </c>
      <c r="E132" s="3">
        <v>-23.102</v>
      </c>
      <c r="F132" s="3">
        <v>-23.102</v>
      </c>
      <c r="G132" s="3">
        <v>0</v>
      </c>
      <c r="H132" s="3">
        <v>0</v>
      </c>
      <c r="I132" s="3">
        <v>0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</row>
    <row r="133" spans="1:16" x14ac:dyDescent="0.2">
      <c r="A133" s="12">
        <v>57</v>
      </c>
      <c r="B133" s="3">
        <v>-23</v>
      </c>
      <c r="C133" s="3">
        <v>0</v>
      </c>
      <c r="D133" s="3">
        <v>0</v>
      </c>
      <c r="E133" s="3">
        <v>-23.004000000000001</v>
      </c>
      <c r="F133" s="3">
        <v>-23.004000000000001</v>
      </c>
      <c r="G133" s="3">
        <v>0</v>
      </c>
      <c r="H133" s="3">
        <v>0</v>
      </c>
      <c r="I133" s="3">
        <v>0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0</v>
      </c>
      <c r="P133" s="3">
        <v>0</v>
      </c>
    </row>
    <row r="134" spans="1:16" x14ac:dyDescent="0.2">
      <c r="A134" s="12">
        <v>58</v>
      </c>
      <c r="B134" s="3">
        <v>-22.5</v>
      </c>
      <c r="C134" s="3">
        <v>0</v>
      </c>
      <c r="D134" s="3">
        <v>0</v>
      </c>
      <c r="E134" s="3">
        <v>-22.504000000000001</v>
      </c>
      <c r="F134" s="3">
        <v>-22.504000000000001</v>
      </c>
      <c r="G134" s="3">
        <v>0</v>
      </c>
      <c r="H134" s="3">
        <v>0</v>
      </c>
      <c r="I134" s="3">
        <v>0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0</v>
      </c>
      <c r="P134" s="3">
        <v>0</v>
      </c>
    </row>
    <row r="135" spans="1:16" x14ac:dyDescent="0.2">
      <c r="A135" s="12">
        <v>59</v>
      </c>
      <c r="B135" s="3">
        <v>-22</v>
      </c>
      <c r="C135" s="3">
        <v>0</v>
      </c>
      <c r="D135" s="3">
        <v>0</v>
      </c>
      <c r="E135" s="3">
        <v>-22.004000000000001</v>
      </c>
      <c r="F135" s="3">
        <v>-22.004000000000001</v>
      </c>
      <c r="G135" s="3">
        <v>0</v>
      </c>
      <c r="H135" s="3">
        <v>0</v>
      </c>
      <c r="I135" s="3">
        <v>0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3">
        <v>0</v>
      </c>
    </row>
    <row r="136" spans="1:16" x14ac:dyDescent="0.2">
      <c r="A136" s="12">
        <v>60</v>
      </c>
      <c r="B136" s="3">
        <v>-21.5</v>
      </c>
      <c r="C136" s="3">
        <v>0</v>
      </c>
      <c r="D136" s="3">
        <v>0</v>
      </c>
      <c r="E136" s="3">
        <v>-21.504000000000001</v>
      </c>
      <c r="F136" s="3">
        <v>-21.504000000000001</v>
      </c>
      <c r="G136" s="3">
        <v>0</v>
      </c>
      <c r="H136" s="3">
        <v>0</v>
      </c>
      <c r="I136" s="3">
        <v>0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</row>
    <row r="137" spans="1:16" x14ac:dyDescent="0.2">
      <c r="A137" s="12">
        <v>61</v>
      </c>
      <c r="B137" s="3">
        <v>-21</v>
      </c>
      <c r="C137" s="3">
        <v>0</v>
      </c>
      <c r="D137" s="3">
        <v>0</v>
      </c>
      <c r="E137" s="3">
        <v>-21.004000000000001</v>
      </c>
      <c r="F137" s="3">
        <v>-21.004000000000001</v>
      </c>
      <c r="G137" s="3">
        <v>0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</row>
    <row r="138" spans="1:16" x14ac:dyDescent="0.2">
      <c r="A138" s="12">
        <v>62</v>
      </c>
      <c r="B138" s="3">
        <v>-20.5</v>
      </c>
      <c r="C138" s="3">
        <v>0</v>
      </c>
      <c r="D138" s="3">
        <v>0</v>
      </c>
      <c r="E138" s="3">
        <v>-20.504000000000001</v>
      </c>
      <c r="F138" s="3">
        <v>-20.504000000000001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</row>
    <row r="139" spans="1:16" x14ac:dyDescent="0.2">
      <c r="A139" s="12">
        <v>63</v>
      </c>
      <c r="B139" s="3">
        <v>-20</v>
      </c>
      <c r="C139" s="3">
        <v>0</v>
      </c>
      <c r="D139" s="3">
        <v>0</v>
      </c>
      <c r="E139" s="3">
        <v>-20.004000000000001</v>
      </c>
      <c r="F139" s="3">
        <v>-20.004000000000001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</row>
    <row r="140" spans="1:16" x14ac:dyDescent="0.2">
      <c r="A140" s="12">
        <v>64</v>
      </c>
      <c r="B140" s="3">
        <v>-19.5</v>
      </c>
      <c r="C140" s="3">
        <v>0</v>
      </c>
      <c r="D140" s="3">
        <v>0</v>
      </c>
      <c r="E140" s="3">
        <v>-19.504000000000001</v>
      </c>
      <c r="F140" s="3">
        <v>-19.504000000000001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3">
        <v>0</v>
      </c>
    </row>
    <row r="141" spans="1:16" x14ac:dyDescent="0.2">
      <c r="A141" s="12">
        <v>65</v>
      </c>
      <c r="B141" s="3">
        <v>-19</v>
      </c>
      <c r="C141" s="3">
        <v>0</v>
      </c>
      <c r="D141" s="3">
        <v>0</v>
      </c>
      <c r="E141" s="3">
        <v>-19.004000000000001</v>
      </c>
      <c r="F141" s="3">
        <v>-19.004000000000001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</row>
    <row r="142" spans="1:16" x14ac:dyDescent="0.2">
      <c r="A142" s="12">
        <v>66</v>
      </c>
      <c r="B142" s="3">
        <v>-18.5</v>
      </c>
      <c r="C142" s="3">
        <v>0</v>
      </c>
      <c r="D142" s="3">
        <v>0</v>
      </c>
      <c r="E142" s="3">
        <v>-18.504000000000001</v>
      </c>
      <c r="F142" s="3">
        <v>-18.504000000000001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</row>
    <row r="143" spans="1:16" x14ac:dyDescent="0.2">
      <c r="A143" s="12">
        <v>67</v>
      </c>
      <c r="B143" s="3">
        <v>-18</v>
      </c>
      <c r="C143" s="3">
        <v>0</v>
      </c>
      <c r="D143" s="3">
        <v>0</v>
      </c>
      <c r="E143" s="3">
        <v>-18.004000000000001</v>
      </c>
      <c r="F143" s="3">
        <v>-18.004000000000001</v>
      </c>
      <c r="G143" s="3">
        <v>0</v>
      </c>
      <c r="H143" s="3">
        <v>0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</row>
    <row r="144" spans="1:16" x14ac:dyDescent="0.2">
      <c r="A144" s="12">
        <v>68</v>
      </c>
      <c r="B144" s="3">
        <v>-17.5</v>
      </c>
      <c r="C144" s="3">
        <v>0</v>
      </c>
      <c r="D144" s="3">
        <v>0</v>
      </c>
      <c r="E144" s="3">
        <v>-17.504999999999999</v>
      </c>
      <c r="F144" s="3">
        <v>-17.504999999999999</v>
      </c>
      <c r="G144" s="3">
        <v>0</v>
      </c>
      <c r="H144" s="3">
        <v>0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</row>
    <row r="145" spans="1:16" x14ac:dyDescent="0.2">
      <c r="A145" s="12">
        <v>69</v>
      </c>
      <c r="B145" s="3">
        <v>-17</v>
      </c>
      <c r="C145" s="3">
        <v>0</v>
      </c>
      <c r="D145" s="3">
        <v>0</v>
      </c>
      <c r="E145" s="3">
        <v>-17.004999999999999</v>
      </c>
      <c r="F145" s="3">
        <v>-17.004999999999999</v>
      </c>
      <c r="G145" s="3">
        <v>0</v>
      </c>
      <c r="H145" s="3">
        <v>0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</row>
    <row r="146" spans="1:16" x14ac:dyDescent="0.2">
      <c r="A146" s="12">
        <v>70</v>
      </c>
      <c r="B146" s="3">
        <v>-16.5</v>
      </c>
      <c r="C146" s="3">
        <v>0</v>
      </c>
      <c r="D146" s="3">
        <v>0</v>
      </c>
      <c r="E146" s="3">
        <v>-16.504999999999999</v>
      </c>
      <c r="F146" s="3">
        <v>-16.504999999999999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</row>
    <row r="147" spans="1:16" x14ac:dyDescent="0.2">
      <c r="A147" s="12">
        <v>71</v>
      </c>
      <c r="B147" s="3">
        <v>-16</v>
      </c>
      <c r="C147" s="3">
        <v>0</v>
      </c>
      <c r="D147" s="3">
        <v>0</v>
      </c>
      <c r="E147" s="3">
        <v>-16.004999999999999</v>
      </c>
      <c r="F147" s="3">
        <v>-16.004999999999999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</row>
    <row r="148" spans="1:16" x14ac:dyDescent="0.2">
      <c r="A148" s="12">
        <v>72</v>
      </c>
      <c r="B148" s="3">
        <v>-15.5</v>
      </c>
      <c r="C148" s="3">
        <v>0</v>
      </c>
      <c r="D148" s="3">
        <v>0</v>
      </c>
      <c r="E148" s="3">
        <v>-15.505000000000001</v>
      </c>
      <c r="F148" s="3">
        <v>-15.505000000000001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</row>
    <row r="149" spans="1:16" x14ac:dyDescent="0.2">
      <c r="A149" s="12">
        <v>73</v>
      </c>
      <c r="B149" s="3">
        <v>-15</v>
      </c>
      <c r="C149" s="3">
        <v>0</v>
      </c>
      <c r="D149" s="3">
        <v>0</v>
      </c>
      <c r="E149" s="3">
        <v>-15.005000000000001</v>
      </c>
      <c r="F149" s="3">
        <v>-15.005000000000001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</row>
    <row r="150" spans="1:16" x14ac:dyDescent="0.2">
      <c r="A150" s="12">
        <v>74</v>
      </c>
      <c r="B150" s="3">
        <v>-14.5</v>
      </c>
      <c r="C150" s="3">
        <v>0</v>
      </c>
      <c r="D150" s="3">
        <v>0</v>
      </c>
      <c r="E150" s="3">
        <v>-14.505000000000001</v>
      </c>
      <c r="F150" s="3">
        <v>-14.505000000000001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</row>
    <row r="151" spans="1:16" x14ac:dyDescent="0.2">
      <c r="A151" s="12">
        <v>75</v>
      </c>
      <c r="B151" s="3">
        <v>-14</v>
      </c>
      <c r="C151" s="3">
        <v>0</v>
      </c>
      <c r="D151" s="3">
        <v>0</v>
      </c>
      <c r="E151" s="3">
        <v>-14.005000000000001</v>
      </c>
      <c r="F151" s="3">
        <v>-14.005000000000001</v>
      </c>
      <c r="G151" s="3">
        <v>0</v>
      </c>
      <c r="H151" s="3">
        <v>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</row>
    <row r="152" spans="1:16" x14ac:dyDescent="0.2">
      <c r="A152" s="12">
        <v>76</v>
      </c>
      <c r="B152" s="3">
        <v>-13.5</v>
      </c>
      <c r="C152" s="3">
        <v>0</v>
      </c>
      <c r="D152" s="3">
        <v>0</v>
      </c>
      <c r="E152" s="3">
        <v>-13.505000000000001</v>
      </c>
      <c r="F152" s="3">
        <v>-13.505000000000001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</row>
    <row r="153" spans="1:16" x14ac:dyDescent="0.2">
      <c r="A153" s="12">
        <v>77</v>
      </c>
      <c r="B153" s="3">
        <v>-13</v>
      </c>
      <c r="C153" s="3">
        <v>0</v>
      </c>
      <c r="D153" s="3">
        <v>0</v>
      </c>
      <c r="E153" s="3">
        <v>-13.005000000000001</v>
      </c>
      <c r="F153" s="3">
        <v>-13.005000000000001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</row>
    <row r="154" spans="1:16" x14ac:dyDescent="0.2">
      <c r="A154" s="12">
        <v>78</v>
      </c>
      <c r="B154" s="3">
        <v>-12.5</v>
      </c>
      <c r="C154" s="3">
        <v>0</v>
      </c>
      <c r="D154" s="3">
        <v>0</v>
      </c>
      <c r="E154" s="3">
        <v>-12.505000000000001</v>
      </c>
      <c r="F154" s="3">
        <v>-12.505000000000001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</row>
    <row r="155" spans="1:16" x14ac:dyDescent="0.2">
      <c r="A155" s="12">
        <v>79</v>
      </c>
      <c r="B155" s="3">
        <v>-12</v>
      </c>
      <c r="C155" s="3">
        <v>0</v>
      </c>
      <c r="D155" s="3">
        <v>0</v>
      </c>
      <c r="E155" s="3">
        <v>-12.005000000000001</v>
      </c>
      <c r="F155" s="3">
        <v>-12.005000000000001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</row>
    <row r="156" spans="1:16" x14ac:dyDescent="0.2">
      <c r="A156" s="12">
        <v>80</v>
      </c>
      <c r="B156" s="3">
        <v>-11.699</v>
      </c>
      <c r="C156" s="3">
        <v>0</v>
      </c>
      <c r="D156" s="3">
        <v>0</v>
      </c>
      <c r="E156" s="3">
        <v>-11.704000000000001</v>
      </c>
      <c r="F156" s="3">
        <v>-11.704000000000001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</row>
    <row r="157" spans="1:16" x14ac:dyDescent="0.2">
      <c r="A157" s="12">
        <v>81</v>
      </c>
      <c r="B157" s="3">
        <v>-11.5</v>
      </c>
      <c r="C157" s="3">
        <v>0</v>
      </c>
      <c r="D157" s="3">
        <v>0</v>
      </c>
      <c r="E157" s="3">
        <v>-11.505000000000001</v>
      </c>
      <c r="F157" s="3">
        <v>-11.505000000000001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</row>
    <row r="158" spans="1:16" x14ac:dyDescent="0.2">
      <c r="A158" s="12">
        <v>82</v>
      </c>
      <c r="B158" s="3">
        <v>-11.305999999999999</v>
      </c>
      <c r="C158" s="3">
        <v>0</v>
      </c>
      <c r="D158" s="3">
        <v>0</v>
      </c>
      <c r="E158" s="3">
        <v>-11.311</v>
      </c>
      <c r="F158" s="3">
        <v>-11.311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</row>
    <row r="159" spans="1:16" x14ac:dyDescent="0.2">
      <c r="A159" s="12">
        <v>83</v>
      </c>
      <c r="B159" s="3">
        <v>-11.192</v>
      </c>
      <c r="C159" s="3">
        <v>0</v>
      </c>
      <c r="D159" s="3">
        <v>0</v>
      </c>
      <c r="E159" s="3">
        <v>-11.196999999999999</v>
      </c>
      <c r="F159" s="3">
        <v>-11.196999999999999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</row>
    <row r="160" spans="1:16" x14ac:dyDescent="0.2">
      <c r="A160" s="12">
        <v>84</v>
      </c>
      <c r="B160" s="3">
        <v>-11.106</v>
      </c>
      <c r="C160" s="3">
        <v>0</v>
      </c>
      <c r="D160" s="3">
        <v>0</v>
      </c>
      <c r="E160" s="3">
        <v>-11.111000000000001</v>
      </c>
      <c r="F160" s="3">
        <v>-11.111000000000001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</row>
    <row r="161" spans="1:16" x14ac:dyDescent="0.2">
      <c r="A161" s="12">
        <v>85</v>
      </c>
      <c r="B161" s="3">
        <v>-11</v>
      </c>
      <c r="C161" s="3">
        <v>0</v>
      </c>
      <c r="D161" s="3">
        <v>0</v>
      </c>
      <c r="E161" s="3">
        <v>-11.005000000000001</v>
      </c>
      <c r="F161" s="3">
        <v>-11.005000000000001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</row>
    <row r="162" spans="1:16" x14ac:dyDescent="0.2">
      <c r="A162" s="12">
        <v>86</v>
      </c>
      <c r="B162" s="3">
        <v>-10.906000000000001</v>
      </c>
      <c r="C162" s="3">
        <v>0</v>
      </c>
      <c r="D162" s="3">
        <v>0</v>
      </c>
      <c r="E162" s="3">
        <v>-10.911</v>
      </c>
      <c r="F162" s="3">
        <v>-10.911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</row>
    <row r="163" spans="1:16" x14ac:dyDescent="0.2">
      <c r="A163" s="12">
        <v>87</v>
      </c>
      <c r="B163" s="3">
        <v>-10.807</v>
      </c>
      <c r="C163" s="3">
        <v>0</v>
      </c>
      <c r="D163" s="3">
        <v>0</v>
      </c>
      <c r="E163" s="3">
        <v>-10.813000000000001</v>
      </c>
      <c r="F163" s="3">
        <v>-10.813000000000001</v>
      </c>
      <c r="G163" s="3">
        <v>0</v>
      </c>
      <c r="H163" s="3">
        <v>0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</row>
    <row r="164" spans="1:16" x14ac:dyDescent="0.2">
      <c r="A164" s="12">
        <v>88</v>
      </c>
      <c r="B164" s="3">
        <v>-10.5</v>
      </c>
      <c r="C164" s="3">
        <v>0</v>
      </c>
      <c r="D164" s="3">
        <v>0</v>
      </c>
      <c r="E164" s="3">
        <v>-10.505000000000001</v>
      </c>
      <c r="F164" s="3">
        <v>-10.505000000000001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</row>
    <row r="165" spans="1:16" x14ac:dyDescent="0.2">
      <c r="A165" s="12">
        <v>89</v>
      </c>
      <c r="B165" s="3">
        <v>-10</v>
      </c>
      <c r="C165" s="3">
        <v>0</v>
      </c>
      <c r="D165" s="3">
        <v>0</v>
      </c>
      <c r="E165" s="3">
        <v>-10.005000000000001</v>
      </c>
      <c r="F165" s="3">
        <v>-10.005000000000001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</row>
    <row r="166" spans="1:16" x14ac:dyDescent="0.2">
      <c r="A166" s="12">
        <v>90</v>
      </c>
      <c r="B166" s="3">
        <v>-9.5</v>
      </c>
      <c r="C166" s="3">
        <v>0</v>
      </c>
      <c r="D166" s="3">
        <v>0</v>
      </c>
      <c r="E166" s="3">
        <v>-9.5060000000000002</v>
      </c>
      <c r="F166" s="3">
        <v>-9.5060000000000002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</row>
    <row r="167" spans="1:16" x14ac:dyDescent="0.2">
      <c r="A167" s="12">
        <v>91</v>
      </c>
      <c r="B167" s="3">
        <v>-9</v>
      </c>
      <c r="C167" s="3">
        <v>0</v>
      </c>
      <c r="D167" s="3">
        <v>0</v>
      </c>
      <c r="E167" s="3">
        <v>-9.0060000000000002</v>
      </c>
      <c r="F167" s="3">
        <v>-9.0060000000000002</v>
      </c>
      <c r="G167" s="3">
        <v>0</v>
      </c>
      <c r="H167" s="3">
        <v>0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</row>
    <row r="168" spans="1:16" x14ac:dyDescent="0.2">
      <c r="A168" s="12">
        <v>92</v>
      </c>
      <c r="B168" s="3">
        <v>-8.5</v>
      </c>
      <c r="C168" s="3">
        <v>0</v>
      </c>
      <c r="D168" s="3">
        <v>0</v>
      </c>
      <c r="E168" s="3">
        <v>-8.5060000000000002</v>
      </c>
      <c r="F168" s="3">
        <v>-8.5060000000000002</v>
      </c>
      <c r="G168" s="3">
        <v>0</v>
      </c>
      <c r="H168" s="3">
        <v>0</v>
      </c>
      <c r="I168" s="3">
        <v>0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</row>
    <row r="169" spans="1:16" x14ac:dyDescent="0.2">
      <c r="A169" s="12">
        <v>93</v>
      </c>
      <c r="B169" s="3">
        <v>-8</v>
      </c>
      <c r="C169" s="3">
        <v>0</v>
      </c>
      <c r="D169" s="3">
        <v>0</v>
      </c>
      <c r="E169" s="3">
        <v>-8.0060000000000002</v>
      </c>
      <c r="F169" s="3">
        <v>-8.0060000000000002</v>
      </c>
      <c r="G169" s="3">
        <v>0</v>
      </c>
      <c r="H169" s="3">
        <v>0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0</v>
      </c>
      <c r="P169" s="3">
        <v>0</v>
      </c>
    </row>
    <row r="170" spans="1:16" x14ac:dyDescent="0.2">
      <c r="A170" s="12">
        <v>94</v>
      </c>
      <c r="B170" s="3">
        <v>-7.5</v>
      </c>
      <c r="C170" s="3">
        <v>0</v>
      </c>
      <c r="D170" s="3">
        <v>0</v>
      </c>
      <c r="E170" s="3">
        <v>-7.5060000000000002</v>
      </c>
      <c r="F170" s="3">
        <v>-7.5060000000000002</v>
      </c>
      <c r="G170" s="3">
        <v>0</v>
      </c>
      <c r="H170" s="3">
        <v>0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</v>
      </c>
      <c r="P170" s="3">
        <v>0</v>
      </c>
    </row>
    <row r="171" spans="1:16" x14ac:dyDescent="0.2">
      <c r="A171" s="12">
        <v>95</v>
      </c>
      <c r="B171" s="3">
        <v>-7</v>
      </c>
      <c r="C171" s="3">
        <v>0</v>
      </c>
      <c r="D171" s="3">
        <v>0</v>
      </c>
      <c r="E171" s="3">
        <v>-7.0060000000000002</v>
      </c>
      <c r="F171" s="3">
        <v>-7.0060000000000002</v>
      </c>
      <c r="G171" s="3">
        <v>0</v>
      </c>
      <c r="H171" s="3">
        <v>0</v>
      </c>
      <c r="I171" s="3">
        <v>0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0</v>
      </c>
      <c r="P171" s="3">
        <v>0</v>
      </c>
    </row>
    <row r="172" spans="1:16" x14ac:dyDescent="0.2">
      <c r="A172" s="12">
        <v>96</v>
      </c>
      <c r="B172" s="3">
        <v>-6.5</v>
      </c>
      <c r="C172" s="3">
        <v>0</v>
      </c>
      <c r="D172" s="3">
        <v>0</v>
      </c>
      <c r="E172" s="3">
        <v>-6.5060000000000002</v>
      </c>
      <c r="F172" s="3">
        <v>-6.5060000000000002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</row>
    <row r="173" spans="1:16" x14ac:dyDescent="0.2">
      <c r="A173" s="12">
        <v>97</v>
      </c>
      <c r="B173" s="3">
        <v>-6</v>
      </c>
      <c r="C173" s="3">
        <v>0</v>
      </c>
      <c r="D173" s="3">
        <v>0</v>
      </c>
      <c r="E173" s="3">
        <v>-6.0060000000000002</v>
      </c>
      <c r="F173" s="3">
        <v>-6.0060000000000002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</row>
    <row r="174" spans="1:16" x14ac:dyDescent="0.2">
      <c r="A174" s="12">
        <v>98</v>
      </c>
      <c r="B174" s="3">
        <v>-5.5</v>
      </c>
      <c r="C174" s="3">
        <v>0</v>
      </c>
      <c r="D174" s="3">
        <v>0</v>
      </c>
      <c r="E174" s="3">
        <v>-5.5060000000000002</v>
      </c>
      <c r="F174" s="3">
        <v>-5.5060000000000002</v>
      </c>
      <c r="G174" s="3">
        <v>0</v>
      </c>
      <c r="H174" s="3">
        <v>0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</row>
    <row r="175" spans="1:16" x14ac:dyDescent="0.2">
      <c r="A175" s="12">
        <v>99</v>
      </c>
      <c r="B175" s="3">
        <v>-5</v>
      </c>
      <c r="C175" s="3">
        <v>0</v>
      </c>
      <c r="D175" s="3">
        <v>0</v>
      </c>
      <c r="E175" s="3">
        <v>-5.0060000000000002</v>
      </c>
      <c r="F175" s="3">
        <v>-5.0060000000000002</v>
      </c>
      <c r="G175" s="3">
        <v>0</v>
      </c>
      <c r="H175" s="3">
        <v>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</row>
    <row r="176" spans="1:16" x14ac:dyDescent="0.2">
      <c r="A176" s="12">
        <v>100</v>
      </c>
      <c r="B176" s="3">
        <v>-4.5</v>
      </c>
      <c r="C176" s="3">
        <v>0</v>
      </c>
      <c r="D176" s="3">
        <v>0</v>
      </c>
      <c r="E176" s="3">
        <v>-4.5060000000000002</v>
      </c>
      <c r="F176" s="3">
        <v>-4.5060000000000002</v>
      </c>
      <c r="G176" s="3">
        <v>0</v>
      </c>
      <c r="H176" s="3">
        <v>0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</row>
    <row r="177" spans="1:16" x14ac:dyDescent="0.2">
      <c r="A177" s="12">
        <v>101</v>
      </c>
      <c r="B177" s="3">
        <v>-4</v>
      </c>
      <c r="C177" s="3">
        <v>0</v>
      </c>
      <c r="D177" s="3">
        <v>0</v>
      </c>
      <c r="E177" s="3">
        <v>-4.0060000000000002</v>
      </c>
      <c r="F177" s="3">
        <v>-4.0060000000000002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</row>
    <row r="178" spans="1:16" x14ac:dyDescent="0.2">
      <c r="A178" s="12">
        <v>102</v>
      </c>
      <c r="B178" s="3">
        <v>-3.5</v>
      </c>
      <c r="C178" s="3">
        <v>0</v>
      </c>
      <c r="D178" s="3">
        <v>0</v>
      </c>
      <c r="E178" s="3">
        <v>-3.5059999999999998</v>
      </c>
      <c r="F178" s="3">
        <v>-3.5059999999999998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</row>
    <row r="179" spans="1:16" x14ac:dyDescent="0.2">
      <c r="A179" s="12">
        <v>103</v>
      </c>
      <c r="B179" s="3">
        <v>-3</v>
      </c>
      <c r="C179" s="3">
        <v>0</v>
      </c>
      <c r="D179" s="3">
        <v>0</v>
      </c>
      <c r="E179" s="3">
        <v>-3.0059999999999998</v>
      </c>
      <c r="F179" s="3">
        <v>-3.0059999999999998</v>
      </c>
      <c r="G179" s="3">
        <v>0</v>
      </c>
      <c r="H179" s="3">
        <v>0</v>
      </c>
      <c r="I179" s="3">
        <v>0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</row>
    <row r="180" spans="1:16" x14ac:dyDescent="0.2">
      <c r="A180" s="12">
        <v>104</v>
      </c>
      <c r="B180" s="3">
        <v>-2.5</v>
      </c>
      <c r="C180" s="3">
        <v>0</v>
      </c>
      <c r="D180" s="3">
        <v>0</v>
      </c>
      <c r="E180" s="3">
        <v>-2.5059999999999998</v>
      </c>
      <c r="F180" s="3">
        <v>-2.5059999999999998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>
        <v>0</v>
      </c>
      <c r="P180" s="3">
        <v>0</v>
      </c>
    </row>
    <row r="181" spans="1:16" x14ac:dyDescent="0.2">
      <c r="A181" s="12">
        <v>105</v>
      </c>
      <c r="B181" s="3">
        <v>-2</v>
      </c>
      <c r="C181" s="3">
        <v>0</v>
      </c>
      <c r="D181" s="3">
        <v>0</v>
      </c>
      <c r="E181" s="3">
        <v>-2.0059999999999998</v>
      </c>
      <c r="F181" s="3">
        <v>-2.0059999999999998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</row>
    <row r="182" spans="1:16" x14ac:dyDescent="0.2">
      <c r="A182" s="12">
        <v>106</v>
      </c>
      <c r="B182" s="3">
        <v>-1.5</v>
      </c>
      <c r="C182" s="3">
        <v>0</v>
      </c>
      <c r="D182" s="3">
        <v>0</v>
      </c>
      <c r="E182" s="3">
        <v>-1.506</v>
      </c>
      <c r="F182" s="3">
        <v>-1.506</v>
      </c>
      <c r="G182" s="3">
        <v>0</v>
      </c>
      <c r="H182" s="3">
        <v>0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</row>
    <row r="183" spans="1:16" x14ac:dyDescent="0.2">
      <c r="A183" s="12">
        <v>107</v>
      </c>
      <c r="B183" s="3">
        <v>-1</v>
      </c>
      <c r="C183" s="3">
        <v>0</v>
      </c>
      <c r="D183" s="3">
        <v>0</v>
      </c>
      <c r="E183" s="3">
        <v>-1.006</v>
      </c>
      <c r="F183" s="3">
        <v>-1.006</v>
      </c>
      <c r="G183" s="3">
        <v>0</v>
      </c>
      <c r="H183" s="3">
        <v>0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</row>
    <row r="184" spans="1:16" x14ac:dyDescent="0.2">
      <c r="A184" s="12">
        <v>108</v>
      </c>
      <c r="B184" s="3">
        <v>-0.5</v>
      </c>
      <c r="C184" s="3">
        <v>0</v>
      </c>
      <c r="D184" s="3">
        <v>0</v>
      </c>
      <c r="E184" s="3">
        <v>-0.50700000000000001</v>
      </c>
      <c r="F184" s="3">
        <v>-0.50700000000000001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</row>
    <row r="185" spans="1:16" x14ac:dyDescent="0.2">
      <c r="A185" s="12">
        <v>109</v>
      </c>
      <c r="B185" s="3">
        <v>-0.249</v>
      </c>
      <c r="C185" s="3">
        <v>0</v>
      </c>
      <c r="D185" s="3">
        <v>0</v>
      </c>
      <c r="E185" s="3">
        <v>-0.255</v>
      </c>
      <c r="F185" s="3">
        <v>-0.255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</row>
    <row r="186" spans="1:16" x14ac:dyDescent="0.2">
      <c r="A186" s="12">
        <v>110</v>
      </c>
      <c r="B186" s="3">
        <v>-0.1</v>
      </c>
      <c r="C186" s="3">
        <v>0</v>
      </c>
      <c r="D186" s="3">
        <v>0</v>
      </c>
      <c r="E186" s="3">
        <v>-0.106</v>
      </c>
      <c r="F186" s="3">
        <v>-0.106</v>
      </c>
      <c r="G186" s="3">
        <v>0</v>
      </c>
      <c r="H186" s="3">
        <v>0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</row>
    <row r="187" spans="1:16" x14ac:dyDescent="0.2">
      <c r="A187" s="12">
        <v>112</v>
      </c>
      <c r="B187" s="3">
        <v>0</v>
      </c>
      <c r="C187" s="3">
        <v>0</v>
      </c>
      <c r="D187" s="3">
        <v>0</v>
      </c>
      <c r="E187" s="3">
        <v>-7.0000000000000001E-3</v>
      </c>
      <c r="F187" s="3">
        <v>-7.0000000000000001E-3</v>
      </c>
      <c r="G187" s="3">
        <v>0</v>
      </c>
      <c r="H187" s="3">
        <v>0</v>
      </c>
      <c r="I187" s="3">
        <v>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</row>
    <row r="188" spans="1:16" x14ac:dyDescent="0.2">
      <c r="A188" s="12">
        <v>113</v>
      </c>
      <c r="B188" s="3">
        <v>9.4E-2</v>
      </c>
      <c r="C188" s="3">
        <v>0</v>
      </c>
      <c r="D188" s="3">
        <v>0</v>
      </c>
      <c r="E188" s="3">
        <v>8.6999999999999994E-2</v>
      </c>
      <c r="F188" s="3">
        <v>8.6999999999999994E-2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</row>
    <row r="189" spans="1:16" x14ac:dyDescent="0.2">
      <c r="A189" s="12">
        <v>114</v>
      </c>
      <c r="B189" s="3">
        <v>0.23400000000000001</v>
      </c>
      <c r="C189" s="3">
        <v>0</v>
      </c>
      <c r="D189" s="3">
        <v>0</v>
      </c>
      <c r="E189" s="3">
        <v>0.22700000000000001</v>
      </c>
      <c r="F189" s="3">
        <v>0.22700000000000001</v>
      </c>
      <c r="G189" s="3">
        <v>0</v>
      </c>
      <c r="H189" s="3">
        <v>0</v>
      </c>
      <c r="I189" s="3">
        <v>0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</row>
    <row r="190" spans="1:16" x14ac:dyDescent="0.2">
      <c r="A190" s="12">
        <v>115</v>
      </c>
      <c r="B190" s="3">
        <v>0.5</v>
      </c>
      <c r="C190" s="3">
        <v>0</v>
      </c>
      <c r="D190" s="3">
        <v>0</v>
      </c>
      <c r="E190" s="3">
        <v>0.49299999999999999</v>
      </c>
      <c r="F190" s="3">
        <v>0.49299999999999999</v>
      </c>
      <c r="G190" s="3">
        <v>0</v>
      </c>
      <c r="H190" s="3">
        <v>0</v>
      </c>
      <c r="I190" s="3">
        <v>0</v>
      </c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3">
        <v>0</v>
      </c>
    </row>
    <row r="191" spans="1:16" x14ac:dyDescent="0.2">
      <c r="A191" s="12">
        <v>116</v>
      </c>
      <c r="B191" s="3">
        <v>0.746</v>
      </c>
      <c r="C191" s="3">
        <v>0</v>
      </c>
      <c r="D191" s="3">
        <v>0</v>
      </c>
      <c r="E191" s="3">
        <v>0.73899999999999999</v>
      </c>
      <c r="F191" s="3">
        <v>0.73899999999999999</v>
      </c>
      <c r="G191" s="3">
        <v>0</v>
      </c>
      <c r="H191" s="3">
        <v>0</v>
      </c>
      <c r="I191" s="3">
        <v>0</v>
      </c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3">
        <v>0</v>
      </c>
    </row>
    <row r="192" spans="1:16" x14ac:dyDescent="0.2">
      <c r="A192" s="12">
        <v>117</v>
      </c>
      <c r="B192" s="3">
        <v>0.89800000000000002</v>
      </c>
      <c r="C192" s="3">
        <v>0</v>
      </c>
      <c r="D192" s="3">
        <v>0</v>
      </c>
      <c r="E192" s="3">
        <v>0.89200000000000002</v>
      </c>
      <c r="F192" s="3">
        <v>0.89200000000000002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3">
        <v>0</v>
      </c>
    </row>
    <row r="193" spans="1:16" x14ac:dyDescent="0.2">
      <c r="A193" s="12">
        <v>118</v>
      </c>
      <c r="B193" s="3">
        <v>1</v>
      </c>
      <c r="C193" s="3">
        <v>0</v>
      </c>
      <c r="D193" s="3">
        <v>0</v>
      </c>
      <c r="E193" s="3">
        <v>0.99299999999999999</v>
      </c>
      <c r="F193" s="3">
        <v>0.99299999999999999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3">
        <v>0</v>
      </c>
    </row>
    <row r="194" spans="1:16" x14ac:dyDescent="0.2">
      <c r="A194" s="12">
        <v>119</v>
      </c>
      <c r="B194" s="3">
        <v>1.0860000000000001</v>
      </c>
      <c r="C194" s="3">
        <v>0</v>
      </c>
      <c r="D194" s="3">
        <v>0</v>
      </c>
      <c r="E194" s="3">
        <v>1.079</v>
      </c>
      <c r="F194" s="3">
        <v>1.079</v>
      </c>
      <c r="G194" s="3">
        <v>0</v>
      </c>
      <c r="H194" s="3">
        <v>0</v>
      </c>
      <c r="I194" s="3">
        <v>0</v>
      </c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>
        <v>0</v>
      </c>
      <c r="P194" s="3">
        <v>0</v>
      </c>
    </row>
    <row r="195" spans="1:16" x14ac:dyDescent="0.2">
      <c r="A195" s="12">
        <v>121</v>
      </c>
      <c r="B195" s="3">
        <v>1.3979999999999999</v>
      </c>
      <c r="C195" s="3">
        <v>0</v>
      </c>
      <c r="D195" s="3">
        <v>0</v>
      </c>
      <c r="E195" s="3">
        <v>1.391</v>
      </c>
      <c r="F195" s="3">
        <v>1.391</v>
      </c>
      <c r="G195" s="3">
        <v>0</v>
      </c>
      <c r="H195" s="3">
        <v>0</v>
      </c>
      <c r="I195" s="3">
        <v>0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</row>
    <row r="196" spans="1:16" x14ac:dyDescent="0.2">
      <c r="A196" s="12">
        <v>122</v>
      </c>
      <c r="B196" s="3">
        <v>1.589</v>
      </c>
      <c r="C196" s="3">
        <v>0</v>
      </c>
      <c r="D196" s="3">
        <v>0</v>
      </c>
      <c r="E196" s="3">
        <v>1.5820000000000001</v>
      </c>
      <c r="F196" s="3">
        <v>1.5820000000000001</v>
      </c>
      <c r="G196" s="3">
        <v>0</v>
      </c>
      <c r="H196" s="3">
        <v>0</v>
      </c>
      <c r="I196" s="3">
        <v>0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</v>
      </c>
      <c r="P196" s="3">
        <v>0</v>
      </c>
    </row>
    <row r="197" spans="1:16" x14ac:dyDescent="0.2">
      <c r="A197" s="12">
        <v>123</v>
      </c>
      <c r="B197" s="3">
        <v>1.78</v>
      </c>
      <c r="C197" s="3">
        <v>0</v>
      </c>
      <c r="D197" s="3">
        <v>0</v>
      </c>
      <c r="E197" s="3">
        <v>1.7729999999999999</v>
      </c>
      <c r="F197" s="3">
        <v>1.7729999999999999</v>
      </c>
      <c r="G197" s="3">
        <v>0</v>
      </c>
      <c r="H197" s="3">
        <v>0</v>
      </c>
      <c r="I197" s="3">
        <v>0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</row>
    <row r="198" spans="1:16" x14ac:dyDescent="0.2">
      <c r="A198" s="12">
        <v>124</v>
      </c>
      <c r="B198" s="3">
        <v>1.9119999999999999</v>
      </c>
      <c r="C198" s="3">
        <v>0</v>
      </c>
      <c r="D198" s="3">
        <v>0</v>
      </c>
      <c r="E198" s="3">
        <v>1.905</v>
      </c>
      <c r="F198" s="3">
        <v>1.905</v>
      </c>
      <c r="G198" s="3">
        <v>0</v>
      </c>
      <c r="H198" s="3">
        <v>0</v>
      </c>
      <c r="I198" s="3">
        <v>0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3">
        <v>0</v>
      </c>
    </row>
    <row r="199" spans="1:16" x14ac:dyDescent="0.2">
      <c r="A199" s="12">
        <v>126</v>
      </c>
      <c r="B199" s="3">
        <v>-50</v>
      </c>
      <c r="C199" s="3">
        <v>0</v>
      </c>
      <c r="D199" s="3">
        <v>0</v>
      </c>
      <c r="E199" s="3">
        <v>-50.015000000000001</v>
      </c>
      <c r="F199" s="3">
        <v>-50.015000000000001</v>
      </c>
      <c r="G199" s="3">
        <v>0</v>
      </c>
      <c r="H199" s="3">
        <v>0</v>
      </c>
      <c r="I199" s="3">
        <v>0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3">
        <v>0</v>
      </c>
    </row>
    <row r="200" spans="1:16" x14ac:dyDescent="0.2">
      <c r="A200" s="12">
        <v>127</v>
      </c>
      <c r="B200" s="3">
        <v>-49.5</v>
      </c>
      <c r="C200" s="3">
        <v>0</v>
      </c>
      <c r="D200" s="3">
        <v>0</v>
      </c>
      <c r="E200" s="3">
        <v>-49.515000000000001</v>
      </c>
      <c r="F200" s="3">
        <v>-49.515000000000001</v>
      </c>
      <c r="G200" s="3">
        <v>0</v>
      </c>
      <c r="H200" s="3">
        <v>0</v>
      </c>
      <c r="I200" s="3">
        <v>0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</v>
      </c>
      <c r="P200" s="3">
        <v>0</v>
      </c>
    </row>
    <row r="201" spans="1:16" x14ac:dyDescent="0.2">
      <c r="A201" s="12">
        <v>128</v>
      </c>
      <c r="B201" s="3">
        <v>-49</v>
      </c>
      <c r="C201" s="3">
        <v>0</v>
      </c>
      <c r="D201" s="3">
        <v>0</v>
      </c>
      <c r="E201" s="3">
        <v>-49.015000000000001</v>
      </c>
      <c r="F201" s="3">
        <v>-49.015000000000001</v>
      </c>
      <c r="G201" s="3">
        <v>0</v>
      </c>
      <c r="H201" s="3">
        <v>0</v>
      </c>
      <c r="I201" s="3">
        <v>0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</v>
      </c>
      <c r="P201" s="3">
        <v>0</v>
      </c>
    </row>
    <row r="202" spans="1:16" x14ac:dyDescent="0.2">
      <c r="A202" s="12">
        <v>129</v>
      </c>
      <c r="B202" s="3">
        <v>-48.5</v>
      </c>
      <c r="C202" s="3">
        <v>0</v>
      </c>
      <c r="D202" s="3">
        <v>0</v>
      </c>
      <c r="E202" s="3">
        <v>-48.515000000000001</v>
      </c>
      <c r="F202" s="3">
        <v>-48.515000000000001</v>
      </c>
      <c r="G202" s="3">
        <v>0</v>
      </c>
      <c r="H202" s="3">
        <v>0</v>
      </c>
      <c r="I202" s="3">
        <v>0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</row>
    <row r="203" spans="1:16" x14ac:dyDescent="0.2">
      <c r="A203" s="12">
        <v>130</v>
      </c>
      <c r="B203" s="3">
        <v>-48</v>
      </c>
      <c r="C203" s="3">
        <v>0</v>
      </c>
      <c r="D203" s="3">
        <v>0</v>
      </c>
      <c r="E203" s="3">
        <v>-48.015000000000001</v>
      </c>
      <c r="F203" s="3">
        <v>-48.015000000000001</v>
      </c>
      <c r="G203" s="3">
        <v>0</v>
      </c>
      <c r="H203" s="3">
        <v>0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</row>
    <row r="204" spans="1:16" x14ac:dyDescent="0.2">
      <c r="A204" s="12">
        <v>131</v>
      </c>
      <c r="B204" s="3">
        <v>-47.5</v>
      </c>
      <c r="C204" s="3">
        <v>0</v>
      </c>
      <c r="D204" s="3">
        <v>0</v>
      </c>
      <c r="E204" s="3">
        <v>-47.514000000000003</v>
      </c>
      <c r="F204" s="3">
        <v>-47.514000000000003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</v>
      </c>
      <c r="P204" s="3">
        <v>0</v>
      </c>
    </row>
    <row r="205" spans="1:16" x14ac:dyDescent="0.2">
      <c r="A205" s="12">
        <v>132</v>
      </c>
      <c r="B205" s="3">
        <v>-47</v>
      </c>
      <c r="C205" s="3">
        <v>0</v>
      </c>
      <c r="D205" s="3">
        <v>0</v>
      </c>
      <c r="E205" s="3">
        <v>-47.014000000000003</v>
      </c>
      <c r="F205" s="3">
        <v>-47.014000000000003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</row>
    <row r="206" spans="1:16" x14ac:dyDescent="0.2">
      <c r="A206" s="12">
        <v>133</v>
      </c>
      <c r="B206" s="3">
        <v>-46.5</v>
      </c>
      <c r="C206" s="3">
        <v>0</v>
      </c>
      <c r="D206" s="3">
        <v>0</v>
      </c>
      <c r="E206" s="3">
        <v>-46.514000000000003</v>
      </c>
      <c r="F206" s="3">
        <v>-46.514000000000003</v>
      </c>
      <c r="G206" s="3">
        <v>0</v>
      </c>
      <c r="H206" s="3">
        <v>0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</row>
    <row r="207" spans="1:16" x14ac:dyDescent="0.2">
      <c r="A207" s="12">
        <v>134</v>
      </c>
      <c r="B207" s="3">
        <v>-46</v>
      </c>
      <c r="C207" s="3">
        <v>0</v>
      </c>
      <c r="D207" s="3">
        <v>0</v>
      </c>
      <c r="E207" s="3">
        <v>-46.014000000000003</v>
      </c>
      <c r="F207" s="3">
        <v>-46.014000000000003</v>
      </c>
      <c r="G207" s="3">
        <v>0</v>
      </c>
      <c r="H207" s="3">
        <v>0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</row>
    <row r="208" spans="1:16" x14ac:dyDescent="0.2">
      <c r="A208" s="12">
        <v>135</v>
      </c>
      <c r="B208" s="3">
        <v>-45.5</v>
      </c>
      <c r="C208" s="3">
        <v>0</v>
      </c>
      <c r="D208" s="3">
        <v>0</v>
      </c>
      <c r="E208" s="3">
        <v>-45.514000000000003</v>
      </c>
      <c r="F208" s="3">
        <v>-45.514000000000003</v>
      </c>
      <c r="G208" s="3">
        <v>0</v>
      </c>
      <c r="H208" s="3">
        <v>0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</row>
    <row r="209" spans="1:16" x14ac:dyDescent="0.2">
      <c r="A209" s="12">
        <v>136</v>
      </c>
      <c r="B209" s="3">
        <v>-45</v>
      </c>
      <c r="C209" s="3">
        <v>0</v>
      </c>
      <c r="D209" s="3">
        <v>0</v>
      </c>
      <c r="E209" s="3">
        <v>-45.014000000000003</v>
      </c>
      <c r="F209" s="3">
        <v>-45.014000000000003</v>
      </c>
      <c r="G209" s="3">
        <v>0</v>
      </c>
      <c r="H209" s="3">
        <v>0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</row>
    <row r="210" spans="1:16" x14ac:dyDescent="0.2">
      <c r="A210" s="12">
        <v>137</v>
      </c>
      <c r="B210" s="3">
        <v>-44.5</v>
      </c>
      <c r="C210" s="3">
        <v>0</v>
      </c>
      <c r="D210" s="3">
        <v>0</v>
      </c>
      <c r="E210" s="3">
        <v>-44.514000000000003</v>
      </c>
      <c r="F210" s="3">
        <v>-44.514000000000003</v>
      </c>
      <c r="G210" s="3">
        <v>0</v>
      </c>
      <c r="H210" s="3">
        <v>0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</row>
    <row r="211" spans="1:16" x14ac:dyDescent="0.2">
      <c r="A211" s="12">
        <v>138</v>
      </c>
      <c r="B211" s="3">
        <v>-44</v>
      </c>
      <c r="C211" s="3">
        <v>0</v>
      </c>
      <c r="D211" s="3">
        <v>0</v>
      </c>
      <c r="E211" s="3">
        <v>-44.014000000000003</v>
      </c>
      <c r="F211" s="3">
        <v>-44.014000000000003</v>
      </c>
      <c r="G211" s="3">
        <v>0</v>
      </c>
      <c r="H211" s="3">
        <v>0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</row>
    <row r="212" spans="1:16" x14ac:dyDescent="0.2">
      <c r="A212" s="12">
        <v>139</v>
      </c>
      <c r="B212" s="3">
        <v>-43.5</v>
      </c>
      <c r="C212" s="3">
        <v>0</v>
      </c>
      <c r="D212" s="3">
        <v>0</v>
      </c>
      <c r="E212" s="3">
        <v>-43.514000000000003</v>
      </c>
      <c r="F212" s="3">
        <v>-43.514000000000003</v>
      </c>
      <c r="G212" s="3">
        <v>0</v>
      </c>
      <c r="H212" s="3">
        <v>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</row>
    <row r="213" spans="1:16" x14ac:dyDescent="0.2">
      <c r="A213" s="12">
        <v>140</v>
      </c>
      <c r="B213" s="3">
        <v>-43</v>
      </c>
      <c r="C213" s="3">
        <v>0</v>
      </c>
      <c r="D213" s="3">
        <v>0</v>
      </c>
      <c r="E213" s="3">
        <v>-43.014000000000003</v>
      </c>
      <c r="F213" s="3">
        <v>-43.014000000000003</v>
      </c>
      <c r="G213" s="3">
        <v>0</v>
      </c>
      <c r="H213" s="3">
        <v>0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</row>
    <row r="214" spans="1:16" x14ac:dyDescent="0.2">
      <c r="A214" s="12">
        <v>141</v>
      </c>
      <c r="B214" s="3">
        <v>-42.5</v>
      </c>
      <c r="C214" s="3">
        <v>0</v>
      </c>
      <c r="D214" s="3">
        <v>0</v>
      </c>
      <c r="E214" s="3">
        <v>-42.514000000000003</v>
      </c>
      <c r="F214" s="3">
        <v>-42.514000000000003</v>
      </c>
      <c r="G214" s="3">
        <v>0</v>
      </c>
      <c r="H214" s="3">
        <v>0</v>
      </c>
      <c r="I214" s="3">
        <v>0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</row>
    <row r="215" spans="1:16" x14ac:dyDescent="0.2">
      <c r="A215" s="12">
        <v>142</v>
      </c>
      <c r="B215" s="3">
        <v>-42</v>
      </c>
      <c r="C215" s="3">
        <v>0</v>
      </c>
      <c r="D215" s="3">
        <v>0</v>
      </c>
      <c r="E215" s="3">
        <v>-42.014000000000003</v>
      </c>
      <c r="F215" s="3">
        <v>-42.014000000000003</v>
      </c>
      <c r="G215" s="3">
        <v>0</v>
      </c>
      <c r="H215" s="3">
        <v>0</v>
      </c>
      <c r="I215" s="3">
        <v>0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</v>
      </c>
      <c r="P215" s="3">
        <v>0</v>
      </c>
    </row>
    <row r="216" spans="1:16" x14ac:dyDescent="0.2">
      <c r="A216" s="12">
        <v>143</v>
      </c>
      <c r="B216" s="3">
        <v>-41.5</v>
      </c>
      <c r="C216" s="3">
        <v>0</v>
      </c>
      <c r="D216" s="3">
        <v>0</v>
      </c>
      <c r="E216" s="3">
        <v>-41.514000000000003</v>
      </c>
      <c r="F216" s="3">
        <v>-41.514000000000003</v>
      </c>
      <c r="G216" s="3">
        <v>0</v>
      </c>
      <c r="H216" s="3">
        <v>0</v>
      </c>
      <c r="I216" s="3">
        <v>0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</row>
    <row r="217" spans="1:16" x14ac:dyDescent="0.2">
      <c r="A217" s="12">
        <v>144</v>
      </c>
      <c r="B217" s="3">
        <v>-41</v>
      </c>
      <c r="C217" s="3">
        <v>0</v>
      </c>
      <c r="D217" s="3">
        <v>0</v>
      </c>
      <c r="E217" s="3">
        <v>-41.014000000000003</v>
      </c>
      <c r="F217" s="3">
        <v>-41.014000000000003</v>
      </c>
      <c r="G217" s="3">
        <v>0</v>
      </c>
      <c r="H217" s="3">
        <v>0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</row>
    <row r="218" spans="1:16" x14ac:dyDescent="0.2">
      <c r="A218" s="12">
        <v>145</v>
      </c>
      <c r="B218" s="3">
        <v>-40.5</v>
      </c>
      <c r="C218" s="3">
        <v>0</v>
      </c>
      <c r="D218" s="3">
        <v>0</v>
      </c>
      <c r="E218" s="3">
        <v>-40.512999999999998</v>
      </c>
      <c r="F218" s="3">
        <v>-40.512999999999998</v>
      </c>
      <c r="G218" s="3">
        <v>0</v>
      </c>
      <c r="H218" s="3">
        <v>0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0</v>
      </c>
    </row>
    <row r="219" spans="1:16" x14ac:dyDescent="0.2">
      <c r="A219" s="12">
        <v>146</v>
      </c>
      <c r="B219" s="3">
        <v>-40</v>
      </c>
      <c r="C219" s="3">
        <v>0</v>
      </c>
      <c r="D219" s="3">
        <v>0</v>
      </c>
      <c r="E219" s="3">
        <v>-40.012999999999998</v>
      </c>
      <c r="F219" s="3">
        <v>-40.012999999999998</v>
      </c>
      <c r="G219" s="3">
        <v>0</v>
      </c>
      <c r="H219" s="3">
        <v>0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</row>
    <row r="220" spans="1:16" x14ac:dyDescent="0.2">
      <c r="A220" s="12">
        <v>147</v>
      </c>
      <c r="B220" s="3">
        <v>-39.5</v>
      </c>
      <c r="C220" s="3">
        <v>0</v>
      </c>
      <c r="D220" s="3">
        <v>0</v>
      </c>
      <c r="E220" s="3">
        <v>-39.512999999999998</v>
      </c>
      <c r="F220" s="3">
        <v>-39.512999999999998</v>
      </c>
      <c r="G220" s="3">
        <v>0</v>
      </c>
      <c r="H220" s="3">
        <v>0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</row>
    <row r="221" spans="1:16" x14ac:dyDescent="0.2">
      <c r="A221" s="12">
        <v>148</v>
      </c>
      <c r="B221" s="3">
        <v>-39</v>
      </c>
      <c r="C221" s="3">
        <v>0</v>
      </c>
      <c r="D221" s="3">
        <v>0</v>
      </c>
      <c r="E221" s="3">
        <v>-39.012999999999998</v>
      </c>
      <c r="F221" s="3">
        <v>-39.012999999999998</v>
      </c>
      <c r="G221" s="3">
        <v>0</v>
      </c>
      <c r="H221" s="3">
        <v>0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</row>
    <row r="222" spans="1:16" x14ac:dyDescent="0.2">
      <c r="A222" s="12">
        <v>149</v>
      </c>
      <c r="B222" s="3">
        <v>-38.5</v>
      </c>
      <c r="C222" s="3">
        <v>0</v>
      </c>
      <c r="D222" s="3">
        <v>0</v>
      </c>
      <c r="E222" s="3">
        <v>-38.512999999999998</v>
      </c>
      <c r="F222" s="3">
        <v>-38.512999999999998</v>
      </c>
      <c r="G222" s="3">
        <v>0</v>
      </c>
      <c r="H222" s="3">
        <v>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</row>
    <row r="223" spans="1:16" x14ac:dyDescent="0.2">
      <c r="A223" s="12">
        <v>150</v>
      </c>
      <c r="B223" s="3">
        <v>-38</v>
      </c>
      <c r="C223" s="3">
        <v>0</v>
      </c>
      <c r="D223" s="3">
        <v>0</v>
      </c>
      <c r="E223" s="3">
        <v>-38.012999999999998</v>
      </c>
      <c r="F223" s="3">
        <v>-38.012999999999998</v>
      </c>
      <c r="G223" s="3">
        <v>0</v>
      </c>
      <c r="H223" s="3">
        <v>0</v>
      </c>
      <c r="I223" s="3">
        <v>0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</row>
    <row r="224" spans="1:16" x14ac:dyDescent="0.2">
      <c r="A224" s="12">
        <v>151</v>
      </c>
      <c r="B224" s="3">
        <v>-37.5</v>
      </c>
      <c r="C224" s="3">
        <v>0</v>
      </c>
      <c r="D224" s="3">
        <v>0</v>
      </c>
      <c r="E224" s="3">
        <v>-37.512999999999998</v>
      </c>
      <c r="F224" s="3">
        <v>-37.512999999999998</v>
      </c>
      <c r="G224" s="3">
        <v>0</v>
      </c>
      <c r="H224" s="3">
        <v>0</v>
      </c>
      <c r="I224" s="3">
        <v>0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</v>
      </c>
      <c r="P224" s="3">
        <v>0</v>
      </c>
    </row>
    <row r="225" spans="1:16" x14ac:dyDescent="0.2">
      <c r="A225" s="12">
        <v>152</v>
      </c>
      <c r="B225" s="3">
        <v>-37</v>
      </c>
      <c r="C225" s="3">
        <v>0</v>
      </c>
      <c r="D225" s="3">
        <v>0</v>
      </c>
      <c r="E225" s="3">
        <v>-37.012999999999998</v>
      </c>
      <c r="F225" s="3">
        <v>-37.012999999999998</v>
      </c>
      <c r="G225" s="3">
        <v>0</v>
      </c>
      <c r="H225" s="3">
        <v>0</v>
      </c>
      <c r="I225" s="3">
        <v>0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0</v>
      </c>
      <c r="P225" s="3">
        <v>0</v>
      </c>
    </row>
    <row r="226" spans="1:16" x14ac:dyDescent="0.2">
      <c r="A226" s="12">
        <v>153</v>
      </c>
      <c r="B226" s="3">
        <v>-36.5</v>
      </c>
      <c r="C226" s="3">
        <v>0</v>
      </c>
      <c r="D226" s="3">
        <v>0</v>
      </c>
      <c r="E226" s="3">
        <v>-36.512999999999998</v>
      </c>
      <c r="F226" s="3">
        <v>-36.512999999999998</v>
      </c>
      <c r="G226" s="3">
        <v>0</v>
      </c>
      <c r="H226" s="3">
        <v>0</v>
      </c>
      <c r="I226" s="3">
        <v>0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0</v>
      </c>
      <c r="P226" s="3">
        <v>0</v>
      </c>
    </row>
    <row r="227" spans="1:16" x14ac:dyDescent="0.2">
      <c r="A227" s="12">
        <v>154</v>
      </c>
      <c r="B227" s="3">
        <v>-36</v>
      </c>
      <c r="C227" s="3">
        <v>0</v>
      </c>
      <c r="D227" s="3">
        <v>0</v>
      </c>
      <c r="E227" s="3">
        <v>-36.012999999999998</v>
      </c>
      <c r="F227" s="3">
        <v>-36.012999999999998</v>
      </c>
      <c r="G227" s="3">
        <v>0</v>
      </c>
      <c r="H227" s="3">
        <v>0</v>
      </c>
      <c r="I227" s="3">
        <v>0</v>
      </c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>
        <v>0</v>
      </c>
      <c r="P227" s="3">
        <v>0</v>
      </c>
    </row>
    <row r="228" spans="1:16" x14ac:dyDescent="0.2">
      <c r="A228" s="12">
        <v>155</v>
      </c>
      <c r="B228" s="3">
        <v>-35.5</v>
      </c>
      <c r="C228" s="3">
        <v>0</v>
      </c>
      <c r="D228" s="3">
        <v>0</v>
      </c>
      <c r="E228" s="3">
        <v>-35.512999999999998</v>
      </c>
      <c r="F228" s="3">
        <v>-35.512999999999998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</row>
    <row r="229" spans="1:16" x14ac:dyDescent="0.2">
      <c r="A229" s="12">
        <v>156</v>
      </c>
      <c r="B229" s="3">
        <v>-35</v>
      </c>
      <c r="C229" s="3">
        <v>0</v>
      </c>
      <c r="D229" s="3">
        <v>0</v>
      </c>
      <c r="E229" s="3">
        <v>-35.012999999999998</v>
      </c>
      <c r="F229" s="3">
        <v>-35.012999999999998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3">
        <v>0</v>
      </c>
    </row>
    <row r="230" spans="1:16" x14ac:dyDescent="0.2">
      <c r="A230" s="12">
        <v>157</v>
      </c>
      <c r="B230" s="3">
        <v>-34.5</v>
      </c>
      <c r="C230" s="3">
        <v>0</v>
      </c>
      <c r="D230" s="3">
        <v>0</v>
      </c>
      <c r="E230" s="3">
        <v>-34.512999999999998</v>
      </c>
      <c r="F230" s="3">
        <v>-34.512999999999998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</row>
    <row r="231" spans="1:16" x14ac:dyDescent="0.2">
      <c r="A231" s="12">
        <v>158</v>
      </c>
      <c r="B231" s="3">
        <v>-34</v>
      </c>
      <c r="C231" s="3">
        <v>0</v>
      </c>
      <c r="D231" s="3">
        <v>0</v>
      </c>
      <c r="E231" s="3">
        <v>-34.012999999999998</v>
      </c>
      <c r="F231" s="3">
        <v>-34.012999999999998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0</v>
      </c>
      <c r="P231" s="3">
        <v>0</v>
      </c>
    </row>
    <row r="232" spans="1:16" x14ac:dyDescent="0.2">
      <c r="A232" s="12">
        <v>159</v>
      </c>
      <c r="B232" s="3">
        <v>-33.5</v>
      </c>
      <c r="C232" s="3">
        <v>0</v>
      </c>
      <c r="D232" s="3">
        <v>0</v>
      </c>
      <c r="E232" s="3">
        <v>-33.512</v>
      </c>
      <c r="F232" s="3">
        <v>-33.512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3">
        <v>0</v>
      </c>
    </row>
    <row r="233" spans="1:16" x14ac:dyDescent="0.2">
      <c r="A233" s="12">
        <v>160</v>
      </c>
      <c r="B233" s="3">
        <v>-33</v>
      </c>
      <c r="C233" s="3">
        <v>0</v>
      </c>
      <c r="D233" s="3">
        <v>0</v>
      </c>
      <c r="E233" s="3">
        <v>-33.012</v>
      </c>
      <c r="F233" s="3">
        <v>-33.012</v>
      </c>
      <c r="G233" s="3">
        <v>0</v>
      </c>
      <c r="H233" s="3">
        <v>0</v>
      </c>
      <c r="I233" s="3">
        <v>0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0</v>
      </c>
      <c r="P233" s="3">
        <v>0</v>
      </c>
    </row>
    <row r="234" spans="1:16" x14ac:dyDescent="0.2">
      <c r="A234" s="12">
        <v>161</v>
      </c>
      <c r="B234" s="3">
        <v>-32.5</v>
      </c>
      <c r="C234" s="3">
        <v>0</v>
      </c>
      <c r="D234" s="3">
        <v>0</v>
      </c>
      <c r="E234" s="3">
        <v>-32.512</v>
      </c>
      <c r="F234" s="3">
        <v>-32.512</v>
      </c>
      <c r="G234" s="3">
        <v>0</v>
      </c>
      <c r="H234" s="3">
        <v>0</v>
      </c>
      <c r="I234" s="3">
        <v>0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0</v>
      </c>
      <c r="P234" s="3">
        <v>0</v>
      </c>
    </row>
    <row r="235" spans="1:16" x14ac:dyDescent="0.2">
      <c r="A235" s="12">
        <v>162</v>
      </c>
      <c r="B235" s="3">
        <v>-32</v>
      </c>
      <c r="C235" s="3">
        <v>0</v>
      </c>
      <c r="D235" s="3">
        <v>0</v>
      </c>
      <c r="E235" s="3">
        <v>-32.012</v>
      </c>
      <c r="F235" s="3">
        <v>-32.012</v>
      </c>
      <c r="G235" s="3">
        <v>0</v>
      </c>
      <c r="H235" s="3">
        <v>0</v>
      </c>
      <c r="I235" s="3">
        <v>0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0</v>
      </c>
      <c r="P235" s="3">
        <v>0</v>
      </c>
    </row>
    <row r="236" spans="1:16" x14ac:dyDescent="0.2">
      <c r="A236" s="12">
        <v>163</v>
      </c>
      <c r="B236" s="3">
        <v>-31.5</v>
      </c>
      <c r="C236" s="3">
        <v>0</v>
      </c>
      <c r="D236" s="3">
        <v>0</v>
      </c>
      <c r="E236" s="3">
        <v>-31.512</v>
      </c>
      <c r="F236" s="3">
        <v>-31.512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0</v>
      </c>
      <c r="P236" s="3">
        <v>0</v>
      </c>
    </row>
    <row r="237" spans="1:16" x14ac:dyDescent="0.2">
      <c r="A237" s="12">
        <v>164</v>
      </c>
      <c r="B237" s="3">
        <v>-31</v>
      </c>
      <c r="C237" s="3">
        <v>0</v>
      </c>
      <c r="D237" s="3">
        <v>0</v>
      </c>
      <c r="E237" s="3">
        <v>-31.012</v>
      </c>
      <c r="F237" s="3">
        <v>-31.012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>
        <v>0</v>
      </c>
      <c r="P237" s="3">
        <v>0</v>
      </c>
    </row>
    <row r="238" spans="1:16" x14ac:dyDescent="0.2">
      <c r="A238" s="12">
        <v>165</v>
      </c>
      <c r="B238" s="3">
        <v>-30.5</v>
      </c>
      <c r="C238" s="3">
        <v>0</v>
      </c>
      <c r="D238" s="3">
        <v>0</v>
      </c>
      <c r="E238" s="3">
        <v>-30.512</v>
      </c>
      <c r="F238" s="3">
        <v>-30.512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</v>
      </c>
      <c r="P238" s="3">
        <v>0</v>
      </c>
    </row>
    <row r="239" spans="1:16" x14ac:dyDescent="0.2">
      <c r="A239" s="12">
        <v>166</v>
      </c>
      <c r="B239" s="3">
        <v>-30</v>
      </c>
      <c r="C239" s="3">
        <v>0</v>
      </c>
      <c r="D239" s="3">
        <v>0</v>
      </c>
      <c r="E239" s="3">
        <v>-30.012</v>
      </c>
      <c r="F239" s="3">
        <v>-30.012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3">
        <v>0</v>
      </c>
    </row>
    <row r="240" spans="1:16" x14ac:dyDescent="0.2">
      <c r="A240" s="12">
        <v>167</v>
      </c>
      <c r="B240" s="3">
        <v>-29.5</v>
      </c>
      <c r="C240" s="3">
        <v>0</v>
      </c>
      <c r="D240" s="3">
        <v>0</v>
      </c>
      <c r="E240" s="3">
        <v>-29.512</v>
      </c>
      <c r="F240" s="3">
        <v>-29.512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</row>
    <row r="241" spans="1:16" x14ac:dyDescent="0.2">
      <c r="A241" s="12">
        <v>168</v>
      </c>
      <c r="B241" s="3">
        <v>-29</v>
      </c>
      <c r="C241" s="3">
        <v>0</v>
      </c>
      <c r="D241" s="3">
        <v>0</v>
      </c>
      <c r="E241" s="3">
        <v>-29.012</v>
      </c>
      <c r="F241" s="3">
        <v>-29.012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>
        <v>0</v>
      </c>
      <c r="P241" s="3">
        <v>0</v>
      </c>
    </row>
    <row r="242" spans="1:16" x14ac:dyDescent="0.2">
      <c r="A242" s="12">
        <v>169</v>
      </c>
      <c r="B242" s="3">
        <v>-28.5</v>
      </c>
      <c r="C242" s="3">
        <v>0</v>
      </c>
      <c r="D242" s="3">
        <v>0</v>
      </c>
      <c r="E242" s="3">
        <v>-28.512</v>
      </c>
      <c r="F242" s="3">
        <v>-28.512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>
        <v>0</v>
      </c>
      <c r="P242" s="3">
        <v>0</v>
      </c>
    </row>
    <row r="243" spans="1:16" x14ac:dyDescent="0.2">
      <c r="A243" s="12">
        <v>170</v>
      </c>
      <c r="B243" s="3">
        <v>-28</v>
      </c>
      <c r="C243" s="3">
        <v>0</v>
      </c>
      <c r="D243" s="3">
        <v>0</v>
      </c>
      <c r="E243" s="3">
        <v>-28.012</v>
      </c>
      <c r="F243" s="3">
        <v>-28.012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</v>
      </c>
      <c r="P243" s="3">
        <v>0</v>
      </c>
    </row>
    <row r="244" spans="1:16" x14ac:dyDescent="0.2">
      <c r="A244" s="12">
        <v>171</v>
      </c>
      <c r="B244" s="3">
        <v>-27.5</v>
      </c>
      <c r="C244" s="3">
        <v>0</v>
      </c>
      <c r="D244" s="3">
        <v>0</v>
      </c>
      <c r="E244" s="3">
        <v>-27.512</v>
      </c>
      <c r="F244" s="3">
        <v>-27.512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>
        <v>0</v>
      </c>
      <c r="P244" s="3">
        <v>0</v>
      </c>
    </row>
    <row r="245" spans="1:16" x14ac:dyDescent="0.2">
      <c r="A245" s="12">
        <v>172</v>
      </c>
      <c r="B245" s="3">
        <v>-27</v>
      </c>
      <c r="C245" s="3">
        <v>0</v>
      </c>
      <c r="D245" s="3">
        <v>0</v>
      </c>
      <c r="E245" s="3">
        <v>-27.010999999999999</v>
      </c>
      <c r="F245" s="3">
        <v>-27.010999999999999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</v>
      </c>
      <c r="P245" s="3">
        <v>0</v>
      </c>
    </row>
    <row r="246" spans="1:16" x14ac:dyDescent="0.2">
      <c r="A246" s="12">
        <v>173</v>
      </c>
      <c r="B246" s="3">
        <v>-26.5</v>
      </c>
      <c r="C246" s="3">
        <v>0</v>
      </c>
      <c r="D246" s="3">
        <v>0</v>
      </c>
      <c r="E246" s="3">
        <v>-26.510999999999999</v>
      </c>
      <c r="F246" s="3">
        <v>-26.510999999999999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0</v>
      </c>
    </row>
    <row r="247" spans="1:16" x14ac:dyDescent="0.2">
      <c r="A247" s="12">
        <v>174</v>
      </c>
      <c r="B247" s="3">
        <v>-26</v>
      </c>
      <c r="C247" s="3">
        <v>0</v>
      </c>
      <c r="D247" s="3">
        <v>0</v>
      </c>
      <c r="E247" s="3">
        <v>-26.010999999999999</v>
      </c>
      <c r="F247" s="3">
        <v>-26.010999999999999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</v>
      </c>
      <c r="P247" s="3">
        <v>0</v>
      </c>
    </row>
    <row r="248" spans="1:16" x14ac:dyDescent="0.2">
      <c r="A248" s="12">
        <v>175</v>
      </c>
      <c r="B248" s="3">
        <v>-25.5</v>
      </c>
      <c r="C248" s="3">
        <v>0</v>
      </c>
      <c r="D248" s="3">
        <v>0</v>
      </c>
      <c r="E248" s="3">
        <v>-25.510999999999999</v>
      </c>
      <c r="F248" s="3">
        <v>-25.510999999999999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</row>
    <row r="249" spans="1:16" x14ac:dyDescent="0.2">
      <c r="A249" s="12">
        <v>176</v>
      </c>
      <c r="B249" s="3">
        <v>-25</v>
      </c>
      <c r="C249" s="3">
        <v>0</v>
      </c>
      <c r="D249" s="3">
        <v>0</v>
      </c>
      <c r="E249" s="3">
        <v>-25.010999999999999</v>
      </c>
      <c r="F249" s="3">
        <v>-25.010999999999999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</row>
    <row r="250" spans="1:16" x14ac:dyDescent="0.2">
      <c r="A250" s="12">
        <v>177</v>
      </c>
      <c r="B250" s="3">
        <v>-24.5</v>
      </c>
      <c r="C250" s="3">
        <v>0</v>
      </c>
      <c r="D250" s="3">
        <v>0</v>
      </c>
      <c r="E250" s="3">
        <v>-24.510999999999999</v>
      </c>
      <c r="F250" s="3">
        <v>-24.510999999999999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0</v>
      </c>
    </row>
    <row r="251" spans="1:16" x14ac:dyDescent="0.2">
      <c r="A251" s="12">
        <v>178</v>
      </c>
      <c r="B251" s="3">
        <v>-24</v>
      </c>
      <c r="C251" s="3">
        <v>0</v>
      </c>
      <c r="D251" s="3">
        <v>0</v>
      </c>
      <c r="E251" s="3">
        <v>-24.010999999999999</v>
      </c>
      <c r="F251" s="3">
        <v>-24.010999999999999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</row>
    <row r="252" spans="1:16" x14ac:dyDescent="0.2">
      <c r="A252" s="12">
        <v>179</v>
      </c>
      <c r="B252" s="3">
        <v>-23.5</v>
      </c>
      <c r="C252" s="3">
        <v>0</v>
      </c>
      <c r="D252" s="3">
        <v>0</v>
      </c>
      <c r="E252" s="3">
        <v>-23.510999999999999</v>
      </c>
      <c r="F252" s="3">
        <v>-23.510999999999999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</row>
    <row r="253" spans="1:16" x14ac:dyDescent="0.2">
      <c r="A253" s="12">
        <v>180</v>
      </c>
      <c r="B253" s="3">
        <v>-23.413</v>
      </c>
      <c r="C253" s="3">
        <v>0</v>
      </c>
      <c r="D253" s="3">
        <v>0</v>
      </c>
      <c r="E253" s="3">
        <v>-23.423999999999999</v>
      </c>
      <c r="F253" s="3">
        <v>-23.423999999999999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</v>
      </c>
      <c r="P253" s="3">
        <v>0</v>
      </c>
    </row>
    <row r="254" spans="1:16" x14ac:dyDescent="0.2">
      <c r="A254" s="12">
        <v>181</v>
      </c>
      <c r="B254" s="3">
        <v>-23.213000000000001</v>
      </c>
      <c r="C254" s="3">
        <v>0</v>
      </c>
      <c r="D254" s="3">
        <v>0</v>
      </c>
      <c r="E254" s="3">
        <v>-23.224</v>
      </c>
      <c r="F254" s="3">
        <v>-23.224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0</v>
      </c>
    </row>
    <row r="255" spans="1:16" x14ac:dyDescent="0.2">
      <c r="A255" s="12">
        <v>182</v>
      </c>
      <c r="B255" s="3">
        <v>-23.013000000000002</v>
      </c>
      <c r="C255" s="3">
        <v>0</v>
      </c>
      <c r="D255" s="3">
        <v>0</v>
      </c>
      <c r="E255" s="3">
        <v>-23.024000000000001</v>
      </c>
      <c r="F255" s="3">
        <v>-23.024000000000001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</v>
      </c>
      <c r="P255" s="3">
        <v>0</v>
      </c>
    </row>
    <row r="256" spans="1:16" x14ac:dyDescent="0.2">
      <c r="A256" s="12">
        <v>183</v>
      </c>
      <c r="B256" s="3">
        <v>-23</v>
      </c>
      <c r="C256" s="3">
        <v>0</v>
      </c>
      <c r="D256" s="3">
        <v>0</v>
      </c>
      <c r="E256" s="3">
        <v>-23.010999999999999</v>
      </c>
      <c r="F256" s="3">
        <v>-23.010999999999999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</v>
      </c>
      <c r="P256" s="3">
        <v>0</v>
      </c>
    </row>
    <row r="257" spans="1:16" x14ac:dyDescent="0.2">
      <c r="A257" s="12">
        <v>184</v>
      </c>
      <c r="B257" s="3">
        <v>-22.5</v>
      </c>
      <c r="C257" s="3">
        <v>0</v>
      </c>
      <c r="D257" s="3">
        <v>0</v>
      </c>
      <c r="E257" s="3">
        <v>-22.510999999999999</v>
      </c>
      <c r="F257" s="3">
        <v>-22.510999999999999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0</v>
      </c>
      <c r="P257" s="3">
        <v>0</v>
      </c>
    </row>
    <row r="258" spans="1:16" x14ac:dyDescent="0.2">
      <c r="A258" s="12">
        <v>185</v>
      </c>
      <c r="B258" s="3">
        <v>-22</v>
      </c>
      <c r="C258" s="3">
        <v>0</v>
      </c>
      <c r="D258" s="3">
        <v>0</v>
      </c>
      <c r="E258" s="3">
        <v>-22.010999999999999</v>
      </c>
      <c r="F258" s="3">
        <v>-22.010999999999999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</v>
      </c>
      <c r="P258" s="3">
        <v>0</v>
      </c>
    </row>
    <row r="259" spans="1:16" x14ac:dyDescent="0.2">
      <c r="A259" s="12">
        <v>186</v>
      </c>
      <c r="B259" s="3">
        <v>-21.5</v>
      </c>
      <c r="C259" s="3">
        <v>0</v>
      </c>
      <c r="D259" s="3">
        <v>0</v>
      </c>
      <c r="E259" s="3">
        <v>-21.510999999999999</v>
      </c>
      <c r="F259" s="3">
        <v>-21.510999999999999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>
        <v>0</v>
      </c>
      <c r="P259" s="3">
        <v>0</v>
      </c>
    </row>
    <row r="260" spans="1:16" x14ac:dyDescent="0.2">
      <c r="A260" s="12">
        <v>187</v>
      </c>
      <c r="B260" s="3">
        <v>-21</v>
      </c>
      <c r="C260" s="3">
        <v>0</v>
      </c>
      <c r="D260" s="3">
        <v>0</v>
      </c>
      <c r="E260" s="3">
        <v>-21.010999999999999</v>
      </c>
      <c r="F260" s="3">
        <v>-21.010999999999999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>
        <v>0</v>
      </c>
      <c r="P260" s="3">
        <v>0</v>
      </c>
    </row>
    <row r="261" spans="1:16" x14ac:dyDescent="0.2">
      <c r="A261" s="12">
        <v>188</v>
      </c>
      <c r="B261" s="3">
        <v>-20.5</v>
      </c>
      <c r="C261" s="3">
        <v>0</v>
      </c>
      <c r="D261" s="3">
        <v>0</v>
      </c>
      <c r="E261" s="3">
        <v>-20.510999999999999</v>
      </c>
      <c r="F261" s="3">
        <v>-20.510999999999999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</row>
    <row r="262" spans="1:16" x14ac:dyDescent="0.2">
      <c r="A262" s="12">
        <v>189</v>
      </c>
      <c r="B262" s="3">
        <v>-20</v>
      </c>
      <c r="C262" s="3">
        <v>0</v>
      </c>
      <c r="D262" s="3">
        <v>0</v>
      </c>
      <c r="E262" s="3">
        <v>-20.010000000000002</v>
      </c>
      <c r="F262" s="3">
        <v>-20.010000000000002</v>
      </c>
      <c r="G262" s="3">
        <v>0</v>
      </c>
      <c r="H262" s="3">
        <v>0</v>
      </c>
      <c r="I262" s="3">
        <v>0</v>
      </c>
      <c r="J262" s="3">
        <v>0</v>
      </c>
      <c r="K262" s="3">
        <v>0</v>
      </c>
      <c r="L262" s="3">
        <v>0</v>
      </c>
      <c r="M262" s="3">
        <v>0</v>
      </c>
      <c r="N262" s="3">
        <v>0</v>
      </c>
      <c r="O262" s="3">
        <v>0</v>
      </c>
      <c r="P262" s="3">
        <v>0</v>
      </c>
    </row>
    <row r="263" spans="1:16" x14ac:dyDescent="0.2">
      <c r="A263" s="12">
        <v>190</v>
      </c>
      <c r="B263" s="3">
        <v>-19.5</v>
      </c>
      <c r="C263" s="3">
        <v>0</v>
      </c>
      <c r="D263" s="3">
        <v>0</v>
      </c>
      <c r="E263" s="3">
        <v>-19.510000000000002</v>
      </c>
      <c r="F263" s="3">
        <v>-19.510000000000002</v>
      </c>
      <c r="G263" s="3">
        <v>0</v>
      </c>
      <c r="H263" s="3">
        <v>0</v>
      </c>
      <c r="I263" s="3">
        <v>0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</row>
    <row r="264" spans="1:16" x14ac:dyDescent="0.2">
      <c r="A264" s="12">
        <v>191</v>
      </c>
      <c r="B264" s="3">
        <v>-19</v>
      </c>
      <c r="C264" s="3">
        <v>0</v>
      </c>
      <c r="D264" s="3">
        <v>0</v>
      </c>
      <c r="E264" s="3">
        <v>-19.010000000000002</v>
      </c>
      <c r="F264" s="3">
        <v>-19.010000000000002</v>
      </c>
      <c r="G264" s="3">
        <v>0</v>
      </c>
      <c r="H264" s="3">
        <v>0</v>
      </c>
      <c r="I264" s="3">
        <v>0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</row>
    <row r="265" spans="1:16" x14ac:dyDescent="0.2">
      <c r="A265" s="12">
        <v>192</v>
      </c>
      <c r="B265" s="3">
        <v>-18.5</v>
      </c>
      <c r="C265" s="3">
        <v>0</v>
      </c>
      <c r="D265" s="3">
        <v>0</v>
      </c>
      <c r="E265" s="3">
        <v>-18.510000000000002</v>
      </c>
      <c r="F265" s="3">
        <v>-18.510000000000002</v>
      </c>
      <c r="G265" s="3">
        <v>0</v>
      </c>
      <c r="H265" s="3">
        <v>0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</row>
    <row r="266" spans="1:16" x14ac:dyDescent="0.2">
      <c r="A266" s="12">
        <v>193</v>
      </c>
      <c r="B266" s="3">
        <v>-18</v>
      </c>
      <c r="C266" s="3">
        <v>0</v>
      </c>
      <c r="D266" s="3">
        <v>0</v>
      </c>
      <c r="E266" s="3">
        <v>-18.010000000000002</v>
      </c>
      <c r="F266" s="3">
        <v>-18.010000000000002</v>
      </c>
      <c r="G266" s="3">
        <v>0</v>
      </c>
      <c r="H266" s="3">
        <v>0</v>
      </c>
      <c r="I266" s="3">
        <v>0</v>
      </c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</row>
    <row r="267" spans="1:16" x14ac:dyDescent="0.2">
      <c r="A267" s="12">
        <v>194</v>
      </c>
      <c r="B267" s="3">
        <v>-17.5</v>
      </c>
      <c r="C267" s="3">
        <v>0</v>
      </c>
      <c r="D267" s="3">
        <v>0</v>
      </c>
      <c r="E267" s="3">
        <v>-17.510000000000002</v>
      </c>
      <c r="F267" s="3">
        <v>-17.510000000000002</v>
      </c>
      <c r="G267" s="3">
        <v>0</v>
      </c>
      <c r="H267" s="3">
        <v>0</v>
      </c>
      <c r="I267" s="3">
        <v>0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</row>
    <row r="268" spans="1:16" x14ac:dyDescent="0.2">
      <c r="A268" s="12">
        <v>195</v>
      </c>
      <c r="B268" s="3">
        <v>-17</v>
      </c>
      <c r="C268" s="3">
        <v>0</v>
      </c>
      <c r="D268" s="3">
        <v>0</v>
      </c>
      <c r="E268" s="3">
        <v>-17.010000000000002</v>
      </c>
      <c r="F268" s="3">
        <v>-17.010000000000002</v>
      </c>
      <c r="G268" s="3">
        <v>0</v>
      </c>
      <c r="H268" s="3">
        <v>0</v>
      </c>
      <c r="I268" s="3">
        <v>0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</row>
    <row r="269" spans="1:16" x14ac:dyDescent="0.2">
      <c r="A269" s="12">
        <v>196</v>
      </c>
      <c r="B269" s="3">
        <v>-16.5</v>
      </c>
      <c r="C269" s="3">
        <v>0</v>
      </c>
      <c r="D269" s="3">
        <v>0</v>
      </c>
      <c r="E269" s="3">
        <v>-16.510000000000002</v>
      </c>
      <c r="F269" s="3">
        <v>-16.510000000000002</v>
      </c>
      <c r="G269" s="3">
        <v>0</v>
      </c>
      <c r="H269" s="3">
        <v>0</v>
      </c>
      <c r="I269" s="3">
        <v>0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</v>
      </c>
      <c r="P269" s="3">
        <v>0</v>
      </c>
    </row>
    <row r="270" spans="1:16" x14ac:dyDescent="0.2">
      <c r="A270" s="12">
        <v>197</v>
      </c>
      <c r="B270" s="3">
        <v>-16</v>
      </c>
      <c r="C270" s="3">
        <v>0</v>
      </c>
      <c r="D270" s="3">
        <v>0</v>
      </c>
      <c r="E270" s="3">
        <v>-16.010000000000002</v>
      </c>
      <c r="F270" s="3">
        <v>-16.010000000000002</v>
      </c>
      <c r="G270" s="3">
        <v>0</v>
      </c>
      <c r="H270" s="3">
        <v>0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</row>
    <row r="271" spans="1:16" x14ac:dyDescent="0.2">
      <c r="A271" s="12">
        <v>198</v>
      </c>
      <c r="B271" s="3">
        <v>-15.5</v>
      </c>
      <c r="C271" s="3">
        <v>0</v>
      </c>
      <c r="D271" s="3">
        <v>0</v>
      </c>
      <c r="E271" s="3">
        <v>-15.51</v>
      </c>
      <c r="F271" s="3">
        <v>-15.51</v>
      </c>
      <c r="G271" s="3">
        <v>0</v>
      </c>
      <c r="H271" s="3">
        <v>0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</row>
    <row r="272" spans="1:16" x14ac:dyDescent="0.2">
      <c r="A272" s="12">
        <v>199</v>
      </c>
      <c r="B272" s="3">
        <v>-15</v>
      </c>
      <c r="C272" s="3">
        <v>0</v>
      </c>
      <c r="D272" s="3">
        <v>0</v>
      </c>
      <c r="E272" s="3">
        <v>-15.01</v>
      </c>
      <c r="F272" s="3">
        <v>-15.01</v>
      </c>
      <c r="G272" s="3">
        <v>0</v>
      </c>
      <c r="H272" s="3">
        <v>0</v>
      </c>
      <c r="I272" s="3">
        <v>0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3">
        <v>0</v>
      </c>
    </row>
    <row r="273" spans="1:16" x14ac:dyDescent="0.2">
      <c r="A273" s="12">
        <v>200</v>
      </c>
      <c r="B273" s="3">
        <v>-14.5</v>
      </c>
      <c r="C273" s="3">
        <v>0</v>
      </c>
      <c r="D273" s="3">
        <v>0</v>
      </c>
      <c r="E273" s="3">
        <v>-14.51</v>
      </c>
      <c r="F273" s="3">
        <v>-14.51</v>
      </c>
      <c r="G273" s="3">
        <v>0</v>
      </c>
      <c r="H273" s="3">
        <v>0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</row>
    <row r="274" spans="1:16" x14ac:dyDescent="0.2">
      <c r="A274" s="12">
        <v>201</v>
      </c>
      <c r="B274" s="3">
        <v>-14</v>
      </c>
      <c r="C274" s="3">
        <v>0</v>
      </c>
      <c r="D274" s="3">
        <v>0</v>
      </c>
      <c r="E274" s="3">
        <v>-14.01</v>
      </c>
      <c r="F274" s="3">
        <v>-14.01</v>
      </c>
      <c r="G274" s="3">
        <v>0</v>
      </c>
      <c r="H274" s="3">
        <v>0</v>
      </c>
      <c r="I274" s="3">
        <v>0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</v>
      </c>
      <c r="P274" s="3">
        <v>0</v>
      </c>
    </row>
    <row r="275" spans="1:16" x14ac:dyDescent="0.2">
      <c r="A275" s="12">
        <v>202</v>
      </c>
      <c r="B275" s="3">
        <v>-13.5</v>
      </c>
      <c r="C275" s="3">
        <v>0</v>
      </c>
      <c r="D275" s="3">
        <v>0</v>
      </c>
      <c r="E275" s="3">
        <v>-13.509</v>
      </c>
      <c r="F275" s="3">
        <v>-13.509</v>
      </c>
      <c r="G275" s="3">
        <v>0</v>
      </c>
      <c r="H275" s="3">
        <v>0</v>
      </c>
      <c r="I275" s="3">
        <v>0</v>
      </c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>
        <v>0</v>
      </c>
      <c r="P275" s="3">
        <v>0</v>
      </c>
    </row>
    <row r="276" spans="1:16" x14ac:dyDescent="0.2">
      <c r="A276" s="12">
        <v>203</v>
      </c>
      <c r="B276" s="3">
        <v>-13</v>
      </c>
      <c r="C276" s="3">
        <v>0</v>
      </c>
      <c r="D276" s="3">
        <v>0</v>
      </c>
      <c r="E276" s="3">
        <v>-13.009</v>
      </c>
      <c r="F276" s="3">
        <v>-13.009</v>
      </c>
      <c r="G276" s="3">
        <v>0</v>
      </c>
      <c r="H276" s="3">
        <v>0</v>
      </c>
      <c r="I276" s="3">
        <v>0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3">
        <v>0</v>
      </c>
    </row>
    <row r="277" spans="1:16" x14ac:dyDescent="0.2">
      <c r="A277" s="12">
        <v>204</v>
      </c>
      <c r="B277" s="3">
        <v>-12.5</v>
      </c>
      <c r="C277" s="3">
        <v>0</v>
      </c>
      <c r="D277" s="3">
        <v>0</v>
      </c>
      <c r="E277" s="3">
        <v>-12.509</v>
      </c>
      <c r="F277" s="3">
        <v>-12.509</v>
      </c>
      <c r="G277" s="3">
        <v>0</v>
      </c>
      <c r="H277" s="3">
        <v>0</v>
      </c>
      <c r="I277" s="3">
        <v>0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0</v>
      </c>
      <c r="P277" s="3">
        <v>0</v>
      </c>
    </row>
    <row r="278" spans="1:16" x14ac:dyDescent="0.2">
      <c r="A278" s="12">
        <v>205</v>
      </c>
      <c r="B278" s="3">
        <v>-12</v>
      </c>
      <c r="C278" s="3">
        <v>0</v>
      </c>
      <c r="D278" s="3">
        <v>0</v>
      </c>
      <c r="E278" s="3">
        <v>-12.009</v>
      </c>
      <c r="F278" s="3">
        <v>-12.009</v>
      </c>
      <c r="G278" s="3">
        <v>0</v>
      </c>
      <c r="H278" s="3">
        <v>0</v>
      </c>
      <c r="I278" s="3">
        <v>0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0</v>
      </c>
    </row>
    <row r="279" spans="1:16" x14ac:dyDescent="0.2">
      <c r="A279" s="12">
        <v>206</v>
      </c>
      <c r="B279" s="3">
        <v>-11.721</v>
      </c>
      <c r="C279" s="3">
        <v>0</v>
      </c>
      <c r="D279" s="3">
        <v>0</v>
      </c>
      <c r="E279" s="3">
        <v>-11.73</v>
      </c>
      <c r="F279" s="3">
        <v>-11.73</v>
      </c>
      <c r="G279" s="3">
        <v>0</v>
      </c>
      <c r="H279" s="3">
        <v>0</v>
      </c>
      <c r="I279" s="3">
        <v>0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</v>
      </c>
      <c r="P279" s="3">
        <v>0</v>
      </c>
    </row>
    <row r="280" spans="1:16" x14ac:dyDescent="0.2">
      <c r="A280" s="12">
        <v>207</v>
      </c>
      <c r="B280" s="3">
        <v>-11.5</v>
      </c>
      <c r="C280" s="3">
        <v>0</v>
      </c>
      <c r="D280" s="3">
        <v>0</v>
      </c>
      <c r="E280" s="3">
        <v>-11.509</v>
      </c>
      <c r="F280" s="3">
        <v>-11.509</v>
      </c>
      <c r="G280" s="3">
        <v>0</v>
      </c>
      <c r="H280" s="3">
        <v>0</v>
      </c>
      <c r="I280" s="3">
        <v>0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3">
        <v>0</v>
      </c>
    </row>
    <row r="281" spans="1:16" x14ac:dyDescent="0.2">
      <c r="A281" s="12">
        <v>208</v>
      </c>
      <c r="B281" s="3">
        <v>-11.221</v>
      </c>
      <c r="C281" s="3">
        <v>0</v>
      </c>
      <c r="D281" s="3">
        <v>0</v>
      </c>
      <c r="E281" s="3">
        <v>-11.23</v>
      </c>
      <c r="F281" s="3">
        <v>-11.23</v>
      </c>
      <c r="G281" s="3">
        <v>0</v>
      </c>
      <c r="H281" s="3">
        <v>0</v>
      </c>
      <c r="I281" s="3">
        <v>0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3">
        <v>0</v>
      </c>
    </row>
    <row r="282" spans="1:16" x14ac:dyDescent="0.2">
      <c r="A282" s="12">
        <v>209</v>
      </c>
      <c r="B282" s="3">
        <v>-11.103</v>
      </c>
      <c r="C282" s="3">
        <v>0</v>
      </c>
      <c r="D282" s="3">
        <v>0</v>
      </c>
      <c r="E282" s="3">
        <v>-11.112</v>
      </c>
      <c r="F282" s="3">
        <v>-11.112</v>
      </c>
      <c r="G282" s="3">
        <v>0</v>
      </c>
      <c r="H282" s="3">
        <v>0</v>
      </c>
      <c r="I282" s="3">
        <v>0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3">
        <v>0</v>
      </c>
    </row>
    <row r="283" spans="1:16" x14ac:dyDescent="0.2">
      <c r="A283" s="12">
        <v>210</v>
      </c>
      <c r="B283" s="3">
        <v>-11.021000000000001</v>
      </c>
      <c r="C283" s="3">
        <v>0</v>
      </c>
      <c r="D283" s="3">
        <v>0</v>
      </c>
      <c r="E283" s="3">
        <v>-11.03</v>
      </c>
      <c r="F283" s="3">
        <v>-11.03</v>
      </c>
      <c r="G283" s="3">
        <v>0</v>
      </c>
      <c r="H283" s="3">
        <v>0</v>
      </c>
      <c r="I283" s="3">
        <v>0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</row>
    <row r="284" spans="1:16" x14ac:dyDescent="0.2">
      <c r="A284" s="12">
        <v>211</v>
      </c>
      <c r="B284" s="3">
        <v>-11</v>
      </c>
      <c r="C284" s="3">
        <v>0</v>
      </c>
      <c r="D284" s="3">
        <v>0</v>
      </c>
      <c r="E284" s="3">
        <v>-11.009</v>
      </c>
      <c r="F284" s="3">
        <v>-11.009</v>
      </c>
      <c r="G284" s="3">
        <v>0</v>
      </c>
      <c r="H284" s="3">
        <v>0</v>
      </c>
      <c r="I284" s="3">
        <v>0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</row>
    <row r="285" spans="1:16" x14ac:dyDescent="0.2">
      <c r="A285" s="12">
        <v>212</v>
      </c>
      <c r="B285" s="3">
        <v>-10.821</v>
      </c>
      <c r="C285" s="3">
        <v>0</v>
      </c>
      <c r="D285" s="3">
        <v>0</v>
      </c>
      <c r="E285" s="3">
        <v>-10.83</v>
      </c>
      <c r="F285" s="3">
        <v>-10.83</v>
      </c>
      <c r="G285" s="3">
        <v>0</v>
      </c>
      <c r="H285" s="3">
        <v>0</v>
      </c>
      <c r="I285" s="3">
        <v>0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3">
        <v>0</v>
      </c>
    </row>
    <row r="286" spans="1:16" x14ac:dyDescent="0.2">
      <c r="A286" s="12">
        <v>213</v>
      </c>
      <c r="B286" s="3">
        <v>-10.73</v>
      </c>
      <c r="C286" s="3">
        <v>0</v>
      </c>
      <c r="D286" s="3">
        <v>0</v>
      </c>
      <c r="E286" s="3">
        <v>-10.739000000000001</v>
      </c>
      <c r="F286" s="3">
        <v>-10.739000000000001</v>
      </c>
      <c r="G286" s="3">
        <v>0</v>
      </c>
      <c r="H286" s="3">
        <v>0</v>
      </c>
      <c r="I286" s="3">
        <v>0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0</v>
      </c>
      <c r="P286" s="3">
        <v>0</v>
      </c>
    </row>
    <row r="287" spans="1:16" x14ac:dyDescent="0.2">
      <c r="A287" s="12">
        <v>214</v>
      </c>
      <c r="B287" s="3">
        <v>-10.5</v>
      </c>
      <c r="C287" s="3">
        <v>0</v>
      </c>
      <c r="D287" s="3">
        <v>0</v>
      </c>
      <c r="E287" s="3">
        <v>-10.509</v>
      </c>
      <c r="F287" s="3">
        <v>-10.509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>
        <v>0</v>
      </c>
      <c r="P287" s="3">
        <v>0</v>
      </c>
    </row>
    <row r="288" spans="1:16" x14ac:dyDescent="0.2">
      <c r="A288" s="12">
        <v>215</v>
      </c>
      <c r="B288" s="3">
        <v>-10</v>
      </c>
      <c r="C288" s="3">
        <v>0</v>
      </c>
      <c r="D288" s="3">
        <v>0</v>
      </c>
      <c r="E288" s="3">
        <v>-10.009</v>
      </c>
      <c r="F288" s="3">
        <v>-10.009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</v>
      </c>
      <c r="P288" s="3">
        <v>0</v>
      </c>
    </row>
    <row r="289" spans="1:16" x14ac:dyDescent="0.2">
      <c r="A289" s="12">
        <v>216</v>
      </c>
      <c r="B289" s="3">
        <v>-9.5</v>
      </c>
      <c r="C289" s="3">
        <v>0</v>
      </c>
      <c r="D289" s="3">
        <v>0</v>
      </c>
      <c r="E289" s="3">
        <v>-9.5090000000000003</v>
      </c>
      <c r="F289" s="3">
        <v>-9.5090000000000003</v>
      </c>
      <c r="G289" s="3">
        <v>0</v>
      </c>
      <c r="H289" s="3">
        <v>0</v>
      </c>
      <c r="I289" s="3">
        <v>0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</v>
      </c>
      <c r="P289" s="3">
        <v>0</v>
      </c>
    </row>
    <row r="290" spans="1:16" x14ac:dyDescent="0.2">
      <c r="A290" s="12">
        <v>217</v>
      </c>
      <c r="B290" s="3">
        <v>-9</v>
      </c>
      <c r="C290" s="3">
        <v>0</v>
      </c>
      <c r="D290" s="3">
        <v>0</v>
      </c>
      <c r="E290" s="3">
        <v>-9.0090000000000003</v>
      </c>
      <c r="F290" s="3">
        <v>-9.0090000000000003</v>
      </c>
      <c r="G290" s="3">
        <v>0</v>
      </c>
      <c r="H290" s="3">
        <v>0</v>
      </c>
      <c r="I290" s="3">
        <v>0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0</v>
      </c>
    </row>
    <row r="291" spans="1:16" x14ac:dyDescent="0.2">
      <c r="A291" s="12">
        <v>218</v>
      </c>
      <c r="B291" s="3">
        <v>-8.5</v>
      </c>
      <c r="C291" s="3">
        <v>0</v>
      </c>
      <c r="D291" s="3">
        <v>0</v>
      </c>
      <c r="E291" s="3">
        <v>-8.5090000000000003</v>
      </c>
      <c r="F291" s="3">
        <v>-8.5090000000000003</v>
      </c>
      <c r="G291" s="3">
        <v>0</v>
      </c>
      <c r="H291" s="3">
        <v>0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</row>
    <row r="292" spans="1:16" x14ac:dyDescent="0.2">
      <c r="A292" s="12">
        <v>219</v>
      </c>
      <c r="B292" s="3">
        <v>-8</v>
      </c>
      <c r="C292" s="3">
        <v>0</v>
      </c>
      <c r="D292" s="3">
        <v>0</v>
      </c>
      <c r="E292" s="3">
        <v>-8.0079999999999991</v>
      </c>
      <c r="F292" s="3">
        <v>-8.0079999999999991</v>
      </c>
      <c r="G292" s="3">
        <v>0</v>
      </c>
      <c r="H292" s="3">
        <v>0</v>
      </c>
      <c r="I292" s="3">
        <v>0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</row>
    <row r="293" spans="1:16" x14ac:dyDescent="0.2">
      <c r="A293" s="12">
        <v>220</v>
      </c>
      <c r="B293" s="3">
        <v>-7.5</v>
      </c>
      <c r="C293" s="3">
        <v>0</v>
      </c>
      <c r="D293" s="3">
        <v>0</v>
      </c>
      <c r="E293" s="3">
        <v>-7.508</v>
      </c>
      <c r="F293" s="3">
        <v>-7.508</v>
      </c>
      <c r="G293" s="3">
        <v>0</v>
      </c>
      <c r="H293" s="3">
        <v>0</v>
      </c>
      <c r="I293" s="3">
        <v>0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</row>
    <row r="294" spans="1:16" x14ac:dyDescent="0.2">
      <c r="A294" s="12">
        <v>221</v>
      </c>
      <c r="B294" s="3">
        <v>-7</v>
      </c>
      <c r="C294" s="3">
        <v>0</v>
      </c>
      <c r="D294" s="3">
        <v>0</v>
      </c>
      <c r="E294" s="3">
        <v>-7.008</v>
      </c>
      <c r="F294" s="3">
        <v>-7.008</v>
      </c>
      <c r="G294" s="3">
        <v>0</v>
      </c>
      <c r="H294" s="3">
        <v>0</v>
      </c>
      <c r="I294" s="3">
        <v>0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</row>
    <row r="295" spans="1:16" x14ac:dyDescent="0.2">
      <c r="A295" s="12">
        <v>222</v>
      </c>
      <c r="B295" s="3">
        <v>-6.5</v>
      </c>
      <c r="C295" s="3">
        <v>0</v>
      </c>
      <c r="D295" s="3">
        <v>0</v>
      </c>
      <c r="E295" s="3">
        <v>-6.508</v>
      </c>
      <c r="F295" s="3">
        <v>-6.508</v>
      </c>
      <c r="G295" s="3">
        <v>0</v>
      </c>
      <c r="H295" s="3">
        <v>0</v>
      </c>
      <c r="I295" s="3">
        <v>0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</v>
      </c>
      <c r="P295" s="3">
        <v>0</v>
      </c>
    </row>
    <row r="296" spans="1:16" x14ac:dyDescent="0.2">
      <c r="A296" s="12">
        <v>223</v>
      </c>
      <c r="B296" s="3">
        <v>-6</v>
      </c>
      <c r="C296" s="3">
        <v>0</v>
      </c>
      <c r="D296" s="3">
        <v>0</v>
      </c>
      <c r="E296" s="3">
        <v>-6.008</v>
      </c>
      <c r="F296" s="3">
        <v>-6.008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</v>
      </c>
      <c r="P296" s="3">
        <v>0</v>
      </c>
    </row>
    <row r="297" spans="1:16" x14ac:dyDescent="0.2">
      <c r="A297" s="12">
        <v>224</v>
      </c>
      <c r="B297" s="3">
        <v>-5.5</v>
      </c>
      <c r="C297" s="3">
        <v>0</v>
      </c>
      <c r="D297" s="3">
        <v>0</v>
      </c>
      <c r="E297" s="3">
        <v>-5.508</v>
      </c>
      <c r="F297" s="3">
        <v>-5.508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</row>
    <row r="298" spans="1:16" x14ac:dyDescent="0.2">
      <c r="A298" s="12">
        <v>225</v>
      </c>
      <c r="B298" s="3">
        <v>-5</v>
      </c>
      <c r="C298" s="3">
        <v>0</v>
      </c>
      <c r="D298" s="3">
        <v>0</v>
      </c>
      <c r="E298" s="3">
        <v>-5.008</v>
      </c>
      <c r="F298" s="3">
        <v>-5.008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</row>
    <row r="299" spans="1:16" x14ac:dyDescent="0.2">
      <c r="A299" s="12">
        <v>226</v>
      </c>
      <c r="B299" s="3">
        <v>-4.5</v>
      </c>
      <c r="C299" s="3">
        <v>0</v>
      </c>
      <c r="D299" s="3">
        <v>0</v>
      </c>
      <c r="E299" s="3">
        <v>-4.508</v>
      </c>
      <c r="F299" s="3">
        <v>-4.508</v>
      </c>
      <c r="G299" s="3">
        <v>0</v>
      </c>
      <c r="H299" s="3">
        <v>0</v>
      </c>
      <c r="I299" s="3">
        <v>0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</v>
      </c>
      <c r="P299" s="3">
        <v>0</v>
      </c>
    </row>
    <row r="300" spans="1:16" x14ac:dyDescent="0.2">
      <c r="A300" s="12">
        <v>227</v>
      </c>
      <c r="B300" s="3">
        <v>-4</v>
      </c>
      <c r="C300" s="3">
        <v>0</v>
      </c>
      <c r="D300" s="3">
        <v>0</v>
      </c>
      <c r="E300" s="3">
        <v>-4.008</v>
      </c>
      <c r="F300" s="3">
        <v>-4.008</v>
      </c>
      <c r="G300" s="3">
        <v>0</v>
      </c>
      <c r="H300" s="3">
        <v>0</v>
      </c>
      <c r="I300" s="3">
        <v>0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</v>
      </c>
      <c r="P300" s="3">
        <v>0</v>
      </c>
    </row>
    <row r="301" spans="1:16" x14ac:dyDescent="0.2">
      <c r="A301" s="12">
        <v>228</v>
      </c>
      <c r="B301" s="3">
        <v>-3.5</v>
      </c>
      <c r="C301" s="3">
        <v>0</v>
      </c>
      <c r="D301" s="3">
        <v>0</v>
      </c>
      <c r="E301" s="3">
        <v>-3.508</v>
      </c>
      <c r="F301" s="3">
        <v>-3.508</v>
      </c>
      <c r="G301" s="3">
        <v>0</v>
      </c>
      <c r="H301" s="3">
        <v>0</v>
      </c>
      <c r="I301" s="3">
        <v>0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3">
        <v>0</v>
      </c>
    </row>
    <row r="302" spans="1:16" x14ac:dyDescent="0.2">
      <c r="A302" s="12">
        <v>229</v>
      </c>
      <c r="B302" s="3">
        <v>-3</v>
      </c>
      <c r="C302" s="3">
        <v>0</v>
      </c>
      <c r="D302" s="3">
        <v>0</v>
      </c>
      <c r="E302" s="3">
        <v>-3.008</v>
      </c>
      <c r="F302" s="3">
        <v>-3.008</v>
      </c>
      <c r="G302" s="3">
        <v>0</v>
      </c>
      <c r="H302" s="3">
        <v>0</v>
      </c>
      <c r="I302" s="3">
        <v>0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</row>
    <row r="303" spans="1:16" x14ac:dyDescent="0.2">
      <c r="A303" s="12">
        <v>230</v>
      </c>
      <c r="B303" s="3">
        <v>-2.5</v>
      </c>
      <c r="C303" s="3">
        <v>0</v>
      </c>
      <c r="D303" s="3">
        <v>0</v>
      </c>
      <c r="E303" s="3">
        <v>-2.5070000000000001</v>
      </c>
      <c r="F303" s="3">
        <v>-2.5070000000000001</v>
      </c>
      <c r="G303" s="3">
        <v>0</v>
      </c>
      <c r="H303" s="3">
        <v>0</v>
      </c>
      <c r="I303" s="3">
        <v>0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</row>
    <row r="304" spans="1:16" x14ac:dyDescent="0.2">
      <c r="A304" s="12">
        <v>231</v>
      </c>
      <c r="B304" s="3">
        <v>-2</v>
      </c>
      <c r="C304" s="3">
        <v>0</v>
      </c>
      <c r="D304" s="3">
        <v>0</v>
      </c>
      <c r="E304" s="3">
        <v>-2.0070000000000001</v>
      </c>
      <c r="F304" s="3">
        <v>-2.0070000000000001</v>
      </c>
      <c r="G304" s="3">
        <v>0</v>
      </c>
      <c r="H304" s="3">
        <v>0</v>
      </c>
      <c r="I304" s="3">
        <v>0</v>
      </c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>
        <v>0</v>
      </c>
      <c r="P304" s="3">
        <v>0</v>
      </c>
    </row>
    <row r="305" spans="1:16" x14ac:dyDescent="0.2">
      <c r="A305" s="12">
        <v>232</v>
      </c>
      <c r="B305" s="3">
        <v>-1.5</v>
      </c>
      <c r="C305" s="3">
        <v>0</v>
      </c>
      <c r="D305" s="3">
        <v>0</v>
      </c>
      <c r="E305" s="3">
        <v>-1.5069999999999999</v>
      </c>
      <c r="F305" s="3">
        <v>-1.5069999999999999</v>
      </c>
      <c r="G305" s="3">
        <v>0</v>
      </c>
      <c r="H305" s="3">
        <v>0</v>
      </c>
      <c r="I305" s="3">
        <v>0</v>
      </c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>
        <v>0</v>
      </c>
      <c r="P305" s="3">
        <v>0</v>
      </c>
    </row>
    <row r="306" spans="1:16" x14ac:dyDescent="0.2">
      <c r="A306" s="12">
        <v>233</v>
      </c>
      <c r="B306" s="3">
        <v>-1</v>
      </c>
      <c r="C306" s="3">
        <v>0</v>
      </c>
      <c r="D306" s="3">
        <v>0</v>
      </c>
      <c r="E306" s="3">
        <v>-1.0069999999999999</v>
      </c>
      <c r="F306" s="3">
        <v>-1.0069999999999999</v>
      </c>
      <c r="G306" s="3">
        <v>0</v>
      </c>
      <c r="H306" s="3">
        <v>0</v>
      </c>
      <c r="I306" s="3">
        <v>0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3">
        <v>0</v>
      </c>
    </row>
    <row r="307" spans="1:16" x14ac:dyDescent="0.2">
      <c r="A307" s="12">
        <v>234</v>
      </c>
      <c r="B307" s="3">
        <v>-0.5</v>
      </c>
      <c r="C307" s="3">
        <v>0</v>
      </c>
      <c r="D307" s="3">
        <v>0</v>
      </c>
      <c r="E307" s="3">
        <v>-0.50700000000000001</v>
      </c>
      <c r="F307" s="3">
        <v>-0.50700000000000001</v>
      </c>
      <c r="G307" s="3">
        <v>0</v>
      </c>
      <c r="H307" s="3">
        <v>0</v>
      </c>
      <c r="I307" s="3">
        <v>0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</v>
      </c>
      <c r="P307" s="3">
        <v>0</v>
      </c>
    </row>
    <row r="308" spans="1:16" x14ac:dyDescent="0.2">
      <c r="A308" s="12">
        <v>235</v>
      </c>
      <c r="B308" s="3">
        <v>-0.249</v>
      </c>
      <c r="C308" s="3">
        <v>0</v>
      </c>
      <c r="D308" s="3">
        <v>0</v>
      </c>
      <c r="E308" s="3">
        <v>-0.25600000000000001</v>
      </c>
      <c r="F308" s="3">
        <v>-0.25600000000000001</v>
      </c>
      <c r="G308" s="3">
        <v>0</v>
      </c>
      <c r="H308" s="3">
        <v>0</v>
      </c>
      <c r="I308" s="3">
        <v>0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</v>
      </c>
      <c r="P308" s="3">
        <v>0</v>
      </c>
    </row>
    <row r="309" spans="1:16" x14ac:dyDescent="0.2">
      <c r="A309" s="12">
        <v>236</v>
      </c>
      <c r="B309" s="3">
        <v>-0.1</v>
      </c>
      <c r="C309" s="3">
        <v>0</v>
      </c>
      <c r="D309" s="3">
        <v>0</v>
      </c>
      <c r="E309" s="3">
        <v>-0.107</v>
      </c>
      <c r="F309" s="3">
        <v>-0.107</v>
      </c>
      <c r="G309" s="3">
        <v>0</v>
      </c>
      <c r="H309" s="3">
        <v>0</v>
      </c>
      <c r="I309" s="3">
        <v>0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</v>
      </c>
      <c r="P309" s="3">
        <v>0</v>
      </c>
    </row>
    <row r="310" spans="1:16" x14ac:dyDescent="0.2">
      <c r="A310" s="12">
        <v>238</v>
      </c>
      <c r="B310" s="3">
        <v>0</v>
      </c>
      <c r="C310" s="3">
        <v>0</v>
      </c>
      <c r="D310" s="3">
        <v>0</v>
      </c>
      <c r="E310" s="3">
        <v>-7.0000000000000001E-3</v>
      </c>
      <c r="F310" s="3">
        <v>-7.0000000000000001E-3</v>
      </c>
      <c r="G310" s="3">
        <v>0</v>
      </c>
      <c r="H310" s="3">
        <v>0</v>
      </c>
      <c r="I310" s="3">
        <v>0</v>
      </c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>
        <v>0</v>
      </c>
      <c r="P310" s="3">
        <v>0</v>
      </c>
    </row>
    <row r="311" spans="1:16" x14ac:dyDescent="0.2">
      <c r="A311" s="12">
        <v>239</v>
      </c>
      <c r="B311" s="3">
        <v>0.09</v>
      </c>
      <c r="C311" s="3">
        <v>0</v>
      </c>
      <c r="D311" s="3">
        <v>0</v>
      </c>
      <c r="E311" s="3">
        <v>8.3000000000000004E-2</v>
      </c>
      <c r="F311" s="3">
        <v>8.3000000000000004E-2</v>
      </c>
      <c r="G311" s="3">
        <v>0</v>
      </c>
      <c r="H311" s="3">
        <v>0</v>
      </c>
      <c r="I311" s="3">
        <v>0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</v>
      </c>
      <c r="P311" s="3">
        <v>0</v>
      </c>
    </row>
    <row r="312" spans="1:16" x14ac:dyDescent="0.2">
      <c r="A312" s="12">
        <v>240</v>
      </c>
      <c r="B312" s="3">
        <v>0.224</v>
      </c>
      <c r="C312" s="3">
        <v>0</v>
      </c>
      <c r="D312" s="3">
        <v>0</v>
      </c>
      <c r="E312" s="3">
        <v>0.218</v>
      </c>
      <c r="F312" s="3">
        <v>0.218</v>
      </c>
      <c r="G312" s="3">
        <v>0</v>
      </c>
      <c r="H312" s="3">
        <v>0</v>
      </c>
      <c r="I312" s="3">
        <v>0</v>
      </c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>
        <v>0</v>
      </c>
      <c r="P312" s="3">
        <v>0</v>
      </c>
    </row>
    <row r="313" spans="1:16" x14ac:dyDescent="0.2">
      <c r="A313" s="12">
        <v>241</v>
      </c>
      <c r="B313" s="3">
        <v>0.5</v>
      </c>
      <c r="C313" s="3">
        <v>0</v>
      </c>
      <c r="D313" s="3">
        <v>0</v>
      </c>
      <c r="E313" s="3">
        <v>0.49299999999999999</v>
      </c>
      <c r="F313" s="3">
        <v>0.49299999999999999</v>
      </c>
      <c r="G313" s="3">
        <v>0</v>
      </c>
      <c r="H313" s="3">
        <v>0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</row>
    <row r="314" spans="1:16" x14ac:dyDescent="0.2">
      <c r="A314" s="12">
        <v>242</v>
      </c>
      <c r="B314" s="3">
        <v>0.74299999999999999</v>
      </c>
      <c r="C314" s="3">
        <v>0</v>
      </c>
      <c r="D314" s="3">
        <v>0</v>
      </c>
      <c r="E314" s="3">
        <v>0.73599999999999999</v>
      </c>
      <c r="F314" s="3">
        <v>0.73599999999999999</v>
      </c>
      <c r="G314" s="3">
        <v>0</v>
      </c>
      <c r="H314" s="3">
        <v>0</v>
      </c>
      <c r="I314" s="3">
        <v>0</v>
      </c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</v>
      </c>
      <c r="P314" s="3">
        <v>0</v>
      </c>
    </row>
    <row r="315" spans="1:16" x14ac:dyDescent="0.2">
      <c r="A315" s="12">
        <v>243</v>
      </c>
      <c r="B315" s="3">
        <v>0.89700000000000002</v>
      </c>
      <c r="C315" s="3">
        <v>0</v>
      </c>
      <c r="D315" s="3">
        <v>0</v>
      </c>
      <c r="E315" s="3">
        <v>0.89</v>
      </c>
      <c r="F315" s="3">
        <v>0.89</v>
      </c>
      <c r="G315" s="3">
        <v>0</v>
      </c>
      <c r="H315" s="3">
        <v>0</v>
      </c>
      <c r="I315" s="3">
        <v>0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</v>
      </c>
      <c r="P315" s="3">
        <v>0</v>
      </c>
    </row>
    <row r="316" spans="1:16" x14ac:dyDescent="0.2">
      <c r="A316" s="12">
        <v>244</v>
      </c>
      <c r="B316" s="3">
        <v>1</v>
      </c>
      <c r="C316" s="3">
        <v>0</v>
      </c>
      <c r="D316" s="3">
        <v>0</v>
      </c>
      <c r="E316" s="3">
        <v>0.99299999999999999</v>
      </c>
      <c r="F316" s="3">
        <v>0.99299999999999999</v>
      </c>
      <c r="G316" s="3">
        <v>0</v>
      </c>
      <c r="H316" s="3">
        <v>0</v>
      </c>
      <c r="I316" s="3">
        <v>0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</v>
      </c>
      <c r="P316" s="3">
        <v>0</v>
      </c>
    </row>
    <row r="317" spans="1:16" x14ac:dyDescent="0.2">
      <c r="A317" s="12">
        <v>245</v>
      </c>
      <c r="B317" s="3">
        <v>1.171</v>
      </c>
      <c r="C317" s="3">
        <v>0</v>
      </c>
      <c r="D317" s="3">
        <v>0</v>
      </c>
      <c r="E317" s="3">
        <v>1.1639999999999999</v>
      </c>
      <c r="F317" s="3">
        <v>1.1639999999999999</v>
      </c>
      <c r="G317" s="3">
        <v>0</v>
      </c>
      <c r="H317" s="3">
        <v>0</v>
      </c>
      <c r="I317" s="3">
        <v>0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</row>
    <row r="318" spans="1:16" x14ac:dyDescent="0.2">
      <c r="A318" s="12">
        <v>246</v>
      </c>
      <c r="B318" s="3">
        <v>1.2709999999999999</v>
      </c>
      <c r="C318" s="3">
        <v>0</v>
      </c>
      <c r="D318" s="3">
        <v>0</v>
      </c>
      <c r="E318" s="3">
        <v>1.264</v>
      </c>
      <c r="F318" s="3">
        <v>1.264</v>
      </c>
      <c r="G318" s="3">
        <v>0</v>
      </c>
      <c r="H318" s="3">
        <v>0</v>
      </c>
      <c r="I318" s="3">
        <v>0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</v>
      </c>
      <c r="P318" s="3">
        <v>0</v>
      </c>
    </row>
    <row r="319" spans="1:16" x14ac:dyDescent="0.2">
      <c r="A319" s="12">
        <v>247</v>
      </c>
      <c r="B319" s="3">
        <v>1.3939999999999999</v>
      </c>
      <c r="C319" s="3">
        <v>0</v>
      </c>
      <c r="D319" s="3">
        <v>0</v>
      </c>
      <c r="E319" s="3">
        <v>1.3879999999999999</v>
      </c>
      <c r="F319" s="3">
        <v>1.3879999999999999</v>
      </c>
      <c r="G319" s="3">
        <v>0</v>
      </c>
      <c r="H319" s="3">
        <v>0</v>
      </c>
      <c r="I319" s="3">
        <v>0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3">
        <v>0</v>
      </c>
    </row>
    <row r="320" spans="1:16" x14ac:dyDescent="0.2">
      <c r="A320" s="12">
        <v>248</v>
      </c>
      <c r="B320" s="3">
        <v>1.579</v>
      </c>
      <c r="C320" s="3">
        <v>0</v>
      </c>
      <c r="D320" s="3">
        <v>0</v>
      </c>
      <c r="E320" s="3">
        <v>1.573</v>
      </c>
      <c r="F320" s="3">
        <v>1.573</v>
      </c>
      <c r="G320" s="3">
        <v>0</v>
      </c>
      <c r="H320" s="3">
        <v>0</v>
      </c>
      <c r="I320" s="3">
        <v>0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</v>
      </c>
      <c r="P320" s="3">
        <v>0</v>
      </c>
    </row>
    <row r="321" spans="1:16" x14ac:dyDescent="0.2">
      <c r="A321" s="12">
        <v>249</v>
      </c>
      <c r="B321" s="3">
        <v>1.764</v>
      </c>
      <c r="C321" s="3">
        <v>0</v>
      </c>
      <c r="D321" s="3">
        <v>0</v>
      </c>
      <c r="E321" s="3">
        <v>1.758</v>
      </c>
      <c r="F321" s="3">
        <v>1.758</v>
      </c>
      <c r="G321" s="3">
        <v>0</v>
      </c>
      <c r="H321" s="3">
        <v>0</v>
      </c>
      <c r="I321" s="3">
        <v>0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</v>
      </c>
      <c r="P321" s="3">
        <v>0</v>
      </c>
    </row>
    <row r="322" spans="1:16" x14ac:dyDescent="0.2">
      <c r="A322" s="12">
        <v>250</v>
      </c>
      <c r="B322" s="3">
        <v>1.9059999999999999</v>
      </c>
      <c r="C322" s="3">
        <v>0</v>
      </c>
      <c r="D322" s="3">
        <v>0</v>
      </c>
      <c r="E322" s="3">
        <v>1.899</v>
      </c>
      <c r="F322" s="3">
        <v>1.899</v>
      </c>
      <c r="G322" s="3">
        <v>0</v>
      </c>
      <c r="H322" s="3">
        <v>0</v>
      </c>
      <c r="I322" s="3">
        <v>0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</v>
      </c>
      <c r="P322" s="3">
        <v>0</v>
      </c>
    </row>
    <row r="323" spans="1:16" x14ac:dyDescent="0.2">
      <c r="A323" s="12">
        <v>252</v>
      </c>
      <c r="B323" s="3">
        <v>0</v>
      </c>
      <c r="C323" s="3">
        <v>0</v>
      </c>
      <c r="D323" s="3">
        <v>0</v>
      </c>
      <c r="E323" s="3">
        <v>-7.0000000000000001E-3</v>
      </c>
      <c r="F323" s="3">
        <v>-7.0000000000000001E-3</v>
      </c>
      <c r="G323" s="3">
        <v>0</v>
      </c>
      <c r="H323" s="3">
        <v>0</v>
      </c>
      <c r="I323" s="3">
        <v>0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</v>
      </c>
      <c r="P323" s="3">
        <v>0</v>
      </c>
    </row>
    <row r="324" spans="1:16" x14ac:dyDescent="0.2">
      <c r="A324" s="12">
        <v>253</v>
      </c>
      <c r="B324" s="3">
        <v>2</v>
      </c>
      <c r="C324" s="3">
        <v>0</v>
      </c>
      <c r="D324" s="3">
        <v>0</v>
      </c>
      <c r="E324" s="3">
        <v>1.9930000000000001</v>
      </c>
      <c r="F324" s="3">
        <v>1.9930000000000001</v>
      </c>
      <c r="G324" s="3">
        <v>0</v>
      </c>
      <c r="H324" s="3">
        <v>0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</row>
    <row r="325" spans="1:16" x14ac:dyDescent="0.2">
      <c r="A325" s="12">
        <v>254</v>
      </c>
      <c r="B325" s="3">
        <v>2.097</v>
      </c>
      <c r="C325" s="3">
        <v>0</v>
      </c>
      <c r="D325" s="3">
        <v>0</v>
      </c>
      <c r="E325" s="3">
        <v>2.09</v>
      </c>
      <c r="F325" s="3">
        <v>2.09</v>
      </c>
      <c r="G325" s="3">
        <v>0</v>
      </c>
      <c r="H325" s="3">
        <v>0</v>
      </c>
      <c r="I325" s="3">
        <v>0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</v>
      </c>
      <c r="P325" s="3">
        <v>0</v>
      </c>
    </row>
    <row r="326" spans="1:16" x14ac:dyDescent="0.2">
      <c r="A326" s="12">
        <v>255</v>
      </c>
      <c r="B326" s="3">
        <v>2.242</v>
      </c>
      <c r="C326" s="3">
        <v>0</v>
      </c>
      <c r="D326" s="3">
        <v>0</v>
      </c>
      <c r="E326" s="3">
        <v>2.2349999999999999</v>
      </c>
      <c r="F326" s="3">
        <v>2.2349999999999999</v>
      </c>
      <c r="G326" s="3">
        <v>0</v>
      </c>
      <c r="H326" s="3">
        <v>0</v>
      </c>
      <c r="I326" s="3">
        <v>0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</v>
      </c>
      <c r="P326" s="3">
        <v>0</v>
      </c>
    </row>
    <row r="327" spans="1:16" x14ac:dyDescent="0.2">
      <c r="A327" s="12">
        <v>256</v>
      </c>
      <c r="B327" s="3">
        <v>2.4590000000000001</v>
      </c>
      <c r="C327" s="3">
        <v>0</v>
      </c>
      <c r="D327" s="3">
        <v>0</v>
      </c>
      <c r="E327" s="3">
        <v>2.452</v>
      </c>
      <c r="F327" s="3">
        <v>2.452</v>
      </c>
      <c r="G327" s="3">
        <v>0</v>
      </c>
      <c r="H327" s="3">
        <v>0</v>
      </c>
      <c r="I327" s="3">
        <v>0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</v>
      </c>
      <c r="P327" s="3">
        <v>0</v>
      </c>
    </row>
    <row r="328" spans="1:16" x14ac:dyDescent="0.2">
      <c r="A328" s="12">
        <v>257</v>
      </c>
      <c r="B328" s="3">
        <v>2.71</v>
      </c>
      <c r="C328" s="3">
        <v>0</v>
      </c>
      <c r="D328" s="3">
        <v>0</v>
      </c>
      <c r="E328" s="3">
        <v>2.7029999999999998</v>
      </c>
      <c r="F328" s="3">
        <v>2.7029999999999998</v>
      </c>
      <c r="G328" s="3">
        <v>0</v>
      </c>
      <c r="H328" s="3">
        <v>0</v>
      </c>
      <c r="I328" s="3">
        <v>0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3">
        <v>0</v>
      </c>
    </row>
    <row r="329" spans="1:16" x14ac:dyDescent="0.2">
      <c r="A329" s="12">
        <v>258</v>
      </c>
      <c r="B329" s="3">
        <v>3</v>
      </c>
      <c r="C329" s="3">
        <v>0</v>
      </c>
      <c r="D329" s="3">
        <v>0</v>
      </c>
      <c r="E329" s="3">
        <v>2.9929999999999999</v>
      </c>
      <c r="F329" s="3">
        <v>2.9929999999999999</v>
      </c>
      <c r="G329" s="3">
        <v>0</v>
      </c>
      <c r="H329" s="3">
        <v>0</v>
      </c>
      <c r="I329" s="3">
        <v>0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</v>
      </c>
      <c r="P329" s="3">
        <v>0</v>
      </c>
    </row>
    <row r="330" spans="1:16" x14ac:dyDescent="0.2">
      <c r="A330" s="12">
        <v>259</v>
      </c>
      <c r="B330" s="3">
        <v>3.2690000000000001</v>
      </c>
      <c r="C330" s="3">
        <v>0</v>
      </c>
      <c r="D330" s="3">
        <v>0</v>
      </c>
      <c r="E330" s="3">
        <v>3.262</v>
      </c>
      <c r="F330" s="3">
        <v>3.262</v>
      </c>
      <c r="G330" s="3">
        <v>0</v>
      </c>
      <c r="H330" s="3">
        <v>0</v>
      </c>
      <c r="I330" s="3">
        <v>0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</v>
      </c>
      <c r="P330" s="3">
        <v>0</v>
      </c>
    </row>
    <row r="331" spans="1:16" x14ac:dyDescent="0.2">
      <c r="A331" s="12">
        <v>260</v>
      </c>
      <c r="B331" s="3">
        <v>3.6720000000000002</v>
      </c>
      <c r="C331" s="3">
        <v>0</v>
      </c>
      <c r="D331" s="3">
        <v>0</v>
      </c>
      <c r="E331" s="3">
        <v>3.665</v>
      </c>
      <c r="F331" s="3">
        <v>3.665</v>
      </c>
      <c r="G331" s="3">
        <v>0</v>
      </c>
      <c r="H331" s="3">
        <v>0</v>
      </c>
      <c r="I331" s="3">
        <v>0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</v>
      </c>
      <c r="P331" s="3">
        <v>0</v>
      </c>
    </row>
    <row r="332" spans="1:16" x14ac:dyDescent="0.2">
      <c r="A332" s="12">
        <v>261</v>
      </c>
      <c r="B332" s="3">
        <v>4.2759999999999998</v>
      </c>
      <c r="C332" s="3">
        <v>0</v>
      </c>
      <c r="D332" s="3">
        <v>0</v>
      </c>
      <c r="E332" s="3">
        <v>4.2690000000000001</v>
      </c>
      <c r="F332" s="3">
        <v>4.2690000000000001</v>
      </c>
      <c r="G332" s="3">
        <v>0</v>
      </c>
      <c r="H332" s="3">
        <v>0</v>
      </c>
      <c r="I332" s="3">
        <v>0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</row>
    <row r="333" spans="1:16" x14ac:dyDescent="0.2">
      <c r="A333" s="12">
        <v>262</v>
      </c>
      <c r="B333" s="3">
        <v>5.1719999999999997</v>
      </c>
      <c r="C333" s="3">
        <v>0</v>
      </c>
      <c r="D333" s="3">
        <v>0</v>
      </c>
      <c r="E333" s="3">
        <v>5.165</v>
      </c>
      <c r="F333" s="3">
        <v>5.165</v>
      </c>
      <c r="G333" s="3">
        <v>0</v>
      </c>
      <c r="H333" s="3">
        <v>0</v>
      </c>
      <c r="I333" s="3">
        <v>0</v>
      </c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>
        <v>0</v>
      </c>
      <c r="P333" s="3">
        <v>0</v>
      </c>
    </row>
    <row r="334" spans="1:16" x14ac:dyDescent="0.2">
      <c r="A334" s="12">
        <v>263</v>
      </c>
      <c r="B334" s="3">
        <v>6.0670000000000002</v>
      </c>
      <c r="C334" s="3">
        <v>0</v>
      </c>
      <c r="D334" s="3">
        <v>0</v>
      </c>
      <c r="E334" s="3">
        <v>6.06</v>
      </c>
      <c r="F334" s="3">
        <v>6.06</v>
      </c>
      <c r="G334" s="3">
        <v>0</v>
      </c>
      <c r="H334" s="3">
        <v>0</v>
      </c>
      <c r="I334" s="3">
        <v>0</v>
      </c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>
        <v>0</v>
      </c>
      <c r="P334" s="3">
        <v>0</v>
      </c>
    </row>
    <row r="335" spans="1:16" x14ac:dyDescent="0.2">
      <c r="A335" s="12">
        <v>264</v>
      </c>
      <c r="B335" s="3">
        <v>6.9619999999999997</v>
      </c>
      <c r="C335" s="3">
        <v>0</v>
      </c>
      <c r="D335" s="3">
        <v>0</v>
      </c>
      <c r="E335" s="3">
        <v>6.9550000000000001</v>
      </c>
      <c r="F335" s="3">
        <v>6.9550000000000001</v>
      </c>
      <c r="G335" s="3">
        <v>0</v>
      </c>
      <c r="H335" s="3">
        <v>0</v>
      </c>
      <c r="I335" s="3">
        <v>0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</row>
    <row r="336" spans="1:16" x14ac:dyDescent="0.2">
      <c r="A336" s="12">
        <v>265</v>
      </c>
      <c r="B336" s="3">
        <v>7.8579999999999997</v>
      </c>
      <c r="C336" s="3">
        <v>0</v>
      </c>
      <c r="D336" s="3">
        <v>0</v>
      </c>
      <c r="E336" s="3">
        <v>7.851</v>
      </c>
      <c r="F336" s="3">
        <v>7.851</v>
      </c>
      <c r="G336" s="3">
        <v>0</v>
      </c>
      <c r="H336" s="3">
        <v>0</v>
      </c>
      <c r="I336" s="3">
        <v>0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0</v>
      </c>
    </row>
    <row r="337" spans="1:16" x14ac:dyDescent="0.2">
      <c r="A337" s="12">
        <v>266</v>
      </c>
      <c r="B337" s="3">
        <v>8.7530000000000001</v>
      </c>
      <c r="C337" s="3">
        <v>0</v>
      </c>
      <c r="D337" s="3">
        <v>0</v>
      </c>
      <c r="E337" s="3">
        <v>8.7460000000000004</v>
      </c>
      <c r="F337" s="3">
        <v>8.7460000000000004</v>
      </c>
      <c r="G337" s="3">
        <v>0</v>
      </c>
      <c r="H337" s="3">
        <v>0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</row>
    <row r="338" spans="1:16" x14ac:dyDescent="0.2">
      <c r="A338" s="12">
        <v>267</v>
      </c>
      <c r="B338" s="3">
        <v>9.6489999999999991</v>
      </c>
      <c r="C338" s="3">
        <v>0</v>
      </c>
      <c r="D338" s="3">
        <v>0</v>
      </c>
      <c r="E338" s="3">
        <v>9.6419999999999995</v>
      </c>
      <c r="F338" s="3">
        <v>9.6419999999999995</v>
      </c>
      <c r="G338" s="3">
        <v>0</v>
      </c>
      <c r="H338" s="3">
        <v>0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</row>
    <row r="339" spans="1:16" x14ac:dyDescent="0.2">
      <c r="A339" s="12">
        <v>268</v>
      </c>
      <c r="B339" s="3">
        <v>10.253</v>
      </c>
      <c r="C339" s="3">
        <v>0</v>
      </c>
      <c r="D339" s="3">
        <v>0</v>
      </c>
      <c r="E339" s="3">
        <v>10.246</v>
      </c>
      <c r="F339" s="3">
        <v>10.246</v>
      </c>
      <c r="G339" s="3">
        <v>0</v>
      </c>
      <c r="H339" s="3">
        <v>0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</row>
    <row r="340" spans="1:16" x14ac:dyDescent="0.2">
      <c r="A340" s="12">
        <v>269</v>
      </c>
      <c r="B340" s="3">
        <v>10.656000000000001</v>
      </c>
      <c r="C340" s="3">
        <v>0</v>
      </c>
      <c r="D340" s="3">
        <v>0</v>
      </c>
      <c r="E340" s="3">
        <v>10.648999999999999</v>
      </c>
      <c r="F340" s="3">
        <v>10.648999999999999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</row>
    <row r="341" spans="1:16" x14ac:dyDescent="0.2">
      <c r="A341" s="12">
        <v>270</v>
      </c>
      <c r="B341" s="3">
        <v>10.925000000000001</v>
      </c>
      <c r="C341" s="3">
        <v>0</v>
      </c>
      <c r="D341" s="3">
        <v>0</v>
      </c>
      <c r="E341" s="3">
        <v>10.917999999999999</v>
      </c>
      <c r="F341" s="3">
        <v>10.917999999999999</v>
      </c>
      <c r="G341" s="3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3">
        <v>0</v>
      </c>
    </row>
    <row r="342" spans="1:16" x14ac:dyDescent="0.2">
      <c r="A342" s="12">
        <v>271</v>
      </c>
      <c r="B342" s="3">
        <v>11.224</v>
      </c>
      <c r="C342" s="3">
        <v>0</v>
      </c>
      <c r="D342" s="3">
        <v>0</v>
      </c>
      <c r="E342" s="3">
        <v>11.217000000000001</v>
      </c>
      <c r="F342" s="3">
        <v>11.217000000000001</v>
      </c>
      <c r="G342" s="3">
        <v>0</v>
      </c>
      <c r="H342" s="3">
        <v>0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</row>
    <row r="343" spans="1:16" x14ac:dyDescent="0.2">
      <c r="A343" s="12">
        <v>272</v>
      </c>
      <c r="B343" s="3">
        <v>11.673</v>
      </c>
      <c r="C343" s="3">
        <v>0</v>
      </c>
      <c r="D343" s="3">
        <v>0</v>
      </c>
      <c r="E343" s="3">
        <v>11.664999999999999</v>
      </c>
      <c r="F343" s="3">
        <v>11.664999999999999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</row>
    <row r="344" spans="1:16" x14ac:dyDescent="0.2">
      <c r="A344" s="12">
        <v>273</v>
      </c>
      <c r="B344" s="3">
        <v>12.346</v>
      </c>
      <c r="C344" s="3">
        <v>0</v>
      </c>
      <c r="D344" s="3">
        <v>0</v>
      </c>
      <c r="E344" s="3">
        <v>12.337999999999999</v>
      </c>
      <c r="F344" s="3">
        <v>12.337999999999999</v>
      </c>
      <c r="G344" s="3">
        <v>0</v>
      </c>
      <c r="H344" s="3">
        <v>0</v>
      </c>
      <c r="I344" s="3">
        <v>0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</row>
    <row r="345" spans="1:16" x14ac:dyDescent="0.2">
      <c r="A345" s="12">
        <v>274</v>
      </c>
      <c r="B345" s="3">
        <v>13.342000000000001</v>
      </c>
      <c r="C345" s="3">
        <v>0</v>
      </c>
      <c r="D345" s="3">
        <v>0</v>
      </c>
      <c r="E345" s="3">
        <v>13.335000000000001</v>
      </c>
      <c r="F345" s="3">
        <v>13.335000000000001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>
        <v>0</v>
      </c>
      <c r="P345" s="3">
        <v>0</v>
      </c>
    </row>
    <row r="346" spans="1:16" x14ac:dyDescent="0.2">
      <c r="A346" s="12">
        <v>275</v>
      </c>
      <c r="B346" s="3">
        <v>14.339</v>
      </c>
      <c r="C346" s="3">
        <v>0</v>
      </c>
      <c r="D346" s="3">
        <v>0</v>
      </c>
      <c r="E346" s="3">
        <v>14.332000000000001</v>
      </c>
      <c r="F346" s="3">
        <v>14.332000000000001</v>
      </c>
      <c r="G346" s="3">
        <v>0</v>
      </c>
      <c r="H346" s="3">
        <v>0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</row>
    <row r="347" spans="1:16" x14ac:dyDescent="0.2">
      <c r="A347" s="12">
        <v>276</v>
      </c>
      <c r="B347" s="3">
        <v>15.096</v>
      </c>
      <c r="C347" s="3">
        <v>0</v>
      </c>
      <c r="D347" s="3">
        <v>0</v>
      </c>
      <c r="E347" s="3">
        <v>15.089</v>
      </c>
      <c r="F347" s="3">
        <v>15.089</v>
      </c>
      <c r="G347" s="3">
        <v>0</v>
      </c>
      <c r="H347" s="3">
        <v>0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</row>
    <row r="348" spans="1:16" x14ac:dyDescent="0.2">
      <c r="A348" s="12">
        <v>277</v>
      </c>
      <c r="B348" s="3">
        <v>15.601000000000001</v>
      </c>
      <c r="C348" s="3">
        <v>0</v>
      </c>
      <c r="D348" s="3">
        <v>0</v>
      </c>
      <c r="E348" s="3">
        <v>15.593999999999999</v>
      </c>
      <c r="F348" s="3">
        <v>15.593999999999999</v>
      </c>
      <c r="G348" s="3">
        <v>0</v>
      </c>
      <c r="H348" s="3">
        <v>0</v>
      </c>
      <c r="I348" s="3">
        <v>0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</row>
    <row r="349" spans="1:16" x14ac:dyDescent="0.2">
      <c r="A349" s="12">
        <v>278</v>
      </c>
      <c r="B349" s="3">
        <v>15.936999999999999</v>
      </c>
      <c r="C349" s="3">
        <v>0</v>
      </c>
      <c r="D349" s="3">
        <v>0</v>
      </c>
      <c r="E349" s="3">
        <v>15.93</v>
      </c>
      <c r="F349" s="3">
        <v>15.93</v>
      </c>
      <c r="G349" s="3">
        <v>0</v>
      </c>
      <c r="H349" s="3">
        <v>0</v>
      </c>
      <c r="I349" s="3">
        <v>0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</row>
    <row r="350" spans="1:16" x14ac:dyDescent="0.2">
      <c r="A350" s="12">
        <v>279</v>
      </c>
      <c r="B350" s="3">
        <v>16.161999999999999</v>
      </c>
      <c r="C350" s="3">
        <v>0</v>
      </c>
      <c r="D350" s="3">
        <v>0</v>
      </c>
      <c r="E350" s="3">
        <v>16.154</v>
      </c>
      <c r="F350" s="3">
        <v>16.154</v>
      </c>
      <c r="G350" s="3">
        <v>0</v>
      </c>
      <c r="H350" s="3">
        <v>0</v>
      </c>
      <c r="I350" s="3">
        <v>0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</row>
    <row r="351" spans="1:16" x14ac:dyDescent="0.2">
      <c r="A351" s="12">
        <v>280</v>
      </c>
      <c r="B351" s="3">
        <v>16.311</v>
      </c>
      <c r="C351" s="3">
        <v>0</v>
      </c>
      <c r="D351" s="3">
        <v>0</v>
      </c>
      <c r="E351" s="3">
        <v>16.303999999999998</v>
      </c>
      <c r="F351" s="3">
        <v>16.303999999999998</v>
      </c>
      <c r="G351" s="3">
        <v>0</v>
      </c>
      <c r="H351" s="3">
        <v>0</v>
      </c>
      <c r="I351" s="3">
        <v>0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</row>
    <row r="352" spans="1:16" x14ac:dyDescent="0.2">
      <c r="A352" s="12">
        <v>281</v>
      </c>
      <c r="B352" s="3">
        <v>16.411000000000001</v>
      </c>
      <c r="C352" s="3">
        <v>0</v>
      </c>
      <c r="D352" s="3">
        <v>0</v>
      </c>
      <c r="E352" s="3">
        <v>16.402999999999999</v>
      </c>
      <c r="F352" s="3">
        <v>16.402999999999999</v>
      </c>
      <c r="G352" s="3">
        <v>0</v>
      </c>
      <c r="H352" s="3">
        <v>0</v>
      </c>
      <c r="I352" s="3">
        <v>0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</row>
    <row r="353" spans="1:16" x14ac:dyDescent="0.2">
      <c r="A353" s="12">
        <v>282</v>
      </c>
      <c r="B353" s="3">
        <v>16.510999999999999</v>
      </c>
      <c r="C353" s="3">
        <v>0</v>
      </c>
      <c r="D353" s="3">
        <v>0</v>
      </c>
      <c r="E353" s="3">
        <v>16.503</v>
      </c>
      <c r="F353" s="3">
        <v>16.503</v>
      </c>
      <c r="G353" s="3">
        <v>0</v>
      </c>
      <c r="H353" s="3">
        <v>0</v>
      </c>
      <c r="I353" s="3">
        <v>0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</row>
    <row r="354" spans="1:16" x14ac:dyDescent="0.2">
      <c r="A354" s="12">
        <v>283</v>
      </c>
      <c r="B354" s="3">
        <v>16.561</v>
      </c>
      <c r="C354" s="3">
        <v>0</v>
      </c>
      <c r="D354" s="3">
        <v>0</v>
      </c>
      <c r="E354" s="3">
        <v>16.553000000000001</v>
      </c>
      <c r="F354" s="3">
        <v>16.553000000000001</v>
      </c>
      <c r="G354" s="3">
        <v>0</v>
      </c>
      <c r="H354" s="3">
        <v>0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</row>
    <row r="355" spans="1:16" x14ac:dyDescent="0.2">
      <c r="A355" s="12">
        <v>284</v>
      </c>
      <c r="B355" s="3">
        <v>16.710999999999999</v>
      </c>
      <c r="C355" s="3">
        <v>0</v>
      </c>
      <c r="D355" s="3">
        <v>0</v>
      </c>
      <c r="E355" s="3">
        <v>16.702999999999999</v>
      </c>
      <c r="F355" s="3">
        <v>16.702999999999999</v>
      </c>
      <c r="G355" s="3">
        <v>0</v>
      </c>
      <c r="H355" s="3">
        <v>0</v>
      </c>
      <c r="I355" s="3">
        <v>0</v>
      </c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>
        <v>0</v>
      </c>
      <c r="P355" s="3">
        <v>0</v>
      </c>
    </row>
    <row r="356" spans="1:16" x14ac:dyDescent="0.2">
      <c r="A356" s="12">
        <v>285</v>
      </c>
      <c r="B356" s="3">
        <v>17.009</v>
      </c>
      <c r="C356" s="3">
        <v>0</v>
      </c>
      <c r="D356" s="3">
        <v>0</v>
      </c>
      <c r="E356" s="3">
        <v>17.001999999999999</v>
      </c>
      <c r="F356" s="3">
        <v>17.001999999999999</v>
      </c>
      <c r="G356" s="3">
        <v>0</v>
      </c>
      <c r="H356" s="3">
        <v>0</v>
      </c>
      <c r="I356" s="3">
        <v>0</v>
      </c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>
        <v>0</v>
      </c>
      <c r="P356" s="3">
        <v>0</v>
      </c>
    </row>
    <row r="357" spans="1:16" x14ac:dyDescent="0.2">
      <c r="A357" s="12">
        <v>286</v>
      </c>
      <c r="B357" s="3">
        <v>17.457000000000001</v>
      </c>
      <c r="C357" s="3">
        <v>0</v>
      </c>
      <c r="D357" s="3">
        <v>0</v>
      </c>
      <c r="E357" s="3">
        <v>17.449000000000002</v>
      </c>
      <c r="F357" s="3">
        <v>17.449000000000002</v>
      </c>
      <c r="G357" s="3">
        <v>0</v>
      </c>
      <c r="H357" s="3">
        <v>0</v>
      </c>
      <c r="I357" s="3">
        <v>0</v>
      </c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>
        <v>0</v>
      </c>
      <c r="P357" s="3">
        <v>0</v>
      </c>
    </row>
    <row r="358" spans="1:16" x14ac:dyDescent="0.2">
      <c r="A358" s="12">
        <v>287</v>
      </c>
      <c r="B358" s="3">
        <v>18.128</v>
      </c>
      <c r="C358" s="3">
        <v>0</v>
      </c>
      <c r="D358" s="3">
        <v>0</v>
      </c>
      <c r="E358" s="3">
        <v>18.120999999999999</v>
      </c>
      <c r="F358" s="3">
        <v>18.120999999999999</v>
      </c>
      <c r="G358" s="3">
        <v>0</v>
      </c>
      <c r="H358" s="3">
        <v>0</v>
      </c>
      <c r="I358" s="3">
        <v>0</v>
      </c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>
        <v>0</v>
      </c>
      <c r="P358" s="3">
        <v>0</v>
      </c>
    </row>
    <row r="359" spans="1:16" x14ac:dyDescent="0.2">
      <c r="A359" s="12">
        <v>288</v>
      </c>
      <c r="B359" s="3">
        <v>19.135000000000002</v>
      </c>
      <c r="C359" s="3">
        <v>0</v>
      </c>
      <c r="D359" s="3">
        <v>0</v>
      </c>
      <c r="E359" s="3">
        <v>19.128</v>
      </c>
      <c r="F359" s="3">
        <v>19.128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>
        <v>0</v>
      </c>
      <c r="P359" s="3">
        <v>0</v>
      </c>
    </row>
    <row r="360" spans="1:16" x14ac:dyDescent="0.2">
      <c r="A360" s="12">
        <v>289</v>
      </c>
      <c r="B360" s="3">
        <v>20.646000000000001</v>
      </c>
      <c r="C360" s="3">
        <v>0</v>
      </c>
      <c r="D360" s="3">
        <v>0</v>
      </c>
      <c r="E360" s="3">
        <v>20.638999999999999</v>
      </c>
      <c r="F360" s="3">
        <v>20.638999999999999</v>
      </c>
      <c r="G360" s="3">
        <v>0</v>
      </c>
      <c r="H360" s="3">
        <v>0</v>
      </c>
      <c r="I360" s="3">
        <v>0</v>
      </c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>
        <v>0</v>
      </c>
      <c r="P360" s="3">
        <v>0</v>
      </c>
    </row>
    <row r="361" spans="1:16" x14ac:dyDescent="0.2">
      <c r="A361" s="12">
        <v>290</v>
      </c>
      <c r="B361" s="3">
        <v>22.911999999999999</v>
      </c>
      <c r="C361" s="3">
        <v>0</v>
      </c>
      <c r="D361" s="3">
        <v>0</v>
      </c>
      <c r="E361" s="3">
        <v>22.904</v>
      </c>
      <c r="F361" s="3">
        <v>22.904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>
        <v>0</v>
      </c>
      <c r="P361" s="3">
        <v>0</v>
      </c>
    </row>
    <row r="362" spans="1:16" x14ac:dyDescent="0.2">
      <c r="A362" s="12">
        <v>291</v>
      </c>
      <c r="B362" s="3">
        <v>25.895</v>
      </c>
      <c r="C362" s="3">
        <v>0</v>
      </c>
      <c r="D362" s="3">
        <v>0</v>
      </c>
      <c r="E362" s="3">
        <v>25.888000000000002</v>
      </c>
      <c r="F362" s="3">
        <v>25.888000000000002</v>
      </c>
      <c r="G362" s="3">
        <v>0</v>
      </c>
      <c r="H362" s="3">
        <v>0</v>
      </c>
      <c r="I362" s="3">
        <v>0</v>
      </c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>
        <v>0</v>
      </c>
      <c r="P362" s="3">
        <v>0</v>
      </c>
    </row>
    <row r="363" spans="1:16" x14ac:dyDescent="0.2">
      <c r="A363" s="12">
        <v>292</v>
      </c>
      <c r="B363" s="3">
        <v>28.879000000000001</v>
      </c>
      <c r="C363" s="3">
        <v>0</v>
      </c>
      <c r="D363" s="3">
        <v>0</v>
      </c>
      <c r="E363" s="3">
        <v>28.872</v>
      </c>
      <c r="F363" s="3">
        <v>28.872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>
        <v>0</v>
      </c>
      <c r="P363" s="3">
        <v>0</v>
      </c>
    </row>
    <row r="364" spans="1:16" x14ac:dyDescent="0.2">
      <c r="A364" s="12">
        <v>293</v>
      </c>
      <c r="B364" s="3">
        <v>31.863</v>
      </c>
      <c r="C364" s="3">
        <v>0</v>
      </c>
      <c r="D364" s="3">
        <v>0</v>
      </c>
      <c r="E364" s="3">
        <v>31.856999999999999</v>
      </c>
      <c r="F364" s="3">
        <v>31.856999999999999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>
        <v>0</v>
      </c>
      <c r="P364" s="3">
        <v>0</v>
      </c>
    </row>
    <row r="365" spans="1:16" x14ac:dyDescent="0.2">
      <c r="A365" s="12">
        <v>294</v>
      </c>
      <c r="B365" s="3">
        <v>34.847000000000001</v>
      </c>
      <c r="C365" s="3">
        <v>0</v>
      </c>
      <c r="D365" s="3">
        <v>0</v>
      </c>
      <c r="E365" s="3">
        <v>34.841000000000001</v>
      </c>
      <c r="F365" s="3">
        <v>34.841000000000001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</row>
    <row r="366" spans="1:16" x14ac:dyDescent="0.2">
      <c r="A366" s="12">
        <v>295</v>
      </c>
      <c r="B366" s="3">
        <v>37.085000000000001</v>
      </c>
      <c r="C366" s="3">
        <v>0</v>
      </c>
      <c r="D366" s="3">
        <v>0</v>
      </c>
      <c r="E366" s="3">
        <v>37.079000000000001</v>
      </c>
      <c r="F366" s="3">
        <v>37.079000000000001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>
        <v>0</v>
      </c>
      <c r="P366" s="3">
        <v>0</v>
      </c>
    </row>
    <row r="367" spans="1:16" x14ac:dyDescent="0.2">
      <c r="A367" s="12">
        <v>296</v>
      </c>
      <c r="B367" s="3">
        <v>38.576000000000001</v>
      </c>
      <c r="C367" s="3">
        <v>0</v>
      </c>
      <c r="D367" s="3">
        <v>0</v>
      </c>
      <c r="E367" s="3">
        <v>38.570999999999998</v>
      </c>
      <c r="F367" s="3">
        <v>38.570999999999998</v>
      </c>
      <c r="G367" s="3">
        <v>0</v>
      </c>
      <c r="H367" s="3">
        <v>0</v>
      </c>
      <c r="I367" s="3">
        <v>0</v>
      </c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>
        <v>0</v>
      </c>
      <c r="P367" s="3">
        <v>0</v>
      </c>
    </row>
    <row r="368" spans="1:16" x14ac:dyDescent="0.2">
      <c r="A368" s="12">
        <v>297</v>
      </c>
      <c r="B368" s="3">
        <v>39.570999999999998</v>
      </c>
      <c r="C368" s="3">
        <v>0</v>
      </c>
      <c r="D368" s="3">
        <v>0</v>
      </c>
      <c r="E368" s="3">
        <v>39.564999999999998</v>
      </c>
      <c r="F368" s="3">
        <v>39.564999999999998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>
        <v>0</v>
      </c>
      <c r="P368" s="3">
        <v>0</v>
      </c>
    </row>
    <row r="369" spans="1:16" x14ac:dyDescent="0.2">
      <c r="A369" s="12">
        <v>298</v>
      </c>
      <c r="B369" s="3">
        <v>40.569000000000003</v>
      </c>
      <c r="C369" s="3">
        <v>0</v>
      </c>
      <c r="D369" s="3">
        <v>0</v>
      </c>
      <c r="E369" s="3">
        <v>40.563000000000002</v>
      </c>
      <c r="F369" s="3">
        <v>40.563000000000002</v>
      </c>
      <c r="G369" s="3">
        <v>0</v>
      </c>
      <c r="H369" s="3">
        <v>0</v>
      </c>
      <c r="I369" s="3">
        <v>0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0</v>
      </c>
      <c r="P369" s="3">
        <v>0</v>
      </c>
    </row>
    <row r="370" spans="1:16" x14ac:dyDescent="0.2">
      <c r="A370" s="12">
        <v>299</v>
      </c>
      <c r="B370" s="3">
        <v>42.064999999999998</v>
      </c>
      <c r="C370" s="3">
        <v>0</v>
      </c>
      <c r="D370" s="3">
        <v>0</v>
      </c>
      <c r="E370" s="3">
        <v>42.06</v>
      </c>
      <c r="F370" s="3">
        <v>42.06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>
        <v>0</v>
      </c>
      <c r="P370" s="3">
        <v>0</v>
      </c>
    </row>
    <row r="371" spans="1:16" x14ac:dyDescent="0.2">
      <c r="A371" s="12">
        <v>300</v>
      </c>
      <c r="B371" s="3">
        <v>44.308999999999997</v>
      </c>
      <c r="C371" s="3">
        <v>0</v>
      </c>
      <c r="D371" s="3">
        <v>0</v>
      </c>
      <c r="E371" s="3">
        <v>44.305999999999997</v>
      </c>
      <c r="F371" s="3">
        <v>44.305999999999997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>
        <v>0</v>
      </c>
      <c r="P371" s="3">
        <v>0</v>
      </c>
    </row>
    <row r="372" spans="1:16" x14ac:dyDescent="0.2">
      <c r="A372" s="12">
        <v>301</v>
      </c>
      <c r="B372" s="3">
        <v>47.676000000000002</v>
      </c>
      <c r="C372" s="3">
        <v>0</v>
      </c>
      <c r="D372" s="3">
        <v>0</v>
      </c>
      <c r="E372" s="3">
        <v>47.673999999999999</v>
      </c>
      <c r="F372" s="3">
        <v>47.673999999999999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>
        <v>0</v>
      </c>
      <c r="P372" s="3">
        <v>0</v>
      </c>
    </row>
    <row r="373" spans="1:16" x14ac:dyDescent="0.2">
      <c r="A373" s="12">
        <v>302</v>
      </c>
      <c r="B373" s="3">
        <v>52.664000000000001</v>
      </c>
      <c r="C373" s="3">
        <v>0</v>
      </c>
      <c r="D373" s="3">
        <v>0</v>
      </c>
      <c r="E373" s="3">
        <v>52.662999999999997</v>
      </c>
      <c r="F373" s="3">
        <v>52.662999999999997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>
        <v>0</v>
      </c>
      <c r="P373" s="3">
        <v>0</v>
      </c>
    </row>
    <row r="374" spans="1:16" x14ac:dyDescent="0.2">
      <c r="A374" s="12">
        <v>303</v>
      </c>
      <c r="B374" s="3">
        <v>57.651000000000003</v>
      </c>
      <c r="C374" s="3">
        <v>0</v>
      </c>
      <c r="D374" s="3">
        <v>0</v>
      </c>
      <c r="E374" s="3">
        <v>57.652999999999999</v>
      </c>
      <c r="F374" s="3">
        <v>57.652999999999999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0</v>
      </c>
      <c r="P374" s="3">
        <v>0</v>
      </c>
    </row>
    <row r="375" spans="1:16" x14ac:dyDescent="0.2">
      <c r="A375" s="12">
        <v>304</v>
      </c>
      <c r="B375" s="3">
        <v>62.639000000000003</v>
      </c>
      <c r="C375" s="3">
        <v>0</v>
      </c>
      <c r="D375" s="3">
        <v>0</v>
      </c>
      <c r="E375" s="3">
        <v>62.643000000000001</v>
      </c>
      <c r="F375" s="3">
        <v>62.643000000000001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>
        <v>0</v>
      </c>
      <c r="P375" s="3">
        <v>0</v>
      </c>
    </row>
    <row r="376" spans="1:16" x14ac:dyDescent="0.2">
      <c r="A376" s="12">
        <v>305</v>
      </c>
      <c r="B376" s="3">
        <v>67.626000000000005</v>
      </c>
      <c r="C376" s="3">
        <v>0</v>
      </c>
      <c r="D376" s="3">
        <v>0</v>
      </c>
      <c r="E376" s="3">
        <v>67.632000000000005</v>
      </c>
      <c r="F376" s="3">
        <v>67.632000000000005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>
        <v>0</v>
      </c>
      <c r="P376" s="3">
        <v>0</v>
      </c>
    </row>
    <row r="377" spans="1:16" x14ac:dyDescent="0.2">
      <c r="A377" s="12">
        <v>306</v>
      </c>
      <c r="B377" s="3">
        <v>72.614000000000004</v>
      </c>
      <c r="C377" s="3">
        <v>0</v>
      </c>
      <c r="D377" s="3">
        <v>0</v>
      </c>
      <c r="E377" s="3">
        <v>72.622</v>
      </c>
      <c r="F377" s="3">
        <v>72.622</v>
      </c>
      <c r="G377" s="3">
        <v>0</v>
      </c>
      <c r="H377" s="3">
        <v>0</v>
      </c>
      <c r="I377" s="3">
        <v>0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</row>
    <row r="378" spans="1:16" x14ac:dyDescent="0.2">
      <c r="A378" s="12">
        <v>307</v>
      </c>
      <c r="B378" s="3">
        <v>77.602000000000004</v>
      </c>
      <c r="C378" s="3">
        <v>0</v>
      </c>
      <c r="D378" s="3">
        <v>0</v>
      </c>
      <c r="E378" s="3">
        <v>77.611999999999995</v>
      </c>
      <c r="F378" s="3">
        <v>77.611999999999995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>
        <v>0</v>
      </c>
      <c r="P378" s="3">
        <v>0</v>
      </c>
    </row>
    <row r="379" spans="1:16" x14ac:dyDescent="0.2">
      <c r="A379" s="12">
        <v>308</v>
      </c>
      <c r="B379" s="3">
        <v>82.588999999999999</v>
      </c>
      <c r="C379" s="3">
        <v>0</v>
      </c>
      <c r="D379" s="3">
        <v>0</v>
      </c>
      <c r="E379" s="3">
        <v>82.602000000000004</v>
      </c>
      <c r="F379" s="3">
        <v>82.602000000000004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>
        <v>0</v>
      </c>
      <c r="P379" s="3">
        <v>0</v>
      </c>
    </row>
    <row r="380" spans="1:16" x14ac:dyDescent="0.2">
      <c r="A380" s="12">
        <v>309</v>
      </c>
      <c r="B380" s="3">
        <v>87.576999999999998</v>
      </c>
      <c r="C380" s="3">
        <v>0</v>
      </c>
      <c r="D380" s="3">
        <v>0</v>
      </c>
      <c r="E380" s="3">
        <v>87.590999999999994</v>
      </c>
      <c r="F380" s="3">
        <v>87.590999999999994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0</v>
      </c>
      <c r="P380" s="3">
        <v>0</v>
      </c>
    </row>
    <row r="381" spans="1:16" x14ac:dyDescent="0.2">
      <c r="A381" s="12">
        <v>310</v>
      </c>
      <c r="B381" s="3">
        <v>92.564999999999998</v>
      </c>
      <c r="C381" s="3">
        <v>0</v>
      </c>
      <c r="D381" s="3">
        <v>0</v>
      </c>
      <c r="E381" s="3">
        <v>92.581000000000003</v>
      </c>
      <c r="F381" s="3">
        <v>92.581000000000003</v>
      </c>
      <c r="G381" s="3">
        <v>0</v>
      </c>
      <c r="H381" s="3">
        <v>0</v>
      </c>
      <c r="I381" s="3">
        <v>0</v>
      </c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>
        <v>0</v>
      </c>
      <c r="P381" s="3">
        <v>0</v>
      </c>
    </row>
    <row r="382" spans="1:16" x14ac:dyDescent="0.2">
      <c r="A382" s="12">
        <v>311</v>
      </c>
      <c r="B382" s="3">
        <v>97.552000000000007</v>
      </c>
      <c r="C382" s="3">
        <v>0</v>
      </c>
      <c r="D382" s="3">
        <v>0</v>
      </c>
      <c r="E382" s="3">
        <v>97.570999999999998</v>
      </c>
      <c r="F382" s="3">
        <v>97.570999999999998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>
        <v>0</v>
      </c>
      <c r="P382" s="3">
        <v>0</v>
      </c>
    </row>
    <row r="383" spans="1:16" x14ac:dyDescent="0.2">
      <c r="A383" s="12">
        <v>312</v>
      </c>
      <c r="B383" s="3">
        <v>102.54</v>
      </c>
      <c r="C383" s="3">
        <v>0</v>
      </c>
      <c r="D383" s="3">
        <v>0</v>
      </c>
      <c r="E383" s="3">
        <v>102.56100000000001</v>
      </c>
      <c r="F383" s="3">
        <v>102.56100000000001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</row>
    <row r="384" spans="1:16" x14ac:dyDescent="0.2">
      <c r="A384" s="12">
        <v>313</v>
      </c>
      <c r="B384" s="3">
        <v>107.52800000000001</v>
      </c>
      <c r="C384" s="3">
        <v>0</v>
      </c>
      <c r="D384" s="3">
        <v>0</v>
      </c>
      <c r="E384" s="3">
        <v>107.55</v>
      </c>
      <c r="F384" s="3">
        <v>107.55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0</v>
      </c>
      <c r="P384" s="3">
        <v>0</v>
      </c>
    </row>
    <row r="385" spans="1:16" x14ac:dyDescent="0.2">
      <c r="A385" s="12">
        <v>314</v>
      </c>
      <c r="B385" s="3">
        <v>112.515</v>
      </c>
      <c r="C385" s="3">
        <v>0</v>
      </c>
      <c r="D385" s="3">
        <v>0</v>
      </c>
      <c r="E385" s="3">
        <v>112.54</v>
      </c>
      <c r="F385" s="3">
        <v>112.54</v>
      </c>
      <c r="G385" s="3">
        <v>0</v>
      </c>
      <c r="H385" s="3">
        <v>0</v>
      </c>
      <c r="I385" s="3">
        <v>0</v>
      </c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>
        <v>0</v>
      </c>
      <c r="P385" s="3">
        <v>0</v>
      </c>
    </row>
    <row r="386" spans="1:16" x14ac:dyDescent="0.2">
      <c r="A386" s="12">
        <v>315</v>
      </c>
      <c r="B386" s="3">
        <v>117.503</v>
      </c>
      <c r="C386" s="3">
        <v>0</v>
      </c>
      <c r="D386" s="3">
        <v>0</v>
      </c>
      <c r="E386" s="3">
        <v>117.53</v>
      </c>
      <c r="F386" s="3">
        <v>117.53</v>
      </c>
      <c r="G386" s="3">
        <v>0</v>
      </c>
      <c r="H386" s="3">
        <v>0</v>
      </c>
      <c r="I386" s="3">
        <v>0</v>
      </c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>
        <v>0</v>
      </c>
      <c r="P386" s="3">
        <v>0</v>
      </c>
    </row>
    <row r="387" spans="1:16" x14ac:dyDescent="0.2">
      <c r="A387" s="12">
        <v>316</v>
      </c>
      <c r="B387" s="3">
        <v>122.49</v>
      </c>
      <c r="C387" s="3">
        <v>0</v>
      </c>
      <c r="D387" s="3">
        <v>0</v>
      </c>
      <c r="E387" s="3">
        <v>122.52</v>
      </c>
      <c r="F387" s="3">
        <v>122.52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>
        <v>0</v>
      </c>
      <c r="P387" s="3">
        <v>0</v>
      </c>
    </row>
    <row r="388" spans="1:16" x14ac:dyDescent="0.2">
      <c r="A388" s="12">
        <v>317</v>
      </c>
      <c r="B388" s="3">
        <v>127.47799999999999</v>
      </c>
      <c r="C388" s="3">
        <v>0</v>
      </c>
      <c r="D388" s="3">
        <v>0</v>
      </c>
      <c r="E388" s="3">
        <v>127.509</v>
      </c>
      <c r="F388" s="3">
        <v>127.509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</row>
    <row r="389" spans="1:16" x14ac:dyDescent="0.2">
      <c r="A389" s="12">
        <v>318</v>
      </c>
      <c r="B389" s="3">
        <v>132.46600000000001</v>
      </c>
      <c r="C389" s="3">
        <v>0</v>
      </c>
      <c r="D389" s="3">
        <v>0</v>
      </c>
      <c r="E389" s="3">
        <v>132.499</v>
      </c>
      <c r="F389" s="3">
        <v>132.499</v>
      </c>
      <c r="G389" s="3">
        <v>0</v>
      </c>
      <c r="H389" s="3">
        <v>0</v>
      </c>
      <c r="I389" s="3">
        <v>0</v>
      </c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>
        <v>0</v>
      </c>
      <c r="P389" s="3">
        <v>0</v>
      </c>
    </row>
    <row r="390" spans="1:16" x14ac:dyDescent="0.2">
      <c r="A390" s="12">
        <v>319</v>
      </c>
      <c r="B390" s="3">
        <v>137.453</v>
      </c>
      <c r="C390" s="3">
        <v>0</v>
      </c>
      <c r="D390" s="3">
        <v>0</v>
      </c>
      <c r="E390" s="3">
        <v>137.489</v>
      </c>
      <c r="F390" s="3">
        <v>137.489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>
        <v>0</v>
      </c>
      <c r="P390" s="3">
        <v>0</v>
      </c>
    </row>
    <row r="391" spans="1:16" x14ac:dyDescent="0.2">
      <c r="A391" s="12">
        <v>320</v>
      </c>
      <c r="B391" s="3">
        <v>142.441</v>
      </c>
      <c r="C391" s="3">
        <v>0</v>
      </c>
      <c r="D391" s="3">
        <v>0</v>
      </c>
      <c r="E391" s="3">
        <v>142.47900000000001</v>
      </c>
      <c r="F391" s="3">
        <v>142.47900000000001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</row>
    <row r="392" spans="1:16" x14ac:dyDescent="0.2">
      <c r="A392" s="12">
        <v>321</v>
      </c>
      <c r="B392" s="3">
        <v>147.429</v>
      </c>
      <c r="C392" s="3">
        <v>0</v>
      </c>
      <c r="D392" s="3">
        <v>0</v>
      </c>
      <c r="E392" s="3">
        <v>147.46799999999999</v>
      </c>
      <c r="F392" s="3">
        <v>147.46799999999999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</row>
    <row r="393" spans="1:16" x14ac:dyDescent="0.2">
      <c r="A393" s="12">
        <v>322</v>
      </c>
      <c r="B393" s="3">
        <v>152.416</v>
      </c>
      <c r="C393" s="3">
        <v>0</v>
      </c>
      <c r="D393" s="3">
        <v>0</v>
      </c>
      <c r="E393" s="3">
        <v>152.458</v>
      </c>
      <c r="F393" s="3">
        <v>152.458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>
        <v>0</v>
      </c>
      <c r="P393" s="3">
        <v>0</v>
      </c>
    </row>
    <row r="394" spans="1:16" x14ac:dyDescent="0.2">
      <c r="A394" s="12">
        <v>323</v>
      </c>
      <c r="B394" s="3">
        <v>157.404</v>
      </c>
      <c r="C394" s="3">
        <v>0</v>
      </c>
      <c r="D394" s="3">
        <v>0</v>
      </c>
      <c r="E394" s="3">
        <v>157.44800000000001</v>
      </c>
      <c r="F394" s="3">
        <v>157.44800000000001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</row>
    <row r="395" spans="1:16" x14ac:dyDescent="0.2">
      <c r="A395" s="12">
        <v>324</v>
      </c>
      <c r="B395" s="3">
        <v>162.392</v>
      </c>
      <c r="C395" s="3">
        <v>0</v>
      </c>
      <c r="D395" s="3">
        <v>0</v>
      </c>
      <c r="E395" s="3">
        <v>162.43799999999999</v>
      </c>
      <c r="F395" s="3">
        <v>162.43799999999999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>
        <v>0</v>
      </c>
      <c r="P395" s="3">
        <v>0</v>
      </c>
    </row>
    <row r="396" spans="1:16" x14ac:dyDescent="0.2">
      <c r="A396" s="12">
        <v>325</v>
      </c>
      <c r="B396" s="3">
        <v>167.37899999999999</v>
      </c>
      <c r="C396" s="3">
        <v>0</v>
      </c>
      <c r="D396" s="3">
        <v>0</v>
      </c>
      <c r="E396" s="3">
        <v>167.428</v>
      </c>
      <c r="F396" s="3">
        <v>167.428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>
        <v>0</v>
      </c>
      <c r="P396" s="3">
        <v>0</v>
      </c>
    </row>
    <row r="397" spans="1:16" x14ac:dyDescent="0.2">
      <c r="A397" s="12">
        <v>326</v>
      </c>
      <c r="B397" s="3">
        <v>172.36699999999999</v>
      </c>
      <c r="C397" s="3">
        <v>0</v>
      </c>
      <c r="D397" s="3">
        <v>0</v>
      </c>
      <c r="E397" s="3">
        <v>172.417</v>
      </c>
      <c r="F397" s="3">
        <v>172.417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>
        <v>0</v>
      </c>
      <c r="P397" s="3">
        <v>0</v>
      </c>
    </row>
    <row r="398" spans="1:16" x14ac:dyDescent="0.2">
      <c r="A398" s="12">
        <v>327</v>
      </c>
      <c r="B398" s="3">
        <v>177.35499999999999</v>
      </c>
      <c r="C398" s="3">
        <v>0</v>
      </c>
      <c r="D398" s="3">
        <v>0</v>
      </c>
      <c r="E398" s="3">
        <v>177.40700000000001</v>
      </c>
      <c r="F398" s="3">
        <v>177.40700000000001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>
        <v>0</v>
      </c>
      <c r="P398" s="3">
        <v>0</v>
      </c>
    </row>
    <row r="399" spans="1:16" x14ac:dyDescent="0.2">
      <c r="A399" s="12">
        <v>328</v>
      </c>
      <c r="B399" s="3">
        <v>182.34200000000001</v>
      </c>
      <c r="C399" s="3">
        <v>0</v>
      </c>
      <c r="D399" s="3">
        <v>0</v>
      </c>
      <c r="E399" s="3">
        <v>182.39699999999999</v>
      </c>
      <c r="F399" s="3">
        <v>182.39699999999999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</row>
    <row r="400" spans="1:16" x14ac:dyDescent="0.2">
      <c r="A400" s="12">
        <v>329</v>
      </c>
      <c r="B400" s="3">
        <v>187.33</v>
      </c>
      <c r="C400" s="3">
        <v>0</v>
      </c>
      <c r="D400" s="3">
        <v>0</v>
      </c>
      <c r="E400" s="3">
        <v>187.387</v>
      </c>
      <c r="F400" s="3">
        <v>187.387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>
        <v>0</v>
      </c>
      <c r="P400" s="3">
        <v>0</v>
      </c>
    </row>
    <row r="401" spans="1:16" x14ac:dyDescent="0.2">
      <c r="A401" s="12">
        <v>330</v>
      </c>
      <c r="B401" s="3">
        <v>192.31700000000001</v>
      </c>
      <c r="C401" s="3">
        <v>0</v>
      </c>
      <c r="D401" s="3">
        <v>0</v>
      </c>
      <c r="E401" s="3">
        <v>192.37700000000001</v>
      </c>
      <c r="F401" s="3">
        <v>192.37700000000001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>
        <v>0</v>
      </c>
      <c r="P401" s="3">
        <v>0</v>
      </c>
    </row>
    <row r="402" spans="1:16" x14ac:dyDescent="0.2">
      <c r="A402" s="12">
        <v>331</v>
      </c>
      <c r="B402" s="3">
        <v>197.30500000000001</v>
      </c>
      <c r="C402" s="3">
        <v>0</v>
      </c>
      <c r="D402" s="3">
        <v>0</v>
      </c>
      <c r="E402" s="3">
        <v>197.36600000000001</v>
      </c>
      <c r="F402" s="3">
        <v>197.36600000000001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>
        <v>0</v>
      </c>
      <c r="P402" s="3">
        <v>0</v>
      </c>
    </row>
    <row r="403" spans="1:16" x14ac:dyDescent="0.2">
      <c r="A403" s="12">
        <v>332</v>
      </c>
      <c r="B403" s="3">
        <v>202.29300000000001</v>
      </c>
      <c r="C403" s="3">
        <v>0</v>
      </c>
      <c r="D403" s="3">
        <v>0</v>
      </c>
      <c r="E403" s="3">
        <v>202.35599999999999</v>
      </c>
      <c r="F403" s="3">
        <v>202.35599999999999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0</v>
      </c>
      <c r="P403" s="3">
        <v>0</v>
      </c>
    </row>
    <row r="404" spans="1:16" x14ac:dyDescent="0.2">
      <c r="A404" s="12">
        <v>333</v>
      </c>
      <c r="B404" s="3">
        <v>207.28</v>
      </c>
      <c r="C404" s="3">
        <v>0</v>
      </c>
      <c r="D404" s="3">
        <v>0</v>
      </c>
      <c r="E404" s="3">
        <v>207.346</v>
      </c>
      <c r="F404" s="3">
        <v>207.346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>
        <v>0</v>
      </c>
      <c r="P404" s="3">
        <v>0</v>
      </c>
    </row>
    <row r="405" spans="1:16" x14ac:dyDescent="0.2">
      <c r="A405" s="12">
        <v>334</v>
      </c>
      <c r="B405" s="3">
        <v>212.268</v>
      </c>
      <c r="C405" s="3">
        <v>0</v>
      </c>
      <c r="D405" s="3">
        <v>0</v>
      </c>
      <c r="E405" s="3">
        <v>212.33600000000001</v>
      </c>
      <c r="F405" s="3">
        <v>212.33600000000001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>
        <v>0</v>
      </c>
      <c r="P405" s="3">
        <v>0</v>
      </c>
    </row>
    <row r="406" spans="1:16" x14ac:dyDescent="0.2">
      <c r="A406" s="12">
        <v>335</v>
      </c>
      <c r="B406" s="3">
        <v>217.256</v>
      </c>
      <c r="C406" s="3">
        <v>0</v>
      </c>
      <c r="D406" s="3">
        <v>0</v>
      </c>
      <c r="E406" s="3">
        <v>217.32599999999999</v>
      </c>
      <c r="F406" s="3">
        <v>217.32599999999999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>
        <v>0</v>
      </c>
      <c r="P406" s="3">
        <v>0</v>
      </c>
    </row>
    <row r="407" spans="1:16" x14ac:dyDescent="0.2">
      <c r="A407" s="12">
        <v>336</v>
      </c>
      <c r="B407" s="3">
        <v>222.24299999999999</v>
      </c>
      <c r="C407" s="3">
        <v>0</v>
      </c>
      <c r="D407" s="3">
        <v>0</v>
      </c>
      <c r="E407" s="3">
        <v>222.316</v>
      </c>
      <c r="F407" s="3">
        <v>222.316</v>
      </c>
      <c r="G407" s="3">
        <v>0</v>
      </c>
      <c r="H407" s="3">
        <v>0</v>
      </c>
      <c r="I407" s="3">
        <v>0</v>
      </c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>
        <v>0</v>
      </c>
      <c r="P407" s="3">
        <v>0</v>
      </c>
    </row>
    <row r="408" spans="1:16" x14ac:dyDescent="0.2">
      <c r="A408" s="12">
        <v>337</v>
      </c>
      <c r="B408" s="3">
        <v>227.23099999999999</v>
      </c>
      <c r="C408" s="3">
        <v>0</v>
      </c>
      <c r="D408" s="3">
        <v>0</v>
      </c>
      <c r="E408" s="3">
        <v>227.30500000000001</v>
      </c>
      <c r="F408" s="3">
        <v>227.30500000000001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>
        <v>0</v>
      </c>
      <c r="P408" s="3">
        <v>0</v>
      </c>
    </row>
    <row r="409" spans="1:16" x14ac:dyDescent="0.2">
      <c r="A409" s="12">
        <v>338</v>
      </c>
      <c r="B409" s="3">
        <v>232.21899999999999</v>
      </c>
      <c r="C409" s="3">
        <v>0</v>
      </c>
      <c r="D409" s="3">
        <v>0</v>
      </c>
      <c r="E409" s="3">
        <v>232.29499999999999</v>
      </c>
      <c r="F409" s="3">
        <v>232.29499999999999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>
        <v>0</v>
      </c>
      <c r="P409" s="3">
        <v>0</v>
      </c>
    </row>
    <row r="410" spans="1:16" x14ac:dyDescent="0.2">
      <c r="A410" s="12">
        <v>339</v>
      </c>
      <c r="B410" s="3">
        <v>237.20599999999999</v>
      </c>
      <c r="C410" s="3">
        <v>0</v>
      </c>
      <c r="D410" s="3">
        <v>0</v>
      </c>
      <c r="E410" s="3">
        <v>237.285</v>
      </c>
      <c r="F410" s="3">
        <v>237.285</v>
      </c>
      <c r="G410" s="3">
        <v>0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>
        <v>0</v>
      </c>
      <c r="P410" s="3">
        <v>0</v>
      </c>
    </row>
    <row r="411" spans="1:16" x14ac:dyDescent="0.2">
      <c r="A411" s="12">
        <v>340</v>
      </c>
      <c r="B411" s="3">
        <v>240.57300000000001</v>
      </c>
      <c r="C411" s="3">
        <v>0</v>
      </c>
      <c r="D411" s="3">
        <v>0</v>
      </c>
      <c r="E411" s="3">
        <v>240.65299999999999</v>
      </c>
      <c r="F411" s="3">
        <v>240.65299999999999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>
        <v>0</v>
      </c>
      <c r="P411" s="3">
        <v>0</v>
      </c>
    </row>
    <row r="412" spans="1:16" x14ac:dyDescent="0.2">
      <c r="A412" s="12">
        <v>341</v>
      </c>
      <c r="B412" s="3">
        <v>242.81700000000001</v>
      </c>
      <c r="C412" s="3">
        <v>0</v>
      </c>
      <c r="D412" s="3">
        <v>0</v>
      </c>
      <c r="E412" s="3">
        <v>242.899</v>
      </c>
      <c r="F412" s="3">
        <v>242.899</v>
      </c>
      <c r="G412" s="3">
        <v>0</v>
      </c>
      <c r="H412" s="3">
        <v>0</v>
      </c>
      <c r="I412" s="3">
        <v>0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>
        <v>0</v>
      </c>
      <c r="P412" s="3">
        <v>0</v>
      </c>
    </row>
    <row r="413" spans="1:16" x14ac:dyDescent="0.2">
      <c r="A413" s="12">
        <v>342</v>
      </c>
      <c r="B413" s="3">
        <v>244.31299999999999</v>
      </c>
      <c r="C413" s="3">
        <v>0</v>
      </c>
      <c r="D413" s="3">
        <v>0</v>
      </c>
      <c r="E413" s="3">
        <v>244.39500000000001</v>
      </c>
      <c r="F413" s="3">
        <v>244.39500000000001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>
        <v>0</v>
      </c>
      <c r="P413" s="3">
        <v>0</v>
      </c>
    </row>
    <row r="414" spans="1:16" x14ac:dyDescent="0.2">
      <c r="A414" s="12">
        <v>343</v>
      </c>
      <c r="B414" s="3">
        <v>245.31100000000001</v>
      </c>
      <c r="C414" s="3">
        <v>0</v>
      </c>
      <c r="D414" s="3">
        <v>0</v>
      </c>
      <c r="E414" s="3">
        <v>245.393</v>
      </c>
      <c r="F414" s="3">
        <v>245.393</v>
      </c>
      <c r="G414" s="3">
        <v>0</v>
      </c>
      <c r="H414" s="3">
        <v>0</v>
      </c>
      <c r="I414" s="3">
        <v>0</v>
      </c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>
        <v>0</v>
      </c>
      <c r="P414" s="3">
        <v>0</v>
      </c>
    </row>
    <row r="415" spans="1:16" x14ac:dyDescent="0.2">
      <c r="A415" s="12">
        <v>344</v>
      </c>
      <c r="B415" s="3">
        <v>246.30199999999999</v>
      </c>
      <c r="C415" s="3">
        <v>0</v>
      </c>
      <c r="D415" s="3">
        <v>0</v>
      </c>
      <c r="E415" s="3">
        <v>246.38499999999999</v>
      </c>
      <c r="F415" s="3">
        <v>246.38499999999999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0</v>
      </c>
      <c r="P415" s="3">
        <v>0</v>
      </c>
    </row>
    <row r="416" spans="1:16" x14ac:dyDescent="0.2">
      <c r="A416" s="12">
        <v>345</v>
      </c>
      <c r="B416" s="3">
        <v>247.78899999999999</v>
      </c>
      <c r="C416" s="3">
        <v>0</v>
      </c>
      <c r="D416" s="3">
        <v>0</v>
      </c>
      <c r="E416" s="3">
        <v>247.87299999999999</v>
      </c>
      <c r="F416" s="3">
        <v>247.87299999999999</v>
      </c>
      <c r="G416" s="3">
        <v>0</v>
      </c>
      <c r="H416" s="3">
        <v>0</v>
      </c>
      <c r="I416" s="3">
        <v>0</v>
      </c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>
        <v>0</v>
      </c>
      <c r="P416" s="3">
        <v>0</v>
      </c>
    </row>
    <row r="417" spans="1:16" x14ac:dyDescent="0.2">
      <c r="A417" s="12">
        <v>346</v>
      </c>
      <c r="B417" s="3">
        <v>250.01900000000001</v>
      </c>
      <c r="C417" s="3">
        <v>0</v>
      </c>
      <c r="D417" s="3">
        <v>0</v>
      </c>
      <c r="E417" s="3">
        <v>250.10400000000001</v>
      </c>
      <c r="F417" s="3">
        <v>250.10400000000001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  <c r="L417" s="3">
        <v>0</v>
      </c>
      <c r="M417" s="3">
        <v>0</v>
      </c>
      <c r="N417" s="3">
        <v>0</v>
      </c>
      <c r="O417" s="3">
        <v>0</v>
      </c>
      <c r="P417" s="3">
        <v>0</v>
      </c>
    </row>
    <row r="418" spans="1:16" x14ac:dyDescent="0.2">
      <c r="A418" s="12">
        <v>347</v>
      </c>
      <c r="B418" s="3">
        <v>253.36500000000001</v>
      </c>
      <c r="C418" s="3">
        <v>0</v>
      </c>
      <c r="D418" s="3">
        <v>0</v>
      </c>
      <c r="E418" s="3">
        <v>253.45099999999999</v>
      </c>
      <c r="F418" s="3">
        <v>253.45099999999999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</row>
    <row r="419" spans="1:16" x14ac:dyDescent="0.2">
      <c r="A419" s="12">
        <v>348</v>
      </c>
      <c r="B419" s="3">
        <v>258.32100000000003</v>
      </c>
      <c r="C419" s="3">
        <v>0</v>
      </c>
      <c r="D419" s="3">
        <v>0</v>
      </c>
      <c r="E419" s="3">
        <v>258.40899999999999</v>
      </c>
      <c r="F419" s="3">
        <v>258.40899999999999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0</v>
      </c>
      <c r="P419" s="3">
        <v>0</v>
      </c>
    </row>
    <row r="420" spans="1:16" x14ac:dyDescent="0.2">
      <c r="A420" s="12">
        <v>349</v>
      </c>
      <c r="B420" s="3">
        <v>263.27699999999999</v>
      </c>
      <c r="C420" s="3">
        <v>0</v>
      </c>
      <c r="D420" s="3">
        <v>0</v>
      </c>
      <c r="E420" s="3">
        <v>263.36700000000002</v>
      </c>
      <c r="F420" s="3">
        <v>263.36700000000002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>
        <v>0</v>
      </c>
      <c r="P420" s="3">
        <v>0</v>
      </c>
    </row>
    <row r="421" spans="1:16" x14ac:dyDescent="0.2">
      <c r="A421" s="12">
        <v>350</v>
      </c>
      <c r="B421" s="3">
        <v>268.233</v>
      </c>
      <c r="C421" s="3">
        <v>0</v>
      </c>
      <c r="D421" s="3">
        <v>0</v>
      </c>
      <c r="E421" s="3">
        <v>268.32600000000002</v>
      </c>
      <c r="F421" s="3">
        <v>268.32600000000002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0</v>
      </c>
      <c r="P421" s="3">
        <v>0</v>
      </c>
    </row>
    <row r="422" spans="1:16" x14ac:dyDescent="0.2">
      <c r="A422" s="12">
        <v>351</v>
      </c>
      <c r="B422" s="3">
        <v>273.18900000000002</v>
      </c>
      <c r="C422" s="3">
        <v>0</v>
      </c>
      <c r="D422" s="3">
        <v>0</v>
      </c>
      <c r="E422" s="3">
        <v>273.28399999999999</v>
      </c>
      <c r="F422" s="3">
        <v>273.28399999999999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>
        <v>0</v>
      </c>
      <c r="P422" s="3">
        <v>0</v>
      </c>
    </row>
    <row r="423" spans="1:16" x14ac:dyDescent="0.2">
      <c r="A423" s="12">
        <v>352</v>
      </c>
      <c r="B423" s="3">
        <v>278.14499999999998</v>
      </c>
      <c r="C423" s="3">
        <v>0</v>
      </c>
      <c r="D423" s="3">
        <v>0</v>
      </c>
      <c r="E423" s="3">
        <v>278.24200000000002</v>
      </c>
      <c r="F423" s="3">
        <v>278.24200000000002</v>
      </c>
      <c r="G423" s="3">
        <v>0</v>
      </c>
      <c r="H423" s="3">
        <v>0</v>
      </c>
      <c r="I423" s="3">
        <v>0</v>
      </c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>
        <v>0</v>
      </c>
      <c r="P423" s="3">
        <v>0</v>
      </c>
    </row>
    <row r="424" spans="1:16" x14ac:dyDescent="0.2">
      <c r="A424" s="12">
        <v>353</v>
      </c>
      <c r="B424" s="3">
        <v>283.101</v>
      </c>
      <c r="C424" s="3">
        <v>0</v>
      </c>
      <c r="D424" s="3">
        <v>0</v>
      </c>
      <c r="E424" s="3">
        <v>283.2</v>
      </c>
      <c r="F424" s="3">
        <v>283.2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0</v>
      </c>
      <c r="P424" s="3">
        <v>0</v>
      </c>
    </row>
    <row r="425" spans="1:16" x14ac:dyDescent="0.2">
      <c r="A425" s="12">
        <v>354</v>
      </c>
      <c r="B425" s="3">
        <v>288.05700000000002</v>
      </c>
      <c r="C425" s="3">
        <v>0</v>
      </c>
      <c r="D425" s="3">
        <v>0</v>
      </c>
      <c r="E425" s="3">
        <v>288.15899999999999</v>
      </c>
      <c r="F425" s="3">
        <v>288.15899999999999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  <c r="L425" s="3">
        <v>0</v>
      </c>
      <c r="M425" s="3">
        <v>0</v>
      </c>
      <c r="N425" s="3">
        <v>0</v>
      </c>
      <c r="O425" s="3">
        <v>0</v>
      </c>
      <c r="P425" s="3">
        <v>0</v>
      </c>
    </row>
    <row r="426" spans="1:16" x14ac:dyDescent="0.2">
      <c r="A426" s="12">
        <v>355</v>
      </c>
      <c r="B426" s="3">
        <v>293.01299999999998</v>
      </c>
      <c r="C426" s="3">
        <v>0</v>
      </c>
      <c r="D426" s="3">
        <v>0</v>
      </c>
      <c r="E426" s="3">
        <v>293.11700000000002</v>
      </c>
      <c r="F426" s="3">
        <v>293.11700000000002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>
        <v>0</v>
      </c>
      <c r="P426" s="3">
        <v>0</v>
      </c>
    </row>
    <row r="427" spans="1:16" x14ac:dyDescent="0.2">
      <c r="A427" s="12">
        <v>356</v>
      </c>
      <c r="B427" s="3">
        <v>297.96899999999999</v>
      </c>
      <c r="C427" s="3">
        <v>0</v>
      </c>
      <c r="D427" s="3">
        <v>0</v>
      </c>
      <c r="E427" s="3">
        <v>298.07499999999999</v>
      </c>
      <c r="F427" s="3">
        <v>298.07499999999999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0</v>
      </c>
      <c r="P427" s="3">
        <v>0</v>
      </c>
    </row>
    <row r="428" spans="1:16" x14ac:dyDescent="0.2">
      <c r="A428" s="12">
        <v>357</v>
      </c>
      <c r="B428" s="3">
        <v>302.92599999999999</v>
      </c>
      <c r="C428" s="3">
        <v>0</v>
      </c>
      <c r="D428" s="3">
        <v>0</v>
      </c>
      <c r="E428" s="3">
        <v>303.03399999999999</v>
      </c>
      <c r="F428" s="3">
        <v>303.03399999999999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0</v>
      </c>
      <c r="P428" s="3">
        <v>0</v>
      </c>
    </row>
    <row r="429" spans="1:16" x14ac:dyDescent="0.2">
      <c r="A429" s="12">
        <v>358</v>
      </c>
      <c r="B429" s="3">
        <v>307.88200000000001</v>
      </c>
      <c r="C429" s="3">
        <v>0</v>
      </c>
      <c r="D429" s="3">
        <v>0</v>
      </c>
      <c r="E429" s="3">
        <v>307.99200000000002</v>
      </c>
      <c r="F429" s="3">
        <v>307.99200000000002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</v>
      </c>
      <c r="P429" s="3">
        <v>0</v>
      </c>
    </row>
    <row r="430" spans="1:16" x14ac:dyDescent="0.2">
      <c r="A430" s="12">
        <v>359</v>
      </c>
      <c r="B430" s="3">
        <v>312.83800000000002</v>
      </c>
      <c r="C430" s="3">
        <v>0</v>
      </c>
      <c r="D430" s="3">
        <v>0</v>
      </c>
      <c r="E430" s="3">
        <v>312.95</v>
      </c>
      <c r="F430" s="3">
        <v>312.95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>
        <v>0</v>
      </c>
      <c r="P430" s="3">
        <v>0</v>
      </c>
    </row>
    <row r="431" spans="1:16" x14ac:dyDescent="0.2">
      <c r="A431" s="12">
        <v>360</v>
      </c>
      <c r="B431" s="3">
        <v>317.79399999999998</v>
      </c>
      <c r="C431" s="3">
        <v>0</v>
      </c>
      <c r="D431" s="3">
        <v>0</v>
      </c>
      <c r="E431" s="3">
        <v>317.90800000000002</v>
      </c>
      <c r="F431" s="3">
        <v>317.90800000000002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>
        <v>0</v>
      </c>
      <c r="P431" s="3">
        <v>0</v>
      </c>
    </row>
    <row r="432" spans="1:16" x14ac:dyDescent="0.2">
      <c r="A432" s="12">
        <v>361</v>
      </c>
      <c r="B432" s="3">
        <v>322.75</v>
      </c>
      <c r="C432" s="3">
        <v>0</v>
      </c>
      <c r="D432" s="3">
        <v>0</v>
      </c>
      <c r="E432" s="3">
        <v>322.86700000000002</v>
      </c>
      <c r="F432" s="3">
        <v>322.86700000000002</v>
      </c>
      <c r="G432" s="3">
        <v>0</v>
      </c>
      <c r="H432" s="3">
        <v>0</v>
      </c>
      <c r="I432" s="3">
        <v>0</v>
      </c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>
        <v>0</v>
      </c>
      <c r="P432" s="3">
        <v>0</v>
      </c>
    </row>
    <row r="433" spans="1:16" x14ac:dyDescent="0.2">
      <c r="A433" s="12">
        <v>362</v>
      </c>
      <c r="B433" s="3">
        <v>327.70600000000002</v>
      </c>
      <c r="C433" s="3">
        <v>0</v>
      </c>
      <c r="D433" s="3">
        <v>0</v>
      </c>
      <c r="E433" s="3">
        <v>327.82499999999999</v>
      </c>
      <c r="F433" s="3">
        <v>327.82499999999999</v>
      </c>
      <c r="G433" s="3">
        <v>0</v>
      </c>
      <c r="H433" s="3">
        <v>0</v>
      </c>
      <c r="I433" s="3">
        <v>0</v>
      </c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>
        <v>0</v>
      </c>
      <c r="P433" s="3">
        <v>0</v>
      </c>
    </row>
    <row r="434" spans="1:16" x14ac:dyDescent="0.2">
      <c r="A434" s="12">
        <v>363</v>
      </c>
      <c r="B434" s="3">
        <v>332.66199999999998</v>
      </c>
      <c r="C434" s="3">
        <v>0</v>
      </c>
      <c r="D434" s="3">
        <v>0</v>
      </c>
      <c r="E434" s="3">
        <v>332.78300000000002</v>
      </c>
      <c r="F434" s="3">
        <v>332.78300000000002</v>
      </c>
      <c r="G434" s="3">
        <v>0</v>
      </c>
      <c r="H434" s="3">
        <v>0</v>
      </c>
      <c r="I434" s="3">
        <v>0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</v>
      </c>
      <c r="P434" s="3">
        <v>0</v>
      </c>
    </row>
    <row r="435" spans="1:16" x14ac:dyDescent="0.2">
      <c r="A435" s="12">
        <v>364</v>
      </c>
      <c r="B435" s="3">
        <v>337.61799999999999</v>
      </c>
      <c r="C435" s="3">
        <v>0</v>
      </c>
      <c r="D435" s="3">
        <v>0</v>
      </c>
      <c r="E435" s="3">
        <v>337.74200000000002</v>
      </c>
      <c r="F435" s="3">
        <v>337.74200000000002</v>
      </c>
      <c r="G435" s="3">
        <v>0</v>
      </c>
      <c r="H435" s="3">
        <v>0</v>
      </c>
      <c r="I435" s="3">
        <v>0</v>
      </c>
      <c r="J435" s="3">
        <v>0</v>
      </c>
      <c r="K435" s="3">
        <v>0</v>
      </c>
      <c r="L435" s="3">
        <v>0</v>
      </c>
      <c r="M435" s="3">
        <v>0</v>
      </c>
      <c r="N435" s="3">
        <v>0</v>
      </c>
      <c r="O435" s="3">
        <v>0</v>
      </c>
      <c r="P435" s="3">
        <v>0</v>
      </c>
    </row>
    <row r="436" spans="1:16" x14ac:dyDescent="0.2">
      <c r="A436" s="12">
        <v>365</v>
      </c>
      <c r="B436" s="3">
        <v>342.57400000000001</v>
      </c>
      <c r="C436" s="3">
        <v>0</v>
      </c>
      <c r="D436" s="3">
        <v>0</v>
      </c>
      <c r="E436" s="3">
        <v>342.7</v>
      </c>
      <c r="F436" s="3">
        <v>342.7</v>
      </c>
      <c r="G436" s="3">
        <v>0</v>
      </c>
      <c r="H436" s="3">
        <v>0</v>
      </c>
      <c r="I436" s="3">
        <v>0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</v>
      </c>
      <c r="P436" s="3">
        <v>0</v>
      </c>
    </row>
    <row r="437" spans="1:16" x14ac:dyDescent="0.2">
      <c r="A437" s="12">
        <v>366</v>
      </c>
      <c r="B437" s="3">
        <v>347.53</v>
      </c>
      <c r="C437" s="3">
        <v>0</v>
      </c>
      <c r="D437" s="3">
        <v>0</v>
      </c>
      <c r="E437" s="3">
        <v>347.65800000000002</v>
      </c>
      <c r="F437" s="3">
        <v>347.65800000000002</v>
      </c>
      <c r="G437" s="3">
        <v>0</v>
      </c>
      <c r="H437" s="3">
        <v>0</v>
      </c>
      <c r="I437" s="3">
        <v>0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</v>
      </c>
      <c r="P437" s="3">
        <v>0</v>
      </c>
    </row>
    <row r="438" spans="1:16" x14ac:dyDescent="0.2">
      <c r="A438" s="12">
        <v>367</v>
      </c>
      <c r="B438" s="3">
        <v>352.48599999999999</v>
      </c>
      <c r="C438" s="3">
        <v>0</v>
      </c>
      <c r="D438" s="3">
        <v>0</v>
      </c>
      <c r="E438" s="3">
        <v>352.61700000000002</v>
      </c>
      <c r="F438" s="3">
        <v>352.61700000000002</v>
      </c>
      <c r="G438" s="3">
        <v>0</v>
      </c>
      <c r="H438" s="3">
        <v>0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</row>
    <row r="439" spans="1:16" x14ac:dyDescent="0.2">
      <c r="A439" s="12">
        <v>368</v>
      </c>
      <c r="B439" s="3">
        <v>357.44200000000001</v>
      </c>
      <c r="C439" s="3">
        <v>0</v>
      </c>
      <c r="D439" s="3">
        <v>0</v>
      </c>
      <c r="E439" s="3">
        <v>357.57499999999999</v>
      </c>
      <c r="F439" s="3">
        <v>357.57499999999999</v>
      </c>
      <c r="G439" s="3">
        <v>0</v>
      </c>
      <c r="H439" s="3">
        <v>0</v>
      </c>
      <c r="I439" s="3">
        <v>0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0</v>
      </c>
      <c r="P439" s="3">
        <v>0</v>
      </c>
    </row>
    <row r="440" spans="1:16" x14ac:dyDescent="0.2">
      <c r="A440" s="12">
        <v>369</v>
      </c>
      <c r="B440" s="3">
        <v>362.399</v>
      </c>
      <c r="C440" s="3">
        <v>0</v>
      </c>
      <c r="D440" s="3">
        <v>0</v>
      </c>
      <c r="E440" s="3">
        <v>362.53300000000002</v>
      </c>
      <c r="F440" s="3">
        <v>362.53300000000002</v>
      </c>
      <c r="G440" s="3">
        <v>0</v>
      </c>
      <c r="H440" s="3">
        <v>0</v>
      </c>
      <c r="I440" s="3">
        <v>0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</v>
      </c>
      <c r="P440" s="3">
        <v>0</v>
      </c>
    </row>
    <row r="441" spans="1:16" x14ac:dyDescent="0.2">
      <c r="A441" s="12">
        <v>370</v>
      </c>
      <c r="B441" s="3">
        <v>367.35500000000002</v>
      </c>
      <c r="C441" s="3">
        <v>0</v>
      </c>
      <c r="D441" s="3">
        <v>0</v>
      </c>
      <c r="E441" s="3">
        <v>367.49200000000002</v>
      </c>
      <c r="F441" s="3">
        <v>367.49200000000002</v>
      </c>
      <c r="G441" s="3">
        <v>0</v>
      </c>
      <c r="H441" s="3">
        <v>0</v>
      </c>
      <c r="I441" s="3">
        <v>0</v>
      </c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>
        <v>0</v>
      </c>
      <c r="P441" s="3">
        <v>0</v>
      </c>
    </row>
    <row r="442" spans="1:16" x14ac:dyDescent="0.2">
      <c r="A442" s="12">
        <v>371</v>
      </c>
      <c r="B442" s="3">
        <v>372.31099999999998</v>
      </c>
      <c r="C442" s="3">
        <v>0</v>
      </c>
      <c r="D442" s="3">
        <v>0</v>
      </c>
      <c r="E442" s="3">
        <v>372.45</v>
      </c>
      <c r="F442" s="3">
        <v>372.45</v>
      </c>
      <c r="G442" s="3">
        <v>0</v>
      </c>
      <c r="H442" s="3">
        <v>0</v>
      </c>
      <c r="I442" s="3">
        <v>0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0</v>
      </c>
      <c r="P442" s="3">
        <v>0</v>
      </c>
    </row>
    <row r="443" spans="1:16" x14ac:dyDescent="0.2">
      <c r="A443" s="12">
        <v>372</v>
      </c>
      <c r="B443" s="3">
        <v>377.267</v>
      </c>
      <c r="C443" s="3">
        <v>0</v>
      </c>
      <c r="D443" s="3">
        <v>0</v>
      </c>
      <c r="E443" s="3">
        <v>377.40800000000002</v>
      </c>
      <c r="F443" s="3">
        <v>377.40800000000002</v>
      </c>
      <c r="G443" s="3">
        <v>0</v>
      </c>
      <c r="H443" s="3">
        <v>0</v>
      </c>
      <c r="I443" s="3">
        <v>0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0</v>
      </c>
      <c r="P443" s="3">
        <v>0</v>
      </c>
    </row>
    <row r="444" spans="1:16" x14ac:dyDescent="0.2">
      <c r="A444" s="12">
        <v>373</v>
      </c>
      <c r="B444" s="3">
        <v>382.22300000000001</v>
      </c>
      <c r="C444" s="3">
        <v>0</v>
      </c>
      <c r="D444" s="3">
        <v>0</v>
      </c>
      <c r="E444" s="3">
        <v>382.36700000000002</v>
      </c>
      <c r="F444" s="3">
        <v>382.36700000000002</v>
      </c>
      <c r="G444" s="3">
        <v>0</v>
      </c>
      <c r="H444" s="3">
        <v>0</v>
      </c>
      <c r="I444" s="3">
        <v>0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</v>
      </c>
      <c r="P444" s="3">
        <v>0</v>
      </c>
    </row>
    <row r="445" spans="1:16" x14ac:dyDescent="0.2">
      <c r="A445" s="12">
        <v>374</v>
      </c>
      <c r="B445" s="3">
        <v>387.17899999999997</v>
      </c>
      <c r="C445" s="3">
        <v>0</v>
      </c>
      <c r="D445" s="3">
        <v>0</v>
      </c>
      <c r="E445" s="3">
        <v>387.32499999999999</v>
      </c>
      <c r="F445" s="3">
        <v>387.32499999999999</v>
      </c>
      <c r="G445" s="3">
        <v>0</v>
      </c>
      <c r="H445" s="3">
        <v>0</v>
      </c>
      <c r="I445" s="3">
        <v>0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</v>
      </c>
      <c r="P445" s="3">
        <v>0</v>
      </c>
    </row>
    <row r="446" spans="1:16" x14ac:dyDescent="0.2">
      <c r="A446" s="12">
        <v>375</v>
      </c>
      <c r="B446" s="3">
        <v>392.13499999999999</v>
      </c>
      <c r="C446" s="3">
        <v>0</v>
      </c>
      <c r="D446" s="3">
        <v>0</v>
      </c>
      <c r="E446" s="3">
        <v>392.28300000000002</v>
      </c>
      <c r="F446" s="3">
        <v>392.28300000000002</v>
      </c>
      <c r="G446" s="3">
        <v>0</v>
      </c>
      <c r="H446" s="3">
        <v>0</v>
      </c>
      <c r="I446" s="3">
        <v>0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</v>
      </c>
      <c r="P446" s="3">
        <v>0</v>
      </c>
    </row>
    <row r="447" spans="1:16" x14ac:dyDescent="0.2">
      <c r="A447" s="12">
        <v>376</v>
      </c>
      <c r="B447" s="3">
        <v>397.09100000000001</v>
      </c>
      <c r="C447" s="3">
        <v>0</v>
      </c>
      <c r="D447" s="3">
        <v>0</v>
      </c>
      <c r="E447" s="3">
        <v>397.24099999999999</v>
      </c>
      <c r="F447" s="3">
        <v>397.24099999999999</v>
      </c>
      <c r="G447" s="3">
        <v>0</v>
      </c>
      <c r="H447" s="3">
        <v>0</v>
      </c>
      <c r="I447" s="3">
        <v>0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</v>
      </c>
      <c r="P447" s="3">
        <v>0</v>
      </c>
    </row>
    <row r="448" spans="1:16" x14ac:dyDescent="0.2">
      <c r="A448" s="12">
        <v>377</v>
      </c>
      <c r="B448" s="3">
        <v>402.04700000000003</v>
      </c>
      <c r="C448" s="3">
        <v>0</v>
      </c>
      <c r="D448" s="3">
        <v>0</v>
      </c>
      <c r="E448" s="3">
        <v>402.2</v>
      </c>
      <c r="F448" s="3">
        <v>402.2</v>
      </c>
      <c r="G448" s="3">
        <v>0</v>
      </c>
      <c r="H448" s="3">
        <v>0</v>
      </c>
      <c r="I448" s="3">
        <v>0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</v>
      </c>
      <c r="P448" s="3">
        <v>0</v>
      </c>
    </row>
    <row r="449" spans="1:16" x14ac:dyDescent="0.2">
      <c r="A449" s="12">
        <v>378</v>
      </c>
      <c r="B449" s="3">
        <v>407.00299999999999</v>
      </c>
      <c r="C449" s="3">
        <v>0</v>
      </c>
      <c r="D449" s="3">
        <v>0</v>
      </c>
      <c r="E449" s="3">
        <v>407.15800000000002</v>
      </c>
      <c r="F449" s="3">
        <v>407.15800000000002</v>
      </c>
      <c r="G449" s="3">
        <v>0</v>
      </c>
      <c r="H449" s="3">
        <v>0</v>
      </c>
      <c r="I449" s="3">
        <v>0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</v>
      </c>
      <c r="P449" s="3">
        <v>0</v>
      </c>
    </row>
    <row r="450" spans="1:16" x14ac:dyDescent="0.2">
      <c r="A450" s="12">
        <v>379</v>
      </c>
      <c r="B450" s="3">
        <v>411.959</v>
      </c>
      <c r="C450" s="3">
        <v>0</v>
      </c>
      <c r="D450" s="3">
        <v>0</v>
      </c>
      <c r="E450" s="3">
        <v>412.11599999999999</v>
      </c>
      <c r="F450" s="3">
        <v>412.11599999999999</v>
      </c>
      <c r="G450" s="3">
        <v>0</v>
      </c>
      <c r="H450" s="3">
        <v>0</v>
      </c>
      <c r="I450" s="3">
        <v>0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</v>
      </c>
      <c r="P450" s="3">
        <v>0</v>
      </c>
    </row>
    <row r="451" spans="1:16" x14ac:dyDescent="0.2">
      <c r="A451" s="12">
        <v>380</v>
      </c>
      <c r="B451" s="3">
        <v>416.91500000000002</v>
      </c>
      <c r="C451" s="3">
        <v>0</v>
      </c>
      <c r="D451" s="3">
        <v>0</v>
      </c>
      <c r="E451" s="3">
        <v>417.07499999999999</v>
      </c>
      <c r="F451" s="3">
        <v>417.07499999999999</v>
      </c>
      <c r="G451" s="3">
        <v>0</v>
      </c>
      <c r="H451" s="3">
        <v>0</v>
      </c>
      <c r="I451" s="3">
        <v>0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</v>
      </c>
      <c r="P451" s="3">
        <v>0</v>
      </c>
    </row>
    <row r="452" spans="1:16" x14ac:dyDescent="0.2">
      <c r="A452" s="12">
        <v>381</v>
      </c>
      <c r="B452" s="3">
        <v>421.87200000000001</v>
      </c>
      <c r="C452" s="3">
        <v>0</v>
      </c>
      <c r="D452" s="3">
        <v>0</v>
      </c>
      <c r="E452" s="3">
        <v>422.03300000000002</v>
      </c>
      <c r="F452" s="3">
        <v>422.03300000000002</v>
      </c>
      <c r="G452" s="3">
        <v>0</v>
      </c>
      <c r="H452" s="3">
        <v>0</v>
      </c>
      <c r="I452" s="3">
        <v>0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</v>
      </c>
      <c r="P452" s="3">
        <v>0</v>
      </c>
    </row>
    <row r="453" spans="1:16" x14ac:dyDescent="0.2">
      <c r="A453" s="12">
        <v>382</v>
      </c>
      <c r="B453" s="3">
        <v>426.82799999999997</v>
      </c>
      <c r="C453" s="3">
        <v>0</v>
      </c>
      <c r="D453" s="3">
        <v>0</v>
      </c>
      <c r="E453" s="3">
        <v>426.99099999999999</v>
      </c>
      <c r="F453" s="3">
        <v>426.99099999999999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</row>
    <row r="454" spans="1:16" x14ac:dyDescent="0.2">
      <c r="A454" s="12">
        <v>383</v>
      </c>
      <c r="B454" s="3">
        <v>431.78399999999999</v>
      </c>
      <c r="C454" s="3">
        <v>0</v>
      </c>
      <c r="D454" s="3">
        <v>0</v>
      </c>
      <c r="E454" s="3">
        <v>431.95</v>
      </c>
      <c r="F454" s="3">
        <v>431.95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</v>
      </c>
      <c r="P454" s="3">
        <v>0</v>
      </c>
    </row>
    <row r="455" spans="1:16" x14ac:dyDescent="0.2">
      <c r="A455" s="12">
        <v>384</v>
      </c>
      <c r="B455" s="3">
        <v>436.74</v>
      </c>
      <c r="C455" s="3">
        <v>0</v>
      </c>
      <c r="D455" s="3">
        <v>0</v>
      </c>
      <c r="E455" s="3">
        <v>436.90800000000002</v>
      </c>
      <c r="F455" s="3">
        <v>436.90800000000002</v>
      </c>
      <c r="G455" s="3">
        <v>0</v>
      </c>
      <c r="H455" s="3">
        <v>0</v>
      </c>
      <c r="I455" s="3">
        <v>0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</v>
      </c>
      <c r="P455" s="3">
        <v>0</v>
      </c>
    </row>
    <row r="456" spans="1:16" x14ac:dyDescent="0.2">
      <c r="A456" s="12">
        <v>385</v>
      </c>
      <c r="B456" s="3">
        <v>441.69600000000003</v>
      </c>
      <c r="C456" s="3">
        <v>0</v>
      </c>
      <c r="D456" s="3">
        <v>0</v>
      </c>
      <c r="E456" s="3">
        <v>441.86599999999999</v>
      </c>
      <c r="F456" s="3">
        <v>441.86599999999999</v>
      </c>
      <c r="G456" s="3">
        <v>0</v>
      </c>
      <c r="H456" s="3">
        <v>0</v>
      </c>
      <c r="I456" s="3">
        <v>0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</v>
      </c>
      <c r="P456" s="3">
        <v>0</v>
      </c>
    </row>
    <row r="457" spans="1:16" x14ac:dyDescent="0.2">
      <c r="A457" s="12">
        <v>386</v>
      </c>
      <c r="B457" s="3">
        <v>446.65199999999999</v>
      </c>
      <c r="C457" s="3">
        <v>0</v>
      </c>
      <c r="D457" s="3">
        <v>0</v>
      </c>
      <c r="E457" s="3">
        <v>446.82499999999999</v>
      </c>
      <c r="F457" s="3">
        <v>446.82499999999999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</v>
      </c>
      <c r="P457" s="3">
        <v>0</v>
      </c>
    </row>
    <row r="458" spans="1:16" x14ac:dyDescent="0.2">
      <c r="A458" s="12">
        <v>387</v>
      </c>
      <c r="B458" s="3">
        <v>451.608</v>
      </c>
      <c r="C458" s="3">
        <v>0</v>
      </c>
      <c r="D458" s="3">
        <v>0</v>
      </c>
      <c r="E458" s="3">
        <v>451.78300000000002</v>
      </c>
      <c r="F458" s="3">
        <v>451.78300000000002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</v>
      </c>
      <c r="P458" s="3">
        <v>0</v>
      </c>
    </row>
    <row r="459" spans="1:16" x14ac:dyDescent="0.2">
      <c r="A459" s="12">
        <v>388</v>
      </c>
      <c r="B459" s="3">
        <v>456.56400000000002</v>
      </c>
      <c r="C459" s="3">
        <v>0</v>
      </c>
      <c r="D459" s="3">
        <v>0</v>
      </c>
      <c r="E459" s="3">
        <v>456.74200000000002</v>
      </c>
      <c r="F459" s="3">
        <v>456.74200000000002</v>
      </c>
      <c r="G459" s="3">
        <v>0</v>
      </c>
      <c r="H459" s="3">
        <v>0</v>
      </c>
      <c r="I459" s="3">
        <v>0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0</v>
      </c>
      <c r="P459" s="3">
        <v>0</v>
      </c>
    </row>
    <row r="460" spans="1:16" x14ac:dyDescent="0.2">
      <c r="A460" s="12">
        <v>389</v>
      </c>
      <c r="B460" s="3">
        <v>461.52</v>
      </c>
      <c r="C460" s="3">
        <v>0</v>
      </c>
      <c r="D460" s="3">
        <v>0</v>
      </c>
      <c r="E460" s="3">
        <v>461.7</v>
      </c>
      <c r="F460" s="3">
        <v>461.7</v>
      </c>
      <c r="G460" s="3">
        <v>0</v>
      </c>
      <c r="H460" s="3">
        <v>0</v>
      </c>
      <c r="I460" s="3">
        <v>0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</v>
      </c>
      <c r="P460" s="3">
        <v>0</v>
      </c>
    </row>
    <row r="461" spans="1:16" x14ac:dyDescent="0.2">
      <c r="A461" s="12">
        <v>390</v>
      </c>
      <c r="B461" s="3">
        <v>466.476</v>
      </c>
      <c r="C461" s="3">
        <v>0</v>
      </c>
      <c r="D461" s="3">
        <v>0</v>
      </c>
      <c r="E461" s="3">
        <v>466.65800000000002</v>
      </c>
      <c r="F461" s="3">
        <v>466.65800000000002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</v>
      </c>
      <c r="P461" s="3">
        <v>0</v>
      </c>
    </row>
    <row r="462" spans="1:16" x14ac:dyDescent="0.2">
      <c r="A462" s="12">
        <v>391</v>
      </c>
      <c r="B462" s="3">
        <v>471.43200000000002</v>
      </c>
      <c r="C462" s="3">
        <v>0</v>
      </c>
      <c r="D462" s="3">
        <v>0</v>
      </c>
      <c r="E462" s="3">
        <v>471.61700000000002</v>
      </c>
      <c r="F462" s="3">
        <v>471.61700000000002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>
        <v>0</v>
      </c>
      <c r="P462" s="3">
        <v>0</v>
      </c>
    </row>
    <row r="463" spans="1:16" x14ac:dyDescent="0.2">
      <c r="A463" s="12">
        <v>392</v>
      </c>
      <c r="B463" s="3">
        <v>476.38900000000001</v>
      </c>
      <c r="C463" s="3">
        <v>0</v>
      </c>
      <c r="D463" s="3">
        <v>0</v>
      </c>
      <c r="E463" s="3">
        <v>476.57499999999999</v>
      </c>
      <c r="F463" s="3">
        <v>476.57499999999999</v>
      </c>
      <c r="G463" s="3">
        <v>0</v>
      </c>
      <c r="H463" s="3">
        <v>0</v>
      </c>
      <c r="I463" s="3">
        <v>0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</row>
    <row r="464" spans="1:16" x14ac:dyDescent="0.2">
      <c r="A464" s="12">
        <v>393</v>
      </c>
      <c r="B464" s="3">
        <v>481.34500000000003</v>
      </c>
      <c r="C464" s="3">
        <v>0</v>
      </c>
      <c r="D464" s="3">
        <v>0</v>
      </c>
      <c r="E464" s="3">
        <v>481.53300000000002</v>
      </c>
      <c r="F464" s="3">
        <v>481.53300000000002</v>
      </c>
      <c r="G464" s="3">
        <v>0</v>
      </c>
      <c r="H464" s="3">
        <v>0</v>
      </c>
      <c r="I464" s="3">
        <v>0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0</v>
      </c>
      <c r="P464" s="3">
        <v>0</v>
      </c>
    </row>
    <row r="465" spans="1:16" x14ac:dyDescent="0.2">
      <c r="A465" s="12">
        <v>394</v>
      </c>
      <c r="B465" s="3">
        <v>486.30099999999999</v>
      </c>
      <c r="C465" s="3">
        <v>0</v>
      </c>
      <c r="D465" s="3">
        <v>0</v>
      </c>
      <c r="E465" s="3">
        <v>486.49200000000002</v>
      </c>
      <c r="F465" s="3">
        <v>486.49200000000002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>
        <v>0</v>
      </c>
      <c r="P465" s="3">
        <v>0</v>
      </c>
    </row>
    <row r="466" spans="1:16" x14ac:dyDescent="0.2">
      <c r="A466" s="12">
        <v>395</v>
      </c>
      <c r="B466" s="3">
        <v>491.25700000000001</v>
      </c>
      <c r="C466" s="3">
        <v>0</v>
      </c>
      <c r="D466" s="3">
        <v>0</v>
      </c>
      <c r="E466" s="3">
        <v>491.45</v>
      </c>
      <c r="F466" s="3">
        <v>491.45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>
        <v>0</v>
      </c>
      <c r="P466" s="3">
        <v>0</v>
      </c>
    </row>
    <row r="467" spans="1:16" x14ac:dyDescent="0.2">
      <c r="A467" s="12">
        <v>396</v>
      </c>
      <c r="B467" s="3">
        <v>496.21300000000002</v>
      </c>
      <c r="C467" s="3">
        <v>0</v>
      </c>
      <c r="D467" s="3">
        <v>0</v>
      </c>
      <c r="E467" s="3">
        <v>496.40800000000002</v>
      </c>
      <c r="F467" s="3">
        <v>496.40800000000002</v>
      </c>
      <c r="G467" s="3">
        <v>0</v>
      </c>
      <c r="H467" s="3">
        <v>0</v>
      </c>
      <c r="I467" s="3">
        <v>0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</v>
      </c>
      <c r="P467" s="3">
        <v>0</v>
      </c>
    </row>
    <row r="468" spans="1:16" x14ac:dyDescent="0.2">
      <c r="A468" s="12">
        <v>397</v>
      </c>
      <c r="B468" s="3">
        <v>501.16899999999998</v>
      </c>
      <c r="C468" s="3">
        <v>0</v>
      </c>
      <c r="D468" s="3">
        <v>0</v>
      </c>
      <c r="E468" s="3">
        <v>501.36700000000002</v>
      </c>
      <c r="F468" s="3">
        <v>501.36700000000002</v>
      </c>
      <c r="G468" s="3">
        <v>0</v>
      </c>
      <c r="H468" s="3">
        <v>0</v>
      </c>
      <c r="I468" s="3">
        <v>0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</row>
    <row r="469" spans="1:16" x14ac:dyDescent="0.2">
      <c r="A469" s="12">
        <v>398</v>
      </c>
      <c r="B469" s="3">
        <v>506.125</v>
      </c>
      <c r="C469" s="3">
        <v>0</v>
      </c>
      <c r="D469" s="3">
        <v>0</v>
      </c>
      <c r="E469" s="3">
        <v>506.32499999999999</v>
      </c>
      <c r="F469" s="3">
        <v>506.32499999999999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>
        <v>0</v>
      </c>
      <c r="P469" s="3">
        <v>0</v>
      </c>
    </row>
    <row r="470" spans="1:16" x14ac:dyDescent="0.2">
      <c r="A470" s="12">
        <v>399</v>
      </c>
      <c r="B470" s="3">
        <v>511.08100000000002</v>
      </c>
      <c r="C470" s="3">
        <v>0</v>
      </c>
      <c r="D470" s="3">
        <v>0</v>
      </c>
      <c r="E470" s="3">
        <v>511.28300000000002</v>
      </c>
      <c r="F470" s="3">
        <v>511.28300000000002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>
        <v>0</v>
      </c>
      <c r="P470" s="3">
        <v>0</v>
      </c>
    </row>
    <row r="471" spans="1:16" x14ac:dyDescent="0.2">
      <c r="A471" s="12">
        <v>400</v>
      </c>
      <c r="B471" s="3">
        <v>516.03700000000003</v>
      </c>
      <c r="C471" s="3">
        <v>0</v>
      </c>
      <c r="D471" s="3">
        <v>0</v>
      </c>
      <c r="E471" s="3">
        <v>516.24199999999996</v>
      </c>
      <c r="F471" s="3">
        <v>516.24199999999996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>
        <v>0</v>
      </c>
      <c r="P471" s="3">
        <v>0</v>
      </c>
    </row>
    <row r="472" spans="1:16" x14ac:dyDescent="0.2">
      <c r="A472" s="12">
        <v>401</v>
      </c>
      <c r="B472" s="3">
        <v>520.99300000000005</v>
      </c>
      <c r="C472" s="3">
        <v>0</v>
      </c>
      <c r="D472" s="3">
        <v>0</v>
      </c>
      <c r="E472" s="3">
        <v>521.20000000000005</v>
      </c>
      <c r="F472" s="3">
        <v>521.20000000000005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</v>
      </c>
      <c r="P472" s="3">
        <v>0</v>
      </c>
    </row>
    <row r="473" spans="1:16" x14ac:dyDescent="0.2">
      <c r="A473" s="12">
        <v>402</v>
      </c>
      <c r="B473" s="3">
        <v>525.94899999999996</v>
      </c>
      <c r="C473" s="3">
        <v>0</v>
      </c>
      <c r="D473" s="3">
        <v>0</v>
      </c>
      <c r="E473" s="3">
        <v>526.15899999999999</v>
      </c>
      <c r="F473" s="3">
        <v>526.15899999999999</v>
      </c>
      <c r="G473" s="3">
        <v>0</v>
      </c>
      <c r="H473" s="3">
        <v>0</v>
      </c>
      <c r="I473" s="3">
        <v>0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</v>
      </c>
      <c r="P473" s="3">
        <v>0</v>
      </c>
    </row>
    <row r="474" spans="1:16" x14ac:dyDescent="0.2">
      <c r="A474" s="12">
        <v>403</v>
      </c>
      <c r="B474" s="3">
        <v>530.90599999999995</v>
      </c>
      <c r="C474" s="3">
        <v>0</v>
      </c>
      <c r="D474" s="3">
        <v>0</v>
      </c>
      <c r="E474" s="3">
        <v>531.11699999999996</v>
      </c>
      <c r="F474" s="3">
        <v>531.11699999999996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0</v>
      </c>
      <c r="P474" s="3">
        <v>0</v>
      </c>
    </row>
    <row r="475" spans="1:16" x14ac:dyDescent="0.2">
      <c r="A475" s="12">
        <v>404</v>
      </c>
      <c r="B475" s="3">
        <v>535.86199999999997</v>
      </c>
      <c r="C475" s="3">
        <v>0</v>
      </c>
      <c r="D475" s="3">
        <v>0</v>
      </c>
      <c r="E475" s="3">
        <v>536.07500000000005</v>
      </c>
      <c r="F475" s="3">
        <v>536.07500000000005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0</v>
      </c>
      <c r="P475" s="3">
        <v>0</v>
      </c>
    </row>
    <row r="476" spans="1:16" x14ac:dyDescent="0.2">
      <c r="A476" s="12">
        <v>405</v>
      </c>
      <c r="B476" s="3">
        <v>540.81799999999998</v>
      </c>
      <c r="C476" s="3">
        <v>0</v>
      </c>
      <c r="D476" s="3">
        <v>0</v>
      </c>
      <c r="E476" s="3">
        <v>541.03399999999999</v>
      </c>
      <c r="F476" s="3">
        <v>541.03399999999999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0</v>
      </c>
      <c r="P476" s="3">
        <v>0</v>
      </c>
    </row>
    <row r="477" spans="1:16" x14ac:dyDescent="0.2">
      <c r="A477" s="12">
        <v>406</v>
      </c>
      <c r="B477" s="3">
        <v>545.774</v>
      </c>
      <c r="C477" s="3">
        <v>0</v>
      </c>
      <c r="D477" s="3">
        <v>0</v>
      </c>
      <c r="E477" s="3">
        <v>545.99199999999996</v>
      </c>
      <c r="F477" s="3">
        <v>545.99199999999996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</v>
      </c>
      <c r="P477" s="3">
        <v>0</v>
      </c>
    </row>
    <row r="478" spans="1:16" x14ac:dyDescent="0.2">
      <c r="A478" s="12">
        <v>407</v>
      </c>
      <c r="B478" s="3">
        <v>550.73</v>
      </c>
      <c r="C478" s="3">
        <v>0</v>
      </c>
      <c r="D478" s="3">
        <v>0</v>
      </c>
      <c r="E478" s="3">
        <v>550.95100000000002</v>
      </c>
      <c r="F478" s="3">
        <v>550.95100000000002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>
        <v>0</v>
      </c>
      <c r="P478" s="3">
        <v>0</v>
      </c>
    </row>
    <row r="479" spans="1:16" x14ac:dyDescent="0.2">
      <c r="A479" s="12">
        <v>408</v>
      </c>
      <c r="B479" s="3">
        <v>555.68600000000004</v>
      </c>
      <c r="C479" s="3">
        <v>0</v>
      </c>
      <c r="D479" s="3">
        <v>0</v>
      </c>
      <c r="E479" s="3">
        <v>555.90899999999999</v>
      </c>
      <c r="F479" s="3">
        <v>555.90899999999999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>
        <v>0</v>
      </c>
      <c r="P479" s="3">
        <v>0</v>
      </c>
    </row>
    <row r="480" spans="1:16" x14ac:dyDescent="0.2">
      <c r="A480" s="12">
        <v>409</v>
      </c>
      <c r="B480" s="3">
        <v>560.64200000000005</v>
      </c>
      <c r="C480" s="3">
        <v>0</v>
      </c>
      <c r="D480" s="3">
        <v>0</v>
      </c>
      <c r="E480" s="3">
        <v>560.86699999999996</v>
      </c>
      <c r="F480" s="3">
        <v>560.86699999999996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</v>
      </c>
      <c r="P480" s="3">
        <v>0</v>
      </c>
    </row>
    <row r="481" spans="1:16" x14ac:dyDescent="0.2">
      <c r="A481" s="12">
        <v>410</v>
      </c>
      <c r="B481" s="3">
        <v>565.59799999999996</v>
      </c>
      <c r="C481" s="3">
        <v>0</v>
      </c>
      <c r="D481" s="3">
        <v>0</v>
      </c>
      <c r="E481" s="3">
        <v>565.82600000000002</v>
      </c>
      <c r="F481" s="3">
        <v>565.82600000000002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</v>
      </c>
      <c r="P481" s="3">
        <v>0</v>
      </c>
    </row>
    <row r="482" spans="1:16" x14ac:dyDescent="0.2">
      <c r="A482" s="12">
        <v>411</v>
      </c>
      <c r="B482" s="3">
        <v>570.55499999999995</v>
      </c>
      <c r="C482" s="3">
        <v>0</v>
      </c>
      <c r="D482" s="3">
        <v>0</v>
      </c>
      <c r="E482" s="3">
        <v>570.78399999999999</v>
      </c>
      <c r="F482" s="3">
        <v>570.78399999999999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</v>
      </c>
      <c r="P482" s="3">
        <v>0</v>
      </c>
    </row>
    <row r="483" spans="1:16" x14ac:dyDescent="0.2">
      <c r="A483" s="12">
        <v>412</v>
      </c>
      <c r="B483" s="3">
        <v>575.51099999999997</v>
      </c>
      <c r="C483" s="3">
        <v>0</v>
      </c>
      <c r="D483" s="3">
        <v>0</v>
      </c>
      <c r="E483" s="3">
        <v>575.74300000000005</v>
      </c>
      <c r="F483" s="3">
        <v>575.74300000000005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>
        <v>0</v>
      </c>
      <c r="P483" s="3">
        <v>0</v>
      </c>
    </row>
    <row r="484" spans="1:16" x14ac:dyDescent="0.2">
      <c r="A484" s="12">
        <v>413</v>
      </c>
      <c r="B484" s="3">
        <v>580.46699999999998</v>
      </c>
      <c r="C484" s="3">
        <v>0</v>
      </c>
      <c r="D484" s="3">
        <v>0</v>
      </c>
      <c r="E484" s="3">
        <v>580.70100000000002</v>
      </c>
      <c r="F484" s="3">
        <v>580.70100000000002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>
        <v>0</v>
      </c>
      <c r="P484" s="3">
        <v>0</v>
      </c>
    </row>
    <row r="485" spans="1:16" x14ac:dyDescent="0.2">
      <c r="A485" s="12">
        <v>414</v>
      </c>
      <c r="B485" s="3">
        <v>585.423</v>
      </c>
      <c r="C485" s="3">
        <v>0</v>
      </c>
      <c r="D485" s="3">
        <v>0</v>
      </c>
      <c r="E485" s="3">
        <v>585.65899999999999</v>
      </c>
      <c r="F485" s="3">
        <v>585.65899999999999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>
        <v>0</v>
      </c>
      <c r="P485" s="3">
        <v>0</v>
      </c>
    </row>
    <row r="486" spans="1:16" x14ac:dyDescent="0.2">
      <c r="A486" s="12">
        <v>415</v>
      </c>
      <c r="B486" s="3">
        <v>590.37900000000002</v>
      </c>
      <c r="C486" s="3">
        <v>0</v>
      </c>
      <c r="D486" s="3">
        <v>0</v>
      </c>
      <c r="E486" s="3">
        <v>590.61800000000005</v>
      </c>
      <c r="F486" s="3">
        <v>590.61800000000005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0</v>
      </c>
      <c r="P486" s="3">
        <v>0</v>
      </c>
    </row>
    <row r="487" spans="1:16" x14ac:dyDescent="0.2">
      <c r="A487" s="12">
        <v>416</v>
      </c>
      <c r="B487" s="3">
        <v>595.33500000000004</v>
      </c>
      <c r="C487" s="3">
        <v>0</v>
      </c>
      <c r="D487" s="3">
        <v>0</v>
      </c>
      <c r="E487" s="3">
        <v>595.57600000000002</v>
      </c>
      <c r="F487" s="3">
        <v>595.57600000000002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>
        <v>0</v>
      </c>
      <c r="P487" s="3">
        <v>0</v>
      </c>
    </row>
    <row r="488" spans="1:16" x14ac:dyDescent="0.2">
      <c r="A488" s="12">
        <v>417</v>
      </c>
      <c r="B488" s="3">
        <v>600.29100000000005</v>
      </c>
      <c r="C488" s="3">
        <v>0</v>
      </c>
      <c r="D488" s="3">
        <v>0</v>
      </c>
      <c r="E488" s="3">
        <v>600.53499999999997</v>
      </c>
      <c r="F488" s="3">
        <v>600.53499999999997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  <c r="L488" s="3">
        <v>0</v>
      </c>
      <c r="M488" s="3">
        <v>0</v>
      </c>
      <c r="N488" s="3">
        <v>0</v>
      </c>
      <c r="O488" s="3">
        <v>0</v>
      </c>
      <c r="P488" s="3">
        <v>0</v>
      </c>
    </row>
    <row r="489" spans="1:16" x14ac:dyDescent="0.2">
      <c r="A489" s="12">
        <v>418</v>
      </c>
      <c r="B489" s="3">
        <v>605.24699999999996</v>
      </c>
      <c r="C489" s="3">
        <v>0</v>
      </c>
      <c r="D489" s="3">
        <v>0</v>
      </c>
      <c r="E489" s="3">
        <v>605.49300000000005</v>
      </c>
      <c r="F489" s="3">
        <v>605.49300000000005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</v>
      </c>
      <c r="P489" s="3">
        <v>0</v>
      </c>
    </row>
    <row r="490" spans="1:16" x14ac:dyDescent="0.2">
      <c r="A490" s="12">
        <v>419</v>
      </c>
      <c r="B490" s="3">
        <v>610.20299999999997</v>
      </c>
      <c r="C490" s="3">
        <v>0</v>
      </c>
      <c r="D490" s="3">
        <v>0</v>
      </c>
      <c r="E490" s="3">
        <v>610.452</v>
      </c>
      <c r="F490" s="3">
        <v>610.452</v>
      </c>
      <c r="G490" s="3">
        <v>0</v>
      </c>
      <c r="H490" s="3">
        <v>0</v>
      </c>
      <c r="I490" s="3">
        <v>0</v>
      </c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>
        <v>0</v>
      </c>
      <c r="P490" s="3">
        <v>0</v>
      </c>
    </row>
    <row r="491" spans="1:16" x14ac:dyDescent="0.2">
      <c r="A491" s="12">
        <v>420</v>
      </c>
      <c r="B491" s="3">
        <v>615.16</v>
      </c>
      <c r="C491" s="3">
        <v>0</v>
      </c>
      <c r="D491" s="3">
        <v>0</v>
      </c>
      <c r="E491" s="3">
        <v>615.41</v>
      </c>
      <c r="F491" s="3">
        <v>615.41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</row>
    <row r="492" spans="1:16" x14ac:dyDescent="0.2">
      <c r="A492" s="12">
        <v>421</v>
      </c>
      <c r="B492" s="3">
        <v>620.11599999999999</v>
      </c>
      <c r="C492" s="3">
        <v>0</v>
      </c>
      <c r="D492" s="3">
        <v>0</v>
      </c>
      <c r="E492" s="3">
        <v>620.36800000000005</v>
      </c>
      <c r="F492" s="3">
        <v>620.36800000000005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>
        <v>0</v>
      </c>
      <c r="P492" s="3">
        <v>0</v>
      </c>
    </row>
    <row r="493" spans="1:16" x14ac:dyDescent="0.2">
      <c r="A493" s="12">
        <v>422</v>
      </c>
      <c r="B493" s="3">
        <v>625.072</v>
      </c>
      <c r="C493" s="3">
        <v>0</v>
      </c>
      <c r="D493" s="3">
        <v>0</v>
      </c>
      <c r="E493" s="3">
        <v>625.327</v>
      </c>
      <c r="F493" s="3">
        <v>625.327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>
        <v>0</v>
      </c>
      <c r="P493" s="3">
        <v>0</v>
      </c>
    </row>
    <row r="494" spans="1:16" x14ac:dyDescent="0.2">
      <c r="A494" s="12">
        <v>423</v>
      </c>
      <c r="B494" s="3">
        <v>630.02800000000002</v>
      </c>
      <c r="C494" s="3">
        <v>0</v>
      </c>
      <c r="D494" s="3">
        <v>0</v>
      </c>
      <c r="E494" s="3">
        <v>630.28499999999997</v>
      </c>
      <c r="F494" s="3">
        <v>630.28499999999997</v>
      </c>
      <c r="G494" s="3">
        <v>0</v>
      </c>
      <c r="H494" s="3">
        <v>0</v>
      </c>
      <c r="I494" s="3">
        <v>0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</v>
      </c>
      <c r="P494" s="3">
        <v>0</v>
      </c>
    </row>
    <row r="495" spans="1:16" x14ac:dyDescent="0.2">
      <c r="A495" s="12">
        <v>424</v>
      </c>
      <c r="B495" s="3">
        <v>634.98400000000004</v>
      </c>
      <c r="C495" s="3">
        <v>0</v>
      </c>
      <c r="D495" s="3">
        <v>0</v>
      </c>
      <c r="E495" s="3">
        <v>635.24400000000003</v>
      </c>
      <c r="F495" s="3">
        <v>635.24400000000003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0</v>
      </c>
      <c r="P495" s="3">
        <v>0</v>
      </c>
    </row>
    <row r="496" spans="1:16" x14ac:dyDescent="0.2">
      <c r="A496" s="12">
        <v>425</v>
      </c>
      <c r="B496" s="3">
        <v>639.94000000000005</v>
      </c>
      <c r="C496" s="3">
        <v>0</v>
      </c>
      <c r="D496" s="3">
        <v>0</v>
      </c>
      <c r="E496" s="3">
        <v>640.202</v>
      </c>
      <c r="F496" s="3">
        <v>640.202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</v>
      </c>
      <c r="P496" s="3">
        <v>0</v>
      </c>
    </row>
    <row r="497" spans="1:16" x14ac:dyDescent="0.2">
      <c r="A497" s="12">
        <v>426</v>
      </c>
      <c r="B497" s="3">
        <v>644.89599999999996</v>
      </c>
      <c r="C497" s="3">
        <v>0</v>
      </c>
      <c r="D497" s="3">
        <v>0</v>
      </c>
      <c r="E497" s="3">
        <v>645.16099999999994</v>
      </c>
      <c r="F497" s="3">
        <v>645.16099999999994</v>
      </c>
      <c r="G497" s="3">
        <v>0</v>
      </c>
      <c r="H497" s="3">
        <v>0</v>
      </c>
      <c r="I497" s="3">
        <v>0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</v>
      </c>
      <c r="P497" s="3">
        <v>0</v>
      </c>
    </row>
    <row r="498" spans="1:16" x14ac:dyDescent="0.2">
      <c r="A498" s="12">
        <v>427</v>
      </c>
      <c r="B498" s="3">
        <v>649.85199999999998</v>
      </c>
      <c r="C498" s="3">
        <v>0</v>
      </c>
      <c r="D498" s="3">
        <v>0</v>
      </c>
      <c r="E498" s="3">
        <v>650.11900000000003</v>
      </c>
      <c r="F498" s="3">
        <v>650.11900000000003</v>
      </c>
      <c r="G498" s="3">
        <v>0</v>
      </c>
      <c r="H498" s="3">
        <v>0</v>
      </c>
      <c r="I498" s="3">
        <v>0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0</v>
      </c>
      <c r="P498" s="3">
        <v>0</v>
      </c>
    </row>
    <row r="499" spans="1:16" x14ac:dyDescent="0.2">
      <c r="A499" s="12">
        <v>428</v>
      </c>
      <c r="B499" s="3">
        <v>654.80799999999999</v>
      </c>
      <c r="C499" s="3">
        <v>0</v>
      </c>
      <c r="D499" s="3">
        <v>0</v>
      </c>
      <c r="E499" s="3">
        <v>655.07799999999997</v>
      </c>
      <c r="F499" s="3">
        <v>655.07799999999997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</v>
      </c>
      <c r="P499" s="3">
        <v>0</v>
      </c>
    </row>
    <row r="500" spans="1:16" x14ac:dyDescent="0.2">
      <c r="A500" s="12">
        <v>429</v>
      </c>
      <c r="B500" s="3">
        <v>659.76499999999999</v>
      </c>
      <c r="C500" s="3">
        <v>0</v>
      </c>
      <c r="D500" s="3">
        <v>0</v>
      </c>
      <c r="E500" s="3">
        <v>660.03599999999994</v>
      </c>
      <c r="F500" s="3">
        <v>660.03599999999994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</v>
      </c>
      <c r="P500" s="3">
        <v>0</v>
      </c>
    </row>
    <row r="501" spans="1:16" x14ac:dyDescent="0.2">
      <c r="A501" s="12">
        <v>430</v>
      </c>
      <c r="B501" s="3">
        <v>664.721</v>
      </c>
      <c r="C501" s="3">
        <v>0</v>
      </c>
      <c r="D501" s="3">
        <v>0</v>
      </c>
      <c r="E501" s="3">
        <v>664.99400000000003</v>
      </c>
      <c r="F501" s="3">
        <v>664.99400000000003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</row>
    <row r="502" spans="1:16" x14ac:dyDescent="0.2">
      <c r="A502" s="12">
        <v>431</v>
      </c>
      <c r="B502" s="3">
        <v>669.67700000000002</v>
      </c>
      <c r="C502" s="3">
        <v>0</v>
      </c>
      <c r="D502" s="3">
        <v>0</v>
      </c>
      <c r="E502" s="3">
        <v>669.95299999999997</v>
      </c>
      <c r="F502" s="3">
        <v>669.95299999999997</v>
      </c>
      <c r="G502" s="3">
        <v>0</v>
      </c>
      <c r="H502" s="3">
        <v>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</row>
    <row r="503" spans="1:16" x14ac:dyDescent="0.2">
      <c r="A503" s="12">
        <v>432</v>
      </c>
      <c r="B503" s="3">
        <v>674.63300000000004</v>
      </c>
      <c r="C503" s="3">
        <v>0</v>
      </c>
      <c r="D503" s="3">
        <v>0</v>
      </c>
      <c r="E503" s="3">
        <v>674.91099999999994</v>
      </c>
      <c r="F503" s="3">
        <v>674.91099999999994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</row>
    <row r="504" spans="1:16" x14ac:dyDescent="0.2">
      <c r="A504" s="12">
        <v>433</v>
      </c>
      <c r="B504" s="3">
        <v>679.58900000000006</v>
      </c>
      <c r="C504" s="3">
        <v>0</v>
      </c>
      <c r="D504" s="3">
        <v>0</v>
      </c>
      <c r="E504" s="3">
        <v>679.87</v>
      </c>
      <c r="F504" s="3">
        <v>679.87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</row>
    <row r="505" spans="1:16" x14ac:dyDescent="0.2">
      <c r="A505" s="12">
        <v>434</v>
      </c>
      <c r="B505" s="3">
        <v>684.54499999999996</v>
      </c>
      <c r="C505" s="3">
        <v>0</v>
      </c>
      <c r="D505" s="3">
        <v>0</v>
      </c>
      <c r="E505" s="3">
        <v>684.82799999999997</v>
      </c>
      <c r="F505" s="3">
        <v>684.82799999999997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>
        <v>0</v>
      </c>
      <c r="P505" s="3">
        <v>0</v>
      </c>
    </row>
    <row r="506" spans="1:16" x14ac:dyDescent="0.2">
      <c r="A506" s="12">
        <v>435</v>
      </c>
      <c r="B506" s="3">
        <v>689.50099999999998</v>
      </c>
      <c r="C506" s="3">
        <v>0</v>
      </c>
      <c r="D506" s="3">
        <v>0</v>
      </c>
      <c r="E506" s="3">
        <v>689.78700000000003</v>
      </c>
      <c r="F506" s="3">
        <v>689.78700000000003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</row>
    <row r="507" spans="1:16" x14ac:dyDescent="0.2">
      <c r="A507" s="12">
        <v>436</v>
      </c>
      <c r="B507" s="3">
        <v>694.45699999999999</v>
      </c>
      <c r="C507" s="3">
        <v>0</v>
      </c>
      <c r="D507" s="3">
        <v>0</v>
      </c>
      <c r="E507" s="3">
        <v>694.745</v>
      </c>
      <c r="F507" s="3">
        <v>694.745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</row>
    <row r="508" spans="1:16" x14ac:dyDescent="0.2">
      <c r="A508" s="12">
        <v>437</v>
      </c>
      <c r="B508" s="3">
        <v>697.803</v>
      </c>
      <c r="C508" s="3">
        <v>0</v>
      </c>
      <c r="D508" s="3">
        <v>0</v>
      </c>
      <c r="E508" s="3">
        <v>698.09199999999998</v>
      </c>
      <c r="F508" s="3">
        <v>698.09199999999998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</v>
      </c>
      <c r="P508" s="3">
        <v>0</v>
      </c>
    </row>
    <row r="509" spans="1:16" x14ac:dyDescent="0.2">
      <c r="A509" s="12">
        <v>438</v>
      </c>
      <c r="B509" s="3">
        <v>700.03300000000002</v>
      </c>
      <c r="C509" s="3">
        <v>0</v>
      </c>
      <c r="D509" s="3">
        <v>0</v>
      </c>
      <c r="E509" s="3">
        <v>700.32299999999998</v>
      </c>
      <c r="F509" s="3">
        <v>700.32299999999998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</row>
    <row r="510" spans="1:16" x14ac:dyDescent="0.2">
      <c r="A510" s="12">
        <v>439</v>
      </c>
      <c r="B510" s="3">
        <v>701.52</v>
      </c>
      <c r="C510" s="3">
        <v>0</v>
      </c>
      <c r="D510" s="3">
        <v>0</v>
      </c>
      <c r="E510" s="3">
        <v>701.81100000000004</v>
      </c>
      <c r="F510" s="3">
        <v>701.81100000000004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>
        <v>0</v>
      </c>
      <c r="P510" s="3">
        <v>0</v>
      </c>
    </row>
    <row r="511" spans="1:16" x14ac:dyDescent="0.2">
      <c r="A511" s="12">
        <v>440</v>
      </c>
      <c r="B511" s="3">
        <v>702.51099999999997</v>
      </c>
      <c r="C511" s="3">
        <v>0</v>
      </c>
      <c r="D511" s="3">
        <v>0</v>
      </c>
      <c r="E511" s="3">
        <v>702.80200000000002</v>
      </c>
      <c r="F511" s="3">
        <v>702.80200000000002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>
        <v>0</v>
      </c>
      <c r="P511" s="3">
        <v>0</v>
      </c>
    </row>
    <row r="512" spans="1:16" x14ac:dyDescent="0.2">
      <c r="A512" s="12">
        <v>441</v>
      </c>
      <c r="B512" s="3">
        <v>703.47400000000005</v>
      </c>
      <c r="C512" s="3">
        <v>0</v>
      </c>
      <c r="D512" s="3">
        <v>0</v>
      </c>
      <c r="E512" s="3">
        <v>703.76499999999999</v>
      </c>
      <c r="F512" s="3">
        <v>703.76499999999999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</v>
      </c>
      <c r="P512" s="3">
        <v>0</v>
      </c>
    </row>
    <row r="513" spans="1:16" x14ac:dyDescent="0.2">
      <c r="A513" s="12">
        <v>442</v>
      </c>
      <c r="B513" s="3">
        <v>704.91700000000003</v>
      </c>
      <c r="C513" s="3">
        <v>0</v>
      </c>
      <c r="D513" s="3">
        <v>0</v>
      </c>
      <c r="E513" s="3">
        <v>705.21</v>
      </c>
      <c r="F513" s="3">
        <v>705.21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</v>
      </c>
      <c r="P513" s="3">
        <v>0</v>
      </c>
    </row>
    <row r="514" spans="1:16" x14ac:dyDescent="0.2">
      <c r="A514" s="12">
        <v>443</v>
      </c>
      <c r="B514" s="3">
        <v>707.08299999999997</v>
      </c>
      <c r="C514" s="3">
        <v>0</v>
      </c>
      <c r="D514" s="3">
        <v>0</v>
      </c>
      <c r="E514" s="3">
        <v>707.37599999999998</v>
      </c>
      <c r="F514" s="3">
        <v>707.37599999999998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</v>
      </c>
      <c r="P514" s="3">
        <v>0</v>
      </c>
    </row>
    <row r="515" spans="1:16" x14ac:dyDescent="0.2">
      <c r="A515" s="12">
        <v>444</v>
      </c>
      <c r="B515" s="3">
        <v>710.33199999999999</v>
      </c>
      <c r="C515" s="3">
        <v>0</v>
      </c>
      <c r="D515" s="3">
        <v>0</v>
      </c>
      <c r="E515" s="3">
        <v>710.62599999999998</v>
      </c>
      <c r="F515" s="3">
        <v>710.62599999999998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</row>
    <row r="516" spans="1:16" x14ac:dyDescent="0.2">
      <c r="A516" s="12">
        <v>445</v>
      </c>
      <c r="B516" s="3">
        <v>715.14400000000001</v>
      </c>
      <c r="C516" s="3">
        <v>0</v>
      </c>
      <c r="D516" s="3">
        <v>0</v>
      </c>
      <c r="E516" s="3">
        <v>715.44100000000003</v>
      </c>
      <c r="F516" s="3">
        <v>715.44100000000003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</v>
      </c>
      <c r="P516" s="3">
        <v>0</v>
      </c>
    </row>
    <row r="517" spans="1:16" x14ac:dyDescent="0.2">
      <c r="A517" s="12">
        <v>446</v>
      </c>
      <c r="B517" s="3">
        <v>719.95699999999999</v>
      </c>
      <c r="C517" s="3">
        <v>0</v>
      </c>
      <c r="D517" s="3">
        <v>0</v>
      </c>
      <c r="E517" s="3">
        <v>720.255</v>
      </c>
      <c r="F517" s="3">
        <v>720.255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</row>
    <row r="518" spans="1:16" x14ac:dyDescent="0.2">
      <c r="A518" s="12">
        <v>447</v>
      </c>
      <c r="B518" s="3">
        <v>724.76900000000001</v>
      </c>
      <c r="C518" s="3">
        <v>0</v>
      </c>
      <c r="D518" s="3">
        <v>0</v>
      </c>
      <c r="E518" s="3">
        <v>725.07</v>
      </c>
      <c r="F518" s="3">
        <v>725.07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0</v>
      </c>
      <c r="P518" s="3">
        <v>0</v>
      </c>
    </row>
    <row r="519" spans="1:16" x14ac:dyDescent="0.2">
      <c r="A519" s="12">
        <v>448</v>
      </c>
      <c r="B519" s="3">
        <v>729.58199999999999</v>
      </c>
      <c r="C519" s="3">
        <v>0</v>
      </c>
      <c r="D519" s="3">
        <v>0</v>
      </c>
      <c r="E519" s="3">
        <v>729.88499999999999</v>
      </c>
      <c r="F519" s="3">
        <v>729.88499999999999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</row>
    <row r="520" spans="1:16" x14ac:dyDescent="0.2">
      <c r="A520" s="12">
        <v>449</v>
      </c>
      <c r="B520" s="3">
        <v>734.39499999999998</v>
      </c>
      <c r="C520" s="3">
        <v>0</v>
      </c>
      <c r="D520" s="3">
        <v>0</v>
      </c>
      <c r="E520" s="3">
        <v>734.69899999999996</v>
      </c>
      <c r="F520" s="3">
        <v>734.69899999999996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</row>
    <row r="521" spans="1:16" x14ac:dyDescent="0.2">
      <c r="A521" s="12">
        <v>450</v>
      </c>
      <c r="B521" s="3">
        <v>739.20699999999999</v>
      </c>
      <c r="C521" s="3">
        <v>0</v>
      </c>
      <c r="D521" s="3">
        <v>0</v>
      </c>
      <c r="E521" s="3">
        <v>739.51400000000001</v>
      </c>
      <c r="F521" s="3">
        <v>739.51400000000001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</row>
    <row r="522" spans="1:16" x14ac:dyDescent="0.2">
      <c r="A522" s="12">
        <v>451</v>
      </c>
      <c r="B522" s="3">
        <v>744.02</v>
      </c>
      <c r="C522" s="3">
        <v>0</v>
      </c>
      <c r="D522" s="3">
        <v>0</v>
      </c>
      <c r="E522" s="3">
        <v>744.32899999999995</v>
      </c>
      <c r="F522" s="3">
        <v>744.32899999999995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</v>
      </c>
      <c r="P522" s="3">
        <v>0</v>
      </c>
    </row>
    <row r="523" spans="1:16" x14ac:dyDescent="0.2">
      <c r="A523" s="12">
        <v>452</v>
      </c>
      <c r="B523" s="3">
        <v>748.83299999999997</v>
      </c>
      <c r="C523" s="3">
        <v>0</v>
      </c>
      <c r="D523" s="3">
        <v>0</v>
      </c>
      <c r="E523" s="3">
        <v>749.14300000000003</v>
      </c>
      <c r="F523" s="3">
        <v>749.14300000000003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</v>
      </c>
      <c r="P523" s="3">
        <v>0</v>
      </c>
    </row>
    <row r="524" spans="1:16" x14ac:dyDescent="0.2">
      <c r="A524" s="12">
        <v>453</v>
      </c>
      <c r="B524" s="3">
        <v>753.64499999999998</v>
      </c>
      <c r="C524" s="3">
        <v>0</v>
      </c>
      <c r="D524" s="3">
        <v>0</v>
      </c>
      <c r="E524" s="3">
        <v>753.95799999999997</v>
      </c>
      <c r="F524" s="3">
        <v>753.95799999999997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>
        <v>0</v>
      </c>
      <c r="P524" s="3">
        <v>0</v>
      </c>
    </row>
    <row r="525" spans="1:16" x14ac:dyDescent="0.2">
      <c r="A525" s="12">
        <v>454</v>
      </c>
      <c r="B525" s="3">
        <v>758.45799999999997</v>
      </c>
      <c r="C525" s="3">
        <v>0</v>
      </c>
      <c r="D525" s="3">
        <v>0</v>
      </c>
      <c r="E525" s="3">
        <v>758.77200000000005</v>
      </c>
      <c r="F525" s="3">
        <v>758.77200000000005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>
        <v>0</v>
      </c>
      <c r="P525" s="3">
        <v>0</v>
      </c>
    </row>
    <row r="526" spans="1:16" x14ac:dyDescent="0.2">
      <c r="A526" s="12">
        <v>455</v>
      </c>
      <c r="B526" s="3">
        <v>763.27</v>
      </c>
      <c r="C526" s="3">
        <v>0</v>
      </c>
      <c r="D526" s="3">
        <v>0</v>
      </c>
      <c r="E526" s="3">
        <v>763.58699999999999</v>
      </c>
      <c r="F526" s="3">
        <v>763.58699999999999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0</v>
      </c>
      <c r="P526" s="3">
        <v>0</v>
      </c>
    </row>
    <row r="527" spans="1:16" x14ac:dyDescent="0.2">
      <c r="A527" s="12">
        <v>456</v>
      </c>
      <c r="B527" s="3">
        <v>766.51900000000001</v>
      </c>
      <c r="C527" s="3">
        <v>0</v>
      </c>
      <c r="D527" s="3">
        <v>0</v>
      </c>
      <c r="E527" s="3">
        <v>766.83699999999999</v>
      </c>
      <c r="F527" s="3">
        <v>766.83699999999999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</v>
      </c>
      <c r="P527" s="3">
        <v>0</v>
      </c>
    </row>
    <row r="528" spans="1:16" x14ac:dyDescent="0.2">
      <c r="A528" s="12">
        <v>457</v>
      </c>
      <c r="B528" s="3">
        <v>768.68499999999995</v>
      </c>
      <c r="C528" s="3">
        <v>0</v>
      </c>
      <c r="D528" s="3">
        <v>0</v>
      </c>
      <c r="E528" s="3">
        <v>769.00400000000002</v>
      </c>
      <c r="F528" s="3">
        <v>769.00400000000002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>
        <v>0</v>
      </c>
      <c r="P528" s="3">
        <v>0</v>
      </c>
    </row>
    <row r="529" spans="1:16" x14ac:dyDescent="0.2">
      <c r="A529" s="12">
        <v>458</v>
      </c>
      <c r="B529" s="3">
        <v>770.12800000000004</v>
      </c>
      <c r="C529" s="3">
        <v>0</v>
      </c>
      <c r="D529" s="3">
        <v>0</v>
      </c>
      <c r="E529" s="3">
        <v>770.44799999999998</v>
      </c>
      <c r="F529" s="3">
        <v>770.44799999999998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>
        <v>0</v>
      </c>
      <c r="P529" s="3">
        <v>0</v>
      </c>
    </row>
    <row r="530" spans="1:16" x14ac:dyDescent="0.2">
      <c r="A530" s="12">
        <v>459</v>
      </c>
      <c r="B530" s="3">
        <v>771.09100000000001</v>
      </c>
      <c r="C530" s="3">
        <v>0</v>
      </c>
      <c r="D530" s="3">
        <v>0</v>
      </c>
      <c r="E530" s="3">
        <v>771.41099999999994</v>
      </c>
      <c r="F530" s="3">
        <v>771.41099999999994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>
        <v>0</v>
      </c>
      <c r="P530" s="3">
        <v>0</v>
      </c>
    </row>
    <row r="531" spans="1:16" x14ac:dyDescent="0.2">
      <c r="A531" s="12">
        <v>460</v>
      </c>
      <c r="B531" s="3">
        <v>772.09</v>
      </c>
      <c r="C531" s="3">
        <v>0</v>
      </c>
      <c r="D531" s="3">
        <v>0</v>
      </c>
      <c r="E531" s="3">
        <v>772.41</v>
      </c>
      <c r="F531" s="3">
        <v>772.41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>
        <v>0</v>
      </c>
      <c r="P531" s="3">
        <v>0</v>
      </c>
    </row>
    <row r="532" spans="1:16" x14ac:dyDescent="0.2">
      <c r="A532" s="12">
        <v>461</v>
      </c>
      <c r="B532" s="3">
        <v>773.58799999999997</v>
      </c>
      <c r="C532" s="3">
        <v>0</v>
      </c>
      <c r="D532" s="3">
        <v>0</v>
      </c>
      <c r="E532" s="3">
        <v>773.90899999999999</v>
      </c>
      <c r="F532" s="3">
        <v>773.90899999999999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</v>
      </c>
      <c r="P532" s="3">
        <v>0</v>
      </c>
    </row>
    <row r="533" spans="1:16" x14ac:dyDescent="0.2">
      <c r="A533" s="12">
        <v>462</v>
      </c>
      <c r="B533" s="3">
        <v>775.83500000000004</v>
      </c>
      <c r="C533" s="3">
        <v>0</v>
      </c>
      <c r="D533" s="3">
        <v>0</v>
      </c>
      <c r="E533" s="3">
        <v>776.15700000000004</v>
      </c>
      <c r="F533" s="3">
        <v>776.15700000000004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>
        <v>0</v>
      </c>
      <c r="P533" s="3">
        <v>0</v>
      </c>
    </row>
    <row r="534" spans="1:16" x14ac:dyDescent="0.2">
      <c r="A534" s="12">
        <v>463</v>
      </c>
      <c r="B534" s="3">
        <v>778.83199999999999</v>
      </c>
      <c r="C534" s="3">
        <v>0</v>
      </c>
      <c r="D534" s="3">
        <v>0</v>
      </c>
      <c r="E534" s="3">
        <v>779.15499999999997</v>
      </c>
      <c r="F534" s="3">
        <v>779.15499999999997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3">
        <v>0</v>
      </c>
    </row>
    <row r="535" spans="1:16" x14ac:dyDescent="0.2">
      <c r="A535" s="12">
        <v>464</v>
      </c>
      <c r="B535" s="3">
        <v>781.82799999999997</v>
      </c>
      <c r="C535" s="3">
        <v>0</v>
      </c>
      <c r="D535" s="3">
        <v>0</v>
      </c>
      <c r="E535" s="3">
        <v>782.15300000000002</v>
      </c>
      <c r="F535" s="3">
        <v>782.15300000000002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</v>
      </c>
      <c r="P535" s="3">
        <v>0</v>
      </c>
    </row>
    <row r="536" spans="1:16" x14ac:dyDescent="0.2">
      <c r="A536" s="12">
        <v>465</v>
      </c>
      <c r="B536" s="3">
        <v>784.82500000000005</v>
      </c>
      <c r="C536" s="3">
        <v>0</v>
      </c>
      <c r="D536" s="3">
        <v>0</v>
      </c>
      <c r="E536" s="3">
        <v>785.15</v>
      </c>
      <c r="F536" s="3">
        <v>785.15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</v>
      </c>
      <c r="P536" s="3">
        <v>0</v>
      </c>
    </row>
    <row r="537" spans="1:16" x14ac:dyDescent="0.2">
      <c r="A537" s="12">
        <v>466</v>
      </c>
      <c r="B537" s="3">
        <v>787.82100000000003</v>
      </c>
      <c r="C537" s="3">
        <v>0</v>
      </c>
      <c r="D537" s="3">
        <v>0</v>
      </c>
      <c r="E537" s="3">
        <v>788.14800000000002</v>
      </c>
      <c r="F537" s="3">
        <v>788.14800000000002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0</v>
      </c>
      <c r="P537" s="3">
        <v>0</v>
      </c>
    </row>
    <row r="538" spans="1:16" x14ac:dyDescent="0.2">
      <c r="A538" s="12">
        <v>467</v>
      </c>
      <c r="B538" s="3">
        <v>790.81799999999998</v>
      </c>
      <c r="C538" s="3">
        <v>0</v>
      </c>
      <c r="D538" s="3">
        <v>0</v>
      </c>
      <c r="E538" s="3">
        <v>791.14599999999996</v>
      </c>
      <c r="F538" s="3">
        <v>791.14599999999996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</v>
      </c>
      <c r="P538" s="3">
        <v>0</v>
      </c>
    </row>
    <row r="539" spans="1:16" x14ac:dyDescent="0.2">
      <c r="A539" s="12">
        <v>468</v>
      </c>
      <c r="B539" s="3">
        <v>793.81399999999996</v>
      </c>
      <c r="C539" s="3">
        <v>0</v>
      </c>
      <c r="D539" s="3">
        <v>0</v>
      </c>
      <c r="E539" s="3">
        <v>794.14300000000003</v>
      </c>
      <c r="F539" s="3">
        <v>794.14300000000003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0</v>
      </c>
      <c r="P539" s="3">
        <v>0</v>
      </c>
    </row>
    <row r="540" spans="1:16" x14ac:dyDescent="0.2">
      <c r="A540" s="12">
        <v>469</v>
      </c>
      <c r="B540" s="3">
        <v>796.81100000000004</v>
      </c>
      <c r="C540" s="3">
        <v>0</v>
      </c>
      <c r="D540" s="3">
        <v>0</v>
      </c>
      <c r="E540" s="3">
        <v>797.14099999999996</v>
      </c>
      <c r="F540" s="3">
        <v>797.14099999999996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>
        <v>0</v>
      </c>
      <c r="P540" s="3">
        <v>0</v>
      </c>
    </row>
    <row r="541" spans="1:16" x14ac:dyDescent="0.2">
      <c r="A541" s="12">
        <v>470</v>
      </c>
      <c r="B541" s="3">
        <v>799.80700000000002</v>
      </c>
      <c r="C541" s="3">
        <v>0</v>
      </c>
      <c r="D541" s="3">
        <v>0</v>
      </c>
      <c r="E541" s="3">
        <v>800.13900000000001</v>
      </c>
      <c r="F541" s="3">
        <v>800.13900000000001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>
        <v>0</v>
      </c>
      <c r="P541" s="3">
        <v>0</v>
      </c>
    </row>
    <row r="542" spans="1:16" x14ac:dyDescent="0.2">
      <c r="A542" s="12">
        <v>471</v>
      </c>
      <c r="B542" s="3">
        <v>802.80399999999997</v>
      </c>
      <c r="C542" s="3">
        <v>0</v>
      </c>
      <c r="D542" s="3">
        <v>0</v>
      </c>
      <c r="E542" s="3">
        <v>803.13699999999994</v>
      </c>
      <c r="F542" s="3">
        <v>803.13699999999994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>
        <v>0</v>
      </c>
      <c r="P542" s="3">
        <v>0</v>
      </c>
    </row>
    <row r="543" spans="1:16" x14ac:dyDescent="0.2">
      <c r="A543" s="12">
        <v>472</v>
      </c>
      <c r="B543" s="3">
        <v>805.8</v>
      </c>
      <c r="C543" s="3">
        <v>0</v>
      </c>
      <c r="D543" s="3">
        <v>0</v>
      </c>
      <c r="E543" s="3">
        <v>806.13400000000001</v>
      </c>
      <c r="F543" s="3">
        <v>806.13400000000001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0</v>
      </c>
      <c r="P543" s="3">
        <v>0</v>
      </c>
    </row>
    <row r="544" spans="1:16" x14ac:dyDescent="0.2">
      <c r="A544" s="12">
        <v>473</v>
      </c>
      <c r="B544" s="3">
        <v>808.79600000000005</v>
      </c>
      <c r="C544" s="3">
        <v>0</v>
      </c>
      <c r="D544" s="3">
        <v>0</v>
      </c>
      <c r="E544" s="3">
        <v>809.13199999999995</v>
      </c>
      <c r="F544" s="3">
        <v>809.13199999999995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>
        <v>0</v>
      </c>
      <c r="P544" s="3">
        <v>0</v>
      </c>
    </row>
    <row r="545" spans="1:16" x14ac:dyDescent="0.2">
      <c r="A545" s="12">
        <v>474</v>
      </c>
      <c r="B545" s="3">
        <v>811.79300000000001</v>
      </c>
      <c r="C545" s="3">
        <v>0</v>
      </c>
      <c r="D545" s="3">
        <v>0</v>
      </c>
      <c r="E545" s="3">
        <v>812.13</v>
      </c>
      <c r="F545" s="3">
        <v>812.13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0</v>
      </c>
      <c r="P545" s="3">
        <v>0</v>
      </c>
    </row>
    <row r="546" spans="1:16" x14ac:dyDescent="0.2">
      <c r="A546" s="12">
        <v>475</v>
      </c>
      <c r="B546" s="3">
        <v>814.78899999999999</v>
      </c>
      <c r="C546" s="3">
        <v>0</v>
      </c>
      <c r="D546" s="3">
        <v>0</v>
      </c>
      <c r="E546" s="3">
        <v>815.12800000000004</v>
      </c>
      <c r="F546" s="3">
        <v>815.12800000000004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</v>
      </c>
      <c r="P546" s="3">
        <v>0</v>
      </c>
    </row>
    <row r="547" spans="1:16" x14ac:dyDescent="0.2">
      <c r="A547" s="12">
        <v>476</v>
      </c>
      <c r="B547" s="3">
        <v>817.78599999999994</v>
      </c>
      <c r="C547" s="3">
        <v>0</v>
      </c>
      <c r="D547" s="3">
        <v>0</v>
      </c>
      <c r="E547" s="3">
        <v>818.125</v>
      </c>
      <c r="F547" s="3">
        <v>818.125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</v>
      </c>
      <c r="P547" s="3">
        <v>0</v>
      </c>
    </row>
    <row r="548" spans="1:16" x14ac:dyDescent="0.2">
      <c r="A548" s="12">
        <v>477</v>
      </c>
      <c r="B548" s="3">
        <v>820.78200000000004</v>
      </c>
      <c r="C548" s="3">
        <v>0</v>
      </c>
      <c r="D548" s="3">
        <v>0</v>
      </c>
      <c r="E548" s="3">
        <v>821.12300000000005</v>
      </c>
      <c r="F548" s="3">
        <v>821.12300000000005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0</v>
      </c>
      <c r="P548" s="3">
        <v>0</v>
      </c>
    </row>
    <row r="549" spans="1:16" x14ac:dyDescent="0.2">
      <c r="A549" s="12">
        <v>478</v>
      </c>
      <c r="B549" s="3">
        <v>823.779</v>
      </c>
      <c r="C549" s="3">
        <v>0</v>
      </c>
      <c r="D549" s="3">
        <v>0</v>
      </c>
      <c r="E549" s="3">
        <v>824.12099999999998</v>
      </c>
      <c r="F549" s="3">
        <v>824.12099999999998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3">
        <v>0</v>
      </c>
    </row>
    <row r="550" spans="1:16" x14ac:dyDescent="0.2">
      <c r="A550" s="12">
        <v>479</v>
      </c>
      <c r="B550" s="3">
        <v>826.77499999999998</v>
      </c>
      <c r="C550" s="3">
        <v>0</v>
      </c>
      <c r="D550" s="3">
        <v>0</v>
      </c>
      <c r="E550" s="3">
        <v>827.11900000000003</v>
      </c>
      <c r="F550" s="3">
        <v>827.11900000000003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</v>
      </c>
      <c r="P550" s="3">
        <v>0</v>
      </c>
    </row>
    <row r="551" spans="1:16" x14ac:dyDescent="0.2">
      <c r="A551" s="12">
        <v>480</v>
      </c>
      <c r="B551" s="3">
        <v>829.77200000000005</v>
      </c>
      <c r="C551" s="3">
        <v>0</v>
      </c>
      <c r="D551" s="3">
        <v>0</v>
      </c>
      <c r="E551" s="3">
        <v>830.11699999999996</v>
      </c>
      <c r="F551" s="3">
        <v>830.11699999999996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0</v>
      </c>
      <c r="P551" s="3">
        <v>0</v>
      </c>
    </row>
    <row r="552" spans="1:16" x14ac:dyDescent="0.2">
      <c r="A552" s="12">
        <v>481</v>
      </c>
      <c r="B552" s="3">
        <v>832.76800000000003</v>
      </c>
      <c r="C552" s="3">
        <v>0</v>
      </c>
      <c r="D552" s="3">
        <v>0</v>
      </c>
      <c r="E552" s="3">
        <v>833.11400000000003</v>
      </c>
      <c r="F552" s="3">
        <v>833.11400000000003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>
        <v>0</v>
      </c>
      <c r="P552" s="3">
        <v>0</v>
      </c>
    </row>
    <row r="553" spans="1:16" x14ac:dyDescent="0.2">
      <c r="A553" s="12">
        <v>482</v>
      </c>
      <c r="B553" s="3">
        <v>835.76499999999999</v>
      </c>
      <c r="C553" s="3">
        <v>0</v>
      </c>
      <c r="D553" s="3">
        <v>0</v>
      </c>
      <c r="E553" s="3">
        <v>836.11199999999997</v>
      </c>
      <c r="F553" s="3">
        <v>836.11199999999997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</v>
      </c>
      <c r="P553" s="3">
        <v>0</v>
      </c>
    </row>
    <row r="554" spans="1:16" x14ac:dyDescent="0.2">
      <c r="A554" s="12">
        <v>483</v>
      </c>
      <c r="B554" s="3">
        <v>838.76099999999997</v>
      </c>
      <c r="C554" s="3">
        <v>0</v>
      </c>
      <c r="D554" s="3">
        <v>0</v>
      </c>
      <c r="E554" s="3">
        <v>839.11</v>
      </c>
      <c r="F554" s="3">
        <v>839.11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</row>
    <row r="555" spans="1:16" x14ac:dyDescent="0.2">
      <c r="A555" s="12">
        <v>484</v>
      </c>
      <c r="B555" s="3">
        <v>841.75800000000004</v>
      </c>
      <c r="C555" s="3">
        <v>0</v>
      </c>
      <c r="D555" s="3">
        <v>0</v>
      </c>
      <c r="E555" s="3">
        <v>842.10799999999995</v>
      </c>
      <c r="F555" s="3">
        <v>842.10799999999995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>
        <v>0</v>
      </c>
      <c r="P555" s="3">
        <v>0</v>
      </c>
    </row>
    <row r="556" spans="1:16" x14ac:dyDescent="0.2">
      <c r="A556" s="12">
        <v>485</v>
      </c>
      <c r="B556" s="3">
        <v>844.75400000000002</v>
      </c>
      <c r="C556" s="3">
        <v>0</v>
      </c>
      <c r="D556" s="3">
        <v>0</v>
      </c>
      <c r="E556" s="3">
        <v>845.10599999999999</v>
      </c>
      <c r="F556" s="3">
        <v>845.10599999999999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</row>
    <row r="557" spans="1:16" x14ac:dyDescent="0.2">
      <c r="A557" s="12">
        <v>486</v>
      </c>
      <c r="B557" s="3">
        <v>847.75</v>
      </c>
      <c r="C557" s="3">
        <v>0</v>
      </c>
      <c r="D557" s="3">
        <v>0</v>
      </c>
      <c r="E557" s="3">
        <v>848.10400000000004</v>
      </c>
      <c r="F557" s="3">
        <v>848.10400000000004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>
        <v>0</v>
      </c>
      <c r="P557" s="3">
        <v>0</v>
      </c>
    </row>
    <row r="558" spans="1:16" x14ac:dyDescent="0.2">
      <c r="A558" s="12">
        <v>487</v>
      </c>
      <c r="B558" s="3">
        <v>850.74699999999996</v>
      </c>
      <c r="C558" s="3">
        <v>0</v>
      </c>
      <c r="D558" s="3">
        <v>0</v>
      </c>
      <c r="E558" s="3">
        <v>851.101</v>
      </c>
      <c r="F558" s="3">
        <v>851.101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0</v>
      </c>
      <c r="P558" s="3">
        <v>0</v>
      </c>
    </row>
    <row r="559" spans="1:16" x14ac:dyDescent="0.2">
      <c r="A559" s="12">
        <v>488</v>
      </c>
      <c r="B559" s="3">
        <v>853.74300000000005</v>
      </c>
      <c r="C559" s="3">
        <v>0</v>
      </c>
      <c r="D559" s="3">
        <v>0</v>
      </c>
      <c r="E559" s="3">
        <v>854.09900000000005</v>
      </c>
      <c r="F559" s="3">
        <v>854.09900000000005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>
        <v>0</v>
      </c>
      <c r="P559" s="3">
        <v>0</v>
      </c>
    </row>
    <row r="560" spans="1:16" x14ac:dyDescent="0.2">
      <c r="A560" s="12">
        <v>489</v>
      </c>
      <c r="B560" s="3">
        <v>856.74</v>
      </c>
      <c r="C560" s="3">
        <v>0</v>
      </c>
      <c r="D560" s="3">
        <v>0</v>
      </c>
      <c r="E560" s="3">
        <v>857.09699999999998</v>
      </c>
      <c r="F560" s="3">
        <v>857.09699999999998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</row>
    <row r="561" spans="1:16" x14ac:dyDescent="0.2">
      <c r="A561" s="12">
        <v>490</v>
      </c>
      <c r="B561" s="3">
        <v>859.73599999999999</v>
      </c>
      <c r="C561" s="3">
        <v>0</v>
      </c>
      <c r="D561" s="3">
        <v>0</v>
      </c>
      <c r="E561" s="3">
        <v>860.09500000000003</v>
      </c>
      <c r="F561" s="3">
        <v>860.09500000000003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>
        <v>0</v>
      </c>
      <c r="P561" s="3">
        <v>0</v>
      </c>
    </row>
    <row r="562" spans="1:16" x14ac:dyDescent="0.2">
      <c r="A562" s="12">
        <v>491</v>
      </c>
      <c r="B562" s="3">
        <v>862.73299999999995</v>
      </c>
      <c r="C562" s="3">
        <v>0</v>
      </c>
      <c r="D562" s="3">
        <v>0</v>
      </c>
      <c r="E562" s="3">
        <v>863.09299999999996</v>
      </c>
      <c r="F562" s="3">
        <v>863.09299999999996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>
        <v>0</v>
      </c>
      <c r="P562" s="3">
        <v>0</v>
      </c>
    </row>
    <row r="563" spans="1:16" x14ac:dyDescent="0.2">
      <c r="A563" s="12">
        <v>492</v>
      </c>
      <c r="B563" s="3">
        <v>865.72900000000004</v>
      </c>
      <c r="C563" s="3">
        <v>0</v>
      </c>
      <c r="D563" s="3">
        <v>0</v>
      </c>
      <c r="E563" s="3">
        <v>866.09100000000001</v>
      </c>
      <c r="F563" s="3">
        <v>866.09100000000001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>
        <v>0</v>
      </c>
      <c r="P563" s="3">
        <v>0</v>
      </c>
    </row>
    <row r="564" spans="1:16" x14ac:dyDescent="0.2">
      <c r="A564" s="12">
        <v>493</v>
      </c>
      <c r="B564" s="3">
        <v>868.726</v>
      </c>
      <c r="C564" s="3">
        <v>0</v>
      </c>
      <c r="D564" s="3">
        <v>0</v>
      </c>
      <c r="E564" s="3">
        <v>869.08900000000006</v>
      </c>
      <c r="F564" s="3">
        <v>869.08900000000006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</v>
      </c>
      <c r="P564" s="3">
        <v>0</v>
      </c>
    </row>
    <row r="565" spans="1:16" x14ac:dyDescent="0.2">
      <c r="A565" s="12">
        <v>494</v>
      </c>
      <c r="B565" s="3">
        <v>871.72199999999998</v>
      </c>
      <c r="C565" s="3">
        <v>0</v>
      </c>
      <c r="D565" s="3">
        <v>0</v>
      </c>
      <c r="E565" s="3">
        <v>872.08699999999999</v>
      </c>
      <c r="F565" s="3">
        <v>872.08699999999999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</row>
    <row r="566" spans="1:16" x14ac:dyDescent="0.2">
      <c r="A566" s="12">
        <v>495</v>
      </c>
      <c r="B566" s="3">
        <v>874.71900000000005</v>
      </c>
      <c r="C566" s="3">
        <v>0</v>
      </c>
      <c r="D566" s="3">
        <v>0</v>
      </c>
      <c r="E566" s="3">
        <v>875.08500000000004</v>
      </c>
      <c r="F566" s="3">
        <v>875.08500000000004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</row>
    <row r="567" spans="1:16" x14ac:dyDescent="0.2">
      <c r="A567" s="12">
        <v>496</v>
      </c>
      <c r="B567" s="3">
        <v>877.71500000000003</v>
      </c>
      <c r="C567" s="3">
        <v>0</v>
      </c>
      <c r="D567" s="3">
        <v>0</v>
      </c>
      <c r="E567" s="3">
        <v>878.08199999999999</v>
      </c>
      <c r="F567" s="3">
        <v>878.08199999999999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</row>
    <row r="568" spans="1:16" x14ac:dyDescent="0.2">
      <c r="A568" s="12">
        <v>497</v>
      </c>
      <c r="B568" s="3">
        <v>880.71100000000001</v>
      </c>
      <c r="C568" s="3">
        <v>0</v>
      </c>
      <c r="D568" s="3">
        <v>0</v>
      </c>
      <c r="E568" s="3">
        <v>881.08</v>
      </c>
      <c r="F568" s="3">
        <v>881.08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</row>
    <row r="569" spans="1:16" x14ac:dyDescent="0.2">
      <c r="A569" s="12">
        <v>498</v>
      </c>
      <c r="B569" s="3">
        <v>883.70799999999997</v>
      </c>
      <c r="C569" s="3">
        <v>0</v>
      </c>
      <c r="D569" s="3">
        <v>0</v>
      </c>
      <c r="E569" s="3">
        <v>884.07799999999997</v>
      </c>
      <c r="F569" s="3">
        <v>884.07799999999997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>
        <v>0</v>
      </c>
      <c r="P569" s="3">
        <v>0</v>
      </c>
    </row>
    <row r="570" spans="1:16" x14ac:dyDescent="0.2">
      <c r="A570" s="12">
        <v>499</v>
      </c>
      <c r="B570" s="3">
        <v>886.70399999999995</v>
      </c>
      <c r="C570" s="3">
        <v>0</v>
      </c>
      <c r="D570" s="3">
        <v>0</v>
      </c>
      <c r="E570" s="3">
        <v>887.07600000000002</v>
      </c>
      <c r="F570" s="3">
        <v>887.07600000000002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0</v>
      </c>
      <c r="P570" s="3">
        <v>0</v>
      </c>
    </row>
    <row r="571" spans="1:16" x14ac:dyDescent="0.2">
      <c r="A571" s="12">
        <v>500</v>
      </c>
      <c r="B571" s="3">
        <v>889.70100000000002</v>
      </c>
      <c r="C571" s="3">
        <v>0</v>
      </c>
      <c r="D571" s="3">
        <v>0</v>
      </c>
      <c r="E571" s="3">
        <v>890.07399999999996</v>
      </c>
      <c r="F571" s="3">
        <v>890.07399999999996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</row>
    <row r="572" spans="1:16" x14ac:dyDescent="0.2">
      <c r="A572" s="12">
        <v>501</v>
      </c>
      <c r="B572" s="3">
        <v>892.697</v>
      </c>
      <c r="C572" s="3">
        <v>0</v>
      </c>
      <c r="D572" s="3">
        <v>0</v>
      </c>
      <c r="E572" s="3">
        <v>893.072</v>
      </c>
      <c r="F572" s="3">
        <v>893.072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</row>
    <row r="573" spans="1:16" x14ac:dyDescent="0.2">
      <c r="A573" s="12">
        <v>502</v>
      </c>
      <c r="B573" s="3">
        <v>895.69399999999996</v>
      </c>
      <c r="C573" s="3">
        <v>0</v>
      </c>
      <c r="D573" s="3">
        <v>0</v>
      </c>
      <c r="E573" s="3">
        <v>896.07</v>
      </c>
      <c r="F573" s="3">
        <v>896.07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</row>
    <row r="574" spans="1:16" x14ac:dyDescent="0.2">
      <c r="A574" s="12">
        <v>503</v>
      </c>
      <c r="B574" s="3">
        <v>898.69</v>
      </c>
      <c r="C574" s="3">
        <v>0</v>
      </c>
      <c r="D574" s="3">
        <v>0</v>
      </c>
      <c r="E574" s="3">
        <v>899.06799999999998</v>
      </c>
      <c r="F574" s="3">
        <v>899.06799999999998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0</v>
      </c>
      <c r="P574" s="3">
        <v>0</v>
      </c>
    </row>
    <row r="575" spans="1:16" x14ac:dyDescent="0.2">
      <c r="A575" s="12">
        <v>504</v>
      </c>
      <c r="B575" s="3">
        <v>901.68700000000001</v>
      </c>
      <c r="C575" s="3">
        <v>0</v>
      </c>
      <c r="D575" s="3">
        <v>0</v>
      </c>
      <c r="E575" s="3">
        <v>902.06600000000003</v>
      </c>
      <c r="F575" s="3">
        <v>902.06600000000003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0</v>
      </c>
      <c r="P575" s="3">
        <v>0</v>
      </c>
    </row>
    <row r="576" spans="1:16" x14ac:dyDescent="0.2">
      <c r="A576" s="12">
        <v>505</v>
      </c>
      <c r="B576" s="3">
        <v>904.68299999999999</v>
      </c>
      <c r="C576" s="3">
        <v>0</v>
      </c>
      <c r="D576" s="3">
        <v>0</v>
      </c>
      <c r="E576" s="3">
        <v>905.06399999999996</v>
      </c>
      <c r="F576" s="3">
        <v>905.06399999999996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</v>
      </c>
      <c r="P576" s="3">
        <v>0</v>
      </c>
    </row>
    <row r="577" spans="1:16" x14ac:dyDescent="0.2">
      <c r="A577" s="12">
        <v>506</v>
      </c>
      <c r="B577" s="3">
        <v>907.68</v>
      </c>
      <c r="C577" s="3">
        <v>0</v>
      </c>
      <c r="D577" s="3">
        <v>0</v>
      </c>
      <c r="E577" s="3">
        <v>908.06200000000001</v>
      </c>
      <c r="F577" s="3">
        <v>908.06200000000001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>
        <v>0</v>
      </c>
      <c r="P577" s="3">
        <v>0</v>
      </c>
    </row>
    <row r="578" spans="1:16" x14ac:dyDescent="0.2">
      <c r="A578" s="12">
        <v>507</v>
      </c>
      <c r="B578" s="3">
        <v>910.67600000000004</v>
      </c>
      <c r="C578" s="3">
        <v>0</v>
      </c>
      <c r="D578" s="3">
        <v>0</v>
      </c>
      <c r="E578" s="3">
        <v>911.06</v>
      </c>
      <c r="F578" s="3">
        <v>911.06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>
        <v>0</v>
      </c>
      <c r="P578" s="3">
        <v>0</v>
      </c>
    </row>
    <row r="579" spans="1:16" x14ac:dyDescent="0.2">
      <c r="A579" s="12">
        <v>508</v>
      </c>
      <c r="B579" s="3">
        <v>913.673</v>
      </c>
      <c r="C579" s="3">
        <v>0</v>
      </c>
      <c r="D579" s="3">
        <v>0</v>
      </c>
      <c r="E579" s="3">
        <v>914.05799999999999</v>
      </c>
      <c r="F579" s="3">
        <v>914.05799999999999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</v>
      </c>
      <c r="P579" s="3">
        <v>0</v>
      </c>
    </row>
    <row r="580" spans="1:16" x14ac:dyDescent="0.2">
      <c r="A580" s="12">
        <v>509</v>
      </c>
      <c r="B580" s="3">
        <v>916.66899999999998</v>
      </c>
      <c r="C580" s="3">
        <v>0</v>
      </c>
      <c r="D580" s="3">
        <v>0</v>
      </c>
      <c r="E580" s="3">
        <v>917.05600000000004</v>
      </c>
      <c r="F580" s="3">
        <v>917.05600000000004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>
        <v>0</v>
      </c>
      <c r="P580" s="3">
        <v>0</v>
      </c>
    </row>
    <row r="581" spans="1:16" x14ac:dyDescent="0.2">
      <c r="A581" s="12">
        <v>510</v>
      </c>
      <c r="B581" s="3">
        <v>919.66499999999996</v>
      </c>
      <c r="C581" s="3">
        <v>0</v>
      </c>
      <c r="D581" s="3">
        <v>0</v>
      </c>
      <c r="E581" s="3">
        <v>920.05399999999997</v>
      </c>
      <c r="F581" s="3">
        <v>920.05399999999997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0</v>
      </c>
      <c r="P581" s="3">
        <v>0</v>
      </c>
    </row>
    <row r="582" spans="1:16" x14ac:dyDescent="0.2">
      <c r="A582" s="12">
        <v>511</v>
      </c>
      <c r="B582" s="3">
        <v>922.66200000000003</v>
      </c>
      <c r="C582" s="3">
        <v>0</v>
      </c>
      <c r="D582" s="3">
        <v>0</v>
      </c>
      <c r="E582" s="3">
        <v>923.05200000000002</v>
      </c>
      <c r="F582" s="3">
        <v>923.05200000000002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>
        <v>0</v>
      </c>
      <c r="P582" s="3">
        <v>0</v>
      </c>
    </row>
    <row r="583" spans="1:16" x14ac:dyDescent="0.2">
      <c r="A583" s="12">
        <v>512</v>
      </c>
      <c r="B583" s="3">
        <v>925.65800000000002</v>
      </c>
      <c r="C583" s="3">
        <v>0</v>
      </c>
      <c r="D583" s="3">
        <v>0</v>
      </c>
      <c r="E583" s="3">
        <v>926.05</v>
      </c>
      <c r="F583" s="3">
        <v>926.05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</v>
      </c>
      <c r="P583" s="3">
        <v>0</v>
      </c>
    </row>
    <row r="584" spans="1:16" x14ac:dyDescent="0.2">
      <c r="A584" s="12">
        <v>513</v>
      </c>
      <c r="B584" s="3">
        <v>928.65499999999997</v>
      </c>
      <c r="C584" s="3">
        <v>0</v>
      </c>
      <c r="D584" s="3">
        <v>0</v>
      </c>
      <c r="E584" s="3">
        <v>929.048</v>
      </c>
      <c r="F584" s="3">
        <v>929.048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0</v>
      </c>
      <c r="P584" s="3">
        <v>0</v>
      </c>
    </row>
    <row r="585" spans="1:16" x14ac:dyDescent="0.2">
      <c r="A585" s="12">
        <v>514</v>
      </c>
      <c r="B585" s="3">
        <v>931.65099999999995</v>
      </c>
      <c r="C585" s="3">
        <v>0</v>
      </c>
      <c r="D585" s="3">
        <v>0</v>
      </c>
      <c r="E585" s="3">
        <v>932.04700000000003</v>
      </c>
      <c r="F585" s="3">
        <v>932.04700000000003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>
        <v>0</v>
      </c>
      <c r="P585" s="3">
        <v>0</v>
      </c>
    </row>
    <row r="586" spans="1:16" x14ac:dyDescent="0.2">
      <c r="A586" s="12">
        <v>515</v>
      </c>
      <c r="B586" s="3">
        <v>934.64800000000002</v>
      </c>
      <c r="C586" s="3">
        <v>0</v>
      </c>
      <c r="D586" s="3">
        <v>0</v>
      </c>
      <c r="E586" s="3">
        <v>935.04499999999996</v>
      </c>
      <c r="F586" s="3">
        <v>935.04499999999996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>
        <v>0</v>
      </c>
      <c r="P586" s="3">
        <v>0</v>
      </c>
    </row>
    <row r="587" spans="1:16" x14ac:dyDescent="0.2">
      <c r="A587" s="12">
        <v>516</v>
      </c>
      <c r="B587" s="3">
        <v>937.64400000000001</v>
      </c>
      <c r="C587" s="3">
        <v>0</v>
      </c>
      <c r="D587" s="3">
        <v>0</v>
      </c>
      <c r="E587" s="3">
        <v>938.04300000000001</v>
      </c>
      <c r="F587" s="3">
        <v>938.04300000000001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</row>
    <row r="588" spans="1:16" x14ac:dyDescent="0.2">
      <c r="A588" s="12">
        <v>517</v>
      </c>
      <c r="B588" s="3">
        <v>940.64099999999996</v>
      </c>
      <c r="C588" s="3">
        <v>0</v>
      </c>
      <c r="D588" s="3">
        <v>0</v>
      </c>
      <c r="E588" s="3">
        <v>941.04100000000005</v>
      </c>
      <c r="F588" s="3">
        <v>941.04100000000005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>
        <v>0</v>
      </c>
      <c r="P588" s="3">
        <v>0</v>
      </c>
    </row>
    <row r="589" spans="1:16" x14ac:dyDescent="0.2">
      <c r="A589" s="12">
        <v>518</v>
      </c>
      <c r="B589" s="3">
        <v>943.63699999999994</v>
      </c>
      <c r="C589" s="3">
        <v>0</v>
      </c>
      <c r="D589" s="3">
        <v>0</v>
      </c>
      <c r="E589" s="3">
        <v>944.03899999999999</v>
      </c>
      <c r="F589" s="3">
        <v>944.03899999999999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0</v>
      </c>
      <c r="P589" s="3">
        <v>0</v>
      </c>
    </row>
    <row r="590" spans="1:16" x14ac:dyDescent="0.2">
      <c r="A590" s="12">
        <v>519</v>
      </c>
      <c r="B590" s="3">
        <v>946.63400000000001</v>
      </c>
      <c r="C590" s="3">
        <v>0</v>
      </c>
      <c r="D590" s="3">
        <v>0</v>
      </c>
      <c r="E590" s="3">
        <v>947.03700000000003</v>
      </c>
      <c r="F590" s="3">
        <v>947.03700000000003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>
        <v>0</v>
      </c>
      <c r="P590" s="3">
        <v>0</v>
      </c>
    </row>
    <row r="591" spans="1:16" x14ac:dyDescent="0.2">
      <c r="A591" s="12">
        <v>520</v>
      </c>
      <c r="B591" s="3">
        <v>949.63</v>
      </c>
      <c r="C591" s="3">
        <v>0</v>
      </c>
      <c r="D591" s="3">
        <v>0</v>
      </c>
      <c r="E591" s="3">
        <v>950.03499999999997</v>
      </c>
      <c r="F591" s="3">
        <v>950.03499999999997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>
        <v>0</v>
      </c>
      <c r="P591" s="3">
        <v>0</v>
      </c>
    </row>
    <row r="592" spans="1:16" x14ac:dyDescent="0.2">
      <c r="A592" s="12">
        <v>521</v>
      </c>
      <c r="B592" s="3">
        <v>952.62699999999995</v>
      </c>
      <c r="C592" s="3">
        <v>0</v>
      </c>
      <c r="D592" s="3">
        <v>0</v>
      </c>
      <c r="E592" s="3">
        <v>953.03300000000002</v>
      </c>
      <c r="F592" s="3">
        <v>953.03300000000002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>
        <v>0</v>
      </c>
      <c r="P592" s="3">
        <v>0</v>
      </c>
    </row>
    <row r="593" spans="1:16" x14ac:dyDescent="0.2">
      <c r="A593" s="12">
        <v>522</v>
      </c>
      <c r="B593" s="3">
        <v>955.62300000000005</v>
      </c>
      <c r="C593" s="3">
        <v>0</v>
      </c>
      <c r="D593" s="3">
        <v>0</v>
      </c>
      <c r="E593" s="3">
        <v>956.03099999999995</v>
      </c>
      <c r="F593" s="3">
        <v>956.03099999999995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0</v>
      </c>
      <c r="P593" s="3">
        <v>0</v>
      </c>
    </row>
    <row r="594" spans="1:16" x14ac:dyDescent="0.2">
      <c r="A594" s="12">
        <v>523</v>
      </c>
      <c r="B594" s="3">
        <v>958.61900000000003</v>
      </c>
      <c r="C594" s="3">
        <v>0</v>
      </c>
      <c r="D594" s="3">
        <v>0</v>
      </c>
      <c r="E594" s="3">
        <v>959.03</v>
      </c>
      <c r="F594" s="3">
        <v>959.03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</v>
      </c>
      <c r="P594" s="3">
        <v>0</v>
      </c>
    </row>
    <row r="595" spans="1:16" x14ac:dyDescent="0.2">
      <c r="A595" s="12">
        <v>524</v>
      </c>
      <c r="B595" s="3">
        <v>961.61599999999999</v>
      </c>
      <c r="C595" s="3">
        <v>0</v>
      </c>
      <c r="D595" s="3">
        <v>0</v>
      </c>
      <c r="E595" s="3">
        <v>962.02800000000002</v>
      </c>
      <c r="F595" s="3">
        <v>962.02800000000002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0</v>
      </c>
      <c r="P595" s="3">
        <v>0</v>
      </c>
    </row>
    <row r="596" spans="1:16" x14ac:dyDescent="0.2">
      <c r="A596" s="12">
        <v>525</v>
      </c>
      <c r="B596" s="3">
        <v>964.61199999999997</v>
      </c>
      <c r="C596" s="3">
        <v>0</v>
      </c>
      <c r="D596" s="3">
        <v>0</v>
      </c>
      <c r="E596" s="3">
        <v>965.02599999999995</v>
      </c>
      <c r="F596" s="3">
        <v>965.02599999999995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>
        <v>0</v>
      </c>
      <c r="P596" s="3">
        <v>0</v>
      </c>
    </row>
    <row r="597" spans="1:16" x14ac:dyDescent="0.2">
      <c r="A597" s="12">
        <v>526</v>
      </c>
      <c r="B597" s="3">
        <v>967.60900000000004</v>
      </c>
      <c r="C597" s="3">
        <v>0</v>
      </c>
      <c r="D597" s="3">
        <v>0</v>
      </c>
      <c r="E597" s="3">
        <v>968.024</v>
      </c>
      <c r="F597" s="3">
        <v>968.024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>
        <v>0</v>
      </c>
      <c r="P597" s="3">
        <v>0</v>
      </c>
    </row>
    <row r="598" spans="1:16" x14ac:dyDescent="0.2">
      <c r="A598" s="12">
        <v>527</v>
      </c>
      <c r="B598" s="3">
        <v>970.60400000000004</v>
      </c>
      <c r="C598" s="3">
        <v>0</v>
      </c>
      <c r="D598" s="3">
        <v>0</v>
      </c>
      <c r="E598" s="3">
        <v>971.02099999999996</v>
      </c>
      <c r="F598" s="3">
        <v>971.02099999999996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>
        <v>0</v>
      </c>
      <c r="P598" s="3">
        <v>0</v>
      </c>
    </row>
    <row r="599" spans="1:16" x14ac:dyDescent="0.2">
      <c r="A599" s="12">
        <v>528</v>
      </c>
      <c r="B599" s="3">
        <v>972.87900000000002</v>
      </c>
      <c r="C599" s="3">
        <v>0</v>
      </c>
      <c r="D599" s="3">
        <v>0</v>
      </c>
      <c r="E599" s="3">
        <v>973.298</v>
      </c>
      <c r="F599" s="3">
        <v>973.298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>
        <v>0</v>
      </c>
      <c r="P599" s="3">
        <v>0</v>
      </c>
    </row>
    <row r="600" spans="1:16" x14ac:dyDescent="0.2">
      <c r="A600" s="12">
        <v>529</v>
      </c>
      <c r="B600" s="3">
        <v>974.39599999999996</v>
      </c>
      <c r="C600" s="3">
        <v>0</v>
      </c>
      <c r="D600" s="3">
        <v>0</v>
      </c>
      <c r="E600" s="3">
        <v>974.81500000000005</v>
      </c>
      <c r="F600" s="3">
        <v>974.81500000000005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0</v>
      </c>
      <c r="P600" s="3">
        <v>0</v>
      </c>
    </row>
    <row r="601" spans="1:16" x14ac:dyDescent="0.2">
      <c r="A601" s="12">
        <v>530</v>
      </c>
      <c r="B601" s="3">
        <v>975.40800000000002</v>
      </c>
      <c r="C601" s="3">
        <v>0</v>
      </c>
      <c r="D601" s="3">
        <v>0</v>
      </c>
      <c r="E601" s="3">
        <v>975.827</v>
      </c>
      <c r="F601" s="3">
        <v>975.827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0</v>
      </c>
      <c r="P601" s="3">
        <v>0</v>
      </c>
    </row>
    <row r="602" spans="1:16" x14ac:dyDescent="0.2">
      <c r="A602" s="12">
        <v>531</v>
      </c>
      <c r="B602" s="3">
        <v>976.08199999999999</v>
      </c>
      <c r="C602" s="3">
        <v>0</v>
      </c>
      <c r="D602" s="3">
        <v>0</v>
      </c>
      <c r="E602" s="3">
        <v>976.50199999999995</v>
      </c>
      <c r="F602" s="3">
        <v>976.50199999999995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>
        <v>0</v>
      </c>
      <c r="P602" s="3">
        <v>0</v>
      </c>
    </row>
    <row r="603" spans="1:16" x14ac:dyDescent="0.2">
      <c r="A603" s="12">
        <v>532</v>
      </c>
      <c r="B603" s="3">
        <v>976.53099999999995</v>
      </c>
      <c r="C603" s="3">
        <v>0</v>
      </c>
      <c r="D603" s="3">
        <v>0</v>
      </c>
      <c r="E603" s="3">
        <v>976.952</v>
      </c>
      <c r="F603" s="3">
        <v>976.952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0</v>
      </c>
      <c r="P603" s="3">
        <v>0</v>
      </c>
    </row>
    <row r="604" spans="1:16" x14ac:dyDescent="0.2">
      <c r="A604" s="12">
        <v>533</v>
      </c>
      <c r="B604" s="3">
        <v>976.83100000000002</v>
      </c>
      <c r="C604" s="3">
        <v>0</v>
      </c>
      <c r="D604" s="3">
        <v>0</v>
      </c>
      <c r="E604" s="3">
        <v>977.25199999999995</v>
      </c>
      <c r="F604" s="3">
        <v>977.25199999999995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>
        <v>0</v>
      </c>
      <c r="P604" s="3">
        <v>0</v>
      </c>
    </row>
    <row r="605" spans="1:16" x14ac:dyDescent="0.2">
      <c r="A605" s="12">
        <v>534</v>
      </c>
      <c r="B605" s="3">
        <v>977.10199999999998</v>
      </c>
      <c r="C605" s="3">
        <v>0</v>
      </c>
      <c r="D605" s="3">
        <v>0</v>
      </c>
      <c r="E605" s="3">
        <v>977.52300000000002</v>
      </c>
      <c r="F605" s="3">
        <v>977.52300000000002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>
        <v>0</v>
      </c>
      <c r="P605" s="3">
        <v>0</v>
      </c>
    </row>
    <row r="606" spans="1:16" x14ac:dyDescent="0.2">
      <c r="A606" s="12">
        <v>535</v>
      </c>
      <c r="B606" s="3">
        <v>977.50900000000001</v>
      </c>
      <c r="C606" s="3">
        <v>0</v>
      </c>
      <c r="D606" s="3">
        <v>0</v>
      </c>
      <c r="E606" s="3">
        <v>977.93</v>
      </c>
      <c r="F606" s="3">
        <v>977.93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>
        <v>0</v>
      </c>
      <c r="P606" s="3">
        <v>0</v>
      </c>
    </row>
    <row r="607" spans="1:16" x14ac:dyDescent="0.2">
      <c r="A607" s="12">
        <v>536</v>
      </c>
      <c r="B607" s="3">
        <v>978.12</v>
      </c>
      <c r="C607" s="3">
        <v>0</v>
      </c>
      <c r="D607" s="3">
        <v>0</v>
      </c>
      <c r="E607" s="3">
        <v>978.54100000000005</v>
      </c>
      <c r="F607" s="3">
        <v>978.54100000000005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</row>
    <row r="608" spans="1:16" x14ac:dyDescent="0.2">
      <c r="A608" s="12">
        <v>537</v>
      </c>
      <c r="B608" s="3">
        <v>978.98</v>
      </c>
      <c r="C608" s="3">
        <v>0</v>
      </c>
      <c r="D608" s="3">
        <v>0</v>
      </c>
      <c r="E608" s="3">
        <v>979.40099999999995</v>
      </c>
      <c r="F608" s="3">
        <v>979.40099999999995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0</v>
      </c>
      <c r="P608" s="3">
        <v>0</v>
      </c>
    </row>
    <row r="609" spans="1:16" x14ac:dyDescent="0.2">
      <c r="A609" s="12">
        <v>538</v>
      </c>
      <c r="B609" s="3">
        <v>979.84</v>
      </c>
      <c r="C609" s="3">
        <v>0</v>
      </c>
      <c r="D609" s="3">
        <v>0</v>
      </c>
      <c r="E609" s="3">
        <v>980.26099999999997</v>
      </c>
      <c r="F609" s="3">
        <v>980.26099999999997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>
        <v>0</v>
      </c>
      <c r="P609" s="3">
        <v>0</v>
      </c>
    </row>
    <row r="610" spans="1:16" x14ac:dyDescent="0.2">
      <c r="A610" s="12">
        <v>539</v>
      </c>
      <c r="B610" s="3">
        <v>980.7</v>
      </c>
      <c r="C610" s="3">
        <v>0</v>
      </c>
      <c r="D610" s="3">
        <v>0</v>
      </c>
      <c r="E610" s="3">
        <v>981.12199999999996</v>
      </c>
      <c r="F610" s="3">
        <v>981.12199999999996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</row>
    <row r="611" spans="1:16" x14ac:dyDescent="0.2">
      <c r="A611" s="12">
        <v>540</v>
      </c>
      <c r="B611" s="3">
        <v>981.56</v>
      </c>
      <c r="C611" s="3">
        <v>0</v>
      </c>
      <c r="D611" s="3">
        <v>0</v>
      </c>
      <c r="E611" s="3">
        <v>981.98199999999997</v>
      </c>
      <c r="F611" s="3">
        <v>981.98199999999997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>
        <v>0</v>
      </c>
      <c r="P611" s="3">
        <v>0</v>
      </c>
    </row>
    <row r="612" spans="1:16" x14ac:dyDescent="0.2">
      <c r="A612" s="12">
        <v>541</v>
      </c>
      <c r="B612" s="3">
        <v>982.42</v>
      </c>
      <c r="C612" s="3">
        <v>0</v>
      </c>
      <c r="D612" s="3">
        <v>0</v>
      </c>
      <c r="E612" s="3">
        <v>982.84199999999998</v>
      </c>
      <c r="F612" s="3">
        <v>982.84199999999998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>
        <v>0</v>
      </c>
      <c r="P612" s="3">
        <v>0</v>
      </c>
    </row>
    <row r="613" spans="1:16" x14ac:dyDescent="0.2">
      <c r="A613" s="12">
        <v>542</v>
      </c>
      <c r="B613" s="3">
        <v>983.28</v>
      </c>
      <c r="C613" s="3">
        <v>0</v>
      </c>
      <c r="D613" s="3">
        <v>0</v>
      </c>
      <c r="E613" s="3">
        <v>983.70299999999997</v>
      </c>
      <c r="F613" s="3">
        <v>983.70299999999997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0</v>
      </c>
      <c r="P613" s="3">
        <v>0</v>
      </c>
    </row>
    <row r="614" spans="1:16" x14ac:dyDescent="0.2">
      <c r="A614" s="12">
        <v>543</v>
      </c>
      <c r="B614" s="3">
        <v>984.14</v>
      </c>
      <c r="C614" s="3">
        <v>0</v>
      </c>
      <c r="D614" s="3">
        <v>0</v>
      </c>
      <c r="E614" s="3">
        <v>984.56299999999999</v>
      </c>
      <c r="F614" s="3">
        <v>984.56299999999999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>
        <v>0</v>
      </c>
      <c r="P614" s="3">
        <v>0</v>
      </c>
    </row>
    <row r="615" spans="1:16" x14ac:dyDescent="0.2">
      <c r="A615" s="12">
        <v>544</v>
      </c>
      <c r="B615" s="3">
        <v>985</v>
      </c>
      <c r="C615" s="3">
        <v>0</v>
      </c>
      <c r="D615" s="3">
        <v>0</v>
      </c>
      <c r="E615" s="3">
        <v>985.423</v>
      </c>
      <c r="F615" s="3">
        <v>985.423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0</v>
      </c>
      <c r="P615" s="3">
        <v>0</v>
      </c>
    </row>
    <row r="616" spans="1:16" x14ac:dyDescent="0.2">
      <c r="A616" s="12">
        <v>545</v>
      </c>
      <c r="B616" s="3">
        <v>986.27700000000004</v>
      </c>
      <c r="C616" s="3">
        <v>0</v>
      </c>
      <c r="D616" s="3">
        <v>0</v>
      </c>
      <c r="E616" s="3">
        <v>986.70100000000002</v>
      </c>
      <c r="F616" s="3">
        <v>986.70100000000002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0</v>
      </c>
      <c r="P616" s="3">
        <v>0</v>
      </c>
    </row>
    <row r="617" spans="1:16" x14ac:dyDescent="0.2">
      <c r="A617" s="12">
        <v>546</v>
      </c>
      <c r="B617" s="3">
        <v>987.49900000000002</v>
      </c>
      <c r="C617" s="3">
        <v>0</v>
      </c>
      <c r="D617" s="3">
        <v>0</v>
      </c>
      <c r="E617" s="3">
        <v>987.923</v>
      </c>
      <c r="F617" s="3">
        <v>987.923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>
        <v>0</v>
      </c>
      <c r="P617" s="3">
        <v>0</v>
      </c>
    </row>
    <row r="618" spans="1:16" x14ac:dyDescent="0.2">
      <c r="A618" s="12">
        <v>547</v>
      </c>
      <c r="B618" s="3">
        <v>988.27</v>
      </c>
      <c r="C618" s="3">
        <v>0</v>
      </c>
      <c r="D618" s="3">
        <v>0</v>
      </c>
      <c r="E618" s="3">
        <v>988.69399999999996</v>
      </c>
      <c r="F618" s="3">
        <v>988.69399999999996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>
        <v>0</v>
      </c>
      <c r="P618" s="3">
        <v>0</v>
      </c>
    </row>
    <row r="619" spans="1:16" x14ac:dyDescent="0.2">
      <c r="A619" s="12">
        <v>548</v>
      </c>
      <c r="B619" s="3">
        <v>988.81700000000001</v>
      </c>
      <c r="C619" s="3">
        <v>0</v>
      </c>
      <c r="D619" s="3">
        <v>0</v>
      </c>
      <c r="E619" s="3">
        <v>989.24099999999999</v>
      </c>
      <c r="F619" s="3">
        <v>989.24099999999999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>
        <v>0</v>
      </c>
      <c r="P619" s="3">
        <v>0</v>
      </c>
    </row>
    <row r="620" spans="1:16" x14ac:dyDescent="0.2">
      <c r="A620" s="12">
        <v>549</v>
      </c>
      <c r="B620" s="3">
        <v>989.36400000000003</v>
      </c>
      <c r="C620" s="3">
        <v>0</v>
      </c>
      <c r="D620" s="3">
        <v>0</v>
      </c>
      <c r="E620" s="3">
        <v>989.78899999999999</v>
      </c>
      <c r="F620" s="3">
        <v>989.78899999999999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</row>
    <row r="621" spans="1:16" x14ac:dyDescent="0.2">
      <c r="A621" s="12">
        <v>550</v>
      </c>
      <c r="B621" s="3">
        <v>989.74599999999998</v>
      </c>
      <c r="C621" s="3">
        <v>0</v>
      </c>
      <c r="D621" s="3">
        <v>0</v>
      </c>
      <c r="E621" s="3">
        <v>990.17</v>
      </c>
      <c r="F621" s="3">
        <v>990.17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>
        <v>0</v>
      </c>
      <c r="P621" s="3">
        <v>0</v>
      </c>
    </row>
    <row r="622" spans="1:16" x14ac:dyDescent="0.2">
      <c r="A622" s="12">
        <v>551</v>
      </c>
      <c r="B622" s="3">
        <v>990</v>
      </c>
      <c r="C622" s="3">
        <v>0</v>
      </c>
      <c r="D622" s="3">
        <v>0</v>
      </c>
      <c r="E622" s="3">
        <v>990.42499999999995</v>
      </c>
      <c r="F622" s="3">
        <v>990.42499999999995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>
        <v>0</v>
      </c>
      <c r="P622" s="3">
        <v>0</v>
      </c>
    </row>
    <row r="623" spans="1:16" x14ac:dyDescent="0.2">
      <c r="A623" s="12">
        <v>552</v>
      </c>
      <c r="B623" s="3">
        <v>990.298</v>
      </c>
      <c r="C623" s="3">
        <v>0</v>
      </c>
      <c r="D623" s="3">
        <v>0</v>
      </c>
      <c r="E623" s="3">
        <v>990.72299999999996</v>
      </c>
      <c r="F623" s="3">
        <v>990.72299999999996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>
        <v>0</v>
      </c>
      <c r="P623" s="3">
        <v>0</v>
      </c>
    </row>
    <row r="624" spans="1:16" x14ac:dyDescent="0.2">
      <c r="A624" s="12">
        <v>553</v>
      </c>
      <c r="B624" s="3">
        <v>990.745</v>
      </c>
      <c r="C624" s="3">
        <v>0</v>
      </c>
      <c r="D624" s="3">
        <v>0</v>
      </c>
      <c r="E624" s="3">
        <v>991.17</v>
      </c>
      <c r="F624" s="3">
        <v>991.17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>
        <v>0</v>
      </c>
      <c r="P624" s="3">
        <v>0</v>
      </c>
    </row>
    <row r="625" spans="1:16" x14ac:dyDescent="0.2">
      <c r="A625" s="12">
        <v>554</v>
      </c>
      <c r="B625" s="3">
        <v>991.41600000000005</v>
      </c>
      <c r="C625" s="3">
        <v>0</v>
      </c>
      <c r="D625" s="3">
        <v>0</v>
      </c>
      <c r="E625" s="3">
        <v>991.84100000000001</v>
      </c>
      <c r="F625" s="3">
        <v>991.84100000000001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0</v>
      </c>
      <c r="P625" s="3">
        <v>0</v>
      </c>
    </row>
    <row r="626" spans="1:16" x14ac:dyDescent="0.2">
      <c r="A626" s="12">
        <v>555</v>
      </c>
      <c r="B626" s="3">
        <v>992.40899999999999</v>
      </c>
      <c r="C626" s="3">
        <v>0</v>
      </c>
      <c r="D626" s="3">
        <v>0</v>
      </c>
      <c r="E626" s="3">
        <v>992.83500000000004</v>
      </c>
      <c r="F626" s="3">
        <v>992.83500000000004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0</v>
      </c>
      <c r="P626" s="3">
        <v>0</v>
      </c>
    </row>
    <row r="627" spans="1:16" x14ac:dyDescent="0.2">
      <c r="A627" s="12">
        <v>556</v>
      </c>
      <c r="B627" s="3">
        <v>993.40300000000002</v>
      </c>
      <c r="C627" s="3">
        <v>0</v>
      </c>
      <c r="D627" s="3">
        <v>0</v>
      </c>
      <c r="E627" s="3">
        <v>993.82899999999995</v>
      </c>
      <c r="F627" s="3">
        <v>993.82899999999995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>
        <v>0</v>
      </c>
      <c r="P627" s="3">
        <v>0</v>
      </c>
    </row>
    <row r="628" spans="1:16" x14ac:dyDescent="0.2">
      <c r="A628" s="12">
        <v>557</v>
      </c>
      <c r="B628" s="3">
        <v>994.07399999999996</v>
      </c>
      <c r="C628" s="3">
        <v>0</v>
      </c>
      <c r="D628" s="3">
        <v>0</v>
      </c>
      <c r="E628" s="3">
        <v>994.5</v>
      </c>
      <c r="F628" s="3">
        <v>994.5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</row>
    <row r="629" spans="1:16" x14ac:dyDescent="0.2">
      <c r="A629" s="12">
        <v>558</v>
      </c>
      <c r="B629" s="3">
        <v>994.52099999999996</v>
      </c>
      <c r="C629" s="3">
        <v>0</v>
      </c>
      <c r="D629" s="3">
        <v>0</v>
      </c>
      <c r="E629" s="3">
        <v>994.947</v>
      </c>
      <c r="F629" s="3">
        <v>994.947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</row>
    <row r="630" spans="1:16" x14ac:dyDescent="0.2">
      <c r="A630" s="12">
        <v>559</v>
      </c>
      <c r="B630" s="3">
        <v>994.81899999999996</v>
      </c>
      <c r="C630" s="3">
        <v>0</v>
      </c>
      <c r="D630" s="3">
        <v>0</v>
      </c>
      <c r="E630" s="3">
        <v>995.245</v>
      </c>
      <c r="F630" s="3">
        <v>995.245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</row>
    <row r="631" spans="1:16" x14ac:dyDescent="0.2">
      <c r="A631" s="12">
        <v>560</v>
      </c>
      <c r="B631" s="3">
        <v>995.11900000000003</v>
      </c>
      <c r="C631" s="3">
        <v>0</v>
      </c>
      <c r="D631" s="3">
        <v>0</v>
      </c>
      <c r="E631" s="3">
        <v>995.54499999999996</v>
      </c>
      <c r="F631" s="3">
        <v>995.54499999999996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>
        <v>0</v>
      </c>
      <c r="P631" s="3">
        <v>0</v>
      </c>
    </row>
    <row r="632" spans="1:16" x14ac:dyDescent="0.2">
      <c r="A632" s="12">
        <v>561</v>
      </c>
      <c r="B632" s="3">
        <v>1002.598</v>
      </c>
      <c r="C632" s="3">
        <v>0</v>
      </c>
      <c r="D632" s="3">
        <v>0</v>
      </c>
      <c r="E632" s="3">
        <v>1002.598</v>
      </c>
      <c r="F632" s="3">
        <v>1002.598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</row>
    <row r="633" spans="1:16" x14ac:dyDescent="0.2">
      <c r="A633" s="12">
        <v>562</v>
      </c>
      <c r="B633" s="3">
        <v>1002.8390000000001</v>
      </c>
      <c r="C633" s="3">
        <v>0</v>
      </c>
      <c r="D633" s="3">
        <v>0</v>
      </c>
      <c r="E633" s="3">
        <v>1002.8390000000001</v>
      </c>
      <c r="F633" s="3">
        <v>1002.8390000000001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>
        <v>0</v>
      </c>
      <c r="P633" s="3">
        <v>0</v>
      </c>
    </row>
    <row r="634" spans="1:16" x14ac:dyDescent="0.2">
      <c r="A634" s="12">
        <v>563</v>
      </c>
      <c r="B634" s="3">
        <v>1003.048</v>
      </c>
      <c r="C634" s="3">
        <v>0</v>
      </c>
      <c r="D634" s="3">
        <v>0</v>
      </c>
      <c r="E634" s="3">
        <v>1003.047</v>
      </c>
      <c r="F634" s="3">
        <v>1003.047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0</v>
      </c>
      <c r="P634" s="3">
        <v>0</v>
      </c>
    </row>
    <row r="635" spans="1:16" x14ac:dyDescent="0.2">
      <c r="A635" s="12">
        <v>564</v>
      </c>
      <c r="B635" s="3">
        <v>1003.228</v>
      </c>
      <c r="C635" s="3">
        <v>0</v>
      </c>
      <c r="D635" s="3">
        <v>0</v>
      </c>
      <c r="E635" s="3">
        <v>1003.228</v>
      </c>
      <c r="F635" s="3">
        <v>1003.228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>
        <v>0</v>
      </c>
      <c r="P635" s="3">
        <v>0</v>
      </c>
    </row>
    <row r="636" spans="1:16" x14ac:dyDescent="0.2">
      <c r="A636" s="12">
        <v>565</v>
      </c>
      <c r="B636" s="3">
        <v>1003.349</v>
      </c>
      <c r="C636" s="3">
        <v>0</v>
      </c>
      <c r="D636" s="3">
        <v>0</v>
      </c>
      <c r="E636" s="3">
        <v>1003.349</v>
      </c>
      <c r="F636" s="3">
        <v>1003.349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</row>
    <row r="637" spans="1:16" x14ac:dyDescent="0.2">
      <c r="A637" s="12">
        <v>566</v>
      </c>
      <c r="B637" s="3">
        <v>1003.429</v>
      </c>
      <c r="C637" s="3">
        <v>0</v>
      </c>
      <c r="D637" s="3">
        <v>0</v>
      </c>
      <c r="E637" s="3">
        <v>1003.429</v>
      </c>
      <c r="F637" s="3">
        <v>1003.429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</row>
    <row r="638" spans="1:16" x14ac:dyDescent="0.2">
      <c r="A638" s="12">
        <v>567</v>
      </c>
      <c r="B638" s="3">
        <v>1003.529</v>
      </c>
      <c r="C638" s="3">
        <v>0</v>
      </c>
      <c r="D638" s="3">
        <v>0</v>
      </c>
      <c r="E638" s="3">
        <v>1003.529</v>
      </c>
      <c r="F638" s="3">
        <v>1003.529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>
        <v>0</v>
      </c>
      <c r="P638" s="3">
        <v>0</v>
      </c>
    </row>
    <row r="639" spans="1:16" x14ac:dyDescent="0.2">
      <c r="A639" s="12">
        <v>568</v>
      </c>
      <c r="B639" s="3">
        <v>1003.629</v>
      </c>
      <c r="C639" s="3">
        <v>0</v>
      </c>
      <c r="D639" s="3">
        <v>0</v>
      </c>
      <c r="E639" s="3">
        <v>1003.629</v>
      </c>
      <c r="F639" s="3">
        <v>1003.629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</row>
    <row r="640" spans="1:16" x14ac:dyDescent="0.2">
      <c r="A640" s="12">
        <v>569</v>
      </c>
      <c r="B640" s="3">
        <v>1003.729</v>
      </c>
      <c r="C640" s="3">
        <v>0</v>
      </c>
      <c r="D640" s="3">
        <v>0</v>
      </c>
      <c r="E640" s="3">
        <v>1003.729</v>
      </c>
      <c r="F640" s="3">
        <v>1003.729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0</v>
      </c>
      <c r="P640" s="3">
        <v>0</v>
      </c>
    </row>
    <row r="641" spans="1:16" x14ac:dyDescent="0.2">
      <c r="A641" s="12">
        <v>570</v>
      </c>
      <c r="B641" s="3">
        <v>1004.0119999999999</v>
      </c>
      <c r="C641" s="3">
        <v>0</v>
      </c>
      <c r="D641" s="3">
        <v>0</v>
      </c>
      <c r="E641" s="3">
        <v>1004.0119999999999</v>
      </c>
      <c r="F641" s="3">
        <v>1004.0119999999999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0</v>
      </c>
      <c r="P641" s="3">
        <v>0</v>
      </c>
    </row>
    <row r="642" spans="1:16" x14ac:dyDescent="0.2">
      <c r="A642" s="12">
        <v>571</v>
      </c>
      <c r="B642" s="3">
        <v>1004.2859999999999</v>
      </c>
      <c r="C642" s="3">
        <v>0</v>
      </c>
      <c r="D642" s="3">
        <v>0</v>
      </c>
      <c r="E642" s="3">
        <v>1004.2859999999999</v>
      </c>
      <c r="F642" s="3">
        <v>1004.2859999999999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</row>
    <row r="643" spans="1:16" x14ac:dyDescent="0.2">
      <c r="A643" s="12">
        <v>572</v>
      </c>
      <c r="B643" s="3">
        <v>1004.551</v>
      </c>
      <c r="C643" s="3">
        <v>0</v>
      </c>
      <c r="D643" s="3">
        <v>0</v>
      </c>
      <c r="E643" s="3">
        <v>1004.551</v>
      </c>
      <c r="F643" s="3">
        <v>1004.551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</v>
      </c>
      <c r="P643" s="3">
        <v>0</v>
      </c>
    </row>
    <row r="644" spans="1:16" x14ac:dyDescent="0.2">
      <c r="A644" s="12">
        <v>573</v>
      </c>
      <c r="B644" s="3">
        <v>1004.764</v>
      </c>
      <c r="C644" s="3">
        <v>0</v>
      </c>
      <c r="D644" s="3">
        <v>0</v>
      </c>
      <c r="E644" s="3">
        <v>1004.764</v>
      </c>
      <c r="F644" s="3">
        <v>1004.764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</row>
    <row r="645" spans="1:16" x14ac:dyDescent="0.2">
      <c r="A645" s="12">
        <v>574</v>
      </c>
      <c r="B645" s="3">
        <v>1004.9059999999999</v>
      </c>
      <c r="C645" s="3">
        <v>0</v>
      </c>
      <c r="D645" s="3">
        <v>0</v>
      </c>
      <c r="E645" s="3">
        <v>1004.9059999999999</v>
      </c>
      <c r="F645" s="3">
        <v>1004.9059999999999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0</v>
      </c>
      <c r="P645" s="3">
        <v>0</v>
      </c>
    </row>
    <row r="646" spans="1:16" x14ac:dyDescent="0.2">
      <c r="A646" s="12">
        <v>575</v>
      </c>
      <c r="B646" s="3">
        <v>1005</v>
      </c>
      <c r="C646" s="3">
        <v>0</v>
      </c>
      <c r="D646" s="3">
        <v>0</v>
      </c>
      <c r="E646" s="3">
        <v>1005</v>
      </c>
      <c r="F646" s="3">
        <v>1005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0</v>
      </c>
      <c r="P646" s="3">
        <v>0</v>
      </c>
    </row>
    <row r="647" spans="1:16" x14ac:dyDescent="0.2">
      <c r="A647" s="12">
        <v>576</v>
      </c>
      <c r="B647" s="3">
        <v>995.11900000000003</v>
      </c>
      <c r="C647" s="3">
        <v>1.397</v>
      </c>
      <c r="D647" s="3">
        <v>0</v>
      </c>
      <c r="E647" s="3">
        <v>995.54499999999996</v>
      </c>
      <c r="F647" s="3">
        <v>995.54499999999996</v>
      </c>
      <c r="G647" s="3">
        <v>1.397</v>
      </c>
      <c r="H647" s="3">
        <v>1.397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-4.0000000000000001E-3</v>
      </c>
      <c r="P647" s="3">
        <v>-4.0000000000000001E-3</v>
      </c>
    </row>
    <row r="648" spans="1:16" x14ac:dyDescent="0.2">
      <c r="A648" s="12">
        <v>577</v>
      </c>
      <c r="B648" s="3">
        <v>1005</v>
      </c>
      <c r="C648" s="3">
        <v>3.5190000000000001</v>
      </c>
      <c r="D648" s="3">
        <v>0</v>
      </c>
      <c r="E648" s="3">
        <v>1005</v>
      </c>
      <c r="F648" s="3">
        <v>1005</v>
      </c>
      <c r="G648" s="3">
        <v>3.5190000000000001</v>
      </c>
      <c r="H648" s="3">
        <v>3.5190000000000001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0.39600000000000002</v>
      </c>
      <c r="P648" s="3">
        <v>0.39600000000000002</v>
      </c>
    </row>
    <row r="649" spans="1:16" x14ac:dyDescent="0.2">
      <c r="A649" s="12">
        <v>578</v>
      </c>
      <c r="B649" s="3">
        <v>995.11900000000003</v>
      </c>
      <c r="C649" s="3">
        <v>0.98799999999999999</v>
      </c>
      <c r="D649" s="3">
        <v>0.98799999999999999</v>
      </c>
      <c r="E649" s="3">
        <v>995.54499999999996</v>
      </c>
      <c r="F649" s="3">
        <v>995.54499999999996</v>
      </c>
      <c r="G649" s="3">
        <v>0.98799999999999999</v>
      </c>
      <c r="H649" s="3">
        <v>0.98799999999999999</v>
      </c>
      <c r="I649" s="3">
        <v>0.98799999999999999</v>
      </c>
      <c r="J649" s="3">
        <v>0.98799999999999999</v>
      </c>
      <c r="K649" s="3">
        <v>0</v>
      </c>
      <c r="L649" s="3">
        <v>0</v>
      </c>
      <c r="M649" s="3">
        <v>2E-3</v>
      </c>
      <c r="N649" s="3">
        <v>2E-3</v>
      </c>
      <c r="O649" s="3">
        <v>-2E-3</v>
      </c>
      <c r="P649" s="3">
        <v>-2E-3</v>
      </c>
    </row>
    <row r="650" spans="1:16" x14ac:dyDescent="0.2">
      <c r="A650" s="12">
        <v>579</v>
      </c>
      <c r="B650" s="3">
        <v>1005</v>
      </c>
      <c r="C650" s="3">
        <v>2.488</v>
      </c>
      <c r="D650" s="3">
        <v>2.488</v>
      </c>
      <c r="E650" s="3">
        <v>1005</v>
      </c>
      <c r="F650" s="3">
        <v>1005</v>
      </c>
      <c r="G650" s="3">
        <v>2.488</v>
      </c>
      <c r="H650" s="3">
        <v>2.488</v>
      </c>
      <c r="I650" s="3">
        <v>2.488</v>
      </c>
      <c r="J650" s="3">
        <v>2.488</v>
      </c>
      <c r="K650" s="3">
        <v>0</v>
      </c>
      <c r="L650" s="3">
        <v>0</v>
      </c>
      <c r="M650" s="3">
        <v>-0.28000000000000003</v>
      </c>
      <c r="N650" s="3">
        <v>-0.28000000000000003</v>
      </c>
      <c r="O650" s="3">
        <v>0.28000000000000003</v>
      </c>
      <c r="P650" s="3">
        <v>0.28000000000000003</v>
      </c>
    </row>
    <row r="651" spans="1:16" x14ac:dyDescent="0.2">
      <c r="A651" s="12">
        <v>580</v>
      </c>
      <c r="B651" s="3">
        <v>995.11900000000003</v>
      </c>
      <c r="C651" s="3">
        <v>0</v>
      </c>
      <c r="D651" s="3">
        <v>1.397</v>
      </c>
      <c r="E651" s="3">
        <v>995.54499999999996</v>
      </c>
      <c r="F651" s="3">
        <v>995.54499999999996</v>
      </c>
      <c r="G651" s="3">
        <v>0</v>
      </c>
      <c r="H651" s="3">
        <v>0</v>
      </c>
      <c r="I651" s="3">
        <v>1.397</v>
      </c>
      <c r="J651" s="3">
        <v>1.397</v>
      </c>
      <c r="K651" s="3">
        <v>0</v>
      </c>
      <c r="L651" s="3">
        <v>0</v>
      </c>
      <c r="M651" s="3">
        <v>4.0000000000000001E-3</v>
      </c>
      <c r="N651" s="3">
        <v>4.0000000000000001E-3</v>
      </c>
      <c r="O651" s="3">
        <v>0</v>
      </c>
      <c r="P651" s="3">
        <v>0</v>
      </c>
    </row>
    <row r="652" spans="1:16" x14ac:dyDescent="0.2">
      <c r="A652" s="12">
        <v>581</v>
      </c>
      <c r="B652" s="3">
        <v>1005</v>
      </c>
      <c r="C652" s="3">
        <v>0</v>
      </c>
      <c r="D652" s="3">
        <v>3.5190000000000001</v>
      </c>
      <c r="E652" s="3">
        <v>1005</v>
      </c>
      <c r="F652" s="3">
        <v>1005</v>
      </c>
      <c r="G652" s="3">
        <v>0</v>
      </c>
      <c r="H652" s="3">
        <v>0</v>
      </c>
      <c r="I652" s="3">
        <v>3.5190000000000001</v>
      </c>
      <c r="J652" s="3">
        <v>3.5190000000000001</v>
      </c>
      <c r="K652" s="3">
        <v>0</v>
      </c>
      <c r="L652" s="3">
        <v>0</v>
      </c>
      <c r="M652" s="3">
        <v>-0.39600000000000002</v>
      </c>
      <c r="N652" s="3">
        <v>-0.39600000000000002</v>
      </c>
      <c r="O652" s="3">
        <v>0</v>
      </c>
      <c r="P652" s="3">
        <v>0</v>
      </c>
    </row>
    <row r="653" spans="1:16" x14ac:dyDescent="0.2">
      <c r="A653" s="12">
        <v>582</v>
      </c>
      <c r="B653" s="3">
        <v>995.11900000000003</v>
      </c>
      <c r="C653" s="3">
        <v>-0.98799999999999999</v>
      </c>
      <c r="D653" s="3">
        <v>0.98799999999999999</v>
      </c>
      <c r="E653" s="3">
        <v>995.54499999999996</v>
      </c>
      <c r="F653" s="3">
        <v>995.54499999999996</v>
      </c>
      <c r="G653" s="3">
        <v>-0.98799999999999999</v>
      </c>
      <c r="H653" s="3">
        <v>-0.98799999999999999</v>
      </c>
      <c r="I653" s="3">
        <v>0.98799999999999999</v>
      </c>
      <c r="J653" s="3">
        <v>0.98799999999999999</v>
      </c>
      <c r="K653" s="3">
        <v>0</v>
      </c>
      <c r="L653" s="3">
        <v>0</v>
      </c>
      <c r="M653" s="3">
        <v>2E-3</v>
      </c>
      <c r="N653" s="3">
        <v>2E-3</v>
      </c>
      <c r="O653" s="3">
        <v>2E-3</v>
      </c>
      <c r="P653" s="3">
        <v>2E-3</v>
      </c>
    </row>
    <row r="654" spans="1:16" x14ac:dyDescent="0.2">
      <c r="A654" s="12">
        <v>583</v>
      </c>
      <c r="B654" s="3">
        <v>1005</v>
      </c>
      <c r="C654" s="3">
        <v>-2.488</v>
      </c>
      <c r="D654" s="3">
        <v>2.488</v>
      </c>
      <c r="E654" s="3">
        <v>1005</v>
      </c>
      <c r="F654" s="3">
        <v>1005</v>
      </c>
      <c r="G654" s="3">
        <v>-2.488</v>
      </c>
      <c r="H654" s="3">
        <v>-2.488</v>
      </c>
      <c r="I654" s="3">
        <v>2.488</v>
      </c>
      <c r="J654" s="3">
        <v>2.488</v>
      </c>
      <c r="K654" s="3">
        <v>0</v>
      </c>
      <c r="L654" s="3">
        <v>0</v>
      </c>
      <c r="M654" s="3">
        <v>-0.28000000000000003</v>
      </c>
      <c r="N654" s="3">
        <v>-0.28000000000000003</v>
      </c>
      <c r="O654" s="3">
        <v>-0.28000000000000003</v>
      </c>
      <c r="P654" s="3">
        <v>-0.28000000000000003</v>
      </c>
    </row>
    <row r="655" spans="1:16" x14ac:dyDescent="0.2">
      <c r="A655" s="12">
        <v>584</v>
      </c>
      <c r="B655" s="3">
        <v>995.11900000000003</v>
      </c>
      <c r="C655" s="3">
        <v>-1.397</v>
      </c>
      <c r="D655" s="3">
        <v>0</v>
      </c>
      <c r="E655" s="3">
        <v>995.54499999999996</v>
      </c>
      <c r="F655" s="3">
        <v>995.54499999999996</v>
      </c>
      <c r="G655" s="3">
        <v>-1.397</v>
      </c>
      <c r="H655" s="3">
        <v>-1.397</v>
      </c>
      <c r="I655" s="3">
        <v>0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4.0000000000000001E-3</v>
      </c>
      <c r="P655" s="3">
        <v>4.0000000000000001E-3</v>
      </c>
    </row>
    <row r="656" spans="1:16" x14ac:dyDescent="0.2">
      <c r="A656" s="12">
        <v>585</v>
      </c>
      <c r="B656" s="3">
        <v>1005</v>
      </c>
      <c r="C656" s="3">
        <v>-3.5190000000000001</v>
      </c>
      <c r="D656" s="3">
        <v>0</v>
      </c>
      <c r="E656" s="3">
        <v>1005</v>
      </c>
      <c r="F656" s="3">
        <v>1005</v>
      </c>
      <c r="G656" s="3">
        <v>-3.5190000000000001</v>
      </c>
      <c r="H656" s="3">
        <v>-3.5190000000000001</v>
      </c>
      <c r="I656" s="3">
        <v>0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-0.39600000000000002</v>
      </c>
      <c r="P656" s="3">
        <v>-0.39600000000000002</v>
      </c>
    </row>
    <row r="657" spans="1:16" x14ac:dyDescent="0.2">
      <c r="A657" s="12">
        <v>586</v>
      </c>
      <c r="B657" s="3">
        <v>995.11900000000003</v>
      </c>
      <c r="C657" s="3">
        <v>-0.98799999999999999</v>
      </c>
      <c r="D657" s="3">
        <v>-0.98799999999999999</v>
      </c>
      <c r="E657" s="3">
        <v>995.54499999999996</v>
      </c>
      <c r="F657" s="3">
        <v>995.54499999999996</v>
      </c>
      <c r="G657" s="3">
        <v>-0.98799999999999999</v>
      </c>
      <c r="H657" s="3">
        <v>-0.98799999999999999</v>
      </c>
      <c r="I657" s="3">
        <v>-0.98799999999999999</v>
      </c>
      <c r="J657" s="3">
        <v>-0.98799999999999999</v>
      </c>
      <c r="K657" s="3">
        <v>0</v>
      </c>
      <c r="L657" s="3">
        <v>0</v>
      </c>
      <c r="M657" s="3">
        <v>-2E-3</v>
      </c>
      <c r="N657" s="3">
        <v>-2E-3</v>
      </c>
      <c r="O657" s="3">
        <v>2E-3</v>
      </c>
      <c r="P657" s="3">
        <v>2E-3</v>
      </c>
    </row>
    <row r="658" spans="1:16" x14ac:dyDescent="0.2">
      <c r="A658" s="12">
        <v>587</v>
      </c>
      <c r="B658" s="3">
        <v>1005</v>
      </c>
      <c r="C658" s="3">
        <v>-2.488</v>
      </c>
      <c r="D658" s="3">
        <v>-2.488</v>
      </c>
      <c r="E658" s="3">
        <v>1005</v>
      </c>
      <c r="F658" s="3">
        <v>1005</v>
      </c>
      <c r="G658" s="3">
        <v>-2.488</v>
      </c>
      <c r="H658" s="3">
        <v>-2.488</v>
      </c>
      <c r="I658" s="3">
        <v>-2.488</v>
      </c>
      <c r="J658" s="3">
        <v>-2.488</v>
      </c>
      <c r="K658" s="3">
        <v>0</v>
      </c>
      <c r="L658" s="3">
        <v>0</v>
      </c>
      <c r="M658" s="3">
        <v>0.28000000000000003</v>
      </c>
      <c r="N658" s="3">
        <v>0.28000000000000003</v>
      </c>
      <c r="O658" s="3">
        <v>-0.28000000000000003</v>
      </c>
      <c r="P658" s="3">
        <v>-0.28000000000000003</v>
      </c>
    </row>
    <row r="659" spans="1:16" x14ac:dyDescent="0.2">
      <c r="A659" s="12">
        <v>588</v>
      </c>
      <c r="B659" s="3">
        <v>995.11900000000003</v>
      </c>
      <c r="C659" s="3">
        <v>0</v>
      </c>
      <c r="D659" s="3">
        <v>-1.397</v>
      </c>
      <c r="E659" s="3">
        <v>995.54499999999996</v>
      </c>
      <c r="F659" s="3">
        <v>995.54499999999996</v>
      </c>
      <c r="G659" s="3">
        <v>0</v>
      </c>
      <c r="H659" s="3">
        <v>0</v>
      </c>
      <c r="I659" s="3">
        <v>-1.397</v>
      </c>
      <c r="J659" s="3">
        <v>-1.397</v>
      </c>
      <c r="K659" s="3">
        <v>0</v>
      </c>
      <c r="L659" s="3">
        <v>0</v>
      </c>
      <c r="M659" s="3">
        <v>-4.0000000000000001E-3</v>
      </c>
      <c r="N659" s="3">
        <v>-4.0000000000000001E-3</v>
      </c>
      <c r="O659" s="3">
        <v>0</v>
      </c>
      <c r="P659" s="3">
        <v>0</v>
      </c>
    </row>
    <row r="660" spans="1:16" x14ac:dyDescent="0.2">
      <c r="A660" s="12">
        <v>589</v>
      </c>
      <c r="B660" s="3">
        <v>1005</v>
      </c>
      <c r="C660" s="3">
        <v>0</v>
      </c>
      <c r="D660" s="3">
        <v>-3.5190000000000001</v>
      </c>
      <c r="E660" s="3">
        <v>1005</v>
      </c>
      <c r="F660" s="3">
        <v>1005</v>
      </c>
      <c r="G660" s="3">
        <v>0</v>
      </c>
      <c r="H660" s="3">
        <v>0</v>
      </c>
      <c r="I660" s="3">
        <v>-3.5190000000000001</v>
      </c>
      <c r="J660" s="3">
        <v>-3.5190000000000001</v>
      </c>
      <c r="K660" s="3">
        <v>0</v>
      </c>
      <c r="L660" s="3">
        <v>0</v>
      </c>
      <c r="M660" s="3">
        <v>0.39600000000000002</v>
      </c>
      <c r="N660" s="3">
        <v>0.39600000000000002</v>
      </c>
      <c r="O660" s="3">
        <v>0</v>
      </c>
      <c r="P660" s="3">
        <v>0</v>
      </c>
    </row>
    <row r="661" spans="1:16" x14ac:dyDescent="0.2">
      <c r="A661" s="12">
        <v>590</v>
      </c>
      <c r="B661" s="3">
        <v>995.11900000000003</v>
      </c>
      <c r="C661" s="3">
        <v>0.98799999999999999</v>
      </c>
      <c r="D661" s="3">
        <v>-0.98799999999999999</v>
      </c>
      <c r="E661" s="3">
        <v>995.54499999999996</v>
      </c>
      <c r="F661" s="3">
        <v>995.54499999999996</v>
      </c>
      <c r="G661" s="3">
        <v>0.98799999999999999</v>
      </c>
      <c r="H661" s="3">
        <v>0.98799999999999999</v>
      </c>
      <c r="I661" s="3">
        <v>-0.98799999999999999</v>
      </c>
      <c r="J661" s="3">
        <v>-0.98799999999999999</v>
      </c>
      <c r="K661" s="3">
        <v>0</v>
      </c>
      <c r="L661" s="3">
        <v>0</v>
      </c>
      <c r="M661" s="3">
        <v>-2E-3</v>
      </c>
      <c r="N661" s="3">
        <v>-2E-3</v>
      </c>
      <c r="O661" s="3">
        <v>-2E-3</v>
      </c>
      <c r="P661" s="3">
        <v>-2E-3</v>
      </c>
    </row>
    <row r="662" spans="1:16" x14ac:dyDescent="0.2">
      <c r="A662" s="12">
        <v>591</v>
      </c>
      <c r="B662" s="3">
        <v>1005</v>
      </c>
      <c r="C662" s="3">
        <v>2.488</v>
      </c>
      <c r="D662" s="3">
        <v>-2.488</v>
      </c>
      <c r="E662" s="3">
        <v>1005</v>
      </c>
      <c r="F662" s="3">
        <v>1005</v>
      </c>
      <c r="G662" s="3">
        <v>2.488</v>
      </c>
      <c r="H662" s="3">
        <v>2.488</v>
      </c>
      <c r="I662" s="3">
        <v>-2.488</v>
      </c>
      <c r="J662" s="3">
        <v>-2.488</v>
      </c>
      <c r="K662" s="3">
        <v>0</v>
      </c>
      <c r="L662" s="3">
        <v>0</v>
      </c>
      <c r="M662" s="3">
        <v>0.28000000000000003</v>
      </c>
      <c r="N662" s="3">
        <v>0.28000000000000003</v>
      </c>
      <c r="O662" s="3">
        <v>0.28000000000000003</v>
      </c>
      <c r="P662" s="3">
        <v>0.28000000000000003</v>
      </c>
    </row>
    <row r="663" spans="1:16" x14ac:dyDescent="0.2">
      <c r="A663" s="12">
        <v>611</v>
      </c>
      <c r="B663" s="3">
        <v>985</v>
      </c>
      <c r="C663" s="3">
        <v>1000</v>
      </c>
      <c r="D663" s="3">
        <v>0</v>
      </c>
      <c r="E663" s="3">
        <v>985</v>
      </c>
      <c r="F663" s="3">
        <v>985</v>
      </c>
      <c r="G663" s="3">
        <v>1000</v>
      </c>
      <c r="H663" s="3">
        <v>1000</v>
      </c>
      <c r="I663" s="3">
        <v>0</v>
      </c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>
        <v>0</v>
      </c>
      <c r="P663" s="3">
        <v>0</v>
      </c>
    </row>
    <row r="664" spans="1:16" x14ac:dyDescent="0.2">
      <c r="A664" s="12">
        <v>613</v>
      </c>
      <c r="B664" s="3">
        <v>985</v>
      </c>
      <c r="C664" s="3">
        <v>0</v>
      </c>
      <c r="D664" s="3">
        <v>-1000</v>
      </c>
      <c r="E664" s="3">
        <v>985</v>
      </c>
      <c r="F664" s="3">
        <v>985</v>
      </c>
      <c r="G664" s="3">
        <v>0</v>
      </c>
      <c r="H664" s="3">
        <v>0</v>
      </c>
      <c r="I664" s="3">
        <v>-1000</v>
      </c>
      <c r="J664" s="3">
        <v>-1000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21"/>
  <sheetViews>
    <sheetView workbookViewId="0"/>
  </sheetViews>
  <sheetFormatPr defaultRowHeight="12.75" x14ac:dyDescent="0.2"/>
  <cols>
    <col min="1" max="1" width="25.7109375" style="9" customWidth="1"/>
    <col min="2" max="3" width="9.140625" style="9"/>
    <col min="4" max="5" width="9.140625" style="13"/>
    <col min="6" max="48" width="9.140625" style="9"/>
  </cols>
  <sheetData>
    <row r="1" spans="1:48" x14ac:dyDescent="0.2">
      <c r="A1" s="9" t="s">
        <v>34</v>
      </c>
    </row>
    <row r="2" spans="1:48" x14ac:dyDescent="0.2">
      <c r="A2" s="9" t="s">
        <v>35</v>
      </c>
    </row>
    <row r="3" spans="1:48" x14ac:dyDescent="0.2">
      <c r="A3" s="9" t="s">
        <v>36</v>
      </c>
    </row>
    <row r="4" spans="1:48" x14ac:dyDescent="0.2">
      <c r="A4" s="9" t="s">
        <v>37</v>
      </c>
      <c r="E4" s="13" t="s">
        <v>38</v>
      </c>
    </row>
    <row r="5" spans="1:48" s="4" customFormat="1" x14ac:dyDescent="0.2">
      <c r="A5" s="9"/>
      <c r="B5" s="9"/>
      <c r="C5" s="9"/>
      <c r="D5" s="13"/>
      <c r="E5" s="13" t="s">
        <v>258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</row>
    <row r="6" spans="1:48" x14ac:dyDescent="0.2">
      <c r="A6" s="9" t="s">
        <v>259</v>
      </c>
      <c r="B6" s="9" t="s">
        <v>260</v>
      </c>
      <c r="D6" s="13" t="s">
        <v>261</v>
      </c>
    </row>
    <row r="7" spans="1:48" x14ac:dyDescent="0.2">
      <c r="B7" s="9" t="s">
        <v>17</v>
      </c>
      <c r="C7" s="9" t="s">
        <v>18</v>
      </c>
      <c r="D7" s="13" t="s">
        <v>17</v>
      </c>
      <c r="E7" s="13" t="s">
        <v>18</v>
      </c>
    </row>
    <row r="8" spans="1:48" x14ac:dyDescent="0.2">
      <c r="B8" s="9" t="s">
        <v>262</v>
      </c>
      <c r="C8" s="9" t="s">
        <v>262</v>
      </c>
      <c r="D8" s="13" t="s">
        <v>64</v>
      </c>
      <c r="E8" s="13" t="s">
        <v>64</v>
      </c>
    </row>
    <row r="9" spans="1:48" x14ac:dyDescent="0.2">
      <c r="A9" s="9" t="s">
        <v>263</v>
      </c>
      <c r="B9" s="9">
        <v>-0.42049999999999998</v>
      </c>
      <c r="C9" s="9">
        <v>-0.42049999999999998</v>
      </c>
      <c r="D9" s="13">
        <v>-0.42049999999999998</v>
      </c>
      <c r="E9" s="13">
        <v>-0.42049999999999998</v>
      </c>
    </row>
    <row r="10" spans="1:48" x14ac:dyDescent="0.2">
      <c r="A10" s="9" t="s">
        <v>264</v>
      </c>
      <c r="B10" s="16">
        <v>-0.42049999999999998</v>
      </c>
      <c r="C10" s="16">
        <v>-0.42049999999999998</v>
      </c>
      <c r="D10" s="13">
        <v>-0.42049999999999998</v>
      </c>
      <c r="E10" s="13">
        <v>-0.42049999999999998</v>
      </c>
    </row>
    <row r="11" spans="1:48" x14ac:dyDescent="0.2">
      <c r="A11" s="9" t="s">
        <v>156</v>
      </c>
      <c r="B11" s="16">
        <v>-0.42049999999999998</v>
      </c>
      <c r="C11" s="16">
        <v>-0.42049999999999998</v>
      </c>
      <c r="D11" s="13">
        <v>-0.42049999999999998</v>
      </c>
      <c r="E11" s="13">
        <v>-0.42049999999999998</v>
      </c>
    </row>
    <row r="12" spans="1:48" x14ac:dyDescent="0.2">
      <c r="A12" s="9" t="s">
        <v>265</v>
      </c>
      <c r="B12" s="16">
        <v>8.9519999999999997E-5</v>
      </c>
      <c r="C12" s="16">
        <v>8.9519999999999997E-5</v>
      </c>
      <c r="D12" s="13">
        <v>8.9519999999999997E-5</v>
      </c>
      <c r="E12" s="13">
        <v>8.9519999999999997E-5</v>
      </c>
    </row>
    <row r="13" spans="1:48" x14ac:dyDescent="0.2">
      <c r="A13" s="9" t="s">
        <v>266</v>
      </c>
      <c r="B13" s="16">
        <v>8.9519999999999997E-5</v>
      </c>
      <c r="C13" s="16">
        <v>8.9519999999999997E-5</v>
      </c>
      <c r="D13" s="13">
        <v>8.9519999999999997E-5</v>
      </c>
      <c r="E13" s="13">
        <v>8.9519999999999997E-5</v>
      </c>
    </row>
    <row r="14" spans="1:48" x14ac:dyDescent="0.2">
      <c r="A14" s="9" t="s">
        <v>157</v>
      </c>
      <c r="B14" s="16">
        <v>8.9519999999999997E-5</v>
      </c>
      <c r="C14" s="16">
        <v>8.9519999999999997E-5</v>
      </c>
      <c r="D14" s="13">
        <v>8.9519999999999997E-5</v>
      </c>
      <c r="E14" s="13">
        <v>8.9519999999999997E-5</v>
      </c>
    </row>
    <row r="15" spans="1:48" x14ac:dyDescent="0.2">
      <c r="A15" s="9" t="s">
        <v>267</v>
      </c>
      <c r="B15" s="16">
        <v>8.9519999999999997E-5</v>
      </c>
      <c r="C15" s="16">
        <v>8.9519999999999997E-5</v>
      </c>
      <c r="D15" s="13">
        <v>8.9519999999999997E-5</v>
      </c>
      <c r="E15" s="13">
        <v>8.9519999999999997E-5</v>
      </c>
    </row>
    <row r="16" spans="1:48" x14ac:dyDescent="0.2">
      <c r="A16" s="9" t="s">
        <v>268</v>
      </c>
      <c r="B16" s="16">
        <v>8.9519999999999997E-5</v>
      </c>
      <c r="C16" s="16">
        <v>8.9519999999999997E-5</v>
      </c>
      <c r="D16" s="13">
        <v>8.9519999999999997E-5</v>
      </c>
      <c r="E16" s="13">
        <v>8.9519999999999997E-5</v>
      </c>
    </row>
    <row r="17" spans="1:5" x14ac:dyDescent="0.2">
      <c r="A17" s="9" t="s">
        <v>158</v>
      </c>
      <c r="B17" s="16">
        <v>8.9519999999999997E-5</v>
      </c>
      <c r="C17" s="16">
        <v>8.9519999999999997E-5</v>
      </c>
      <c r="D17" s="13">
        <v>8.9519999999999997E-5</v>
      </c>
      <c r="E17" s="13">
        <v>8.9519999999999997E-5</v>
      </c>
    </row>
    <row r="18" spans="1:5" x14ac:dyDescent="0.2">
      <c r="B18" s="16"/>
      <c r="C18" s="16"/>
    </row>
    <row r="19" spans="1:5" x14ac:dyDescent="0.2">
      <c r="A19" s="9">
        <v>587</v>
      </c>
      <c r="B19" s="16">
        <v>-0.42049999999999998</v>
      </c>
      <c r="C19" s="16">
        <v>-0.42049999999999998</v>
      </c>
      <c r="D19" s="13">
        <v>-0.42049999999999998</v>
      </c>
      <c r="E19" s="13">
        <v>-0.42049999999999998</v>
      </c>
    </row>
    <row r="20" spans="1:5" x14ac:dyDescent="0.2">
      <c r="A20" s="9">
        <v>588</v>
      </c>
      <c r="B20" s="16">
        <v>8.9519999999999997E-5</v>
      </c>
      <c r="C20" s="16">
        <v>8.9519999999999997E-5</v>
      </c>
      <c r="D20" s="13">
        <v>8.9519999999999997E-5</v>
      </c>
      <c r="E20" s="13">
        <v>8.9519999999999997E-5</v>
      </c>
    </row>
    <row r="21" spans="1:5" x14ac:dyDescent="0.2">
      <c r="A21" s="9">
        <v>589</v>
      </c>
      <c r="B21" s="16">
        <v>8.9519999999999997E-5</v>
      </c>
      <c r="C21" s="16">
        <v>8.9519999999999997E-5</v>
      </c>
      <c r="D21" s="13">
        <v>8.9519999999999997E-5</v>
      </c>
      <c r="E21" s="13">
        <v>8.9519999999999997E-5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"/>
  <sheetViews>
    <sheetView workbookViewId="0"/>
  </sheetViews>
  <sheetFormatPr defaultRowHeight="12.75" x14ac:dyDescent="0.2"/>
  <cols>
    <col min="1" max="1" width="25.7109375" style="12" customWidth="1"/>
    <col min="2" max="2" width="11.28515625" customWidth="1"/>
    <col min="3" max="3" width="16.28515625" customWidth="1"/>
    <col min="4" max="5" width="9.140625" style="16"/>
  </cols>
  <sheetData>
    <row r="1" spans="1:9" x14ac:dyDescent="0.2">
      <c r="B1" t="s">
        <v>34</v>
      </c>
    </row>
    <row r="2" spans="1:9" x14ac:dyDescent="0.2">
      <c r="B2" t="s">
        <v>35</v>
      </c>
    </row>
    <row r="3" spans="1:9" x14ac:dyDescent="0.2">
      <c r="B3" t="s">
        <v>36</v>
      </c>
    </row>
    <row r="4" spans="1:9" x14ac:dyDescent="0.2">
      <c r="B4" t="s">
        <v>37</v>
      </c>
      <c r="F4" t="s">
        <v>38</v>
      </c>
    </row>
    <row r="5" spans="1:9" s="4" customFormat="1" x14ac:dyDescent="0.2">
      <c r="A5" s="12"/>
      <c r="D5" s="16"/>
      <c r="E5" s="16"/>
      <c r="F5" s="4" t="s">
        <v>269</v>
      </c>
    </row>
    <row r="6" spans="1:9" x14ac:dyDescent="0.2">
      <c r="C6" t="s">
        <v>270</v>
      </c>
    </row>
    <row r="7" spans="1:9" x14ac:dyDescent="0.2">
      <c r="C7" t="s">
        <v>271</v>
      </c>
    </row>
    <row r="8" spans="1:9" x14ac:dyDescent="0.2">
      <c r="A8" s="12" t="s">
        <v>4</v>
      </c>
      <c r="B8" t="s">
        <v>272</v>
      </c>
      <c r="C8" t="s">
        <v>273</v>
      </c>
      <c r="D8" s="16" t="s">
        <v>274</v>
      </c>
      <c r="F8" t="s">
        <v>275</v>
      </c>
      <c r="H8" t="s">
        <v>276</v>
      </c>
    </row>
    <row r="9" spans="1:9" x14ac:dyDescent="0.2">
      <c r="A9" s="12" t="s">
        <v>169</v>
      </c>
      <c r="B9" t="s">
        <v>277</v>
      </c>
      <c r="D9" s="16" t="s">
        <v>17</v>
      </c>
      <c r="E9" s="16" t="s">
        <v>18</v>
      </c>
      <c r="F9" t="s">
        <v>17</v>
      </c>
      <c r="G9" t="s">
        <v>18</v>
      </c>
      <c r="H9" t="s">
        <v>259</v>
      </c>
      <c r="I9" t="s">
        <v>259</v>
      </c>
    </row>
    <row r="10" spans="1:9" x14ac:dyDescent="0.2">
      <c r="D10" s="16" t="s">
        <v>171</v>
      </c>
      <c r="E10" s="16" t="s">
        <v>171</v>
      </c>
      <c r="F10" t="s">
        <v>278</v>
      </c>
      <c r="G10" t="s">
        <v>278</v>
      </c>
    </row>
    <row r="11" spans="1:9" x14ac:dyDescent="0.2">
      <c r="A11" s="12" t="s">
        <v>124</v>
      </c>
      <c r="B11" t="s">
        <v>279</v>
      </c>
      <c r="C11" t="s">
        <v>280</v>
      </c>
      <c r="D11" s="16">
        <v>0</v>
      </c>
      <c r="E11" s="16">
        <v>0</v>
      </c>
      <c r="F11">
        <v>0</v>
      </c>
      <c r="G11">
        <v>0</v>
      </c>
      <c r="H11">
        <v>276</v>
      </c>
      <c r="I11">
        <v>278</v>
      </c>
    </row>
    <row r="12" spans="1:9" x14ac:dyDescent="0.2">
      <c r="A12" s="12" t="s">
        <v>137</v>
      </c>
      <c r="B12" t="s">
        <v>279</v>
      </c>
      <c r="C12" t="s">
        <v>280</v>
      </c>
      <c r="D12" s="16">
        <v>0</v>
      </c>
      <c r="E12" s="16">
        <v>0</v>
      </c>
      <c r="F12">
        <v>0</v>
      </c>
      <c r="G12">
        <v>0</v>
      </c>
      <c r="H12">
        <v>562</v>
      </c>
      <c r="I12">
        <v>564</v>
      </c>
    </row>
    <row r="13" spans="1:9" x14ac:dyDescent="0.2">
      <c r="A13" s="12">
        <v>277</v>
      </c>
      <c r="B13" t="s">
        <v>279</v>
      </c>
      <c r="C13" t="s">
        <v>280</v>
      </c>
      <c r="D13" s="16">
        <v>0</v>
      </c>
      <c r="E13" s="16">
        <v>0</v>
      </c>
      <c r="F13">
        <v>0</v>
      </c>
      <c r="G13">
        <v>0</v>
      </c>
      <c r="H13">
        <v>276</v>
      </c>
      <c r="I13">
        <v>278</v>
      </c>
    </row>
    <row r="14" spans="1:9" x14ac:dyDescent="0.2">
      <c r="A14" s="12">
        <v>563</v>
      </c>
      <c r="B14" t="s">
        <v>279</v>
      </c>
      <c r="C14" t="s">
        <v>280</v>
      </c>
      <c r="D14" s="16">
        <v>0</v>
      </c>
      <c r="E14" s="16">
        <v>0</v>
      </c>
      <c r="F14">
        <v>0</v>
      </c>
      <c r="G14">
        <v>0</v>
      </c>
      <c r="H14">
        <v>562</v>
      </c>
      <c r="I14">
        <v>564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92"/>
  <sheetViews>
    <sheetView workbookViewId="0"/>
  </sheetViews>
  <sheetFormatPr defaultRowHeight="12.75" x14ac:dyDescent="0.2"/>
  <cols>
    <col min="1" max="1" width="25.7109375" style="12" customWidth="1"/>
    <col min="2" max="5" width="9.42578125" style="1" bestFit="1" customWidth="1"/>
    <col min="6" max="7" width="9.28515625" style="1" bestFit="1" customWidth="1"/>
  </cols>
  <sheetData>
    <row r="1" spans="1:7" x14ac:dyDescent="0.2">
      <c r="B1" s="1" t="s">
        <v>34</v>
      </c>
    </row>
    <row r="2" spans="1:7" x14ac:dyDescent="0.2">
      <c r="B2" s="1" t="s">
        <v>35</v>
      </c>
    </row>
    <row r="3" spans="1:7" x14ac:dyDescent="0.2">
      <c r="B3" s="1" t="s">
        <v>36</v>
      </c>
    </row>
    <row r="4" spans="1:7" x14ac:dyDescent="0.2">
      <c r="B4" s="1" t="s">
        <v>37</v>
      </c>
      <c r="F4" s="1" t="s">
        <v>38</v>
      </c>
    </row>
    <row r="5" spans="1:7" s="4" customFormat="1" x14ac:dyDescent="0.2">
      <c r="A5" s="12"/>
      <c r="B5" s="1"/>
      <c r="C5" s="1"/>
      <c r="D5" s="1"/>
      <c r="E5" s="1"/>
      <c r="F5" s="1" t="s">
        <v>281</v>
      </c>
      <c r="G5" s="1"/>
    </row>
    <row r="6" spans="1:7" x14ac:dyDescent="0.2">
      <c r="A6" s="12" t="s">
        <v>4</v>
      </c>
      <c r="B6" s="1" t="s">
        <v>282</v>
      </c>
      <c r="C6" s="1" t="s">
        <v>42</v>
      </c>
      <c r="D6" s="1" t="s">
        <v>43</v>
      </c>
      <c r="E6" s="1" t="s">
        <v>283</v>
      </c>
      <c r="F6" s="1" t="s">
        <v>284</v>
      </c>
      <c r="G6" s="1" t="s">
        <v>285</v>
      </c>
    </row>
    <row r="7" spans="1:7" x14ac:dyDescent="0.2">
      <c r="A7" s="12" t="s">
        <v>169</v>
      </c>
      <c r="B7" s="1" t="s">
        <v>286</v>
      </c>
      <c r="C7" s="1" t="s">
        <v>286</v>
      </c>
      <c r="D7" s="1" t="s">
        <v>286</v>
      </c>
      <c r="E7" s="1" t="s">
        <v>286</v>
      </c>
      <c r="F7" s="1" t="s">
        <v>286</v>
      </c>
      <c r="G7" s="1" t="s">
        <v>286</v>
      </c>
    </row>
    <row r="8" spans="1:7" x14ac:dyDescent="0.2">
      <c r="B8" s="1" t="s">
        <v>68</v>
      </c>
      <c r="C8" s="1" t="s">
        <v>68</v>
      </c>
      <c r="D8" s="1" t="s">
        <v>68</v>
      </c>
      <c r="E8" s="1" t="s">
        <v>68</v>
      </c>
      <c r="F8" s="1" t="s">
        <v>68</v>
      </c>
      <c r="G8" s="1" t="s">
        <v>68</v>
      </c>
    </row>
    <row r="9" spans="1:7" x14ac:dyDescent="0.2">
      <c r="A9" s="12">
        <v>1</v>
      </c>
      <c r="B9" s="1">
        <v>-29982965.770445455</v>
      </c>
      <c r="C9" s="1">
        <v>-4.969187069698898E-4</v>
      </c>
      <c r="D9" s="1">
        <v>-10457460</v>
      </c>
      <c r="E9" s="1">
        <v>-10457460</v>
      </c>
      <c r="F9" s="1">
        <v>0</v>
      </c>
      <c r="G9" s="1">
        <v>19525505.770942375</v>
      </c>
    </row>
    <row r="10" spans="1:7" x14ac:dyDescent="0.2">
      <c r="A10" s="12">
        <v>2</v>
      </c>
      <c r="B10" s="1">
        <v>-29949336.330352031</v>
      </c>
      <c r="C10" s="1">
        <v>-4.1973124697989905E-4</v>
      </c>
      <c r="D10" s="1">
        <v>-10452432.375</v>
      </c>
      <c r="E10" s="1">
        <v>-10452432.375</v>
      </c>
      <c r="F10" s="1">
        <v>0</v>
      </c>
      <c r="G10" s="1">
        <v>19496903.955771763</v>
      </c>
    </row>
    <row r="11" spans="1:7" x14ac:dyDescent="0.2">
      <c r="A11" s="12">
        <v>3</v>
      </c>
      <c r="B11" s="1">
        <v>-29906172.951894131</v>
      </c>
      <c r="C11" s="1">
        <v>-3.423266022403585E-4</v>
      </c>
      <c r="D11" s="1">
        <v>-10447404.75</v>
      </c>
      <c r="E11" s="1">
        <v>-10447404.75</v>
      </c>
      <c r="F11" s="1">
        <v>0</v>
      </c>
      <c r="G11" s="1">
        <v>19458768.202236459</v>
      </c>
    </row>
    <row r="12" spans="1:7" x14ac:dyDescent="0.2">
      <c r="A12" s="12">
        <v>4</v>
      </c>
      <c r="B12" s="1">
        <v>-29872543.511800699</v>
      </c>
      <c r="C12" s="1">
        <v>-2.6427040325216868E-4</v>
      </c>
      <c r="D12" s="1">
        <v>-10442377.125</v>
      </c>
      <c r="E12" s="1">
        <v>-10442377.125</v>
      </c>
      <c r="F12" s="1">
        <v>0</v>
      </c>
      <c r="G12" s="1">
        <v>19430166.387064971</v>
      </c>
    </row>
    <row r="13" spans="1:7" x14ac:dyDescent="0.2">
      <c r="A13" s="12">
        <v>5</v>
      </c>
      <c r="B13" s="1">
        <v>-29829380.133342799</v>
      </c>
      <c r="C13" s="1">
        <v>-1.8495453271659008E-4</v>
      </c>
      <c r="D13" s="1">
        <v>-10437349.5</v>
      </c>
      <c r="E13" s="1">
        <v>-10437349.5</v>
      </c>
      <c r="F13" s="1">
        <v>0</v>
      </c>
      <c r="G13" s="1">
        <v>19392030.633527752</v>
      </c>
    </row>
    <row r="14" spans="1:7" x14ac:dyDescent="0.2">
      <c r="A14" s="12">
        <v>6</v>
      </c>
      <c r="B14" s="1">
        <v>-29795750.693249375</v>
      </c>
      <c r="C14" s="1">
        <v>-1.0351025163542372E-4</v>
      </c>
      <c r="D14" s="1">
        <v>-10432321.875</v>
      </c>
      <c r="E14" s="1">
        <v>-10432321.875</v>
      </c>
      <c r="F14" s="1">
        <v>0</v>
      </c>
      <c r="G14" s="1">
        <v>19363428.818352886</v>
      </c>
    </row>
    <row r="15" spans="1:7" x14ac:dyDescent="0.2">
      <c r="A15" s="12">
        <v>7</v>
      </c>
      <c r="B15" s="1">
        <v>-29752587.314791471</v>
      </c>
      <c r="C15" s="1">
        <v>-1.9051446230506441E-5</v>
      </c>
      <c r="D15" s="1">
        <v>-10427294.25</v>
      </c>
      <c r="E15" s="1">
        <v>-10427294.25</v>
      </c>
      <c r="F15" s="1">
        <v>0</v>
      </c>
      <c r="G15" s="1">
        <v>19325293.064810522</v>
      </c>
    </row>
    <row r="16" spans="1:7" x14ac:dyDescent="0.2">
      <c r="A16" s="12">
        <v>8</v>
      </c>
      <c r="B16" s="1">
        <v>-29718967.929948043</v>
      </c>
      <c r="C16" s="1">
        <v>-6.941224595610873E-5</v>
      </c>
      <c r="D16" s="1">
        <v>-10422276.68025</v>
      </c>
      <c r="E16" s="1">
        <v>-10422276.68025</v>
      </c>
      <c r="F16" s="1">
        <v>0</v>
      </c>
      <c r="G16" s="1">
        <v>19296691.249767456</v>
      </c>
    </row>
    <row r="17" spans="1:7" x14ac:dyDescent="0.2">
      <c r="A17" s="12">
        <v>9</v>
      </c>
      <c r="B17" s="1">
        <v>-29675804.55149015</v>
      </c>
      <c r="C17" s="1">
        <v>-1.6284512521242282E-4</v>
      </c>
      <c r="D17" s="1">
        <v>-10417249.05525</v>
      </c>
      <c r="E17" s="1">
        <v>-10417249.05525</v>
      </c>
      <c r="F17" s="1">
        <v>0</v>
      </c>
      <c r="G17" s="1">
        <v>19258555.496402994</v>
      </c>
    </row>
    <row r="18" spans="1:7" x14ac:dyDescent="0.2">
      <c r="A18" s="12">
        <v>10</v>
      </c>
      <c r="B18" s="1">
        <v>-29642175.111396719</v>
      </c>
      <c r="C18" s="1">
        <v>-2.6218542965649084E-4</v>
      </c>
      <c r="D18" s="1">
        <v>-10412221.43025</v>
      </c>
      <c r="E18" s="1">
        <v>-10412221.43025</v>
      </c>
      <c r="F18" s="1">
        <v>0</v>
      </c>
      <c r="G18" s="1">
        <v>19229953.681408904</v>
      </c>
    </row>
    <row r="19" spans="1:7" x14ac:dyDescent="0.2">
      <c r="A19" s="12">
        <v>11</v>
      </c>
      <c r="B19" s="1">
        <v>-29599011.732938819</v>
      </c>
      <c r="C19" s="1">
        <v>-3.6821502438669196E-4</v>
      </c>
      <c r="D19" s="1">
        <v>-10407193.80525</v>
      </c>
      <c r="E19" s="1">
        <v>-10407193.80525</v>
      </c>
      <c r="F19" s="1">
        <v>0</v>
      </c>
      <c r="G19" s="1">
        <v>19191817.928057034</v>
      </c>
    </row>
    <row r="20" spans="1:7" x14ac:dyDescent="0.2">
      <c r="A20" s="12">
        <v>12</v>
      </c>
      <c r="B20" s="1">
        <v>-29565382.292845394</v>
      </c>
      <c r="C20" s="1">
        <v>-4.8171577450140547E-4</v>
      </c>
      <c r="D20" s="1">
        <v>-10402166.18025</v>
      </c>
      <c r="E20" s="1">
        <v>-10402166.18025</v>
      </c>
      <c r="F20" s="1">
        <v>0</v>
      </c>
      <c r="G20" s="1">
        <v>19163216.113077112</v>
      </c>
    </row>
    <row r="21" spans="1:7" x14ac:dyDescent="0.2">
      <c r="A21" s="12">
        <v>13</v>
      </c>
      <c r="B21" s="1">
        <v>-29522218.914387491</v>
      </c>
      <c r="C21" s="1">
        <v>-6.0290486475018099E-4</v>
      </c>
      <c r="D21" s="1">
        <v>-10397138.55525</v>
      </c>
      <c r="E21" s="1">
        <v>-10397138.55525</v>
      </c>
      <c r="F21" s="1">
        <v>0</v>
      </c>
      <c r="G21" s="1">
        <v>19125080.359740395</v>
      </c>
    </row>
    <row r="22" spans="1:7" x14ac:dyDescent="0.2">
      <c r="A22" s="12">
        <v>14</v>
      </c>
      <c r="B22" s="1">
        <v>-29488589.474294066</v>
      </c>
      <c r="C22" s="1">
        <v>-7.319126059827485E-4</v>
      </c>
      <c r="D22" s="1">
        <v>-10392110.93025</v>
      </c>
      <c r="E22" s="1">
        <v>-10392110.93025</v>
      </c>
      <c r="F22" s="1">
        <v>0</v>
      </c>
      <c r="G22" s="1">
        <v>19096478.544775978</v>
      </c>
    </row>
    <row r="23" spans="1:7" x14ac:dyDescent="0.2">
      <c r="A23" s="12">
        <v>15</v>
      </c>
      <c r="B23" s="1">
        <v>-29445426.095836166</v>
      </c>
      <c r="C23" s="1">
        <v>-8.6873899819910809E-4</v>
      </c>
      <c r="D23" s="1">
        <v>-10387083.30525</v>
      </c>
      <c r="E23" s="1">
        <v>-10387083.30525</v>
      </c>
      <c r="F23" s="1">
        <v>0</v>
      </c>
      <c r="G23" s="1">
        <v>19058342.791454904</v>
      </c>
    </row>
    <row r="24" spans="1:7" x14ac:dyDescent="0.2">
      <c r="A24" s="12">
        <v>16</v>
      </c>
      <c r="B24" s="1">
        <v>-29411796.655742735</v>
      </c>
      <c r="C24" s="1">
        <v>-1.0120809329019608E-3</v>
      </c>
      <c r="D24" s="1">
        <v>-10382055.68025</v>
      </c>
      <c r="E24" s="1">
        <v>-10382055.68025</v>
      </c>
      <c r="F24" s="1">
        <v>0</v>
      </c>
      <c r="G24" s="1">
        <v>19029740.976504814</v>
      </c>
    </row>
    <row r="25" spans="1:7" x14ac:dyDescent="0.2">
      <c r="A25" s="12">
        <v>17</v>
      </c>
      <c r="B25" s="1">
        <v>-29368633.277284842</v>
      </c>
      <c r="C25" s="1">
        <v>-1.161069671093108E-3</v>
      </c>
      <c r="D25" s="1">
        <v>-10377028.05525</v>
      </c>
      <c r="E25" s="1">
        <v>-10377028.05525</v>
      </c>
      <c r="F25" s="1">
        <v>0</v>
      </c>
      <c r="G25" s="1">
        <v>18991605.22319591</v>
      </c>
    </row>
    <row r="26" spans="1:7" x14ac:dyDescent="0.2">
      <c r="A26" s="12">
        <v>18</v>
      </c>
      <c r="B26" s="1">
        <v>-29325469.898826934</v>
      </c>
      <c r="C26" s="1">
        <v>-1.3135333652770512E-3</v>
      </c>
      <c r="D26" s="1">
        <v>-10372000.43025</v>
      </c>
      <c r="E26" s="1">
        <v>-10372000.43025</v>
      </c>
      <c r="F26" s="1">
        <v>0</v>
      </c>
      <c r="G26" s="1">
        <v>18953469.469890468</v>
      </c>
    </row>
    <row r="27" spans="1:7" x14ac:dyDescent="0.2">
      <c r="A27" s="12">
        <v>19</v>
      </c>
      <c r="B27" s="1">
        <v>-29291840.45873351</v>
      </c>
      <c r="C27" s="1">
        <v>-1.4668657984591939E-3</v>
      </c>
      <c r="D27" s="1">
        <v>-10366972.80525</v>
      </c>
      <c r="E27" s="1">
        <v>-10366972.80525</v>
      </c>
      <c r="F27" s="1">
        <v>0</v>
      </c>
      <c r="G27" s="1">
        <v>18924867.654950377</v>
      </c>
    </row>
    <row r="28" spans="1:7" x14ac:dyDescent="0.2">
      <c r="A28" s="12">
        <v>20</v>
      </c>
      <c r="B28" s="1">
        <v>-29248677.08027561</v>
      </c>
      <c r="C28" s="1">
        <v>-1.6175920146467393E-3</v>
      </c>
      <c r="D28" s="1">
        <v>-10361945.18025</v>
      </c>
      <c r="E28" s="1">
        <v>-10361945.18025</v>
      </c>
      <c r="F28" s="1">
        <v>0</v>
      </c>
      <c r="G28" s="1">
        <v>18886731.901643202</v>
      </c>
    </row>
    <row r="29" spans="1:7" x14ac:dyDescent="0.2">
      <c r="A29" s="12">
        <v>21</v>
      </c>
      <c r="B29" s="1">
        <v>-29215047.640182182</v>
      </c>
      <c r="C29" s="1">
        <v>-1.7613683188486917E-3</v>
      </c>
      <c r="D29" s="1">
        <v>-10356917.55525</v>
      </c>
      <c r="E29" s="1">
        <v>-10356917.55525</v>
      </c>
      <c r="F29" s="1">
        <v>0</v>
      </c>
      <c r="G29" s="1">
        <v>18858130.086693551</v>
      </c>
    </row>
    <row r="30" spans="1:7" x14ac:dyDescent="0.2">
      <c r="A30" s="12">
        <v>22</v>
      </c>
      <c r="B30" s="1">
        <v>-29171894.316974282</v>
      </c>
      <c r="C30" s="1">
        <v>-1.8925479075767569E-3</v>
      </c>
      <c r="D30" s="1">
        <v>-10351899.9855</v>
      </c>
      <c r="E30" s="1">
        <v>-10351899.9855</v>
      </c>
      <c r="F30" s="1">
        <v>0</v>
      </c>
      <c r="G30" s="1">
        <v>18819994.33336683</v>
      </c>
    </row>
    <row r="31" spans="1:7" x14ac:dyDescent="0.2">
      <c r="A31" s="12">
        <v>23</v>
      </c>
      <c r="B31" s="1">
        <v>-29138264.876880854</v>
      </c>
      <c r="C31" s="1">
        <v>-2.005483977342641E-3</v>
      </c>
      <c r="D31" s="1">
        <v>-10346872.3605</v>
      </c>
      <c r="E31" s="1">
        <v>-10346872.3605</v>
      </c>
      <c r="F31" s="1">
        <v>0</v>
      </c>
      <c r="G31" s="1">
        <v>18791392.518386338</v>
      </c>
    </row>
    <row r="32" spans="1:7" x14ac:dyDescent="0.2">
      <c r="A32" s="12">
        <v>24</v>
      </c>
      <c r="B32" s="1">
        <v>-29095101.498422954</v>
      </c>
      <c r="C32" s="1">
        <v>-2.0914891381643526E-3</v>
      </c>
      <c r="D32" s="1">
        <v>-10341844.7355</v>
      </c>
      <c r="E32" s="1">
        <v>-10341844.7355</v>
      </c>
      <c r="F32" s="1">
        <v>0</v>
      </c>
      <c r="G32" s="1">
        <v>18753256.765014444</v>
      </c>
    </row>
    <row r="33" spans="1:7" x14ac:dyDescent="0.2">
      <c r="A33" s="12">
        <v>25</v>
      </c>
      <c r="B33" s="1">
        <v>-29061472.058329526</v>
      </c>
      <c r="C33" s="1">
        <v>-2.1427447390580997E-3</v>
      </c>
      <c r="D33" s="1">
        <v>-10336817.1105</v>
      </c>
      <c r="E33" s="1">
        <v>-10336817.1105</v>
      </c>
      <c r="F33" s="1">
        <v>0</v>
      </c>
      <c r="G33" s="1">
        <v>18724654.949972272</v>
      </c>
    </row>
    <row r="34" spans="1:7" x14ac:dyDescent="0.2">
      <c r="A34" s="12">
        <v>26</v>
      </c>
      <c r="B34" s="1">
        <v>-29018308.679871626</v>
      </c>
      <c r="C34" s="1">
        <v>-2.1488259120454939E-3</v>
      </c>
      <c r="D34" s="1">
        <v>-10331789.4855</v>
      </c>
      <c r="E34" s="1">
        <v>-10331789.4855</v>
      </c>
      <c r="F34" s="1">
        <v>0</v>
      </c>
      <c r="G34" s="1">
        <v>18686519.196520451</v>
      </c>
    </row>
    <row r="35" spans="1:7" x14ac:dyDescent="0.2">
      <c r="A35" s="12">
        <v>27</v>
      </c>
      <c r="B35" s="1">
        <v>-28984679.239778202</v>
      </c>
      <c r="C35" s="1">
        <v>-2.0988734196490449E-3</v>
      </c>
      <c r="D35" s="1">
        <v>-10326761.8605</v>
      </c>
      <c r="E35" s="1">
        <v>-10326761.8605</v>
      </c>
      <c r="F35" s="1">
        <v>0</v>
      </c>
      <c r="G35" s="1">
        <v>18657917.381377075</v>
      </c>
    </row>
    <row r="36" spans="1:7" x14ac:dyDescent="0.2">
      <c r="A36" s="12">
        <v>28</v>
      </c>
      <c r="B36" s="1">
        <v>-28941515.861320298</v>
      </c>
      <c r="C36" s="1">
        <v>-1.9802905463948669E-3</v>
      </c>
      <c r="D36" s="1">
        <v>-10321734.2355</v>
      </c>
      <c r="E36" s="1">
        <v>-10321734.2355</v>
      </c>
      <c r="F36" s="1">
        <v>0</v>
      </c>
      <c r="G36" s="1">
        <v>18619781.627800588</v>
      </c>
    </row>
    <row r="37" spans="1:7" x14ac:dyDescent="0.2">
      <c r="A37" s="12">
        <v>29</v>
      </c>
      <c r="B37" s="1">
        <v>-28907886.421226878</v>
      </c>
      <c r="C37" s="1">
        <v>-1.7796118378108729E-3</v>
      </c>
      <c r="D37" s="1">
        <v>-10316706.6105</v>
      </c>
      <c r="E37" s="1">
        <v>-10316706.6105</v>
      </c>
      <c r="F37" s="1">
        <v>0</v>
      </c>
      <c r="G37" s="1">
        <v>18591179.812506489</v>
      </c>
    </row>
    <row r="38" spans="1:7" x14ac:dyDescent="0.2">
      <c r="A38" s="12">
        <v>30</v>
      </c>
      <c r="B38" s="1">
        <v>-28864723.04276897</v>
      </c>
      <c r="C38" s="1">
        <v>-1.4816343614285786E-3</v>
      </c>
      <c r="D38" s="1">
        <v>-10311678.9855</v>
      </c>
      <c r="E38" s="1">
        <v>-10311678.9855</v>
      </c>
      <c r="F38" s="1">
        <v>0</v>
      </c>
      <c r="G38" s="1">
        <v>18553044.058750603</v>
      </c>
    </row>
    <row r="39" spans="1:7" x14ac:dyDescent="0.2">
      <c r="A39" s="12">
        <v>31</v>
      </c>
      <c r="B39" s="1">
        <v>-28831093.602675546</v>
      </c>
      <c r="C39" s="1">
        <v>-1.0707208152804007E-3</v>
      </c>
      <c r="D39" s="1">
        <v>-10306651.3605</v>
      </c>
      <c r="E39" s="1">
        <v>-10306651.3605</v>
      </c>
      <c r="F39" s="1">
        <v>0</v>
      </c>
      <c r="G39" s="1">
        <v>18524442.243246265</v>
      </c>
    </row>
    <row r="40" spans="1:7" x14ac:dyDescent="0.2">
      <c r="A40" s="12">
        <v>32</v>
      </c>
      <c r="B40" s="1">
        <v>-28787930.224217646</v>
      </c>
      <c r="C40" s="1">
        <v>-5.3123389739875458E-4</v>
      </c>
      <c r="D40" s="1">
        <v>-10301623.7355</v>
      </c>
      <c r="E40" s="1">
        <v>-10301623.7355</v>
      </c>
      <c r="F40" s="1">
        <v>0</v>
      </c>
      <c r="G40" s="1">
        <v>18486306.489248879</v>
      </c>
    </row>
    <row r="41" spans="1:7" x14ac:dyDescent="0.2">
      <c r="A41" s="12">
        <v>33</v>
      </c>
      <c r="B41" s="1">
        <v>-28754300.784124218</v>
      </c>
      <c r="C41" s="1">
        <v>-1.5910954752016663E-4</v>
      </c>
      <c r="D41" s="1">
        <v>-10296596.1105</v>
      </c>
      <c r="E41" s="1">
        <v>-10296596.1105</v>
      </c>
      <c r="F41" s="1">
        <v>0</v>
      </c>
      <c r="G41" s="1">
        <v>18457704.673783328</v>
      </c>
    </row>
    <row r="42" spans="1:7" x14ac:dyDescent="0.2">
      <c r="A42" s="12">
        <v>34</v>
      </c>
      <c r="B42" s="1">
        <v>-28711137.405666318</v>
      </c>
      <c r="C42" s="1">
        <v>-1.0042622819181688E-3</v>
      </c>
      <c r="D42" s="1">
        <v>-10291568.4855</v>
      </c>
      <c r="E42" s="1">
        <v>-10291568.4855</v>
      </c>
      <c r="F42" s="1">
        <v>0</v>
      </c>
      <c r="G42" s="1">
        <v>18419568.921170581</v>
      </c>
    </row>
    <row r="43" spans="1:7" x14ac:dyDescent="0.2">
      <c r="A43" s="12">
        <v>35</v>
      </c>
      <c r="B43" s="1">
        <v>-28677507.965572894</v>
      </c>
      <c r="C43" s="1">
        <v>-2.0332836252850124E-3</v>
      </c>
      <c r="D43" s="1">
        <v>-10286540.8605</v>
      </c>
      <c r="E43" s="1">
        <v>-10286540.8605</v>
      </c>
      <c r="F43" s="1">
        <v>0</v>
      </c>
      <c r="G43" s="1">
        <v>18390967.107106175</v>
      </c>
    </row>
    <row r="44" spans="1:7" x14ac:dyDescent="0.2">
      <c r="A44" s="12">
        <v>36</v>
      </c>
      <c r="B44" s="1">
        <v>-28634344.58711499</v>
      </c>
      <c r="C44" s="1">
        <v>-3.2590743517439541E-3</v>
      </c>
      <c r="D44" s="1">
        <v>-10281513.2355</v>
      </c>
      <c r="E44" s="1">
        <v>-10281513.2355</v>
      </c>
      <c r="F44" s="1">
        <v>0</v>
      </c>
      <c r="G44" s="1">
        <v>18352831.354874063</v>
      </c>
    </row>
    <row r="45" spans="1:7" x14ac:dyDescent="0.2">
      <c r="A45" s="12">
        <v>37</v>
      </c>
      <c r="B45" s="1">
        <v>-28600725.202271562</v>
      </c>
      <c r="C45" s="1">
        <v>-4.6955342852661791E-3</v>
      </c>
      <c r="D45" s="1">
        <v>-10276495.665750001</v>
      </c>
      <c r="E45" s="1">
        <v>-10276495.665750001</v>
      </c>
      <c r="F45" s="1">
        <v>0</v>
      </c>
      <c r="G45" s="1">
        <v>18324229.541217096</v>
      </c>
    </row>
    <row r="46" spans="1:7" x14ac:dyDescent="0.2">
      <c r="A46" s="12">
        <v>38</v>
      </c>
      <c r="B46" s="1">
        <v>-28557561.823813666</v>
      </c>
      <c r="C46" s="1">
        <v>-6.3548257718264757E-3</v>
      </c>
      <c r="D46" s="1">
        <v>-10271468.040750001</v>
      </c>
      <c r="E46" s="1">
        <v>-10271468.040750001</v>
      </c>
      <c r="F46" s="1">
        <v>0</v>
      </c>
      <c r="G46" s="1">
        <v>18286093.789418492</v>
      </c>
    </row>
    <row r="47" spans="1:7" x14ac:dyDescent="0.2">
      <c r="A47" s="12">
        <v>39</v>
      </c>
      <c r="B47" s="1">
        <v>-28523932.383720238</v>
      </c>
      <c r="C47" s="1">
        <v>-8.2486767879005312E-3</v>
      </c>
      <c r="D47" s="1">
        <v>-10266440.415750001</v>
      </c>
      <c r="E47" s="1">
        <v>-10266440.415750001</v>
      </c>
      <c r="F47" s="1">
        <v>0</v>
      </c>
      <c r="G47" s="1">
        <v>18257491.976218913</v>
      </c>
    </row>
    <row r="48" spans="1:7" x14ac:dyDescent="0.2">
      <c r="A48" s="12">
        <v>40</v>
      </c>
      <c r="B48" s="1">
        <v>-28480769.005262338</v>
      </c>
      <c r="C48" s="1">
        <v>-1.0381431028479342E-2</v>
      </c>
      <c r="D48" s="1">
        <v>-10261412.790750001</v>
      </c>
      <c r="E48" s="1">
        <v>-10261412.790750001</v>
      </c>
      <c r="F48" s="1">
        <v>0</v>
      </c>
      <c r="G48" s="1">
        <v>18219356.224893767</v>
      </c>
    </row>
    <row r="49" spans="1:7" x14ac:dyDescent="0.2">
      <c r="A49" s="12">
        <v>41</v>
      </c>
      <c r="B49" s="1">
        <v>-28447139.565168913</v>
      </c>
      <c r="C49" s="1">
        <v>-1.2753088493562905E-2</v>
      </c>
      <c r="D49" s="1">
        <v>-10256385.165750001</v>
      </c>
      <c r="E49" s="1">
        <v>-10256385.165750001</v>
      </c>
      <c r="F49" s="1">
        <v>0</v>
      </c>
      <c r="G49" s="1">
        <v>18190754.412172001</v>
      </c>
    </row>
    <row r="50" spans="1:7" x14ac:dyDescent="0.2">
      <c r="A50" s="12">
        <v>42</v>
      </c>
      <c r="B50" s="1">
        <v>-28403976.18671101</v>
      </c>
      <c r="C50" s="1">
        <v>-1.5359305488160229E-2</v>
      </c>
      <c r="D50" s="1">
        <v>-10251357.540750001</v>
      </c>
      <c r="E50" s="1">
        <v>-10251357.540750001</v>
      </c>
      <c r="F50" s="1">
        <v>0</v>
      </c>
      <c r="G50" s="1">
        <v>18152618.661320314</v>
      </c>
    </row>
    <row r="51" spans="1:7" x14ac:dyDescent="0.2">
      <c r="A51" s="12">
        <v>43</v>
      </c>
      <c r="B51" s="1">
        <v>-28370346.746617582</v>
      </c>
      <c r="C51" s="1">
        <v>-1.819139462228932E-2</v>
      </c>
      <c r="D51" s="1">
        <v>-10246329.915750001</v>
      </c>
      <c r="E51" s="1">
        <v>-10246329.915750001</v>
      </c>
      <c r="F51" s="1">
        <v>0</v>
      </c>
      <c r="G51" s="1">
        <v>18124016.849058975</v>
      </c>
    </row>
    <row r="52" spans="1:7" x14ac:dyDescent="0.2">
      <c r="A52" s="12">
        <v>44</v>
      </c>
      <c r="B52" s="1">
        <v>-28327183.368159682</v>
      </c>
      <c r="C52" s="1">
        <v>-2.1218950031013213E-2</v>
      </c>
      <c r="D52" s="1">
        <v>-10241302.290750001</v>
      </c>
      <c r="E52" s="1">
        <v>-10241302.290750001</v>
      </c>
      <c r="F52" s="1">
        <v>0</v>
      </c>
      <c r="G52" s="1">
        <v>18085881.098628633</v>
      </c>
    </row>
    <row r="53" spans="1:7" x14ac:dyDescent="0.2">
      <c r="A53" s="12">
        <v>45</v>
      </c>
      <c r="B53" s="1">
        <v>-28293553.928066254</v>
      </c>
      <c r="C53" s="1">
        <v>-2.4411565849394936E-2</v>
      </c>
      <c r="D53" s="1">
        <v>-10236274.665750001</v>
      </c>
      <c r="E53" s="1">
        <v>-10236274.665750001</v>
      </c>
      <c r="F53" s="1">
        <v>0</v>
      </c>
      <c r="G53" s="1">
        <v>18057279.28672782</v>
      </c>
    </row>
    <row r="54" spans="1:7" x14ac:dyDescent="0.2">
      <c r="A54" s="12">
        <v>46</v>
      </c>
      <c r="B54" s="1">
        <v>-28250390.549608354</v>
      </c>
      <c r="C54" s="1">
        <v>-2.7730148822515531E-2</v>
      </c>
      <c r="D54" s="1">
        <v>-10231247.040750001</v>
      </c>
      <c r="E54" s="1">
        <v>-10231247.040750001</v>
      </c>
      <c r="F54" s="1">
        <v>0</v>
      </c>
      <c r="G54" s="1">
        <v>18019143.536588501</v>
      </c>
    </row>
    <row r="55" spans="1:7" x14ac:dyDescent="0.2">
      <c r="A55" s="12">
        <v>47</v>
      </c>
      <c r="B55" s="1">
        <v>-28216761.109514929</v>
      </c>
      <c r="C55" s="1">
        <v>-3.1113887220501055E-2</v>
      </c>
      <c r="D55" s="1">
        <v>-10226219.415750001</v>
      </c>
      <c r="E55" s="1">
        <v>-10226219.415750001</v>
      </c>
      <c r="F55" s="1">
        <v>0</v>
      </c>
      <c r="G55" s="1">
        <v>17990541.724878818</v>
      </c>
    </row>
    <row r="56" spans="1:7" x14ac:dyDescent="0.2">
      <c r="A56" s="12">
        <v>48</v>
      </c>
      <c r="B56" s="1">
        <v>-28173597.731057025</v>
      </c>
      <c r="C56" s="1">
        <v>-3.4488938228504587E-2</v>
      </c>
      <c r="D56" s="1">
        <v>-10221191.790750001</v>
      </c>
      <c r="E56" s="1">
        <v>-10221191.790750001</v>
      </c>
      <c r="F56" s="1">
        <v>0</v>
      </c>
      <c r="G56" s="1">
        <v>17952405.974795964</v>
      </c>
    </row>
    <row r="57" spans="1:7" x14ac:dyDescent="0.2">
      <c r="A57" s="12">
        <v>49</v>
      </c>
      <c r="B57" s="1">
        <v>-28139968.290963605</v>
      </c>
      <c r="C57" s="1">
        <v>-3.7759740556724236E-2</v>
      </c>
      <c r="D57" s="1">
        <v>-10216164.165750001</v>
      </c>
      <c r="E57" s="1">
        <v>-10216164.165750001</v>
      </c>
      <c r="F57" s="1">
        <v>0</v>
      </c>
      <c r="G57" s="1">
        <v>17923804.162973344</v>
      </c>
    </row>
    <row r="58" spans="1:7" x14ac:dyDescent="0.2">
      <c r="A58" s="12">
        <v>50</v>
      </c>
      <c r="B58" s="1">
        <v>-28096804.912505701</v>
      </c>
      <c r="C58" s="1">
        <v>-4.0817701830385092E-2</v>
      </c>
      <c r="D58" s="1">
        <v>-10211136.540750001</v>
      </c>
      <c r="E58" s="1">
        <v>-10211136.540750001</v>
      </c>
      <c r="F58" s="1">
        <v>0</v>
      </c>
      <c r="G58" s="1">
        <v>17885668.412573401</v>
      </c>
    </row>
    <row r="59" spans="1:7" x14ac:dyDescent="0.2">
      <c r="A59" s="12">
        <v>51</v>
      </c>
      <c r="B59" s="1">
        <v>-28063185.527662273</v>
      </c>
      <c r="C59" s="1">
        <v>-4.3523823809775319E-2</v>
      </c>
      <c r="D59" s="1">
        <v>-10206118.971000001</v>
      </c>
      <c r="E59" s="1">
        <v>-10206118.971000001</v>
      </c>
      <c r="F59" s="1">
        <v>0</v>
      </c>
      <c r="G59" s="1">
        <v>17857066.600186095</v>
      </c>
    </row>
    <row r="60" spans="1:7" x14ac:dyDescent="0.2">
      <c r="A60" s="12">
        <v>52</v>
      </c>
      <c r="B60" s="1">
        <v>-28020022.149204373</v>
      </c>
      <c r="C60" s="1">
        <v>-4.5739108255183035E-2</v>
      </c>
      <c r="D60" s="1">
        <v>-10201091.346000001</v>
      </c>
      <c r="E60" s="1">
        <v>-10201091.346000001</v>
      </c>
      <c r="F60" s="1">
        <v>0</v>
      </c>
      <c r="G60" s="1">
        <v>17818930.848943479</v>
      </c>
    </row>
    <row r="61" spans="1:7" x14ac:dyDescent="0.2">
      <c r="A61" s="12">
        <v>53</v>
      </c>
      <c r="B61" s="1">
        <v>-27986392.709110949</v>
      </c>
      <c r="C61" s="1">
        <v>-4.7520023201491207E-2</v>
      </c>
      <c r="D61" s="1">
        <v>-10196063.721000001</v>
      </c>
      <c r="E61" s="1">
        <v>-10196063.721000001</v>
      </c>
      <c r="F61" s="1">
        <v>0</v>
      </c>
      <c r="G61" s="1">
        <v>17790329.035630971</v>
      </c>
    </row>
    <row r="62" spans="1:7" x14ac:dyDescent="0.2">
      <c r="A62" s="12">
        <v>54</v>
      </c>
      <c r="B62" s="1">
        <v>-27943229.330653045</v>
      </c>
      <c r="C62" s="1">
        <v>-4.8953442548519736E-2</v>
      </c>
      <c r="D62" s="1">
        <v>-10191036.096000001</v>
      </c>
      <c r="E62" s="1">
        <v>-10191036.096000001</v>
      </c>
      <c r="F62" s="1">
        <v>0</v>
      </c>
      <c r="G62" s="1">
        <v>17752193.283606488</v>
      </c>
    </row>
    <row r="63" spans="1:7" x14ac:dyDescent="0.2">
      <c r="A63" s="12">
        <v>55</v>
      </c>
      <c r="B63" s="1">
        <v>-27931664.231788568</v>
      </c>
      <c r="C63" s="1">
        <v>-4.9431248997529244E-2</v>
      </c>
      <c r="D63" s="1">
        <v>-10189004.9355</v>
      </c>
      <c r="E63" s="1">
        <v>-10189004.9355</v>
      </c>
      <c r="F63" s="1">
        <v>0</v>
      </c>
      <c r="G63" s="1">
        <v>17742659.345719818</v>
      </c>
    </row>
    <row r="64" spans="1:7" x14ac:dyDescent="0.2">
      <c r="A64" s="12">
        <v>56</v>
      </c>
      <c r="B64" s="1">
        <v>-27909599.890559621</v>
      </c>
      <c r="C64" s="1">
        <v>-5.0039366296268623E-2</v>
      </c>
      <c r="D64" s="1">
        <v>-10186008.471000001</v>
      </c>
      <c r="E64" s="1">
        <v>-10186008.471000001</v>
      </c>
      <c r="F64" s="1">
        <v>0</v>
      </c>
      <c r="G64" s="1">
        <v>17723591.469598986</v>
      </c>
    </row>
    <row r="65" spans="1:7" x14ac:dyDescent="0.2">
      <c r="A65" s="12">
        <v>57</v>
      </c>
      <c r="B65" s="1">
        <v>-27909599.890559621</v>
      </c>
      <c r="C65" s="1">
        <v>-5.0039366296268623E-2</v>
      </c>
      <c r="D65" s="1">
        <v>-10186008.471000001</v>
      </c>
      <c r="E65" s="1">
        <v>-10186008.471000001</v>
      </c>
      <c r="F65" s="1">
        <v>0</v>
      </c>
      <c r="G65" s="1">
        <v>17723591.469598986</v>
      </c>
    </row>
    <row r="66" spans="1:7" x14ac:dyDescent="0.2">
      <c r="A66" s="12">
        <v>58</v>
      </c>
      <c r="B66" s="1">
        <v>-27866436.512101721</v>
      </c>
      <c r="C66" s="1">
        <v>-5.0690920544917958E-2</v>
      </c>
      <c r="D66" s="1">
        <v>-10180980.846000001</v>
      </c>
      <c r="E66" s="1">
        <v>-10180980.846000001</v>
      </c>
      <c r="F66" s="1">
        <v>0</v>
      </c>
      <c r="G66" s="1">
        <v>17685455.716792639</v>
      </c>
    </row>
    <row r="67" spans="1:7" x14ac:dyDescent="0.2">
      <c r="A67" s="12">
        <v>59</v>
      </c>
      <c r="B67" s="1">
        <v>-27832807.072008289</v>
      </c>
      <c r="C67" s="1">
        <v>-5.0864668344557773E-2</v>
      </c>
      <c r="D67" s="1">
        <v>-10175953.221000001</v>
      </c>
      <c r="E67" s="1">
        <v>-10175953.221000001</v>
      </c>
      <c r="F67" s="1">
        <v>0</v>
      </c>
      <c r="G67" s="1">
        <v>17656853.901872955</v>
      </c>
    </row>
    <row r="68" spans="1:7" x14ac:dyDescent="0.2">
      <c r="A68" s="12">
        <v>60</v>
      </c>
      <c r="B68" s="1">
        <v>-27789643.693550393</v>
      </c>
      <c r="C68" s="1">
        <v>-5.047373579536818E-2</v>
      </c>
      <c r="D68" s="1">
        <v>-10170925.596000001</v>
      </c>
      <c r="E68" s="1">
        <v>-10170925.596000001</v>
      </c>
      <c r="F68" s="1">
        <v>0</v>
      </c>
      <c r="G68" s="1">
        <v>17618718.148024127</v>
      </c>
    </row>
    <row r="69" spans="1:7" x14ac:dyDescent="0.2">
      <c r="A69" s="12">
        <v>61</v>
      </c>
      <c r="B69" s="1">
        <v>-27756014.253456965</v>
      </c>
      <c r="C69" s="1">
        <v>-4.9431248997529244E-2</v>
      </c>
      <c r="D69" s="1">
        <v>-10165897.971000001</v>
      </c>
      <c r="E69" s="1">
        <v>-10165897.971000001</v>
      </c>
      <c r="F69" s="1">
        <v>0</v>
      </c>
      <c r="G69" s="1">
        <v>17590116.331888214</v>
      </c>
    </row>
    <row r="70" spans="1:7" x14ac:dyDescent="0.2">
      <c r="A70" s="12">
        <v>62</v>
      </c>
      <c r="B70" s="1">
        <v>-27712850.874999065</v>
      </c>
      <c r="C70" s="1">
        <v>-4.7737207951040986E-2</v>
      </c>
      <c r="D70" s="1">
        <v>-10160870.346000001</v>
      </c>
      <c r="E70" s="1">
        <v>-10160870.346000001</v>
      </c>
      <c r="F70" s="1">
        <v>0</v>
      </c>
      <c r="G70" s="1">
        <v>17551980.576736271</v>
      </c>
    </row>
    <row r="71" spans="1:7" x14ac:dyDescent="0.2">
      <c r="A71" s="12">
        <v>63</v>
      </c>
      <c r="B71" s="1">
        <v>-27679221.434905641</v>
      </c>
      <c r="C71" s="1">
        <v>-4.5304738756083492E-2</v>
      </c>
      <c r="D71" s="1">
        <v>-10155842.721000001</v>
      </c>
      <c r="E71" s="1">
        <v>-10155842.721000001</v>
      </c>
      <c r="F71" s="1">
        <v>0</v>
      </c>
      <c r="G71" s="1">
        <v>17523378.759210378</v>
      </c>
    </row>
    <row r="72" spans="1:7" x14ac:dyDescent="0.2">
      <c r="A72" s="12">
        <v>64</v>
      </c>
      <c r="B72" s="1">
        <v>-27636058.056447737</v>
      </c>
      <c r="C72" s="1">
        <v>-4.2103435547719774E-2</v>
      </c>
      <c r="D72" s="1">
        <v>-10150815.096000001</v>
      </c>
      <c r="E72" s="1">
        <v>-10150815.096000001</v>
      </c>
      <c r="F72" s="1">
        <v>0</v>
      </c>
      <c r="G72" s="1">
        <v>17485243.002551172</v>
      </c>
    </row>
    <row r="73" spans="1:7" x14ac:dyDescent="0.2">
      <c r="A73" s="12">
        <v>65</v>
      </c>
      <c r="B73" s="1">
        <v>-27592894.677989837</v>
      </c>
      <c r="C73" s="1">
        <v>-3.8024705951174964E-2</v>
      </c>
      <c r="D73" s="1">
        <v>-10145787.471000001</v>
      </c>
      <c r="E73" s="1">
        <v>-10145787.471000001</v>
      </c>
      <c r="F73" s="1">
        <v>0</v>
      </c>
      <c r="G73" s="1">
        <v>17447107.245014541</v>
      </c>
    </row>
    <row r="74" spans="1:7" x14ac:dyDescent="0.2">
      <c r="A74" s="12">
        <v>66</v>
      </c>
      <c r="B74" s="1">
        <v>-27559265.237896409</v>
      </c>
      <c r="C74" s="1">
        <v>-3.3038144101512075E-2</v>
      </c>
      <c r="D74" s="1">
        <v>-10140759.846000001</v>
      </c>
      <c r="E74" s="1">
        <v>-10140759.846000001</v>
      </c>
      <c r="F74" s="1">
        <v>0</v>
      </c>
      <c r="G74" s="1">
        <v>17418505.424934551</v>
      </c>
    </row>
    <row r="75" spans="1:7" x14ac:dyDescent="0.2">
      <c r="A75" s="12">
        <v>67</v>
      </c>
      <c r="B75" s="1">
        <v>-27516101.859438505</v>
      </c>
      <c r="C75" s="1">
        <v>-2.7100313048821177E-2</v>
      </c>
      <c r="D75" s="1">
        <v>-10135732.221000001</v>
      </c>
      <c r="E75" s="1">
        <v>-10135732.221000001</v>
      </c>
      <c r="F75" s="1">
        <v>0</v>
      </c>
      <c r="G75" s="1">
        <v>17380369.665538818</v>
      </c>
    </row>
    <row r="76" spans="1:7" x14ac:dyDescent="0.2">
      <c r="A76" s="12">
        <v>68</v>
      </c>
      <c r="B76" s="1">
        <v>-27482482.474595081</v>
      </c>
      <c r="C76" s="1">
        <v>-2.0159088453210301E-2</v>
      </c>
      <c r="D76" s="1">
        <v>-10130714.651249999</v>
      </c>
      <c r="E76" s="1">
        <v>-10130714.651249999</v>
      </c>
      <c r="F76" s="1">
        <v>0</v>
      </c>
      <c r="G76" s="1">
        <v>17351767.843504168</v>
      </c>
    </row>
    <row r="77" spans="1:7" x14ac:dyDescent="0.2">
      <c r="A77" s="12">
        <v>69</v>
      </c>
      <c r="B77" s="1">
        <v>-27439319.096137181</v>
      </c>
      <c r="C77" s="1">
        <v>-1.2175377059760498E-2</v>
      </c>
      <c r="D77" s="1">
        <v>-10125687.026249999</v>
      </c>
      <c r="E77" s="1">
        <v>-10125687.026249999</v>
      </c>
      <c r="F77" s="1">
        <v>0</v>
      </c>
      <c r="G77" s="1">
        <v>17313632.082062557</v>
      </c>
    </row>
    <row r="78" spans="1:7" x14ac:dyDescent="0.2">
      <c r="A78" s="12">
        <v>70</v>
      </c>
      <c r="B78" s="1">
        <v>-27405689.656043757</v>
      </c>
      <c r="C78" s="1">
        <v>-3.2191123578267948E-3</v>
      </c>
      <c r="D78" s="1">
        <v>-10120659.401249999</v>
      </c>
      <c r="E78" s="1">
        <v>-10120659.401249999</v>
      </c>
      <c r="F78" s="1">
        <v>0</v>
      </c>
      <c r="G78" s="1">
        <v>17285030.258012868</v>
      </c>
    </row>
    <row r="79" spans="1:7" x14ac:dyDescent="0.2">
      <c r="A79" s="12">
        <v>71</v>
      </c>
      <c r="B79" s="1">
        <v>-27362526.277585853</v>
      </c>
      <c r="C79" s="1">
        <v>-7.1019413102777077E-3</v>
      </c>
      <c r="D79" s="1">
        <v>-10115631.776249999</v>
      </c>
      <c r="E79" s="1">
        <v>-10115631.776249999</v>
      </c>
      <c r="F79" s="1">
        <v>0</v>
      </c>
      <c r="G79" s="1">
        <v>17246894.508437797</v>
      </c>
    </row>
    <row r="80" spans="1:7" x14ac:dyDescent="0.2">
      <c r="A80" s="12">
        <v>72</v>
      </c>
      <c r="B80" s="1">
        <v>-27328896.837492425</v>
      </c>
      <c r="C80" s="1">
        <v>-1.8347767641965163E-2</v>
      </c>
      <c r="D80" s="1">
        <v>-10110604.151249999</v>
      </c>
      <c r="E80" s="1">
        <v>-10110604.151249999</v>
      </c>
      <c r="F80" s="1">
        <v>0</v>
      </c>
      <c r="G80" s="1">
        <v>17218292.704590194</v>
      </c>
    </row>
    <row r="81" spans="1:7" x14ac:dyDescent="0.2">
      <c r="A81" s="12">
        <v>73</v>
      </c>
      <c r="B81" s="1">
        <v>-27285733.459034525</v>
      </c>
      <c r="C81" s="1">
        <v>-3.078811009617639E-2</v>
      </c>
      <c r="D81" s="1">
        <v>-10105576.526249999</v>
      </c>
      <c r="E81" s="1">
        <v>-10105576.526249999</v>
      </c>
      <c r="F81" s="1">
        <v>0</v>
      </c>
      <c r="G81" s="1">
        <v>17180156.963572636</v>
      </c>
    </row>
    <row r="82" spans="1:7" x14ac:dyDescent="0.2">
      <c r="A82" s="12">
        <v>74</v>
      </c>
      <c r="B82" s="1">
        <v>-27252104.018941097</v>
      </c>
      <c r="C82" s="1">
        <v>-4.439256280797442E-2</v>
      </c>
      <c r="D82" s="1">
        <v>-10100548.901249999</v>
      </c>
      <c r="E82" s="1">
        <v>-10100548.901249999</v>
      </c>
      <c r="F82" s="1">
        <v>0</v>
      </c>
      <c r="G82" s="1">
        <v>17151555.162083663</v>
      </c>
    </row>
    <row r="83" spans="1:7" x14ac:dyDescent="0.2">
      <c r="A83" s="12">
        <v>75</v>
      </c>
      <c r="B83" s="1">
        <v>-27208940.640483201</v>
      </c>
      <c r="C83" s="1">
        <v>-5.9117688827449305E-2</v>
      </c>
      <c r="D83" s="1">
        <v>-10095521.276249999</v>
      </c>
      <c r="E83" s="1">
        <v>-10095521.276249999</v>
      </c>
      <c r="F83" s="1">
        <v>0</v>
      </c>
      <c r="G83" s="1">
        <v>17113419.423350893</v>
      </c>
    </row>
    <row r="84" spans="1:7" x14ac:dyDescent="0.2">
      <c r="A84" s="12">
        <v>76</v>
      </c>
      <c r="B84" s="1">
        <v>-27175311.200389773</v>
      </c>
      <c r="C84" s="1">
        <v>-7.5015612494492984E-2</v>
      </c>
      <c r="D84" s="1">
        <v>-10090493.651249999</v>
      </c>
      <c r="E84" s="1">
        <v>-10090493.651249999</v>
      </c>
      <c r="F84" s="1">
        <v>0</v>
      </c>
      <c r="G84" s="1">
        <v>17084817.624155387</v>
      </c>
    </row>
    <row r="85" spans="1:7" x14ac:dyDescent="0.2">
      <c r="A85" s="12">
        <v>77</v>
      </c>
      <c r="B85" s="1">
        <v>-27132147.821931873</v>
      </c>
      <c r="C85" s="1">
        <v>-9.2086333809105456E-2</v>
      </c>
      <c r="D85" s="1">
        <v>-10085466.026249999</v>
      </c>
      <c r="E85" s="1">
        <v>-10085466.026249999</v>
      </c>
      <c r="F85" s="1">
        <v>0</v>
      </c>
      <c r="G85" s="1">
        <v>17046681.887768209</v>
      </c>
    </row>
    <row r="86" spans="1:7" x14ac:dyDescent="0.2">
      <c r="A86" s="12">
        <v>78</v>
      </c>
      <c r="B86" s="1">
        <v>-27098518.381838448</v>
      </c>
      <c r="C86" s="1">
        <v>-0.11037328972119667</v>
      </c>
      <c r="D86" s="1">
        <v>-10080438.401249999</v>
      </c>
      <c r="E86" s="1">
        <v>-10080438.401249999</v>
      </c>
      <c r="F86" s="1">
        <v>0</v>
      </c>
      <c r="G86" s="1">
        <v>17018080.090961739</v>
      </c>
    </row>
    <row r="87" spans="1:7" x14ac:dyDescent="0.2">
      <c r="A87" s="12">
        <v>79</v>
      </c>
      <c r="B87" s="1">
        <v>-27055355.003380541</v>
      </c>
      <c r="C87" s="1">
        <v>-0.12970273243112682</v>
      </c>
      <c r="D87" s="1">
        <v>-10075410.776249999</v>
      </c>
      <c r="E87" s="1">
        <v>-10075410.776249999</v>
      </c>
      <c r="F87" s="1">
        <v>0</v>
      </c>
      <c r="G87" s="1">
        <v>16979944.356833272</v>
      </c>
    </row>
    <row r="88" spans="1:7" x14ac:dyDescent="0.2">
      <c r="A88" s="12">
        <v>80</v>
      </c>
      <c r="B88" s="1">
        <v>-27033260.496401593</v>
      </c>
      <c r="C88" s="1">
        <v>-0.14151758280663471</v>
      </c>
      <c r="D88" s="1">
        <v>-10072384.146</v>
      </c>
      <c r="E88" s="1">
        <v>-10072384.146</v>
      </c>
      <c r="F88" s="1">
        <v>0</v>
      </c>
      <c r="G88" s="1">
        <v>16960876.491919175</v>
      </c>
    </row>
    <row r="89" spans="1:7" x14ac:dyDescent="0.2">
      <c r="A89" s="12">
        <v>81</v>
      </c>
      <c r="B89" s="1">
        <v>-27021725.563287117</v>
      </c>
      <c r="C89" s="1">
        <v>-0.14950998159006651</v>
      </c>
      <c r="D89" s="1">
        <v>-10070383.151249999</v>
      </c>
      <c r="E89" s="1">
        <v>-10070383.151249999</v>
      </c>
      <c r="F89" s="1">
        <v>0</v>
      </c>
      <c r="G89" s="1">
        <v>16951342.561547101</v>
      </c>
    </row>
    <row r="90" spans="1:7" x14ac:dyDescent="0.2">
      <c r="A90" s="12">
        <v>82</v>
      </c>
      <c r="B90" s="1">
        <v>-26999560.669558171</v>
      </c>
      <c r="C90" s="1">
        <v>-0.16119452111584451</v>
      </c>
      <c r="D90" s="1">
        <v>-10067286.13425</v>
      </c>
      <c r="E90" s="1">
        <v>-10067286.13425</v>
      </c>
      <c r="F90" s="1">
        <v>0</v>
      </c>
      <c r="G90" s="1">
        <v>16932274.696502693</v>
      </c>
    </row>
    <row r="91" spans="1:7" x14ac:dyDescent="0.2">
      <c r="A91" s="12">
        <v>83</v>
      </c>
      <c r="B91" s="1">
        <v>-26999560.669558171</v>
      </c>
      <c r="C91" s="1">
        <v>-0.16119452111584451</v>
      </c>
      <c r="D91" s="1">
        <v>-10067286.13425</v>
      </c>
      <c r="E91" s="1">
        <v>-10067286.13425</v>
      </c>
      <c r="F91" s="1">
        <v>0</v>
      </c>
      <c r="G91" s="1">
        <v>16932274.696502693</v>
      </c>
    </row>
    <row r="92" spans="1:7" x14ac:dyDescent="0.2">
      <c r="A92" s="12">
        <v>84</v>
      </c>
      <c r="B92" s="1">
        <v>-22945124.704688773</v>
      </c>
      <c r="C92" s="1">
        <v>-0.12682833439718788</v>
      </c>
      <c r="D92" s="1">
        <v>-10066421.382750001</v>
      </c>
      <c r="E92" s="1">
        <v>-10066421.382750001</v>
      </c>
      <c r="F92" s="1">
        <v>0</v>
      </c>
      <c r="G92" s="1">
        <v>12878703.448767107</v>
      </c>
    </row>
    <row r="93" spans="1:7" x14ac:dyDescent="0.2">
      <c r="A93" s="12">
        <v>85</v>
      </c>
      <c r="B93" s="1">
        <v>-22936803.240683455</v>
      </c>
      <c r="C93" s="1">
        <v>-0.13004341760345406</v>
      </c>
      <c r="D93" s="1">
        <v>-10065355.526249999</v>
      </c>
      <c r="E93" s="1">
        <v>-10065355.526249999</v>
      </c>
      <c r="F93" s="1">
        <v>0</v>
      </c>
      <c r="G93" s="1">
        <v>12871447.844476873</v>
      </c>
    </row>
    <row r="94" spans="1:7" x14ac:dyDescent="0.2">
      <c r="A94" s="12">
        <v>86</v>
      </c>
      <c r="B94" s="1">
        <v>-22928602.439678136</v>
      </c>
      <c r="C94" s="1">
        <v>-0.13275614405874114</v>
      </c>
      <c r="D94" s="1">
        <v>-10064410.33275</v>
      </c>
      <c r="E94" s="1">
        <v>-10064410.33275</v>
      </c>
      <c r="F94" s="1">
        <v>0</v>
      </c>
      <c r="G94" s="1">
        <v>12864192.23968428</v>
      </c>
    </row>
    <row r="95" spans="1:7" x14ac:dyDescent="0.2">
      <c r="A95" s="12">
        <v>87</v>
      </c>
      <c r="B95" s="1">
        <v>-22920361.417672817</v>
      </c>
      <c r="C95" s="1">
        <v>-0.13563632276435458</v>
      </c>
      <c r="D95" s="1">
        <v>-10063424.91825</v>
      </c>
      <c r="E95" s="1">
        <v>-10063424.91825</v>
      </c>
      <c r="F95" s="1">
        <v>0</v>
      </c>
      <c r="G95" s="1">
        <v>12856936.635059139</v>
      </c>
    </row>
    <row r="96" spans="1:7" x14ac:dyDescent="0.2">
      <c r="A96" s="12">
        <v>88</v>
      </c>
      <c r="B96" s="1">
        <v>-22895497.578156862</v>
      </c>
      <c r="C96" s="1">
        <v>-0.14474572518210879</v>
      </c>
      <c r="D96" s="1">
        <v>-10060327.901249999</v>
      </c>
      <c r="E96" s="1">
        <v>-10060327.901249999</v>
      </c>
      <c r="F96" s="1">
        <v>0</v>
      </c>
      <c r="G96" s="1">
        <v>12835169.821652589</v>
      </c>
    </row>
    <row r="97" spans="1:7" x14ac:dyDescent="0.2">
      <c r="A97" s="12">
        <v>89</v>
      </c>
      <c r="B97" s="1">
        <v>-22861447.523135595</v>
      </c>
      <c r="C97" s="1">
        <v>-0.16075416031330914</v>
      </c>
      <c r="D97" s="1">
        <v>-10055300.276249999</v>
      </c>
      <c r="E97" s="1">
        <v>-10055300.276249999</v>
      </c>
      <c r="F97" s="1">
        <v>0</v>
      </c>
      <c r="G97" s="1">
        <v>12806147.407639755</v>
      </c>
    </row>
    <row r="98" spans="1:7" x14ac:dyDescent="0.2">
      <c r="A98" s="12">
        <v>90</v>
      </c>
      <c r="B98" s="1">
        <v>-22820151.915859006</v>
      </c>
      <c r="C98" s="1">
        <v>-0.17806872299705515</v>
      </c>
      <c r="D98" s="1">
        <v>-10050282.706499999</v>
      </c>
      <c r="E98" s="1">
        <v>-10050282.706499999</v>
      </c>
      <c r="F98" s="1">
        <v>0</v>
      </c>
      <c r="G98" s="1">
        <v>12769869.38742773</v>
      </c>
    </row>
    <row r="99" spans="1:7" x14ac:dyDescent="0.2">
      <c r="A99" s="12">
        <v>91</v>
      </c>
      <c r="B99" s="1">
        <v>-22786101.860837735</v>
      </c>
      <c r="C99" s="1">
        <v>-0.19635450873269408</v>
      </c>
      <c r="D99" s="1">
        <v>-10045255.081499999</v>
      </c>
      <c r="E99" s="1">
        <v>-10045255.081499999</v>
      </c>
      <c r="F99" s="1">
        <v>0</v>
      </c>
      <c r="G99" s="1">
        <v>12740846.975692244</v>
      </c>
    </row>
    <row r="100" spans="1:7" x14ac:dyDescent="0.2">
      <c r="A100" s="12">
        <v>92</v>
      </c>
      <c r="B100" s="1">
        <v>-22744796.19831115</v>
      </c>
      <c r="C100" s="1">
        <v>-0.21534359391970373</v>
      </c>
      <c r="D100" s="1">
        <v>-10040227.456499999</v>
      </c>
      <c r="E100" s="1">
        <v>-10040227.456499999</v>
      </c>
      <c r="F100" s="1">
        <v>0</v>
      </c>
      <c r="G100" s="1">
        <v>12704568.957154745</v>
      </c>
    </row>
    <row r="101" spans="1:7" x14ac:dyDescent="0.2">
      <c r="A101" s="12">
        <v>93</v>
      </c>
      <c r="B101" s="1">
        <v>-22703490.535784557</v>
      </c>
      <c r="C101" s="1">
        <v>-0.23480154540762718</v>
      </c>
      <c r="D101" s="1">
        <v>-10035199.831499999</v>
      </c>
      <c r="E101" s="1">
        <v>-10035199.831499999</v>
      </c>
      <c r="F101" s="1">
        <v>0</v>
      </c>
      <c r="G101" s="1">
        <v>12668290.939086104</v>
      </c>
    </row>
    <row r="102" spans="1:7" x14ac:dyDescent="0.2">
      <c r="A102" s="12">
        <v>94</v>
      </c>
      <c r="B102" s="1">
        <v>-22669440.48076329</v>
      </c>
      <c r="C102" s="1">
        <v>-0.25469487274639918</v>
      </c>
      <c r="D102" s="1">
        <v>-10030172.206499999</v>
      </c>
      <c r="E102" s="1">
        <v>-10030172.206499999</v>
      </c>
      <c r="F102" s="1">
        <v>0</v>
      </c>
      <c r="G102" s="1">
        <v>12639268.528958162</v>
      </c>
    </row>
    <row r="103" spans="1:7" x14ac:dyDescent="0.2">
      <c r="A103" s="12">
        <v>95</v>
      </c>
      <c r="B103" s="1">
        <v>-22628134.818236701</v>
      </c>
      <c r="C103" s="1">
        <v>-0.27502357593601978</v>
      </c>
      <c r="D103" s="1">
        <v>-10025144.581499999</v>
      </c>
      <c r="E103" s="1">
        <v>-10025144.581499999</v>
      </c>
      <c r="F103" s="1">
        <v>0</v>
      </c>
      <c r="G103" s="1">
        <v>12602990.511760278</v>
      </c>
    </row>
    <row r="104" spans="1:7" x14ac:dyDescent="0.2">
      <c r="A104" s="12">
        <v>96</v>
      </c>
      <c r="B104" s="1">
        <v>-22594084.76321543</v>
      </c>
      <c r="C104" s="1">
        <v>-0.29568718362629304</v>
      </c>
      <c r="D104" s="1">
        <v>-10020116.956499999</v>
      </c>
      <c r="E104" s="1">
        <v>-10020116.956499999</v>
      </c>
      <c r="F104" s="1">
        <v>0</v>
      </c>
      <c r="G104" s="1">
        <v>12573968.102402614</v>
      </c>
    </row>
    <row r="105" spans="1:7" x14ac:dyDescent="0.2">
      <c r="A105" s="12">
        <v>97</v>
      </c>
      <c r="B105" s="1">
        <v>-22552779.100688845</v>
      </c>
      <c r="C105" s="1">
        <v>-0.31651824356689262</v>
      </c>
      <c r="D105" s="1">
        <v>-10015089.331499999</v>
      </c>
      <c r="E105" s="1">
        <v>-10015089.331499999</v>
      </c>
      <c r="F105" s="1">
        <v>0</v>
      </c>
      <c r="G105" s="1">
        <v>12537690.085707089</v>
      </c>
    </row>
    <row r="106" spans="1:7" x14ac:dyDescent="0.2">
      <c r="A106" s="12">
        <v>98</v>
      </c>
      <c r="B106" s="1">
        <v>-22511473.438162252</v>
      </c>
      <c r="C106" s="1">
        <v>-0.33724883215729651</v>
      </c>
      <c r="D106" s="1">
        <v>-10010061.706499999</v>
      </c>
      <c r="E106" s="1">
        <v>-10010061.706499999</v>
      </c>
      <c r="F106" s="1">
        <v>0</v>
      </c>
      <c r="G106" s="1">
        <v>12501412.068911085</v>
      </c>
    </row>
    <row r="107" spans="1:7" x14ac:dyDescent="0.2">
      <c r="A107" s="12">
        <v>99</v>
      </c>
      <c r="B107" s="1">
        <v>-22477423.383140985</v>
      </c>
      <c r="C107" s="1">
        <v>-0.35734310219646015</v>
      </c>
      <c r="D107" s="1">
        <v>-10005034.081499999</v>
      </c>
      <c r="E107" s="1">
        <v>-10005034.081499999</v>
      </c>
      <c r="F107" s="1">
        <v>0</v>
      </c>
      <c r="G107" s="1">
        <v>12472389.658984089</v>
      </c>
    </row>
    <row r="108" spans="1:7" x14ac:dyDescent="0.2">
      <c r="A108" s="12">
        <v>100</v>
      </c>
      <c r="B108" s="1">
        <v>-22436117.720614396</v>
      </c>
      <c r="C108" s="1">
        <v>-0.3764326587336656</v>
      </c>
      <c r="D108" s="1">
        <v>-10000006.456499999</v>
      </c>
      <c r="E108" s="1">
        <v>-10000006.456499999</v>
      </c>
      <c r="F108" s="1">
        <v>0</v>
      </c>
      <c r="G108" s="1">
        <v>12436111.640547054</v>
      </c>
    </row>
    <row r="109" spans="1:7" x14ac:dyDescent="0.2">
      <c r="A109" s="12">
        <v>101</v>
      </c>
      <c r="B109" s="1">
        <v>-22394812.058087807</v>
      </c>
      <c r="C109" s="1">
        <v>-0.42298438432439472</v>
      </c>
      <c r="D109" s="1">
        <v>-9994978.8314999994</v>
      </c>
      <c r="E109" s="1">
        <v>-9994978.8314999994</v>
      </c>
      <c r="F109" s="1">
        <v>0</v>
      </c>
      <c r="G109" s="1">
        <v>12399833.649572192</v>
      </c>
    </row>
    <row r="110" spans="1:7" x14ac:dyDescent="0.2">
      <c r="A110" s="12">
        <v>102</v>
      </c>
      <c r="B110" s="1">
        <v>-22360762.003066536</v>
      </c>
      <c r="C110" s="1">
        <v>-0.48125776743796933</v>
      </c>
      <c r="D110" s="1">
        <v>-9989951.2064999994</v>
      </c>
      <c r="E110" s="1">
        <v>-9989951.2064999994</v>
      </c>
      <c r="F110" s="1">
        <v>0</v>
      </c>
      <c r="G110" s="1">
        <v>12370811.277824303</v>
      </c>
    </row>
    <row r="111" spans="1:7" x14ac:dyDescent="0.2">
      <c r="A111" s="12">
        <v>103</v>
      </c>
      <c r="B111" s="1">
        <v>-22319456.340539947</v>
      </c>
      <c r="C111" s="1">
        <v>-0.53383777404044741</v>
      </c>
      <c r="D111" s="1">
        <v>-9984923.5814999994</v>
      </c>
      <c r="E111" s="1">
        <v>-9984923.5814999994</v>
      </c>
      <c r="F111" s="1">
        <v>0</v>
      </c>
      <c r="G111" s="1">
        <v>12334533.292877721</v>
      </c>
    </row>
    <row r="112" spans="1:7" x14ac:dyDescent="0.2">
      <c r="A112" s="12">
        <v>104</v>
      </c>
      <c r="B112" s="1">
        <v>-22285406.28551868</v>
      </c>
      <c r="C112" s="1">
        <v>-0.57201688711485843</v>
      </c>
      <c r="D112" s="1">
        <v>-9979895.9564999994</v>
      </c>
      <c r="E112" s="1">
        <v>-9979895.9564999994</v>
      </c>
      <c r="F112" s="1">
        <v>0</v>
      </c>
      <c r="G112" s="1">
        <v>12305510.901035568</v>
      </c>
    </row>
    <row r="113" spans="1:7" x14ac:dyDescent="0.2">
      <c r="A113" s="12">
        <v>105</v>
      </c>
      <c r="B113" s="1">
        <v>-22244100.622992087</v>
      </c>
      <c r="C113" s="1">
        <v>-0.59077153915141112</v>
      </c>
      <c r="D113" s="1">
        <v>-9974868.3314999994</v>
      </c>
      <c r="E113" s="1">
        <v>-9974868.3314999994</v>
      </c>
      <c r="F113" s="1">
        <v>0</v>
      </c>
      <c r="G113" s="1">
        <v>12269232.882263629</v>
      </c>
    </row>
    <row r="114" spans="1:7" x14ac:dyDescent="0.2">
      <c r="A114" s="12">
        <v>106</v>
      </c>
      <c r="B114" s="1">
        <v>-22202794.960465502</v>
      </c>
      <c r="C114" s="1">
        <v>-0.58775739864553656</v>
      </c>
      <c r="D114" s="1">
        <v>-9969840.7064999994</v>
      </c>
      <c r="E114" s="1">
        <v>-9969840.7064999994</v>
      </c>
      <c r="F114" s="1">
        <v>0</v>
      </c>
      <c r="G114" s="1">
        <v>12232954.8417229</v>
      </c>
    </row>
    <row r="115" spans="1:7" x14ac:dyDescent="0.2">
      <c r="A115" s="12">
        <v>107</v>
      </c>
      <c r="B115" s="1">
        <v>-22168744.905444231</v>
      </c>
      <c r="C115" s="1">
        <v>-0.55962542059070741</v>
      </c>
      <c r="D115" s="1">
        <v>-9964813.0814999994</v>
      </c>
      <c r="E115" s="1">
        <v>-9964813.0814999994</v>
      </c>
      <c r="F115" s="1">
        <v>0</v>
      </c>
      <c r="G115" s="1">
        <v>12203932.383569652</v>
      </c>
    </row>
    <row r="116" spans="1:7" x14ac:dyDescent="0.2">
      <c r="A116" s="12">
        <v>108</v>
      </c>
      <c r="B116" s="1">
        <v>-22127449.298167642</v>
      </c>
      <c r="C116" s="1">
        <v>-0.53115853803522561</v>
      </c>
      <c r="D116" s="1">
        <v>-9959795.5117499996</v>
      </c>
      <c r="E116" s="1">
        <v>-9959795.5117499996</v>
      </c>
      <c r="F116" s="1">
        <v>0</v>
      </c>
      <c r="G116" s="1">
        <v>12167654.317576179</v>
      </c>
    </row>
    <row r="117" spans="1:7" x14ac:dyDescent="0.2">
      <c r="A117" s="12">
        <v>109</v>
      </c>
      <c r="B117" s="1">
        <v>-22110404.16015701</v>
      </c>
      <c r="C117" s="1">
        <v>-0.51675764450715833</v>
      </c>
      <c r="D117" s="1">
        <v>-9957261.5887499992</v>
      </c>
      <c r="E117" s="1">
        <v>-9957261.5887499992</v>
      </c>
      <c r="F117" s="1">
        <v>0</v>
      </c>
      <c r="G117" s="1">
        <v>12153143.088164655</v>
      </c>
    </row>
    <row r="118" spans="1:7" x14ac:dyDescent="0.2">
      <c r="A118" s="12">
        <v>110</v>
      </c>
      <c r="B118" s="1">
        <v>-22101650.320401691</v>
      </c>
      <c r="C118" s="1">
        <v>-0.50805012749018741</v>
      </c>
      <c r="D118" s="1">
        <v>-9955763.3564999998</v>
      </c>
      <c r="E118" s="1">
        <v>-9955763.3564999998</v>
      </c>
      <c r="F118" s="1">
        <v>0</v>
      </c>
      <c r="G118" s="1">
        <v>12145887.47195182</v>
      </c>
    </row>
    <row r="119" spans="1:7" x14ac:dyDescent="0.2">
      <c r="A119" s="12">
        <v>111</v>
      </c>
      <c r="B119" s="1">
        <v>-22093399.243146375</v>
      </c>
      <c r="C119" s="1">
        <v>-0.50235675097909105</v>
      </c>
      <c r="D119" s="1">
        <v>-9954767.8867499996</v>
      </c>
      <c r="E119" s="1">
        <v>-9954767.8867499996</v>
      </c>
      <c r="F119" s="1">
        <v>0</v>
      </c>
      <c r="G119" s="1">
        <v>12138631.858753128</v>
      </c>
    </row>
    <row r="120" spans="1:7" x14ac:dyDescent="0.2">
      <c r="A120" s="12">
        <v>112</v>
      </c>
      <c r="B120" s="1">
        <v>-22085198.442141056</v>
      </c>
      <c r="C120" s="1">
        <v>-0.49699827896864751</v>
      </c>
      <c r="D120" s="1">
        <v>-9953822.6932500005</v>
      </c>
      <c r="E120" s="1">
        <v>-9953822.6932500005</v>
      </c>
      <c r="F120" s="1">
        <v>0</v>
      </c>
      <c r="G120" s="1">
        <v>12131376.245889336</v>
      </c>
    </row>
    <row r="121" spans="1:7" x14ac:dyDescent="0.2">
      <c r="A121" s="12">
        <v>113</v>
      </c>
      <c r="B121" s="1">
        <v>-22069279.492130421</v>
      </c>
      <c r="C121" s="1">
        <v>-0.48896057095298201</v>
      </c>
      <c r="D121" s="1">
        <v>-9952414.9582499992</v>
      </c>
      <c r="E121" s="1">
        <v>-9952414.9582499992</v>
      </c>
      <c r="F121" s="1">
        <v>0</v>
      </c>
      <c r="G121" s="1">
        <v>12116865.022840993</v>
      </c>
    </row>
    <row r="122" spans="1:7" x14ac:dyDescent="0.2">
      <c r="A122" s="12">
        <v>114</v>
      </c>
      <c r="B122" s="1">
        <v>-22052093.580619782</v>
      </c>
      <c r="C122" s="1">
        <v>-0.47355496392295654</v>
      </c>
      <c r="D122" s="1">
        <v>-9949740.2617499996</v>
      </c>
      <c r="E122" s="1">
        <v>-9949740.2617499996</v>
      </c>
      <c r="F122" s="1">
        <v>0</v>
      </c>
      <c r="G122" s="1">
        <v>12102353.792424748</v>
      </c>
    </row>
    <row r="123" spans="1:7" x14ac:dyDescent="0.2">
      <c r="A123" s="12">
        <v>115</v>
      </c>
      <c r="B123" s="1">
        <v>-22035108.774109151</v>
      </c>
      <c r="C123" s="1">
        <v>-0.46015878389684745</v>
      </c>
      <c r="D123" s="1">
        <v>-9947266.6702500004</v>
      </c>
      <c r="E123" s="1">
        <v>-9947266.6702500004</v>
      </c>
      <c r="F123" s="1">
        <v>0</v>
      </c>
      <c r="G123" s="1">
        <v>12087842.564017935</v>
      </c>
    </row>
    <row r="124" spans="1:7" x14ac:dyDescent="0.2">
      <c r="A124" s="12">
        <v>116</v>
      </c>
      <c r="B124" s="1">
        <v>-22019059.105848514</v>
      </c>
      <c r="C124" s="1">
        <v>-0.452121075881182</v>
      </c>
      <c r="D124" s="1">
        <v>-9945728.2170000002</v>
      </c>
      <c r="E124" s="1">
        <v>-9945728.2170000002</v>
      </c>
      <c r="F124" s="1">
        <v>0</v>
      </c>
      <c r="G124" s="1">
        <v>12073331.340969589</v>
      </c>
    </row>
    <row r="125" spans="1:7" x14ac:dyDescent="0.2">
      <c r="A125" s="12">
        <v>117</v>
      </c>
      <c r="B125" s="1">
        <v>-22010787.918093197</v>
      </c>
      <c r="C125" s="1">
        <v>-0.44676260387073835</v>
      </c>
      <c r="D125" s="1">
        <v>-9944712.6367499996</v>
      </c>
      <c r="E125" s="1">
        <v>-9944712.6367499996</v>
      </c>
      <c r="F125" s="1">
        <v>0</v>
      </c>
      <c r="G125" s="1">
        <v>12066075.7281058</v>
      </c>
    </row>
    <row r="126" spans="1:7" x14ac:dyDescent="0.2">
      <c r="A126" s="12">
        <v>118</v>
      </c>
      <c r="B126" s="1">
        <v>-15976885.525921604</v>
      </c>
      <c r="C126" s="1">
        <v>-0.2189395309813198</v>
      </c>
      <c r="D126" s="1">
        <v>-9943847.8852500003</v>
      </c>
      <c r="E126" s="1">
        <v>-9943847.8852500003</v>
      </c>
      <c r="F126" s="1">
        <v>0</v>
      </c>
      <c r="G126" s="1">
        <v>6033037.859611135</v>
      </c>
    </row>
    <row r="127" spans="1:7" x14ac:dyDescent="0.2">
      <c r="A127" s="12">
        <v>119</v>
      </c>
      <c r="B127" s="1">
        <v>-5093964.8336978303</v>
      </c>
      <c r="C127" s="1">
        <v>0.14291563782376387</v>
      </c>
      <c r="D127" s="1">
        <v>-9940710.6472500004</v>
      </c>
      <c r="E127" s="1">
        <v>-9940710.6472500004</v>
      </c>
      <c r="F127" s="1">
        <v>0</v>
      </c>
      <c r="G127" s="1">
        <v>4846745.9564678082</v>
      </c>
    </row>
    <row r="128" spans="1:7" x14ac:dyDescent="0.2">
      <c r="A128" s="12">
        <v>120</v>
      </c>
      <c r="B128" s="1">
        <v>-5077533.065937194</v>
      </c>
      <c r="C128" s="1">
        <v>0.13981634241925919</v>
      </c>
      <c r="D128" s="1">
        <v>-9938790.0944999997</v>
      </c>
      <c r="E128" s="1">
        <v>-9938790.0944999997</v>
      </c>
      <c r="F128" s="1">
        <v>0</v>
      </c>
      <c r="G128" s="1">
        <v>4861257.1683791485</v>
      </c>
    </row>
    <row r="129" spans="1:7" x14ac:dyDescent="0.2">
      <c r="A129" s="12">
        <v>121</v>
      </c>
      <c r="B129" s="1">
        <v>-5061101.2981765587</v>
      </c>
      <c r="C129" s="1">
        <v>0.13671704701475448</v>
      </c>
      <c r="D129" s="1">
        <v>-9936869.5417500008</v>
      </c>
      <c r="E129" s="1">
        <v>-9936869.5417500008</v>
      </c>
      <c r="F129" s="1">
        <v>0</v>
      </c>
      <c r="G129" s="1">
        <v>4875768.3802904887</v>
      </c>
    </row>
    <row r="130" spans="1:7" x14ac:dyDescent="0.2">
      <c r="A130" s="12">
        <v>122</v>
      </c>
      <c r="B130" s="1">
        <v>-5045262.7901659217</v>
      </c>
      <c r="C130" s="1">
        <v>0.13456245662659616</v>
      </c>
      <c r="D130" s="1">
        <v>-9935542.2487499993</v>
      </c>
      <c r="E130" s="1">
        <v>-9935542.2487499993</v>
      </c>
      <c r="F130" s="1">
        <v>0</v>
      </c>
      <c r="G130" s="1">
        <v>4890279.5931465346</v>
      </c>
    </row>
    <row r="131" spans="1:7" x14ac:dyDescent="0.2">
      <c r="A131" s="12">
        <v>123</v>
      </c>
      <c r="B131" s="1">
        <v>-5037122.3206606051</v>
      </c>
      <c r="C131" s="1">
        <v>0.13313711221596836</v>
      </c>
      <c r="D131" s="1">
        <v>-9934657.3867499996</v>
      </c>
      <c r="E131" s="1">
        <v>-9934657.3867499996</v>
      </c>
      <c r="F131" s="1">
        <v>0</v>
      </c>
      <c r="G131" s="1">
        <v>4897535.199226507</v>
      </c>
    </row>
    <row r="132" spans="1:7" x14ac:dyDescent="0.2">
      <c r="A132" s="12">
        <v>124</v>
      </c>
      <c r="B132" s="1">
        <v>29368253.524435595</v>
      </c>
      <c r="C132" s="1">
        <v>-1.853265760060987E-4</v>
      </c>
      <c r="D132" s="1">
        <v>72508706.87715891</v>
      </c>
      <c r="E132" s="1">
        <v>-13772199.67326894</v>
      </c>
      <c r="F132" s="1">
        <v>0</v>
      </c>
      <c r="G132" s="1">
        <v>74721456.9342217</v>
      </c>
    </row>
    <row r="133" spans="1:7" x14ac:dyDescent="0.2">
      <c r="A133" s="12">
        <v>125</v>
      </c>
      <c r="B133" s="1">
        <v>29407395.414771765</v>
      </c>
      <c r="C133" s="1">
        <v>1.5656900386722131E-4</v>
      </c>
      <c r="D133" s="1">
        <v>72475273.408641681</v>
      </c>
      <c r="E133" s="1">
        <v>-13765635.48843303</v>
      </c>
      <c r="F133" s="1">
        <v>0</v>
      </c>
      <c r="G133" s="1">
        <v>74686836.456157103</v>
      </c>
    </row>
    <row r="134" spans="1:7" x14ac:dyDescent="0.2">
      <c r="A134" s="12">
        <v>126</v>
      </c>
      <c r="B134" s="1">
        <v>29446522.293227106</v>
      </c>
      <c r="C134" s="1">
        <v>1.2772013784853798E-4</v>
      </c>
      <c r="D134" s="1">
        <v>72441839.940124452</v>
      </c>
      <c r="E134" s="1">
        <v>-13759071.303597121</v>
      </c>
      <c r="F134" s="1">
        <v>0</v>
      </c>
      <c r="G134" s="1">
        <v>74652253.003039226</v>
      </c>
    </row>
    <row r="135" spans="1:7" x14ac:dyDescent="0.2">
      <c r="A135" s="12">
        <v>127</v>
      </c>
      <c r="B135" s="1">
        <v>29485656.638868149</v>
      </c>
      <c r="C135" s="1">
        <v>9.8597390190436742E-5</v>
      </c>
      <c r="D135" s="1">
        <v>72408406.471607193</v>
      </c>
      <c r="E135" s="1">
        <v>-13752507.11876121</v>
      </c>
      <c r="F135" s="1">
        <v>0</v>
      </c>
      <c r="G135" s="1">
        <v>74617706.642131746</v>
      </c>
    </row>
    <row r="136" spans="1:7" x14ac:dyDescent="0.2">
      <c r="A136" s="12">
        <v>128</v>
      </c>
      <c r="B136" s="1">
        <v>29524865.656366426</v>
      </c>
      <c r="C136" s="1">
        <v>6.8990784969363925E-5</v>
      </c>
      <c r="D136" s="1">
        <v>72374973.003089964</v>
      </c>
      <c r="E136" s="1">
        <v>-13745942.933925301</v>
      </c>
      <c r="F136" s="1">
        <v>0</v>
      </c>
      <c r="G136" s="1">
        <v>74583197.630276963</v>
      </c>
    </row>
    <row r="137" spans="1:7" x14ac:dyDescent="0.2">
      <c r="A137" s="12">
        <v>129</v>
      </c>
      <c r="B137" s="1">
        <v>29563973.132723808</v>
      </c>
      <c r="C137" s="1">
        <v>3.8608181769940463E-5</v>
      </c>
      <c r="D137" s="1">
        <v>72341472.667635709</v>
      </c>
      <c r="E137" s="1">
        <v>-13739365.62071972</v>
      </c>
      <c r="F137" s="1">
        <v>0</v>
      </c>
      <c r="G137" s="1">
        <v>74548656.37313965</v>
      </c>
    </row>
    <row r="138" spans="1:7" x14ac:dyDescent="0.2">
      <c r="A138" s="12">
        <v>130</v>
      </c>
      <c r="B138" s="1">
        <v>29603107.478364851</v>
      </c>
      <c r="C138" s="1">
        <v>7.1072285428939822E-6</v>
      </c>
      <c r="D138" s="1">
        <v>72308039.199118435</v>
      </c>
      <c r="E138" s="1">
        <v>-13732801.435883807</v>
      </c>
      <c r="F138" s="1">
        <v>0</v>
      </c>
      <c r="G138" s="1">
        <v>74514221.635457426</v>
      </c>
    </row>
    <row r="139" spans="1:7" x14ac:dyDescent="0.2">
      <c r="A139" s="12">
        <v>131</v>
      </c>
      <c r="B139" s="1">
        <v>29642241.824005913</v>
      </c>
      <c r="C139" s="1">
        <v>2.5900073700950835E-5</v>
      </c>
      <c r="D139" s="1">
        <v>72274605.730601206</v>
      </c>
      <c r="E139" s="1">
        <v>-13726237.251047898</v>
      </c>
      <c r="F139" s="1">
        <v>0</v>
      </c>
      <c r="G139" s="1">
        <v>74479824.191193059</v>
      </c>
    </row>
    <row r="140" spans="1:7" x14ac:dyDescent="0.2">
      <c r="A140" s="12">
        <v>132</v>
      </c>
      <c r="B140" s="1">
        <v>29681376.169646952</v>
      </c>
      <c r="C140" s="1">
        <v>6.074694762288575E-5</v>
      </c>
      <c r="D140" s="1">
        <v>72241172.262083933</v>
      </c>
      <c r="E140" s="1">
        <v>-13719673.066211987</v>
      </c>
      <c r="F140" s="1">
        <v>0</v>
      </c>
      <c r="G140" s="1">
        <v>74445464.092040494</v>
      </c>
    </row>
    <row r="141" spans="1:7" x14ac:dyDescent="0.2">
      <c r="A141" s="12">
        <v>133</v>
      </c>
      <c r="B141" s="1">
        <v>29720510.51528801</v>
      </c>
      <c r="C141" s="1">
        <v>9.777574527218311E-5</v>
      </c>
      <c r="D141" s="1">
        <v>72207738.793566719</v>
      </c>
      <c r="E141" s="1">
        <v>-13713108.881376078</v>
      </c>
      <c r="F141" s="1">
        <v>0</v>
      </c>
      <c r="G141" s="1">
        <v>74411141.389733255</v>
      </c>
    </row>
    <row r="142" spans="1:7" x14ac:dyDescent="0.2">
      <c r="A142" s="12">
        <v>134</v>
      </c>
      <c r="B142" s="1">
        <v>29759644.860929072</v>
      </c>
      <c r="C142" s="1">
        <v>1.3739728910796973E-4</v>
      </c>
      <c r="D142" s="1">
        <v>72174305.32504949</v>
      </c>
      <c r="E142" s="1">
        <v>-13706544.696540169</v>
      </c>
      <c r="F142" s="1">
        <v>0</v>
      </c>
      <c r="G142" s="1">
        <v>74376856.136043876</v>
      </c>
    </row>
    <row r="143" spans="1:7" x14ac:dyDescent="0.2">
      <c r="A143" s="12">
        <v>135</v>
      </c>
      <c r="B143" s="1">
        <v>29798853.87842733</v>
      </c>
      <c r="C143" s="1">
        <v>1.7966635545812917E-4</v>
      </c>
      <c r="D143" s="1">
        <v>72140871.856532216</v>
      </c>
      <c r="E143" s="1">
        <v>-13699980.511704257</v>
      </c>
      <c r="F143" s="1">
        <v>0</v>
      </c>
      <c r="G143" s="1">
        <v>74342608.963716209</v>
      </c>
    </row>
    <row r="144" spans="1:7" x14ac:dyDescent="0.2">
      <c r="A144" s="12">
        <v>136</v>
      </c>
      <c r="B144" s="1">
        <v>29837988.224068396</v>
      </c>
      <c r="C144" s="1">
        <v>2.2485682596207933E-4</v>
      </c>
      <c r="D144" s="1">
        <v>72107438.388014987</v>
      </c>
      <c r="E144" s="1">
        <v>-13693416.326868348</v>
      </c>
      <c r="F144" s="1">
        <v>0</v>
      </c>
      <c r="G144" s="1">
        <v>74308398.815829575</v>
      </c>
    </row>
    <row r="145" spans="1:7" x14ac:dyDescent="0.2">
      <c r="A145" s="12">
        <v>137</v>
      </c>
      <c r="B145" s="1">
        <v>29877122.569709457</v>
      </c>
      <c r="C145" s="1">
        <v>2.7305999449962623E-4</v>
      </c>
      <c r="D145" s="1">
        <v>72074004.919497773</v>
      </c>
      <c r="E145" s="1">
        <v>-13686852.142032439</v>
      </c>
      <c r="F145" s="1">
        <v>0</v>
      </c>
      <c r="G145" s="1">
        <v>74274226.272160277</v>
      </c>
    </row>
    <row r="146" spans="1:7" x14ac:dyDescent="0.2">
      <c r="A146" s="12">
        <v>138</v>
      </c>
      <c r="B146" s="1">
        <v>29916256.915350497</v>
      </c>
      <c r="C146" s="1">
        <v>3.2400197943135186E-4</v>
      </c>
      <c r="D146" s="1">
        <v>72040571.450980499</v>
      </c>
      <c r="E146" s="1">
        <v>-13680287.957196528</v>
      </c>
      <c r="F146" s="1">
        <v>0</v>
      </c>
      <c r="G146" s="1">
        <v>74240091.384635642</v>
      </c>
    </row>
    <row r="147" spans="1:7" x14ac:dyDescent="0.2">
      <c r="A147" s="12">
        <v>139</v>
      </c>
      <c r="B147" s="1">
        <v>29955241.917277124</v>
      </c>
      <c r="C147" s="1">
        <v>3.7750019299764441E-4</v>
      </c>
      <c r="D147" s="1">
        <v>72007137.98246327</v>
      </c>
      <c r="E147" s="1">
        <v>-13673723.772360619</v>
      </c>
      <c r="F147" s="1">
        <v>0</v>
      </c>
      <c r="G147" s="1">
        <v>74205992.618100733</v>
      </c>
    </row>
    <row r="148" spans="1:7" x14ac:dyDescent="0.2">
      <c r="A148" s="12">
        <v>140</v>
      </c>
      <c r="B148" s="1">
        <v>29994824.294061497</v>
      </c>
      <c r="C148" s="1">
        <v>4.3309816579947401E-4</v>
      </c>
      <c r="D148" s="1">
        <v>71973704.513946056</v>
      </c>
      <c r="E148" s="1">
        <v>-13667159.587524708</v>
      </c>
      <c r="F148" s="1">
        <v>0</v>
      </c>
      <c r="G148" s="1">
        <v>74171938.174215689</v>
      </c>
    </row>
    <row r="149" spans="1:7" x14ac:dyDescent="0.2">
      <c r="A149" s="12">
        <v>141</v>
      </c>
      <c r="B149" s="1">
        <v>30033659.952273663</v>
      </c>
      <c r="C149" s="1">
        <v>4.8997425291858702E-4</v>
      </c>
      <c r="D149" s="1">
        <v>71940271.045428783</v>
      </c>
      <c r="E149" s="1">
        <v>-13660595.402688798</v>
      </c>
      <c r="F149" s="1">
        <v>0</v>
      </c>
      <c r="G149" s="1">
        <v>74137913.178777263</v>
      </c>
    </row>
    <row r="150" spans="1:7" x14ac:dyDescent="0.2">
      <c r="A150" s="12">
        <v>142</v>
      </c>
      <c r="B150" s="1">
        <v>30072495.610485852</v>
      </c>
      <c r="C150" s="1">
        <v>5.4721551555692396E-4</v>
      </c>
      <c r="D150" s="1">
        <v>71906837.576911554</v>
      </c>
      <c r="E150" s="1">
        <v>-13654031.217852889</v>
      </c>
      <c r="F150" s="1">
        <v>0</v>
      </c>
      <c r="G150" s="1">
        <v>74103925.62189348</v>
      </c>
    </row>
    <row r="151" spans="1:7" x14ac:dyDescent="0.2">
      <c r="A151" s="12">
        <v>143</v>
      </c>
      <c r="B151" s="1">
        <v>30112051.117986526</v>
      </c>
      <c r="C151" s="1">
        <v>6.0345254551739524E-4</v>
      </c>
      <c r="D151" s="1">
        <v>71873337.241457269</v>
      </c>
      <c r="E151" s="1">
        <v>-13647453.904647307</v>
      </c>
      <c r="F151" s="1">
        <v>0</v>
      </c>
      <c r="G151" s="1">
        <v>74069916.351952076</v>
      </c>
    </row>
    <row r="152" spans="1:7" x14ac:dyDescent="0.2">
      <c r="A152" s="12">
        <v>144</v>
      </c>
      <c r="B152" s="1">
        <v>30150886.776198693</v>
      </c>
      <c r="C152" s="1">
        <v>6.5704205296349377E-4</v>
      </c>
      <c r="D152" s="1">
        <v>71839903.772939995</v>
      </c>
      <c r="E152" s="1">
        <v>-13640889.719811397</v>
      </c>
      <c r="F152" s="1">
        <v>0</v>
      </c>
      <c r="G152" s="1">
        <v>74036004.35931243</v>
      </c>
    </row>
    <row r="153" spans="1:7" x14ac:dyDescent="0.2">
      <c r="A153" s="12">
        <v>145</v>
      </c>
      <c r="B153" s="1">
        <v>30190469.152983066</v>
      </c>
      <c r="C153" s="1">
        <v>7.0606686641929426E-4</v>
      </c>
      <c r="D153" s="1">
        <v>71806470.304422781</v>
      </c>
      <c r="E153" s="1">
        <v>-13634325.534975488</v>
      </c>
      <c r="F153" s="1">
        <v>0</v>
      </c>
      <c r="G153" s="1">
        <v>74002141.100616843</v>
      </c>
    </row>
    <row r="154" spans="1:7" x14ac:dyDescent="0.2">
      <c r="A154" s="12">
        <v>146</v>
      </c>
      <c r="B154" s="1">
        <v>30229304.811195232</v>
      </c>
      <c r="C154" s="1">
        <v>7.4806205113003583E-4</v>
      </c>
      <c r="D154" s="1">
        <v>71773036.835905507</v>
      </c>
      <c r="E154" s="1">
        <v>-13627761.350139577</v>
      </c>
      <c r="F154" s="1">
        <v>0</v>
      </c>
      <c r="G154" s="1">
        <v>73968304.879987955</v>
      </c>
    </row>
    <row r="155" spans="1:7" x14ac:dyDescent="0.2">
      <c r="A155" s="12">
        <v>147</v>
      </c>
      <c r="B155" s="1">
        <v>30268887.187979605</v>
      </c>
      <c r="C155" s="1">
        <v>7.802887907015398E-4</v>
      </c>
      <c r="D155" s="1">
        <v>71739603.367388278</v>
      </c>
      <c r="E155" s="1">
        <v>-13621197.165303666</v>
      </c>
      <c r="F155" s="1">
        <v>0</v>
      </c>
      <c r="G155" s="1">
        <v>73934518.570682481</v>
      </c>
    </row>
    <row r="156" spans="1:7" x14ac:dyDescent="0.2">
      <c r="A156" s="12">
        <v>148</v>
      </c>
      <c r="B156" s="1">
        <v>30307722.846191794</v>
      </c>
      <c r="C156" s="1">
        <v>7.9936921158098534E-4</v>
      </c>
      <c r="D156" s="1">
        <v>71706169.898871049</v>
      </c>
      <c r="E156" s="1">
        <v>-13614632.980467757</v>
      </c>
      <c r="F156" s="1">
        <v>0</v>
      </c>
      <c r="G156" s="1">
        <v>73900758.33073774</v>
      </c>
    </row>
    <row r="157" spans="1:7" x14ac:dyDescent="0.2">
      <c r="A157" s="12">
        <v>149</v>
      </c>
      <c r="B157" s="1">
        <v>30346558.50440396</v>
      </c>
      <c r="C157" s="1">
        <v>8.0165155857613436E-4</v>
      </c>
      <c r="D157" s="1">
        <v>71672736.430353791</v>
      </c>
      <c r="E157" s="1">
        <v>-13608068.795631846</v>
      </c>
      <c r="F157" s="1">
        <v>0</v>
      </c>
      <c r="G157" s="1">
        <v>73867035.892368898</v>
      </c>
    </row>
    <row r="158" spans="1:7" x14ac:dyDescent="0.2">
      <c r="A158" s="12">
        <v>150</v>
      </c>
      <c r="B158" s="1">
        <v>30386140.881188333</v>
      </c>
      <c r="C158" s="1">
        <v>7.8302760709571847E-4</v>
      </c>
      <c r="D158" s="1">
        <v>71639302.961836562</v>
      </c>
      <c r="E158" s="1">
        <v>-13601504.610795937</v>
      </c>
      <c r="F158" s="1">
        <v>0</v>
      </c>
      <c r="G158" s="1">
        <v>73833365.131285876</v>
      </c>
    </row>
    <row r="159" spans="1:7" x14ac:dyDescent="0.2">
      <c r="A159" s="12">
        <v>151</v>
      </c>
      <c r="B159" s="1">
        <v>30424976.539400522</v>
      </c>
      <c r="C159" s="1">
        <v>7.3875007538982799E-4</v>
      </c>
      <c r="D159" s="1">
        <v>71605869.493319333</v>
      </c>
      <c r="E159" s="1">
        <v>-13594940.425960029</v>
      </c>
      <c r="F159" s="1">
        <v>0</v>
      </c>
      <c r="G159" s="1">
        <v>73799718.986676112</v>
      </c>
    </row>
    <row r="160" spans="1:7" x14ac:dyDescent="0.2">
      <c r="A160" s="12">
        <v>152</v>
      </c>
      <c r="B160" s="1">
        <v>30464558.916184872</v>
      </c>
      <c r="C160" s="1">
        <v>6.6379780006913479E-4</v>
      </c>
      <c r="D160" s="1">
        <v>71572436.024802059</v>
      </c>
      <c r="E160" s="1">
        <v>-13588376.241124116</v>
      </c>
      <c r="F160" s="1">
        <v>0</v>
      </c>
      <c r="G160" s="1">
        <v>73766125.701935425</v>
      </c>
    </row>
    <row r="161" spans="1:7" x14ac:dyDescent="0.2">
      <c r="A161" s="12">
        <v>153</v>
      </c>
      <c r="B161" s="1">
        <v>30503394.574397057</v>
      </c>
      <c r="C161" s="1">
        <v>5.5269314834528152E-4</v>
      </c>
      <c r="D161" s="1">
        <v>71539002.556284845</v>
      </c>
      <c r="E161" s="1">
        <v>-13581812.056288207</v>
      </c>
      <c r="F161" s="1">
        <v>0</v>
      </c>
      <c r="G161" s="1">
        <v>73732556.060483858</v>
      </c>
    </row>
    <row r="162" spans="1:7" x14ac:dyDescent="0.2">
      <c r="A162" s="12">
        <v>154</v>
      </c>
      <c r="B162" s="1">
        <v>30542230.232609224</v>
      </c>
      <c r="C162" s="1">
        <v>3.9950201803088075E-4</v>
      </c>
      <c r="D162" s="1">
        <v>71505569.087767571</v>
      </c>
      <c r="E162" s="1">
        <v>-13575247.871452296</v>
      </c>
      <c r="F162" s="1">
        <v>0</v>
      </c>
      <c r="G162" s="1">
        <v>73699024.48091042</v>
      </c>
    </row>
    <row r="163" spans="1:7" x14ac:dyDescent="0.2">
      <c r="A163" s="12">
        <v>155</v>
      </c>
      <c r="B163" s="1">
        <v>30581812.609393597</v>
      </c>
      <c r="C163" s="1">
        <v>1.9810771917893309E-4</v>
      </c>
      <c r="D163" s="1">
        <v>71472135.619250342</v>
      </c>
      <c r="E163" s="1">
        <v>-13568683.686616387</v>
      </c>
      <c r="F163" s="1">
        <v>0</v>
      </c>
      <c r="G163" s="1">
        <v>73665547.53495279</v>
      </c>
    </row>
    <row r="164" spans="1:7" x14ac:dyDescent="0.2">
      <c r="A164" s="12">
        <v>156</v>
      </c>
      <c r="B164" s="1">
        <v>30620648.267605785</v>
      </c>
      <c r="C164" s="1">
        <v>5.9368410037815752E-5</v>
      </c>
      <c r="D164" s="1">
        <v>71438702.150733128</v>
      </c>
      <c r="E164" s="1">
        <v>-13562119.501780478</v>
      </c>
      <c r="F164" s="1">
        <v>0</v>
      </c>
      <c r="G164" s="1">
        <v>73632092.772690594</v>
      </c>
    </row>
    <row r="165" spans="1:7" x14ac:dyDescent="0.2">
      <c r="A165" s="12">
        <v>157</v>
      </c>
      <c r="B165" s="1">
        <v>30660203.775106475</v>
      </c>
      <c r="C165" s="1">
        <v>3.7457878884385371E-4</v>
      </c>
      <c r="D165" s="1">
        <v>71405201.815278858</v>
      </c>
      <c r="E165" s="1">
        <v>-13555542.188574895</v>
      </c>
      <c r="F165" s="1">
        <v>0</v>
      </c>
      <c r="G165" s="1">
        <v>73598624.573117629</v>
      </c>
    </row>
    <row r="166" spans="1:7" x14ac:dyDescent="0.2">
      <c r="A166" s="12">
        <v>158</v>
      </c>
      <c r="B166" s="1">
        <v>30699039.433318645</v>
      </c>
      <c r="C166" s="1">
        <v>7.5856084730772119E-4</v>
      </c>
      <c r="D166" s="1">
        <v>71371768.346761584</v>
      </c>
      <c r="E166" s="1">
        <v>-13548978.003738984</v>
      </c>
      <c r="F166" s="1">
        <v>0</v>
      </c>
      <c r="G166" s="1">
        <v>73565246.839482754</v>
      </c>
    </row>
    <row r="167" spans="1:7" x14ac:dyDescent="0.2">
      <c r="A167" s="12">
        <v>159</v>
      </c>
      <c r="B167" s="1">
        <v>30738621.810103014</v>
      </c>
      <c r="C167" s="1">
        <v>1.2160344790153866E-3</v>
      </c>
      <c r="D167" s="1">
        <v>71338334.87824437</v>
      </c>
      <c r="E167" s="1">
        <v>-13542413.818903076</v>
      </c>
      <c r="F167" s="1">
        <v>0</v>
      </c>
      <c r="G167" s="1">
        <v>73531926.117129445</v>
      </c>
    </row>
    <row r="168" spans="1:7" x14ac:dyDescent="0.2">
      <c r="A168" s="12">
        <v>160</v>
      </c>
      <c r="B168" s="1">
        <v>30777457.468315184</v>
      </c>
      <c r="C168" s="1">
        <v>1.7519295534763717E-3</v>
      </c>
      <c r="D168" s="1">
        <v>71304901.409727097</v>
      </c>
      <c r="E168" s="1">
        <v>-13535849.634067165</v>
      </c>
      <c r="F168" s="1">
        <v>0</v>
      </c>
      <c r="G168" s="1">
        <v>73498625.621377021</v>
      </c>
    </row>
    <row r="169" spans="1:7" x14ac:dyDescent="0.2">
      <c r="A169" s="12">
        <v>161</v>
      </c>
      <c r="B169" s="1">
        <v>30816293.126527369</v>
      </c>
      <c r="C169" s="1">
        <v>2.3709020585607797E-3</v>
      </c>
      <c r="D169" s="1">
        <v>71271467.941209868</v>
      </c>
      <c r="E169" s="1">
        <v>-13529285.449231256</v>
      </c>
      <c r="F169" s="1">
        <v>0</v>
      </c>
      <c r="G169" s="1">
        <v>73465363.553548694</v>
      </c>
    </row>
    <row r="170" spans="1:7" x14ac:dyDescent="0.2">
      <c r="A170" s="12">
        <v>162</v>
      </c>
      <c r="B170" s="1">
        <v>30855875.503311738</v>
      </c>
      <c r="C170" s="1">
        <v>3.0775166882589101E-3</v>
      </c>
      <c r="D170" s="1">
        <v>71238034.472692639</v>
      </c>
      <c r="E170" s="1">
        <v>-13522721.264395345</v>
      </c>
      <c r="F170" s="1">
        <v>0</v>
      </c>
      <c r="G170" s="1">
        <v>73432160.281602725</v>
      </c>
    </row>
    <row r="171" spans="1:7" x14ac:dyDescent="0.2">
      <c r="A171" s="12">
        <v>163</v>
      </c>
      <c r="B171" s="1">
        <v>30894711.161523908</v>
      </c>
      <c r="C171" s="1">
        <v>3.8726863813688213E-3</v>
      </c>
      <c r="D171" s="1">
        <v>71204601.00417538</v>
      </c>
      <c r="E171" s="1">
        <v>-13516157.079559434</v>
      </c>
      <c r="F171" s="1">
        <v>0</v>
      </c>
      <c r="G171" s="1">
        <v>73398975.767268181</v>
      </c>
    </row>
    <row r="172" spans="1:7" x14ac:dyDescent="0.2">
      <c r="A172" s="12">
        <v>164</v>
      </c>
      <c r="B172" s="1">
        <v>30934293.538308278</v>
      </c>
      <c r="C172" s="1">
        <v>4.7573240766885724E-3</v>
      </c>
      <c r="D172" s="1">
        <v>71171167.535658151</v>
      </c>
      <c r="E172" s="1">
        <v>-13509592.894723525</v>
      </c>
      <c r="F172" s="1">
        <v>0</v>
      </c>
      <c r="G172" s="1">
        <v>73365851.243812889</v>
      </c>
    </row>
    <row r="173" spans="1:7" x14ac:dyDescent="0.2">
      <c r="A173" s="12">
        <v>165</v>
      </c>
      <c r="B173" s="1">
        <v>30973129.19652047</v>
      </c>
      <c r="C173" s="1">
        <v>5.7305168354201061E-3</v>
      </c>
      <c r="D173" s="1">
        <v>71137734.067140922</v>
      </c>
      <c r="E173" s="1">
        <v>-13503028.709887616</v>
      </c>
      <c r="F173" s="1">
        <v>0</v>
      </c>
      <c r="G173" s="1">
        <v>73332744.494037077</v>
      </c>
    </row>
    <row r="174" spans="1:7" x14ac:dyDescent="0.2">
      <c r="A174" s="12">
        <v>166</v>
      </c>
      <c r="B174" s="1">
        <v>31011964.854732636</v>
      </c>
      <c r="C174" s="1">
        <v>6.7858740859770032E-3</v>
      </c>
      <c r="D174" s="1">
        <v>71104300.598623648</v>
      </c>
      <c r="E174" s="1">
        <v>-13496464.525051706</v>
      </c>
      <c r="F174" s="1">
        <v>0</v>
      </c>
      <c r="G174" s="1">
        <v>73299676.434576944</v>
      </c>
    </row>
    <row r="175" spans="1:7" x14ac:dyDescent="0.2">
      <c r="A175" s="12">
        <v>167</v>
      </c>
      <c r="B175" s="1">
        <v>31051547.231517009</v>
      </c>
      <c r="C175" s="1">
        <v>7.9151793791767278E-3</v>
      </c>
      <c r="D175" s="1">
        <v>71070867.130106434</v>
      </c>
      <c r="E175" s="1">
        <v>-13489900.340215795</v>
      </c>
      <c r="F175" s="1">
        <v>0</v>
      </c>
      <c r="G175" s="1">
        <v>73266670.158307835</v>
      </c>
    </row>
    <row r="176" spans="1:7" x14ac:dyDescent="0.2">
      <c r="A176" s="12">
        <v>168</v>
      </c>
      <c r="B176" s="1">
        <v>31090382.889729176</v>
      </c>
      <c r="C176" s="1">
        <v>9.1074774494425657E-3</v>
      </c>
      <c r="D176" s="1">
        <v>71037433.661589161</v>
      </c>
      <c r="E176" s="1">
        <v>-13483336.155379884</v>
      </c>
      <c r="F176" s="1">
        <v>0</v>
      </c>
      <c r="G176" s="1">
        <v>73233680.180021062</v>
      </c>
    </row>
    <row r="177" spans="1:7" x14ac:dyDescent="0.2">
      <c r="A177" s="12">
        <v>169</v>
      </c>
      <c r="B177" s="1">
        <v>31129965.266513549</v>
      </c>
      <c r="C177" s="1">
        <v>1.0343596582015262E-2</v>
      </c>
      <c r="D177" s="1">
        <v>71004000.193071932</v>
      </c>
      <c r="E177" s="1">
        <v>-13476771.970543975</v>
      </c>
      <c r="F177" s="1">
        <v>0</v>
      </c>
      <c r="G177" s="1">
        <v>73200753.185056016</v>
      </c>
    </row>
    <row r="178" spans="1:7" x14ac:dyDescent="0.2">
      <c r="A178" s="12">
        <v>170</v>
      </c>
      <c r="B178" s="1">
        <v>31168774.05544205</v>
      </c>
      <c r="C178" s="1">
        <v>1.1603452123337511E-2</v>
      </c>
      <c r="D178" s="1">
        <v>70970499.857617676</v>
      </c>
      <c r="E178" s="1">
        <v>-13470194.657338394</v>
      </c>
      <c r="F178" s="1">
        <v>0</v>
      </c>
      <c r="G178" s="1">
        <v>73167772.259556174</v>
      </c>
    </row>
    <row r="179" spans="1:7" x14ac:dyDescent="0.2">
      <c r="A179" s="12">
        <v>171</v>
      </c>
      <c r="B179" s="1">
        <v>31207609.713654216</v>
      </c>
      <c r="C179" s="1">
        <v>1.2863307664659757E-2</v>
      </c>
      <c r="D179" s="1">
        <v>70937066.389100403</v>
      </c>
      <c r="E179" s="1">
        <v>-13463630.472502483</v>
      </c>
      <c r="F179" s="1">
        <v>0</v>
      </c>
      <c r="G179" s="1">
        <v>73134899.529386014</v>
      </c>
    </row>
    <row r="180" spans="1:7" x14ac:dyDescent="0.2">
      <c r="A180" s="12">
        <v>172</v>
      </c>
      <c r="B180" s="1">
        <v>31247192.090438589</v>
      </c>
      <c r="C180" s="1">
        <v>1.4086645654059621E-2</v>
      </c>
      <c r="D180" s="1">
        <v>70903632.920583174</v>
      </c>
      <c r="E180" s="1">
        <v>-13457066.287666574</v>
      </c>
      <c r="F180" s="1">
        <v>0</v>
      </c>
      <c r="G180" s="1">
        <v>73102091.582587928</v>
      </c>
    </row>
    <row r="181" spans="1:7" x14ac:dyDescent="0.2">
      <c r="A181" s="12">
        <v>173</v>
      </c>
      <c r="B181" s="1">
        <v>31286027.748650778</v>
      </c>
      <c r="C181" s="1">
        <v>1.5218689763653525E-2</v>
      </c>
      <c r="D181" s="1">
        <v>70870199.45206596</v>
      </c>
      <c r="E181" s="1">
        <v>-13450502.102830663</v>
      </c>
      <c r="F181" s="1">
        <v>0</v>
      </c>
      <c r="G181" s="1">
        <v>73069297.462972492</v>
      </c>
    </row>
    <row r="182" spans="1:7" x14ac:dyDescent="0.2">
      <c r="A182" s="12">
        <v>174</v>
      </c>
      <c r="B182" s="1">
        <v>31325610.125435129</v>
      </c>
      <c r="C182" s="1">
        <v>1.6222922441519086E-2</v>
      </c>
      <c r="D182" s="1">
        <v>70836765.983548686</v>
      </c>
      <c r="E182" s="1">
        <v>-13443937.917994753</v>
      </c>
      <c r="F182" s="1">
        <v>0</v>
      </c>
      <c r="G182" s="1">
        <v>73036569.33197017</v>
      </c>
    </row>
    <row r="183" spans="1:7" x14ac:dyDescent="0.2">
      <c r="A183" s="12">
        <v>175</v>
      </c>
      <c r="B183" s="1">
        <v>31364445.783647317</v>
      </c>
      <c r="C183" s="1">
        <v>1.7053696747753321E-2</v>
      </c>
      <c r="D183" s="1">
        <v>70803332.515031457</v>
      </c>
      <c r="E183" s="1">
        <v>-13437373.733158844</v>
      </c>
      <c r="F183" s="1">
        <v>0</v>
      </c>
      <c r="G183" s="1">
        <v>73003854.035263866</v>
      </c>
    </row>
    <row r="184" spans="1:7" x14ac:dyDescent="0.2">
      <c r="A184" s="12">
        <v>176</v>
      </c>
      <c r="B184" s="1">
        <v>31404028.160431691</v>
      </c>
      <c r="C184" s="1">
        <v>1.7729271458317424E-2</v>
      </c>
      <c r="D184" s="1">
        <v>70769899.046514228</v>
      </c>
      <c r="E184" s="1">
        <v>-13430809.548322935</v>
      </c>
      <c r="F184" s="1">
        <v>0</v>
      </c>
      <c r="G184" s="1">
        <v>72971205.934452981</v>
      </c>
    </row>
    <row r="185" spans="1:7" x14ac:dyDescent="0.2">
      <c r="A185" s="12">
        <v>177</v>
      </c>
      <c r="B185" s="1">
        <v>31442863.818643857</v>
      </c>
      <c r="C185" s="1">
        <v>1.8267905349172588E-2</v>
      </c>
      <c r="D185" s="1">
        <v>70736465.577996969</v>
      </c>
      <c r="E185" s="1">
        <v>-13424245.363487024</v>
      </c>
      <c r="F185" s="1">
        <v>0</v>
      </c>
      <c r="G185" s="1">
        <v>72938569.673265278</v>
      </c>
    </row>
    <row r="186" spans="1:7" x14ac:dyDescent="0.2">
      <c r="A186" s="12">
        <v>178</v>
      </c>
      <c r="B186" s="1">
        <v>31449486.813829795</v>
      </c>
      <c r="C186" s="1">
        <v>1.8340940453017353E-2</v>
      </c>
      <c r="D186" s="1">
        <v>70730648.154474989</v>
      </c>
      <c r="E186" s="1">
        <v>-13423103.195325576</v>
      </c>
      <c r="F186" s="1">
        <v>0</v>
      </c>
      <c r="G186" s="1">
        <v>72932889.826362684</v>
      </c>
    </row>
    <row r="187" spans="1:7" x14ac:dyDescent="0.2">
      <c r="A187" s="12">
        <v>179</v>
      </c>
      <c r="B187" s="1">
        <v>31465021.077114668</v>
      </c>
      <c r="C187" s="1">
        <v>1.8496140048687486E-2</v>
      </c>
      <c r="D187" s="1">
        <v>70717274.767068088</v>
      </c>
      <c r="E187" s="1">
        <v>-13420477.521391211</v>
      </c>
      <c r="F187" s="1">
        <v>0</v>
      </c>
      <c r="G187" s="1">
        <v>72919849.028023437</v>
      </c>
    </row>
    <row r="188" spans="1:7" x14ac:dyDescent="0.2">
      <c r="A188" s="12">
        <v>180</v>
      </c>
      <c r="B188" s="1">
        <v>31481302.058971722</v>
      </c>
      <c r="C188" s="1">
        <v>1.8660469032338214E-2</v>
      </c>
      <c r="D188" s="1">
        <v>70703901.379661188</v>
      </c>
      <c r="E188" s="1">
        <v>-13417851.847456846</v>
      </c>
      <c r="F188" s="1">
        <v>0</v>
      </c>
      <c r="G188" s="1">
        <v>72906843.592355952</v>
      </c>
    </row>
    <row r="189" spans="1:7" x14ac:dyDescent="0.2">
      <c r="A189" s="12">
        <v>181</v>
      </c>
      <c r="B189" s="1">
        <v>31481699.476856045</v>
      </c>
      <c r="C189" s="1">
        <v>1.866959842031881E-2</v>
      </c>
      <c r="D189" s="1">
        <v>70703032.10947974</v>
      </c>
      <c r="E189" s="1">
        <v>-13417681.178651113</v>
      </c>
      <c r="F189" s="1">
        <v>0</v>
      </c>
      <c r="G189" s="1">
        <v>72905972.735582411</v>
      </c>
    </row>
    <row r="190" spans="1:7" x14ac:dyDescent="0.2">
      <c r="A190" s="12">
        <v>182</v>
      </c>
      <c r="B190" s="1">
        <v>31521281.853640418</v>
      </c>
      <c r="C190" s="1">
        <v>1.8906962507814307E-2</v>
      </c>
      <c r="D190" s="1">
        <v>70669598.640962511</v>
      </c>
      <c r="E190" s="1">
        <v>-13411116.993815204</v>
      </c>
      <c r="F190" s="1">
        <v>0</v>
      </c>
      <c r="G190" s="1">
        <v>72873444.804477409</v>
      </c>
    </row>
    <row r="191" spans="1:7" x14ac:dyDescent="0.2">
      <c r="A191" s="12">
        <v>183</v>
      </c>
      <c r="B191" s="1">
        <v>31560117.511852589</v>
      </c>
      <c r="C191" s="1">
        <v>1.8961738835697881E-2</v>
      </c>
      <c r="D191" s="1">
        <v>70636165.172445253</v>
      </c>
      <c r="E191" s="1">
        <v>-13404552.808979293</v>
      </c>
      <c r="F191" s="1">
        <v>0</v>
      </c>
      <c r="G191" s="1">
        <v>72840927.221208066</v>
      </c>
    </row>
    <row r="192" spans="1:7" x14ac:dyDescent="0.2">
      <c r="A192" s="12">
        <v>184</v>
      </c>
      <c r="B192" s="1">
        <v>31599699.888636954</v>
      </c>
      <c r="C192" s="1">
        <v>1.8815668628008347E-2</v>
      </c>
      <c r="D192" s="1">
        <v>70602731.703928024</v>
      </c>
      <c r="E192" s="1">
        <v>-13397988.624143384</v>
      </c>
      <c r="F192" s="1">
        <v>0</v>
      </c>
      <c r="G192" s="1">
        <v>72808479.856876105</v>
      </c>
    </row>
    <row r="193" spans="1:7" x14ac:dyDescent="0.2">
      <c r="A193" s="12">
        <v>185</v>
      </c>
      <c r="B193" s="1">
        <v>31638535.54684912</v>
      </c>
      <c r="C193" s="1">
        <v>1.8441363720803908E-2</v>
      </c>
      <c r="D193" s="1">
        <v>70569298.23541075</v>
      </c>
      <c r="E193" s="1">
        <v>-13391424.439307474</v>
      </c>
      <c r="F193" s="1">
        <v>0</v>
      </c>
      <c r="G193" s="1">
        <v>72776041.841233239</v>
      </c>
    </row>
    <row r="194" spans="1:7" x14ac:dyDescent="0.2">
      <c r="A194" s="12">
        <v>186</v>
      </c>
      <c r="B194" s="1">
        <v>31677371.205061313</v>
      </c>
      <c r="C194" s="1">
        <v>1.7811435950142788E-2</v>
      </c>
      <c r="D194" s="1">
        <v>70535864.766893521</v>
      </c>
      <c r="E194" s="1">
        <v>-13384860.254471563</v>
      </c>
      <c r="F194" s="1">
        <v>0</v>
      </c>
      <c r="G194" s="1">
        <v>72743643.414184436</v>
      </c>
    </row>
    <row r="195" spans="1:7" x14ac:dyDescent="0.2">
      <c r="A195" s="12">
        <v>187</v>
      </c>
      <c r="B195" s="1">
        <v>31716926.712562002</v>
      </c>
      <c r="C195" s="1">
        <v>1.690762654006378E-2</v>
      </c>
      <c r="D195" s="1">
        <v>70502364.431439266</v>
      </c>
      <c r="E195" s="1">
        <v>-13378282.941265982</v>
      </c>
      <c r="F195" s="1">
        <v>0</v>
      </c>
      <c r="G195" s="1">
        <v>72711247.811618179</v>
      </c>
    </row>
    <row r="196" spans="1:7" x14ac:dyDescent="0.2">
      <c r="A196" s="12">
        <v>188</v>
      </c>
      <c r="B196" s="1">
        <v>31755762.370774169</v>
      </c>
      <c r="C196" s="1">
        <v>1.5702547326625113E-2</v>
      </c>
      <c r="D196" s="1">
        <v>70468930.962921992</v>
      </c>
      <c r="E196" s="1">
        <v>-13371718.756430071</v>
      </c>
      <c r="F196" s="1">
        <v>0</v>
      </c>
      <c r="G196" s="1">
        <v>72678929.274222136</v>
      </c>
    </row>
    <row r="197" spans="1:7" x14ac:dyDescent="0.2">
      <c r="A197" s="12">
        <v>189</v>
      </c>
      <c r="B197" s="1">
        <v>31795344.747558542</v>
      </c>
      <c r="C197" s="1">
        <v>1.4177939533865579E-2</v>
      </c>
      <c r="D197" s="1">
        <v>70435497.494404763</v>
      </c>
      <c r="E197" s="1">
        <v>-13365154.571594162</v>
      </c>
      <c r="F197" s="1">
        <v>0</v>
      </c>
      <c r="G197" s="1">
        <v>72646683.991515741</v>
      </c>
    </row>
    <row r="198" spans="1:7" x14ac:dyDescent="0.2">
      <c r="A198" s="12">
        <v>190</v>
      </c>
      <c r="B198" s="1">
        <v>31834180.40577073</v>
      </c>
      <c r="C198" s="1">
        <v>1.2324673773804593E-2</v>
      </c>
      <c r="D198" s="1">
        <v>70402064.025887549</v>
      </c>
      <c r="E198" s="1">
        <v>-13358590.386758251</v>
      </c>
      <c r="F198" s="1">
        <v>0</v>
      </c>
      <c r="G198" s="1">
        <v>72614445.555408999</v>
      </c>
    </row>
    <row r="199" spans="1:7" x14ac:dyDescent="0.2">
      <c r="A199" s="12">
        <v>191</v>
      </c>
      <c r="B199" s="1">
        <v>31873762.782555081</v>
      </c>
      <c r="C199" s="1">
        <v>1.0106232494519767E-2</v>
      </c>
      <c r="D199" s="1">
        <v>70368630.557370275</v>
      </c>
      <c r="E199" s="1">
        <v>-13352026.20192234</v>
      </c>
      <c r="F199" s="1">
        <v>0</v>
      </c>
      <c r="G199" s="1">
        <v>72582281.593417555</v>
      </c>
    </row>
    <row r="200" spans="1:7" x14ac:dyDescent="0.2">
      <c r="A200" s="12">
        <v>192</v>
      </c>
      <c r="B200" s="1">
        <v>31912598.440767266</v>
      </c>
      <c r="C200" s="1">
        <v>7.5180510020208015E-3</v>
      </c>
      <c r="D200" s="1">
        <v>70335197.088853046</v>
      </c>
      <c r="E200" s="1">
        <v>-13345462.017086431</v>
      </c>
      <c r="F200" s="1">
        <v>0</v>
      </c>
      <c r="G200" s="1">
        <v>72550123.472623587</v>
      </c>
    </row>
    <row r="201" spans="1:7" x14ac:dyDescent="0.2">
      <c r="A201" s="12">
        <v>193</v>
      </c>
      <c r="B201" s="1">
        <v>31951434.098979454</v>
      </c>
      <c r="C201" s="1">
        <v>4.5409575815484483E-3</v>
      </c>
      <c r="D201" s="1">
        <v>70301763.620335817</v>
      </c>
      <c r="E201" s="1">
        <v>-13338897.832250522</v>
      </c>
      <c r="F201" s="1">
        <v>0</v>
      </c>
      <c r="G201" s="1">
        <v>72518005.312911078</v>
      </c>
    </row>
    <row r="202" spans="1:7" x14ac:dyDescent="0.2">
      <c r="A202" s="12">
        <v>194</v>
      </c>
      <c r="B202" s="1">
        <v>31991016.475763805</v>
      </c>
      <c r="C202" s="1">
        <v>1.1996015806503139E-3</v>
      </c>
      <c r="D202" s="1">
        <v>70268330.151818559</v>
      </c>
      <c r="E202" s="1">
        <v>-13332333.647414612</v>
      </c>
      <c r="F202" s="1">
        <v>0</v>
      </c>
      <c r="G202" s="1">
        <v>72485963.456149995</v>
      </c>
    </row>
    <row r="203" spans="1:7" x14ac:dyDescent="0.2">
      <c r="A203" s="12">
        <v>195</v>
      </c>
      <c r="B203" s="1">
        <v>32029852.133975994</v>
      </c>
      <c r="C203" s="1">
        <v>2.6475225143728388E-3</v>
      </c>
      <c r="D203" s="1">
        <v>70234896.68330133</v>
      </c>
      <c r="E203" s="1">
        <v>-13325769.462578701</v>
      </c>
      <c r="F203" s="1">
        <v>0</v>
      </c>
      <c r="G203" s="1">
        <v>72453925.932991639</v>
      </c>
    </row>
    <row r="204" spans="1:7" x14ac:dyDescent="0.2">
      <c r="A204" s="12">
        <v>196</v>
      </c>
      <c r="B204" s="1">
        <v>32069434.510760367</v>
      </c>
      <c r="C204" s="1">
        <v>6.8351727810722213E-3</v>
      </c>
      <c r="D204" s="1">
        <v>70201463.214784101</v>
      </c>
      <c r="E204" s="1">
        <v>-13319205.277742792</v>
      </c>
      <c r="F204" s="1">
        <v>0</v>
      </c>
      <c r="G204" s="1">
        <v>72421965.937389314</v>
      </c>
    </row>
    <row r="205" spans="1:7" x14ac:dyDescent="0.2">
      <c r="A205" s="12">
        <v>197</v>
      </c>
      <c r="B205" s="1">
        <v>32108270.168972533</v>
      </c>
      <c r="C205" s="1">
        <v>1.1475640691609166E-2</v>
      </c>
      <c r="D205" s="1">
        <v>70168029.746266842</v>
      </c>
      <c r="E205" s="1">
        <v>-13312641.092906881</v>
      </c>
      <c r="F205" s="1">
        <v>0</v>
      </c>
      <c r="G205" s="1">
        <v>72390009.265327454</v>
      </c>
    </row>
    <row r="206" spans="1:7" x14ac:dyDescent="0.2">
      <c r="A206" s="12">
        <v>198</v>
      </c>
      <c r="B206" s="1">
        <v>32147105.827184722</v>
      </c>
      <c r="C206" s="1">
        <v>1.6597227348723518E-2</v>
      </c>
      <c r="D206" s="1">
        <v>70134596.277749613</v>
      </c>
      <c r="E206" s="1">
        <v>-13306076.908070972</v>
      </c>
      <c r="F206" s="1">
        <v>0</v>
      </c>
      <c r="G206" s="1">
        <v>72358092.821214691</v>
      </c>
    </row>
    <row r="207" spans="1:7" x14ac:dyDescent="0.2">
      <c r="A207" s="12">
        <v>199</v>
      </c>
      <c r="B207" s="1">
        <v>32186688.203969095</v>
      </c>
      <c r="C207" s="1">
        <v>2.2220930344770653E-2</v>
      </c>
      <c r="D207" s="1">
        <v>70101162.809232384</v>
      </c>
      <c r="E207" s="1">
        <v>-13299512.723235063</v>
      </c>
      <c r="F207" s="1">
        <v>0</v>
      </c>
      <c r="G207" s="1">
        <v>72326255.74088417</v>
      </c>
    </row>
    <row r="208" spans="1:7" x14ac:dyDescent="0.2">
      <c r="A208" s="12">
        <v>200</v>
      </c>
      <c r="B208" s="1">
        <v>32225496.992897566</v>
      </c>
      <c r="C208" s="1">
        <v>2.8191550084080436E-2</v>
      </c>
      <c r="D208" s="1">
        <v>70067662.473778054</v>
      </c>
      <c r="E208" s="1">
        <v>-13292935.410029478</v>
      </c>
      <c r="F208" s="1">
        <v>0</v>
      </c>
      <c r="G208" s="1">
        <v>72294351.289298013</v>
      </c>
    </row>
    <row r="209" spans="1:7" x14ac:dyDescent="0.2">
      <c r="A209" s="12">
        <v>201</v>
      </c>
      <c r="B209" s="1">
        <v>32265079.369681951</v>
      </c>
      <c r="C209" s="1">
        <v>3.3815253080127561E-2</v>
      </c>
      <c r="D209" s="1">
        <v>70034229.005260855</v>
      </c>
      <c r="E209" s="1">
        <v>-13286371.225193569</v>
      </c>
      <c r="F209" s="1">
        <v>0</v>
      </c>
      <c r="G209" s="1">
        <v>72262596.613952562</v>
      </c>
    </row>
    <row r="210" spans="1:7" x14ac:dyDescent="0.2">
      <c r="A210" s="12">
        <v>202</v>
      </c>
      <c r="B210" s="1">
        <v>32303915.027894128</v>
      </c>
      <c r="C210" s="1">
        <v>3.8151712370910661E-2</v>
      </c>
      <c r="D210" s="1">
        <v>70000795.536743611</v>
      </c>
      <c r="E210" s="1">
        <v>-13279807.040357661</v>
      </c>
      <c r="F210" s="1">
        <v>0</v>
      </c>
      <c r="G210" s="1">
        <v>72230842.733215362</v>
      </c>
    </row>
    <row r="211" spans="1:7" x14ac:dyDescent="0.2">
      <c r="A211" s="12">
        <v>203</v>
      </c>
      <c r="B211" s="1">
        <v>32342750.686106298</v>
      </c>
      <c r="C211" s="1">
        <v>4.3026805552548925E-2</v>
      </c>
      <c r="D211" s="1">
        <v>69967362.068226337</v>
      </c>
      <c r="E211" s="1">
        <v>-13273242.855521748</v>
      </c>
      <c r="F211" s="1">
        <v>0</v>
      </c>
      <c r="G211" s="1">
        <v>72199129.347952008</v>
      </c>
    </row>
    <row r="212" spans="1:7" x14ac:dyDescent="0.2">
      <c r="A212" s="12">
        <v>204</v>
      </c>
      <c r="B212" s="1">
        <v>32365122.898846567</v>
      </c>
      <c r="C212" s="1">
        <v>5.270395681198068E-2</v>
      </c>
      <c r="D212" s="1">
        <v>69948706.192793757</v>
      </c>
      <c r="E212" s="1">
        <v>-13269580.040383313</v>
      </c>
      <c r="F212" s="1">
        <v>0</v>
      </c>
      <c r="G212" s="1">
        <v>72181490.044195071</v>
      </c>
    </row>
    <row r="213" spans="1:7" x14ac:dyDescent="0.2">
      <c r="A213" s="12">
        <v>205</v>
      </c>
      <c r="B213" s="1">
        <v>32382333.062890679</v>
      </c>
      <c r="C213" s="1">
        <v>6.0336125163758927E-2</v>
      </c>
      <c r="D213" s="1">
        <v>69933928.599709138</v>
      </c>
      <c r="E213" s="1">
        <v>-13266678.670685841</v>
      </c>
      <c r="F213" s="1">
        <v>0</v>
      </c>
      <c r="G213" s="1">
        <v>72167498.400431782</v>
      </c>
    </row>
    <row r="214" spans="1:7" x14ac:dyDescent="0.2">
      <c r="A214" s="12">
        <v>206</v>
      </c>
      <c r="B214" s="1">
        <v>32403958.557058733</v>
      </c>
      <c r="C214" s="1">
        <v>8.9760142625219821E-2</v>
      </c>
      <c r="D214" s="1">
        <v>69915272.724276498</v>
      </c>
      <c r="E214" s="1">
        <v>-13263015.8555474</v>
      </c>
      <c r="F214" s="1">
        <v>0</v>
      </c>
      <c r="G214" s="1">
        <v>72149840.384736493</v>
      </c>
    </row>
    <row r="215" spans="1:7" x14ac:dyDescent="0.2">
      <c r="A215" s="12">
        <v>207</v>
      </c>
      <c r="B215" s="1">
        <v>32413482.197311461</v>
      </c>
      <c r="C215" s="1">
        <v>0.10224914538267514</v>
      </c>
      <c r="D215" s="1">
        <v>69907382.425706431</v>
      </c>
      <c r="E215" s="1">
        <v>-13261466.707926126</v>
      </c>
      <c r="F215" s="1">
        <v>0</v>
      </c>
      <c r="G215" s="1">
        <v>72142397.311563075</v>
      </c>
    </row>
    <row r="216" spans="1:7" x14ac:dyDescent="0.2">
      <c r="A216" s="12">
        <v>208</v>
      </c>
      <c r="B216" s="1">
        <v>39534049.399494305</v>
      </c>
      <c r="C216" s="1">
        <v>3.9520546760330989E-2</v>
      </c>
      <c r="D216" s="1">
        <v>87953024.723144755</v>
      </c>
      <c r="E216" s="1">
        <v>-13284069.651903605</v>
      </c>
      <c r="F216" s="1">
        <v>0</v>
      </c>
      <c r="G216" s="1">
        <v>87701482.73937583</v>
      </c>
    </row>
    <row r="217" spans="1:7" x14ac:dyDescent="0.2">
      <c r="A217" s="12">
        <v>209</v>
      </c>
      <c r="B217" s="1">
        <v>39535707.406445131</v>
      </c>
      <c r="C217" s="1">
        <v>4.0334396570057739E-2</v>
      </c>
      <c r="D217" s="1">
        <v>87951255.879700065</v>
      </c>
      <c r="E217" s="1">
        <v>-13283793.477808591</v>
      </c>
      <c r="F217" s="1">
        <v>0</v>
      </c>
      <c r="G217" s="1">
        <v>87699772.594916835</v>
      </c>
    </row>
    <row r="218" spans="1:7" x14ac:dyDescent="0.2">
      <c r="A218" s="12">
        <v>210</v>
      </c>
      <c r="B218" s="1">
        <v>39549782.695653938</v>
      </c>
      <c r="C218" s="1">
        <v>4.9872716340055252E-2</v>
      </c>
      <c r="D218" s="1">
        <v>87936178.595100194</v>
      </c>
      <c r="E218" s="1">
        <v>-13281439.4224273</v>
      </c>
      <c r="F218" s="1">
        <v>0</v>
      </c>
      <c r="G218" s="1">
        <v>87685196.972503409</v>
      </c>
    </row>
    <row r="219" spans="1:7" x14ac:dyDescent="0.2">
      <c r="A219" s="12">
        <v>211</v>
      </c>
      <c r="B219" s="1">
        <v>39556967.392440863</v>
      </c>
      <c r="C219" s="1">
        <v>5.4723261206026677E-2</v>
      </c>
      <c r="D219" s="1">
        <v>87928513.606839955</v>
      </c>
      <c r="E219" s="1">
        <v>-13280242.668015584</v>
      </c>
      <c r="F219" s="1">
        <v>0</v>
      </c>
      <c r="G219" s="1">
        <v>87677789.654325828</v>
      </c>
    </row>
    <row r="220" spans="1:7" x14ac:dyDescent="0.2">
      <c r="A220" s="12">
        <v>212</v>
      </c>
      <c r="B220" s="1">
        <v>39574840.28504207</v>
      </c>
      <c r="C220" s="1">
        <v>6.7028670329095139E-2</v>
      </c>
      <c r="D220" s="1">
        <v>87909140.559588656</v>
      </c>
      <c r="E220" s="1">
        <v>-13277217.904117834</v>
      </c>
      <c r="F220" s="1">
        <v>0</v>
      </c>
      <c r="G220" s="1">
        <v>87659066.209981158</v>
      </c>
    </row>
    <row r="221" spans="1:7" x14ac:dyDescent="0.2">
      <c r="A221" s="12">
        <v>213</v>
      </c>
      <c r="B221" s="1">
        <v>39613572.440034688</v>
      </c>
      <c r="C221" s="1">
        <v>8.7928333442878093E-2</v>
      </c>
      <c r="D221" s="1">
        <v>87867025.239477172</v>
      </c>
      <c r="E221" s="1">
        <v>-13270642.330427073</v>
      </c>
      <c r="F221" s="1">
        <v>0</v>
      </c>
      <c r="G221" s="1">
        <v>87618387.571477145</v>
      </c>
    </row>
    <row r="222" spans="1:7" x14ac:dyDescent="0.2">
      <c r="A222" s="12">
        <v>214</v>
      </c>
      <c r="B222" s="1">
        <v>39652304.595027328</v>
      </c>
      <c r="C222" s="1">
        <v>0.10238230606362517</v>
      </c>
      <c r="D222" s="1">
        <v>87824909.919365704</v>
      </c>
      <c r="E222" s="1">
        <v>-13264066.756736314</v>
      </c>
      <c r="F222" s="1">
        <v>0</v>
      </c>
      <c r="G222" s="1">
        <v>87577746.794391438</v>
      </c>
    </row>
    <row r="223" spans="1:7" x14ac:dyDescent="0.2">
      <c r="A223" s="12">
        <v>215</v>
      </c>
      <c r="B223" s="1">
        <v>39691036.75001999</v>
      </c>
      <c r="C223" s="1">
        <v>0.11341810948351991</v>
      </c>
      <c r="D223" s="1">
        <v>87782794.59925431</v>
      </c>
      <c r="E223" s="1">
        <v>-13257491.183045557</v>
      </c>
      <c r="F223" s="1">
        <v>0</v>
      </c>
      <c r="G223" s="1">
        <v>87537143.931529239</v>
      </c>
    </row>
    <row r="224" spans="1:7" x14ac:dyDescent="0.2">
      <c r="A224" s="12">
        <v>216</v>
      </c>
      <c r="B224" s="1">
        <v>39730169.628616892</v>
      </c>
      <c r="C224" s="1">
        <v>0.1235098471241316</v>
      </c>
      <c r="D224" s="1">
        <v>87740679.279142812</v>
      </c>
      <c r="E224" s="1">
        <v>-13250915.609354796</v>
      </c>
      <c r="F224" s="1">
        <v>0</v>
      </c>
      <c r="G224" s="1">
        <v>87496590.417132005</v>
      </c>
    </row>
    <row r="225" spans="1:7" x14ac:dyDescent="0.2">
      <c r="A225" s="12">
        <v>217</v>
      </c>
      <c r="B225" s="1">
        <v>39768866.243863113</v>
      </c>
      <c r="C225" s="1">
        <v>0.13379690871907773</v>
      </c>
      <c r="D225" s="1">
        <v>87698479.728391156</v>
      </c>
      <c r="E225" s="1">
        <v>-13244326.884516655</v>
      </c>
      <c r="F225" s="1">
        <v>0</v>
      </c>
      <c r="G225" s="1">
        <v>87455979.505961686</v>
      </c>
    </row>
    <row r="226" spans="1:7" x14ac:dyDescent="0.2">
      <c r="A226" s="12">
        <v>218</v>
      </c>
      <c r="B226" s="1">
        <v>39807598.398855738</v>
      </c>
      <c r="C226" s="1">
        <v>0.14437695624552546</v>
      </c>
      <c r="D226" s="1">
        <v>87656364.408279657</v>
      </c>
      <c r="E226" s="1">
        <v>-13237751.310825894</v>
      </c>
      <c r="F226" s="1">
        <v>0</v>
      </c>
      <c r="G226" s="1">
        <v>87415490.968957603</v>
      </c>
    </row>
    <row r="227" spans="1:7" x14ac:dyDescent="0.2">
      <c r="A227" s="12">
        <v>219</v>
      </c>
      <c r="B227" s="1">
        <v>39846330.553848393</v>
      </c>
      <c r="C227" s="1">
        <v>0.1549895577643623</v>
      </c>
      <c r="D227" s="1">
        <v>87614249.088168249</v>
      </c>
      <c r="E227" s="1">
        <v>-13231175.737135137</v>
      </c>
      <c r="F227" s="1">
        <v>0</v>
      </c>
      <c r="G227" s="1">
        <v>87375040.55796653</v>
      </c>
    </row>
    <row r="228" spans="1:7" x14ac:dyDescent="0.2">
      <c r="A228" s="12">
        <v>220</v>
      </c>
      <c r="B228" s="1">
        <v>39885463.432445295</v>
      </c>
      <c r="C228" s="1">
        <v>0.16563471327558818</v>
      </c>
      <c r="D228" s="1">
        <v>87572133.768056765</v>
      </c>
      <c r="E228" s="1">
        <v>-13224600.163444376</v>
      </c>
      <c r="F228" s="1">
        <v>0</v>
      </c>
      <c r="G228" s="1">
        <v>87334640.767312855</v>
      </c>
    </row>
    <row r="229" spans="1:7" x14ac:dyDescent="0.2">
      <c r="A229" s="12">
        <v>221</v>
      </c>
      <c r="B229" s="1">
        <v>39924195.587437958</v>
      </c>
      <c r="C229" s="1">
        <v>0.17719138057370803</v>
      </c>
      <c r="D229" s="1">
        <v>87530018.447945356</v>
      </c>
      <c r="E229" s="1">
        <v>-13218024.589753618</v>
      </c>
      <c r="F229" s="1">
        <v>0</v>
      </c>
      <c r="G229" s="1">
        <v>87294267.032478034</v>
      </c>
    </row>
    <row r="230" spans="1:7" x14ac:dyDescent="0.2">
      <c r="A230" s="12">
        <v>222</v>
      </c>
      <c r="B230" s="1">
        <v>39962927.742430583</v>
      </c>
      <c r="C230" s="1">
        <v>0.19226387904984746</v>
      </c>
      <c r="D230" s="1">
        <v>87487903.127833873</v>
      </c>
      <c r="E230" s="1">
        <v>-13211449.016062858</v>
      </c>
      <c r="F230" s="1">
        <v>0</v>
      </c>
      <c r="G230" s="1">
        <v>87253931.583081886</v>
      </c>
    </row>
    <row r="231" spans="1:7" x14ac:dyDescent="0.2">
      <c r="A231" s="12">
        <v>223</v>
      </c>
      <c r="B231" s="1">
        <v>40002060.621027492</v>
      </c>
      <c r="C231" s="1">
        <v>0.21492145775264018</v>
      </c>
      <c r="D231" s="1">
        <v>87445787.807722405</v>
      </c>
      <c r="E231" s="1">
        <v>-13204873.442372099</v>
      </c>
      <c r="F231" s="1">
        <v>0</v>
      </c>
      <c r="G231" s="1">
        <v>87213647.711671352</v>
      </c>
    </row>
    <row r="232" spans="1:7" x14ac:dyDescent="0.2">
      <c r="A232" s="12">
        <v>224</v>
      </c>
      <c r="B232" s="1">
        <v>40040792.776020125</v>
      </c>
      <c r="C232" s="1">
        <v>0.2476707740960446</v>
      </c>
      <c r="D232" s="1">
        <v>87403672.487610936</v>
      </c>
      <c r="E232" s="1">
        <v>-13198297.868681338</v>
      </c>
      <c r="F232" s="1">
        <v>0</v>
      </c>
      <c r="G232" s="1">
        <v>87173389.258788139</v>
      </c>
    </row>
    <row r="233" spans="1:7" x14ac:dyDescent="0.2">
      <c r="A233" s="12">
        <v>225</v>
      </c>
      <c r="B233" s="1">
        <v>40079524.931012779</v>
      </c>
      <c r="C233" s="1">
        <v>0.2818524661045681</v>
      </c>
      <c r="D233" s="1">
        <v>87361557.167499512</v>
      </c>
      <c r="E233" s="1">
        <v>-13191722.294990581</v>
      </c>
      <c r="F233" s="1">
        <v>0</v>
      </c>
      <c r="G233" s="1">
        <v>87133169.251049057</v>
      </c>
    </row>
    <row r="234" spans="1:7" x14ac:dyDescent="0.2">
      <c r="A234" s="12">
        <v>226</v>
      </c>
      <c r="B234" s="1">
        <v>40118257.086005412</v>
      </c>
      <c r="C234" s="1">
        <v>0.28357782770118883</v>
      </c>
      <c r="D234" s="1">
        <v>87319441.847388044</v>
      </c>
      <c r="E234" s="1">
        <v>-13185146.72129982</v>
      </c>
      <c r="F234" s="1">
        <v>0</v>
      </c>
      <c r="G234" s="1">
        <v>87092987.740532115</v>
      </c>
    </row>
    <row r="235" spans="1:7" x14ac:dyDescent="0.2">
      <c r="A235" s="12">
        <v>227</v>
      </c>
      <c r="B235" s="1">
        <v>40157389.964602314</v>
      </c>
      <c r="C235" s="1">
        <v>0.28533574329019862</v>
      </c>
      <c r="D235" s="1">
        <v>87277326.527276561</v>
      </c>
      <c r="E235" s="1">
        <v>-13178571.147609061</v>
      </c>
      <c r="F235" s="1">
        <v>0</v>
      </c>
      <c r="G235" s="1">
        <v>87052859.087591633</v>
      </c>
    </row>
    <row r="236" spans="1:7" x14ac:dyDescent="0.2">
      <c r="A236" s="12">
        <v>228</v>
      </c>
      <c r="B236" s="1">
        <v>40196086.579848565</v>
      </c>
      <c r="C236" s="1">
        <v>0.28715876686398656</v>
      </c>
      <c r="D236" s="1">
        <v>87235126.976524949</v>
      </c>
      <c r="E236" s="1">
        <v>-13171982.422770921</v>
      </c>
      <c r="F236" s="1">
        <v>0</v>
      </c>
      <c r="G236" s="1">
        <v>87012670.721181601</v>
      </c>
    </row>
    <row r="237" spans="1:7" x14ac:dyDescent="0.2">
      <c r="A237" s="12">
        <v>229</v>
      </c>
      <c r="B237" s="1">
        <v>40234818.73484119</v>
      </c>
      <c r="C237" s="1">
        <v>0.28901434443016349</v>
      </c>
      <c r="D237" s="1">
        <v>87193011.656413466</v>
      </c>
      <c r="E237" s="1">
        <v>-13165406.84908016</v>
      </c>
      <c r="F237" s="1">
        <v>0</v>
      </c>
      <c r="G237" s="1">
        <v>86972605.294773057</v>
      </c>
    </row>
    <row r="238" spans="1:7" x14ac:dyDescent="0.2">
      <c r="A238" s="12">
        <v>230</v>
      </c>
      <c r="B238" s="1">
        <v>40273550.889833823</v>
      </c>
      <c r="C238" s="1">
        <v>0.29093502998111864</v>
      </c>
      <c r="D238" s="1">
        <v>87150896.336301997</v>
      </c>
      <c r="E238" s="1">
        <v>-13158831.275389401</v>
      </c>
      <c r="F238" s="1">
        <v>0</v>
      </c>
      <c r="G238" s="1">
        <v>86932578.580483511</v>
      </c>
    </row>
    <row r="239" spans="1:7" x14ac:dyDescent="0.2">
      <c r="A239" s="12">
        <v>231</v>
      </c>
      <c r="B239" s="1">
        <v>40312683.768430747</v>
      </c>
      <c r="C239" s="1">
        <v>0.29288826952446284</v>
      </c>
      <c r="D239" s="1">
        <v>87108781.016190559</v>
      </c>
      <c r="E239" s="1">
        <v>-13152255.701698642</v>
      </c>
      <c r="F239" s="1">
        <v>0</v>
      </c>
      <c r="G239" s="1">
        <v>86892606.008275449</v>
      </c>
    </row>
    <row r="240" spans="1:7" x14ac:dyDescent="0.2">
      <c r="A240" s="12">
        <v>232</v>
      </c>
      <c r="B240" s="1">
        <v>40351415.923423387</v>
      </c>
      <c r="C240" s="1">
        <v>0.29493917104497425</v>
      </c>
      <c r="D240" s="1">
        <v>87066665.696079105</v>
      </c>
      <c r="E240" s="1">
        <v>-13145680.128007883</v>
      </c>
      <c r="F240" s="1">
        <v>0</v>
      </c>
      <c r="G240" s="1">
        <v>86852657.146527603</v>
      </c>
    </row>
    <row r="241" spans="1:7" x14ac:dyDescent="0.2">
      <c r="A241" s="12">
        <v>233</v>
      </c>
      <c r="B241" s="1">
        <v>40370946.822975412</v>
      </c>
      <c r="C241" s="1">
        <v>0.29598089880142447</v>
      </c>
      <c r="D241" s="1">
        <v>87045523.805383131</v>
      </c>
      <c r="E241" s="1">
        <v>-13142379.19001512</v>
      </c>
      <c r="F241" s="1">
        <v>0</v>
      </c>
      <c r="G241" s="1">
        <v>86832620.909779415</v>
      </c>
    </row>
    <row r="242" spans="1:7" x14ac:dyDescent="0.2">
      <c r="A242" s="12">
        <v>234</v>
      </c>
      <c r="B242" s="1">
        <v>40382481.792138338</v>
      </c>
      <c r="C242" s="1">
        <v>0.29659942465681682</v>
      </c>
      <c r="D242" s="1">
        <v>87032973.439989895</v>
      </c>
      <c r="E242" s="1">
        <v>-13140419.669055274</v>
      </c>
      <c r="F242" s="1">
        <v>0</v>
      </c>
      <c r="G242" s="1">
        <v>86820729.215052411</v>
      </c>
    </row>
    <row r="243" spans="1:7" x14ac:dyDescent="0.2">
      <c r="A243" s="12">
        <v>235</v>
      </c>
      <c r="B243" s="1">
        <v>40390148.07841602</v>
      </c>
      <c r="C243" s="1">
        <v>0.2970226265578747</v>
      </c>
      <c r="D243" s="1">
        <v>87024550.375967637</v>
      </c>
      <c r="E243" s="1">
        <v>-13139104.554317122</v>
      </c>
      <c r="F243" s="1">
        <v>0</v>
      </c>
      <c r="G243" s="1">
        <v>86812747.157770172</v>
      </c>
    </row>
    <row r="244" spans="1:7" x14ac:dyDescent="0.2">
      <c r="A244" s="12">
        <v>236</v>
      </c>
      <c r="B244" s="1">
        <v>40397368.314949341</v>
      </c>
      <c r="C244" s="1">
        <v>0.29741327446654359</v>
      </c>
      <c r="D244" s="1">
        <v>87016969.618347555</v>
      </c>
      <c r="E244" s="1">
        <v>-13137920.951052785</v>
      </c>
      <c r="F244" s="1">
        <v>0</v>
      </c>
      <c r="G244" s="1">
        <v>86805577.38868086</v>
      </c>
    </row>
    <row r="245" spans="1:7" x14ac:dyDescent="0.2">
      <c r="A245" s="12">
        <v>237</v>
      </c>
      <c r="B245" s="1">
        <v>40407797.946145065</v>
      </c>
      <c r="C245" s="1">
        <v>0.29796669233715778</v>
      </c>
      <c r="D245" s="1">
        <v>87005598.481917486</v>
      </c>
      <c r="E245" s="1">
        <v>-13136145.546156282</v>
      </c>
      <c r="F245" s="1">
        <v>0</v>
      </c>
      <c r="G245" s="1">
        <v>86794809.178320333</v>
      </c>
    </row>
    <row r="246" spans="1:7" x14ac:dyDescent="0.2">
      <c r="A246" s="12">
        <v>238</v>
      </c>
      <c r="B246" s="1">
        <v>40428880.233408645</v>
      </c>
      <c r="C246" s="1">
        <v>0.29917119005555337</v>
      </c>
      <c r="D246" s="1">
        <v>86982435.055856153</v>
      </c>
      <c r="E246" s="1">
        <v>-13132528.980626361</v>
      </c>
      <c r="F246" s="1">
        <v>0</v>
      </c>
      <c r="G246" s="1">
        <v>86772876.095641837</v>
      </c>
    </row>
    <row r="247" spans="1:7" x14ac:dyDescent="0.2">
      <c r="A247" s="12">
        <v>239</v>
      </c>
      <c r="B247" s="1">
        <v>40447894.003723495</v>
      </c>
      <c r="C247" s="1">
        <v>0.30024547180439265</v>
      </c>
      <c r="D247" s="1">
        <v>86961967.010281995</v>
      </c>
      <c r="E247" s="1">
        <v>-13129333.251812654</v>
      </c>
      <c r="F247" s="1">
        <v>0</v>
      </c>
      <c r="G247" s="1">
        <v>86753520.563862324</v>
      </c>
    </row>
    <row r="248" spans="1:7" x14ac:dyDescent="0.2">
      <c r="A248" s="12">
        <v>240</v>
      </c>
      <c r="B248" s="1">
        <v>40460052.721362874</v>
      </c>
      <c r="C248" s="1">
        <v>0.30092910564456316</v>
      </c>
      <c r="D248" s="1">
        <v>86948995.491687655</v>
      </c>
      <c r="E248" s="1">
        <v>-13127307.975115901</v>
      </c>
      <c r="F248" s="1">
        <v>0</v>
      </c>
      <c r="G248" s="1">
        <v>86741263.381879121</v>
      </c>
    </row>
    <row r="249" spans="1:7" x14ac:dyDescent="0.2">
      <c r="A249" s="12">
        <v>241</v>
      </c>
      <c r="B249" s="1">
        <v>40468013.112005584</v>
      </c>
      <c r="C249" s="1">
        <v>0.30141741553039919</v>
      </c>
      <c r="D249" s="1">
        <v>86940319.735744745</v>
      </c>
      <c r="E249" s="1">
        <v>-13125953.406935604</v>
      </c>
      <c r="F249" s="1">
        <v>0</v>
      </c>
      <c r="G249" s="1">
        <v>86733060.464631692</v>
      </c>
    </row>
    <row r="250" spans="1:7" x14ac:dyDescent="0.2">
      <c r="A250" s="12">
        <v>242</v>
      </c>
      <c r="B250" s="1">
        <v>813304.67259681935</v>
      </c>
      <c r="C250" s="1">
        <v>2.2834912534584296E-2</v>
      </c>
      <c r="D250" s="1">
        <v>13622701.350852298</v>
      </c>
      <c r="E250" s="1">
        <v>-12828942.657589879</v>
      </c>
      <c r="F250" s="1">
        <v>0</v>
      </c>
      <c r="G250" s="1">
        <v>22911580.328147158</v>
      </c>
    </row>
    <row r="251" spans="1:7" x14ac:dyDescent="0.2">
      <c r="A251" s="12">
        <v>243</v>
      </c>
      <c r="B251" s="1">
        <v>-13125058.757435918</v>
      </c>
      <c r="C251" s="1">
        <v>-0.12535464211595559</v>
      </c>
      <c r="D251" s="1">
        <v>13621413.144560989</v>
      </c>
      <c r="E251" s="1">
        <v>-12827656.233056448</v>
      </c>
      <c r="F251" s="1">
        <v>0</v>
      </c>
      <c r="G251" s="1">
        <v>26599017.699794743</v>
      </c>
    </row>
    <row r="252" spans="1:7" x14ac:dyDescent="0.2">
      <c r="A252" s="12">
        <v>244</v>
      </c>
      <c r="B252" s="1">
        <v>-13120398.732441831</v>
      </c>
      <c r="C252" s="1">
        <v>-0.12360813905664775</v>
      </c>
      <c r="D252" s="1">
        <v>13619815.768759772</v>
      </c>
      <c r="E252" s="1">
        <v>-12826061.066634992</v>
      </c>
      <c r="F252" s="1">
        <v>0</v>
      </c>
      <c r="G252" s="1">
        <v>26594267.375771381</v>
      </c>
    </row>
    <row r="253" spans="1:7" x14ac:dyDescent="0.2">
      <c r="A253" s="12">
        <v>245</v>
      </c>
      <c r="B253" s="1">
        <v>-13111078.12119993</v>
      </c>
      <c r="C253" s="1">
        <v>-0.12102528241964317</v>
      </c>
      <c r="D253" s="1">
        <v>13617432.587120863</v>
      </c>
      <c r="E253" s="1">
        <v>-12823681.181248145</v>
      </c>
      <c r="F253" s="1">
        <v>0</v>
      </c>
      <c r="G253" s="1">
        <v>26585977.37094653</v>
      </c>
    </row>
    <row r="254" spans="1:7" x14ac:dyDescent="0.2">
      <c r="A254" s="12">
        <v>246</v>
      </c>
      <c r="B254" s="1">
        <v>-13101757.509958036</v>
      </c>
      <c r="C254" s="1">
        <v>-0.11841782714800043</v>
      </c>
      <c r="D254" s="1">
        <v>13615049.405481933</v>
      </c>
      <c r="E254" s="1">
        <v>-12821301.295861296</v>
      </c>
      <c r="F254" s="1">
        <v>0</v>
      </c>
      <c r="G254" s="1">
        <v>26577688.690358795</v>
      </c>
    </row>
    <row r="255" spans="1:7" x14ac:dyDescent="0.2">
      <c r="A255" s="12">
        <v>247</v>
      </c>
      <c r="B255" s="1">
        <v>-13097097.636413369</v>
      </c>
      <c r="C255" s="1">
        <v>-0.1164253377423112</v>
      </c>
      <c r="D255" s="1">
        <v>13613233.034611195</v>
      </c>
      <c r="E255" s="1">
        <v>-12819487.437269159</v>
      </c>
      <c r="F255" s="1">
        <v>0</v>
      </c>
      <c r="G255" s="1">
        <v>26572613.249423433</v>
      </c>
    </row>
    <row r="256" spans="1:7" x14ac:dyDescent="0.2">
      <c r="A256" s="12">
        <v>248</v>
      </c>
      <c r="B256" s="1">
        <v>-9934657.3867375925</v>
      </c>
      <c r="C256" s="1">
        <v>-6.9453920625556579E-15</v>
      </c>
      <c r="D256" s="1">
        <v>-9934657.3867499996</v>
      </c>
      <c r="E256" s="1">
        <v>-9934657.3867499996</v>
      </c>
      <c r="F256" s="1">
        <v>0</v>
      </c>
      <c r="G256" s="1">
        <v>1.2407079339027405E-5</v>
      </c>
    </row>
    <row r="257" spans="1:7" x14ac:dyDescent="0.2">
      <c r="A257" s="12">
        <v>249</v>
      </c>
      <c r="B257" s="1">
        <v>-6804573.4004841531</v>
      </c>
      <c r="C257" s="1">
        <v>-0.31264864625074484</v>
      </c>
      <c r="D257" s="1">
        <v>13612022.120697374</v>
      </c>
      <c r="E257" s="1">
        <v>-12818278.198207732</v>
      </c>
      <c r="F257" s="1">
        <v>0</v>
      </c>
      <c r="G257" s="1">
        <v>23995445.422238961</v>
      </c>
    </row>
    <row r="258" spans="1:7" x14ac:dyDescent="0.2">
      <c r="A258" s="12">
        <v>250</v>
      </c>
      <c r="B258" s="1">
        <v>-6799913.1349527547</v>
      </c>
      <c r="C258" s="1">
        <v>-0.30895885105502402</v>
      </c>
      <c r="D258" s="1">
        <v>13610772.560594808</v>
      </c>
      <c r="E258" s="1">
        <v>-12817030.366410304</v>
      </c>
      <c r="F258" s="1">
        <v>0</v>
      </c>
      <c r="G258" s="1">
        <v>23991983.731886305</v>
      </c>
    </row>
    <row r="259" spans="1:7" x14ac:dyDescent="0.2">
      <c r="A259" s="12">
        <v>251</v>
      </c>
      <c r="B259" s="1">
        <v>-6795253.297043249</v>
      </c>
      <c r="C259" s="1">
        <v>-0.30354715143463346</v>
      </c>
      <c r="D259" s="1">
        <v>13608904.661472408</v>
      </c>
      <c r="E259" s="1">
        <v>-12815165.050836828</v>
      </c>
      <c r="F259" s="1">
        <v>0</v>
      </c>
      <c r="G259" s="1">
        <v>23987501.62494098</v>
      </c>
    </row>
    <row r="260" spans="1:7" x14ac:dyDescent="0.2">
      <c r="A260" s="12">
        <v>252</v>
      </c>
      <c r="B260" s="1">
        <v>-6785932.9708826151</v>
      </c>
      <c r="C260" s="1">
        <v>-0.29518361565766627</v>
      </c>
      <c r="D260" s="1">
        <v>13606109.253820261</v>
      </c>
      <c r="E260" s="1">
        <v>-12812373.509599281</v>
      </c>
      <c r="F260" s="1">
        <v>0</v>
      </c>
      <c r="G260" s="1">
        <v>23980091.86453243</v>
      </c>
    </row>
    <row r="261" spans="1:7" x14ac:dyDescent="0.2">
      <c r="A261" s="12">
        <v>253</v>
      </c>
      <c r="B261" s="1">
        <v>-6776612.9476208147</v>
      </c>
      <c r="C261" s="1">
        <v>-0.28559014814879213</v>
      </c>
      <c r="D261" s="1">
        <v>13602875.856029082</v>
      </c>
      <c r="E261" s="1">
        <v>-12809144.584020367</v>
      </c>
      <c r="F261" s="1">
        <v>0</v>
      </c>
      <c r="G261" s="1">
        <v>23971961.056227151</v>
      </c>
    </row>
    <row r="262" spans="1:7" x14ac:dyDescent="0.2">
      <c r="A262" s="12">
        <v>254</v>
      </c>
      <c r="B262" s="1">
        <v>-9945020.6195959281</v>
      </c>
      <c r="C262" s="1">
        <v>-5.0014532790685446E-4</v>
      </c>
      <c r="D262" s="1">
        <v>-9243554.3205026463</v>
      </c>
      <c r="E262" s="1">
        <v>-10488637.075667007</v>
      </c>
      <c r="F262" s="1">
        <v>0</v>
      </c>
      <c r="G262" s="1">
        <v>1081157.9180305889</v>
      </c>
    </row>
    <row r="263" spans="1:7" x14ac:dyDescent="0.2">
      <c r="A263" s="12">
        <v>255</v>
      </c>
      <c r="B263" s="1">
        <v>-9938425.9638899863</v>
      </c>
      <c r="C263" s="1">
        <v>-4.8409788423069871E-4</v>
      </c>
      <c r="D263" s="1">
        <v>-9241028.0930299405</v>
      </c>
      <c r="E263" s="1">
        <v>-10485784.270419031</v>
      </c>
      <c r="F263" s="1">
        <v>0</v>
      </c>
      <c r="G263" s="1">
        <v>1080597.7159193051</v>
      </c>
    </row>
    <row r="264" spans="1:7" x14ac:dyDescent="0.2">
      <c r="A264" s="12">
        <v>256</v>
      </c>
      <c r="B264" s="1">
        <v>-9928538.9794321153</v>
      </c>
      <c r="C264" s="1">
        <v>-4.6091824336514043E-4</v>
      </c>
      <c r="D264" s="1">
        <v>-9237243.4474109784</v>
      </c>
      <c r="E264" s="1">
        <v>-10481510.365159055</v>
      </c>
      <c r="F264" s="1">
        <v>0</v>
      </c>
      <c r="G264" s="1">
        <v>1079784.0128365883</v>
      </c>
    </row>
    <row r="265" spans="1:7" x14ac:dyDescent="0.2">
      <c r="A265" s="12">
        <v>257</v>
      </c>
      <c r="B265" s="1">
        <v>-9913662.1184339095</v>
      </c>
      <c r="C265" s="1">
        <v>-4.2855589861822622E-4</v>
      </c>
      <c r="D265" s="1">
        <v>-9231571.1745726354</v>
      </c>
      <c r="E265" s="1">
        <v>-10475104.809881078</v>
      </c>
      <c r="F265" s="1">
        <v>0</v>
      </c>
      <c r="G265" s="1">
        <v>1078619.9177012828</v>
      </c>
    </row>
    <row r="266" spans="1:7" x14ac:dyDescent="0.2">
      <c r="A266" s="12">
        <v>258</v>
      </c>
      <c r="B266" s="1">
        <v>-9891688.3109959066</v>
      </c>
      <c r="C266" s="1">
        <v>-3.8767949347646286E-4</v>
      </c>
      <c r="D266" s="1">
        <v>-9223156.6771170776</v>
      </c>
      <c r="E266" s="1">
        <v>-10465602.52920381</v>
      </c>
      <c r="F266" s="1">
        <v>0</v>
      </c>
      <c r="G266" s="1">
        <v>1077029.1943115501</v>
      </c>
    </row>
    <row r="267" spans="1:7" x14ac:dyDescent="0.2">
      <c r="A267" s="12">
        <v>259</v>
      </c>
      <c r="B267" s="1">
        <v>-9869703.9483950138</v>
      </c>
      <c r="C267" s="1">
        <v>-3.5255342231865522E-4</v>
      </c>
      <c r="D267" s="1">
        <v>-9214751.5708417185</v>
      </c>
      <c r="E267" s="1">
        <v>-10456110.853750514</v>
      </c>
      <c r="F267" s="1">
        <v>0</v>
      </c>
      <c r="G267" s="1">
        <v>1075594.8458465901</v>
      </c>
    </row>
    <row r="268" spans="1:7" x14ac:dyDescent="0.2">
      <c r="A268" s="12">
        <v>260</v>
      </c>
      <c r="B268" s="1">
        <v>-9847714.447452873</v>
      </c>
      <c r="C268" s="1">
        <v>-3.2077056859338012E-4</v>
      </c>
      <c r="D268" s="1">
        <v>-9206346.4645663574</v>
      </c>
      <c r="E268" s="1">
        <v>-10446619.178297216</v>
      </c>
      <c r="F268" s="1">
        <v>0</v>
      </c>
      <c r="G268" s="1">
        <v>1074317.4974262039</v>
      </c>
    </row>
    <row r="269" spans="1:7" x14ac:dyDescent="0.2">
      <c r="A269" s="12">
        <v>261</v>
      </c>
      <c r="B269" s="1">
        <v>-9825720.0866498947</v>
      </c>
      <c r="C269" s="1">
        <v>-2.8979008705191272E-4</v>
      </c>
      <c r="D269" s="1">
        <v>-9197931.9671107996</v>
      </c>
      <c r="E269" s="1">
        <v>-10437116.89761995</v>
      </c>
      <c r="F269" s="1">
        <v>0</v>
      </c>
      <c r="G269" s="1">
        <v>1073196.9240333419</v>
      </c>
    </row>
    <row r="270" spans="1:7" x14ac:dyDescent="0.2">
      <c r="A270" s="12">
        <v>262</v>
      </c>
      <c r="B270" s="1">
        <v>-9803734.1825466268</v>
      </c>
      <c r="C270" s="1">
        <v>2.6250943280244798E-4</v>
      </c>
      <c r="D270" s="1">
        <v>-9189526.8608354405</v>
      </c>
      <c r="E270" s="1">
        <v>-10427625.222166654</v>
      </c>
      <c r="F270" s="1">
        <v>0</v>
      </c>
      <c r="G270" s="1">
        <v>1072235.5654654219</v>
      </c>
    </row>
    <row r="271" spans="1:7" x14ac:dyDescent="0.2">
      <c r="A271" s="12">
        <v>263</v>
      </c>
      <c r="B271" s="1">
        <v>-9781736.2249047775</v>
      </c>
      <c r="C271" s="1">
        <v>2.3607572696922473E-4</v>
      </c>
      <c r="D271" s="1">
        <v>-9181112.3633798826</v>
      </c>
      <c r="E271" s="1">
        <v>-10418122.941489387</v>
      </c>
      <c r="F271" s="1">
        <v>0</v>
      </c>
      <c r="G271" s="1">
        <v>1071431.8098810846</v>
      </c>
    </row>
    <row r="272" spans="1:7" x14ac:dyDescent="0.2">
      <c r="A272" s="12">
        <v>264</v>
      </c>
      <c r="B272" s="1">
        <v>-9766900.4706365224</v>
      </c>
      <c r="C272" s="1">
        <v>2.182898102281521E-4</v>
      </c>
      <c r="D272" s="1">
        <v>-9175440.0905415397</v>
      </c>
      <c r="E272" s="1">
        <v>-10411717.386211408</v>
      </c>
      <c r="F272" s="1">
        <v>0</v>
      </c>
      <c r="G272" s="1">
        <v>1070979.8755452198</v>
      </c>
    </row>
    <row r="273" spans="1:7" x14ac:dyDescent="0.2">
      <c r="A273" s="12">
        <v>265</v>
      </c>
      <c r="B273" s="1">
        <v>-9757003.2094961628</v>
      </c>
      <c r="C273" s="1">
        <v>2.064325324007703E-4</v>
      </c>
      <c r="D273" s="1">
        <v>-9171655.4449225776</v>
      </c>
      <c r="E273" s="1">
        <v>-10407443.480951432</v>
      </c>
      <c r="F273" s="1">
        <v>0</v>
      </c>
      <c r="G273" s="1">
        <v>1070718.5956732577</v>
      </c>
    </row>
    <row r="274" spans="1:7" x14ac:dyDescent="0.2">
      <c r="A274" s="12">
        <v>266</v>
      </c>
      <c r="B274" s="1">
        <v>-9750403.4154489785</v>
      </c>
      <c r="C274" s="1">
        <v>1.9854253925999374E-4</v>
      </c>
      <c r="D274" s="1">
        <v>-9169129.2174498718</v>
      </c>
      <c r="E274" s="1">
        <v>-10404590.675703457</v>
      </c>
      <c r="F274" s="1">
        <v>0</v>
      </c>
      <c r="G274" s="1">
        <v>1070561.9271200036</v>
      </c>
    </row>
    <row r="275" spans="1:7" x14ac:dyDescent="0.2">
      <c r="A275" s="12">
        <v>267</v>
      </c>
      <c r="B275" s="1">
        <v>-9744233.3197959773</v>
      </c>
      <c r="C275" s="1">
        <v>1.898055977029756E-4</v>
      </c>
      <c r="D275" s="1">
        <v>-9166321.2545712851</v>
      </c>
      <c r="E275" s="1">
        <v>-10401419.713736378</v>
      </c>
      <c r="F275" s="1">
        <v>0</v>
      </c>
      <c r="G275" s="1">
        <v>1070360.8072455605</v>
      </c>
    </row>
    <row r="276" spans="1:7" x14ac:dyDescent="0.2">
      <c r="A276" s="12">
        <v>268</v>
      </c>
      <c r="B276" s="1">
        <v>-9734990.8829293866</v>
      </c>
      <c r="C276" s="1">
        <v>1.7665560913501465E-4</v>
      </c>
      <c r="D276" s="1">
        <v>-9162114.0058435071</v>
      </c>
      <c r="E276" s="1">
        <v>-10396668.573397744</v>
      </c>
      <c r="F276" s="1">
        <v>0</v>
      </c>
      <c r="G276" s="1">
        <v>1070077.1613915544</v>
      </c>
    </row>
    <row r="277" spans="1:7" x14ac:dyDescent="0.2">
      <c r="A277" s="12">
        <v>269</v>
      </c>
      <c r="B277" s="1">
        <v>-9721124.9369392842</v>
      </c>
      <c r="C277" s="1">
        <v>1.5695291439929006E-4</v>
      </c>
      <c r="D277" s="1">
        <v>-9155793.7415716443</v>
      </c>
      <c r="E277" s="1">
        <v>-10389531.257665824</v>
      </c>
      <c r="F277" s="1">
        <v>0</v>
      </c>
      <c r="G277" s="1">
        <v>1069690.2889840561</v>
      </c>
    </row>
    <row r="278" spans="1:7" x14ac:dyDescent="0.2">
      <c r="A278" s="12">
        <v>270</v>
      </c>
      <c r="B278" s="1">
        <v>-9700571.7464994099</v>
      </c>
      <c r="C278" s="1">
        <v>1.2802293954977594E-4</v>
      </c>
      <c r="D278" s="1">
        <v>-9146430.7349162996</v>
      </c>
      <c r="E278" s="1">
        <v>-10378957.849367572</v>
      </c>
      <c r="F278" s="1">
        <v>0</v>
      </c>
      <c r="G278" s="1">
        <v>1069206.0262578952</v>
      </c>
    </row>
    <row r="279" spans="1:7" x14ac:dyDescent="0.2">
      <c r="A279" s="12">
        <v>271</v>
      </c>
      <c r="B279" s="1">
        <v>-9680018.55605953</v>
      </c>
      <c r="C279" s="1">
        <v>1.0002906558137089E-4</v>
      </c>
      <c r="D279" s="1">
        <v>-9137067.728260953</v>
      </c>
      <c r="E279" s="1">
        <v>-10368384.441069316</v>
      </c>
      <c r="F279" s="1">
        <v>0</v>
      </c>
      <c r="G279" s="1">
        <v>1068827.4042900356</v>
      </c>
    </row>
    <row r="280" spans="1:7" x14ac:dyDescent="0.2">
      <c r="A280" s="12">
        <v>272</v>
      </c>
      <c r="B280" s="1">
        <v>-9664382.7213292494</v>
      </c>
      <c r="C280" s="1">
        <v>7.8409592850994385E-5</v>
      </c>
      <c r="D280" s="1">
        <v>-9129958.6048526298</v>
      </c>
      <c r="E280" s="1">
        <v>-10360356.286523903</v>
      </c>
      <c r="F280" s="1">
        <v>0</v>
      </c>
      <c r="G280" s="1">
        <v>1068612.8379373301</v>
      </c>
    </row>
    <row r="281" spans="1:7" x14ac:dyDescent="0.2">
      <c r="A281" s="12">
        <v>273</v>
      </c>
      <c r="B281" s="1">
        <v>-9653989.7543833293</v>
      </c>
      <c r="C281" s="1">
        <v>6.3833164845152906E-5</v>
      </c>
      <c r="D281" s="1">
        <v>-9125216.058853684</v>
      </c>
      <c r="E281" s="1">
        <v>-10355000.648418972</v>
      </c>
      <c r="F281" s="1">
        <v>0</v>
      </c>
      <c r="G281" s="1">
        <v>1068500.8262502614</v>
      </c>
    </row>
    <row r="282" spans="1:7" x14ac:dyDescent="0.2">
      <c r="A282" s="12">
        <v>274</v>
      </c>
      <c r="B282" s="1">
        <v>-9647033.5196124762</v>
      </c>
      <c r="C282" s="1">
        <v>5.4026393709724382E-5</v>
      </c>
      <c r="D282" s="1">
        <v>-9122060.62230785</v>
      </c>
      <c r="E282" s="1">
        <v>-10351437.293164995</v>
      </c>
      <c r="F282" s="1">
        <v>0</v>
      </c>
      <c r="G282" s="1">
        <v>1068444.7149868412</v>
      </c>
    </row>
    <row r="283" spans="1:7" x14ac:dyDescent="0.2">
      <c r="A283" s="12">
        <v>275</v>
      </c>
      <c r="B283" s="1">
        <v>-9642430.2853735331</v>
      </c>
      <c r="C283" s="1">
        <v>4.7473687541960781E-5</v>
      </c>
      <c r="D283" s="1">
        <v>-9119956.9979439601</v>
      </c>
      <c r="E283" s="1">
        <v>-10349061.722995678</v>
      </c>
      <c r="F283" s="1">
        <v>0</v>
      </c>
      <c r="G283" s="1">
        <v>1068411.14508305</v>
      </c>
    </row>
    <row r="284" spans="1:7" x14ac:dyDescent="0.2">
      <c r="A284" s="12">
        <v>276</v>
      </c>
      <c r="B284" s="1">
        <v>-9639337.6692753714</v>
      </c>
      <c r="C284" s="1">
        <v>4.3096301516964962E-5</v>
      </c>
      <c r="D284" s="1">
        <v>-9118548.3209145702</v>
      </c>
      <c r="E284" s="1">
        <v>-10347470.939400153</v>
      </c>
      <c r="F284" s="1">
        <v>0</v>
      </c>
      <c r="G284" s="1">
        <v>1068392.501814126</v>
      </c>
    </row>
    <row r="285" spans="1:7" x14ac:dyDescent="0.2">
      <c r="A285" s="12">
        <v>278</v>
      </c>
      <c r="B285" s="1">
        <v>-9636268.9753995594</v>
      </c>
      <c r="C285" s="1">
        <v>3.7871967075727594E-5</v>
      </c>
      <c r="D285" s="1">
        <v>-9116679.4760555793</v>
      </c>
      <c r="E285" s="1">
        <v>-10345360.499830091</v>
      </c>
      <c r="F285" s="1">
        <v>0</v>
      </c>
      <c r="G285" s="1">
        <v>1068279.2462754485</v>
      </c>
    </row>
    <row r="286" spans="1:7" x14ac:dyDescent="0.2">
      <c r="A286" s="12">
        <v>279</v>
      </c>
      <c r="B286" s="1">
        <v>-9635871.8321202919</v>
      </c>
      <c r="C286" s="1">
        <v>3.7145374487057207E-5</v>
      </c>
      <c r="D286" s="1">
        <v>-9116209.9170457833</v>
      </c>
      <c r="E286" s="1">
        <v>-10344830.238631584</v>
      </c>
      <c r="F286" s="1">
        <v>0</v>
      </c>
      <c r="G286" s="1">
        <v>1068217.7733893015</v>
      </c>
    </row>
    <row r="287" spans="1:7" x14ac:dyDescent="0.2">
      <c r="A287" s="12">
        <v>280</v>
      </c>
      <c r="B287" s="1">
        <v>64904290.016692087</v>
      </c>
      <c r="C287" s="1">
        <v>0.13708534847166751</v>
      </c>
      <c r="D287" s="1">
        <v>51738241.663385972</v>
      </c>
      <c r="E287" s="1">
        <v>-12859837.129644299</v>
      </c>
      <c r="F287" s="1">
        <v>0</v>
      </c>
      <c r="G287" s="1">
        <v>72088543.1561566</v>
      </c>
    </row>
    <row r="288" spans="1:7" x14ac:dyDescent="0.2">
      <c r="A288" s="12">
        <v>281</v>
      </c>
      <c r="B288" s="1">
        <v>65068554.76579114</v>
      </c>
      <c r="C288" s="1">
        <v>0.11336909878554439</v>
      </c>
      <c r="D288" s="1">
        <v>51715550.241657004</v>
      </c>
      <c r="E288" s="1">
        <v>-12853983.126970351</v>
      </c>
      <c r="F288" s="1">
        <v>0</v>
      </c>
      <c r="G288" s="1">
        <v>72178422.335239261</v>
      </c>
    </row>
    <row r="289" spans="1:7" x14ac:dyDescent="0.2">
      <c r="A289" s="12">
        <v>282</v>
      </c>
      <c r="B289" s="1">
        <v>65327258.171495609</v>
      </c>
      <c r="C289" s="1">
        <v>9.7829529955257843E-2</v>
      </c>
      <c r="D289" s="1">
        <v>51681436.963352978</v>
      </c>
      <c r="E289" s="1">
        <v>-12845182.47865515</v>
      </c>
      <c r="F289" s="1">
        <v>0</v>
      </c>
      <c r="G289" s="1">
        <v>72321585.810270905</v>
      </c>
    </row>
    <row r="290" spans="1:7" x14ac:dyDescent="0.2">
      <c r="A290" s="12">
        <v>283</v>
      </c>
      <c r="B290" s="1">
        <v>65702997.58109536</v>
      </c>
      <c r="C290" s="1">
        <v>0.12855989923809386</v>
      </c>
      <c r="D290" s="1">
        <v>51630317.809703968</v>
      </c>
      <c r="E290" s="1">
        <v>-12831994.602385199</v>
      </c>
      <c r="F290" s="1">
        <v>0</v>
      </c>
      <c r="G290" s="1">
        <v>72529907.826125532</v>
      </c>
    </row>
    <row r="291" spans="1:7" x14ac:dyDescent="0.2">
      <c r="A291" s="12">
        <v>284</v>
      </c>
      <c r="B291" s="1">
        <v>66291266.344112016</v>
      </c>
      <c r="C291" s="1">
        <v>0.19492277111307069</v>
      </c>
      <c r="D291" s="1">
        <v>51553613.697326943</v>
      </c>
      <c r="E291" s="1">
        <v>-12812206.239878848</v>
      </c>
      <c r="F291" s="1">
        <v>0</v>
      </c>
      <c r="G291" s="1">
        <v>72861226.290654168</v>
      </c>
    </row>
    <row r="292" spans="1:7" x14ac:dyDescent="0.2">
      <c r="A292" s="12">
        <v>285</v>
      </c>
      <c r="B292" s="1">
        <v>67161363.206581116</v>
      </c>
      <c r="C292" s="1">
        <v>0.35089974004549801</v>
      </c>
      <c r="D292" s="1">
        <v>51438633.674471982</v>
      </c>
      <c r="E292" s="1">
        <v>-12782543.340423599</v>
      </c>
      <c r="F292" s="1">
        <v>0</v>
      </c>
      <c r="G292" s="1">
        <v>73357317.502255455</v>
      </c>
    </row>
    <row r="293" spans="1:7" x14ac:dyDescent="0.2">
      <c r="A293" s="12">
        <v>286</v>
      </c>
      <c r="B293" s="1">
        <v>68289278.286057144</v>
      </c>
      <c r="C293" s="1">
        <v>0.50707046918777932</v>
      </c>
      <c r="D293" s="1">
        <v>51287154.47438398</v>
      </c>
      <c r="E293" s="1">
        <v>-12743464.2711192</v>
      </c>
      <c r="F293" s="1">
        <v>0</v>
      </c>
      <c r="G293" s="1">
        <v>74011140.434390813</v>
      </c>
    </row>
    <row r="294" spans="1:7" x14ac:dyDescent="0.2">
      <c r="A294" s="12">
        <v>287</v>
      </c>
      <c r="B294" s="1">
        <v>69441862.431051284</v>
      </c>
      <c r="C294" s="1">
        <v>0.59368128299249368</v>
      </c>
      <c r="D294" s="1">
        <v>51135675.274295993</v>
      </c>
      <c r="E294" s="1">
        <v>-12704385.201814801</v>
      </c>
      <c r="F294" s="1">
        <v>0</v>
      </c>
      <c r="G294" s="1">
        <v>74694966.126390517</v>
      </c>
    </row>
    <row r="295" spans="1:7" x14ac:dyDescent="0.2">
      <c r="A295" s="12">
        <v>288</v>
      </c>
      <c r="B295" s="1">
        <v>70569758.676725224</v>
      </c>
      <c r="C295" s="1">
        <v>0.61150722229905674</v>
      </c>
      <c r="D295" s="1">
        <v>50984145.31040097</v>
      </c>
      <c r="E295" s="1">
        <v>-12665293.036307549</v>
      </c>
      <c r="F295" s="1">
        <v>0</v>
      </c>
      <c r="G295" s="1">
        <v>75375464.218169123</v>
      </c>
    </row>
    <row r="296" spans="1:7" x14ac:dyDescent="0.2">
      <c r="A296" s="12">
        <v>289</v>
      </c>
      <c r="B296" s="1">
        <v>71722342.821719334</v>
      </c>
      <c r="C296" s="1">
        <v>0.64328389671510411</v>
      </c>
      <c r="D296" s="1">
        <v>50832666.110312983</v>
      </c>
      <c r="E296" s="1">
        <v>-12626213.96700315</v>
      </c>
      <c r="F296" s="1">
        <v>0</v>
      </c>
      <c r="G296" s="1">
        <v>76085764.836501211</v>
      </c>
    </row>
    <row r="297" spans="1:7" x14ac:dyDescent="0.2">
      <c r="A297" s="12">
        <v>290</v>
      </c>
      <c r="B297" s="1">
        <v>72568279.131326362</v>
      </c>
      <c r="C297" s="1">
        <v>0.63766485062933964</v>
      </c>
      <c r="D297" s="1">
        <v>50719056.710246965</v>
      </c>
      <c r="E297" s="1">
        <v>-12596904.665024849</v>
      </c>
      <c r="F297" s="1">
        <v>0</v>
      </c>
      <c r="G297" s="1">
        <v>76613993.998569369</v>
      </c>
    </row>
    <row r="298" spans="1:7" x14ac:dyDescent="0.2">
      <c r="A298" s="12">
        <v>291</v>
      </c>
      <c r="B298" s="1">
        <v>73156905.736582473</v>
      </c>
      <c r="C298" s="1">
        <v>0.62061395216219228</v>
      </c>
      <c r="D298" s="1">
        <v>50643317.110202976</v>
      </c>
      <c r="E298" s="1">
        <v>-12577365.130372649</v>
      </c>
      <c r="F298" s="1">
        <v>0</v>
      </c>
      <c r="G298" s="1">
        <v>76987277.102292597</v>
      </c>
    </row>
    <row r="299" spans="1:7" x14ac:dyDescent="0.2">
      <c r="A299" s="12">
        <v>292</v>
      </c>
      <c r="B299" s="1">
        <v>73532889.985609189</v>
      </c>
      <c r="C299" s="1">
        <v>0.60685697726256205</v>
      </c>
      <c r="D299" s="1">
        <v>50592857.886044987</v>
      </c>
      <c r="E299" s="1">
        <v>-12564347.50473975</v>
      </c>
      <c r="F299" s="1">
        <v>0</v>
      </c>
      <c r="G299" s="1">
        <v>77226330.034879968</v>
      </c>
    </row>
    <row r="300" spans="1:7" x14ac:dyDescent="0.2">
      <c r="A300" s="12">
        <v>293</v>
      </c>
      <c r="B300" s="1">
        <v>85782003.322255924</v>
      </c>
      <c r="C300" s="1">
        <v>0.68608659201165956</v>
      </c>
      <c r="D300" s="1">
        <v>60175743.483508788</v>
      </c>
      <c r="E300" s="1">
        <v>-12585155.413607482</v>
      </c>
      <c r="F300" s="1">
        <v>0</v>
      </c>
      <c r="G300" s="1">
        <v>88390969.672035396</v>
      </c>
    </row>
    <row r="301" spans="1:7" x14ac:dyDescent="0.2">
      <c r="A301" s="12">
        <v>294</v>
      </c>
      <c r="B301" s="1">
        <v>85814479.184189841</v>
      </c>
      <c r="C301" s="1">
        <v>0.66680957410073172</v>
      </c>
      <c r="D301" s="1">
        <v>60115411.060573377</v>
      </c>
      <c r="E301" s="1">
        <v>-12572064.405785756</v>
      </c>
      <c r="F301" s="1">
        <v>0</v>
      </c>
      <c r="G301" s="1">
        <v>88385019.423995033</v>
      </c>
    </row>
    <row r="302" spans="1:7" x14ac:dyDescent="0.2">
      <c r="A302" s="12">
        <v>295</v>
      </c>
      <c r="B302" s="1">
        <v>85863192.977090746</v>
      </c>
      <c r="C302" s="1">
        <v>0.62847459530059113</v>
      </c>
      <c r="D302" s="1">
        <v>60024912.426170267</v>
      </c>
      <c r="E302" s="1">
        <v>-12552427.894053169</v>
      </c>
      <c r="F302" s="1">
        <v>0</v>
      </c>
      <c r="G302" s="1">
        <v>88376245.83964625</v>
      </c>
    </row>
    <row r="303" spans="1:7" x14ac:dyDescent="0.2">
      <c r="A303" s="12">
        <v>296</v>
      </c>
      <c r="B303" s="1">
        <v>85922227.690047577</v>
      </c>
      <c r="C303" s="1">
        <v>0.55202369472202506</v>
      </c>
      <c r="D303" s="1">
        <v>59889134.247900806</v>
      </c>
      <c r="E303" s="1">
        <v>-12522966.567833133</v>
      </c>
      <c r="F303" s="1">
        <v>0</v>
      </c>
      <c r="G303" s="1">
        <v>88353524.855031565</v>
      </c>
    </row>
    <row r="304" spans="1:7" x14ac:dyDescent="0.2">
      <c r="A304" s="12">
        <v>297</v>
      </c>
      <c r="B304" s="1">
        <v>86010803.427526489</v>
      </c>
      <c r="C304" s="1">
        <v>0.54457575598371188</v>
      </c>
      <c r="D304" s="1">
        <v>59685527.43382623</v>
      </c>
      <c r="E304" s="1">
        <v>-12478787.695745386</v>
      </c>
      <c r="F304" s="1">
        <v>0</v>
      </c>
      <c r="G304" s="1">
        <v>88320179.545322999</v>
      </c>
    </row>
    <row r="305" spans="1:7" x14ac:dyDescent="0.2">
      <c r="A305" s="12">
        <v>298</v>
      </c>
      <c r="B305" s="1">
        <v>86145158.12049441</v>
      </c>
      <c r="C305" s="1">
        <v>0.55969069048205311</v>
      </c>
      <c r="D305" s="1">
        <v>59383925.772478782</v>
      </c>
      <c r="E305" s="1">
        <v>-12413345.773879066</v>
      </c>
      <c r="F305" s="1">
        <v>0</v>
      </c>
      <c r="G305" s="1">
        <v>88274544.995892599</v>
      </c>
    </row>
    <row r="306" spans="1:7" x14ac:dyDescent="0.2">
      <c r="A306" s="12">
        <v>299</v>
      </c>
      <c r="B306" s="1">
        <v>86307537.430164069</v>
      </c>
      <c r="C306" s="1">
        <v>0.56823391432894155</v>
      </c>
      <c r="D306" s="1">
        <v>59082263.657801747</v>
      </c>
      <c r="E306" s="1">
        <v>-12347890.73477044</v>
      </c>
      <c r="F306" s="1">
        <v>0</v>
      </c>
      <c r="G306" s="1">
        <v>88250711.436205149</v>
      </c>
    </row>
    <row r="307" spans="1:7" x14ac:dyDescent="0.2">
      <c r="A307" s="12">
        <v>300</v>
      </c>
      <c r="B307" s="1">
        <v>86441868.455088347</v>
      </c>
      <c r="C307" s="1">
        <v>0.50492643505328083</v>
      </c>
      <c r="D307" s="1">
        <v>58780601.54312472</v>
      </c>
      <c r="E307" s="1">
        <v>-12282435.695661813</v>
      </c>
      <c r="F307" s="1">
        <v>0</v>
      </c>
      <c r="G307" s="1">
        <v>88208812.786639154</v>
      </c>
    </row>
    <row r="308" spans="1:7" x14ac:dyDescent="0.2">
      <c r="A308" s="12">
        <v>301</v>
      </c>
      <c r="B308" s="1">
        <v>86576223.148056269</v>
      </c>
      <c r="C308" s="1">
        <v>0.57984393647984134</v>
      </c>
      <c r="D308" s="1">
        <v>58478999.881777287</v>
      </c>
      <c r="E308" s="1">
        <v>-12216993.773795493</v>
      </c>
      <c r="F308" s="1">
        <v>0</v>
      </c>
      <c r="G308" s="1">
        <v>88168807.781281918</v>
      </c>
    </row>
    <row r="309" spans="1:7" x14ac:dyDescent="0.2">
      <c r="A309" s="12">
        <v>302</v>
      </c>
      <c r="B309" s="1">
        <v>86738602.457725957</v>
      </c>
      <c r="C309" s="1">
        <v>0.59561604204332774</v>
      </c>
      <c r="D309" s="1">
        <v>58177337.767100252</v>
      </c>
      <c r="E309" s="1">
        <v>-12151538.734686866</v>
      </c>
      <c r="F309" s="1">
        <v>0</v>
      </c>
      <c r="G309" s="1">
        <v>88150884.532179132</v>
      </c>
    </row>
    <row r="310" spans="1:7" x14ac:dyDescent="0.2">
      <c r="A310" s="12">
        <v>303</v>
      </c>
      <c r="B310" s="1">
        <v>86872933.48265022</v>
      </c>
      <c r="C310" s="1">
        <v>0.53844215937568951</v>
      </c>
      <c r="D310" s="1">
        <v>57875675.652423225</v>
      </c>
      <c r="E310" s="1">
        <v>-12086083.69557824</v>
      </c>
      <c r="F310" s="1">
        <v>0</v>
      </c>
      <c r="G310" s="1">
        <v>88114629.748457074</v>
      </c>
    </row>
    <row r="311" spans="1:7" x14ac:dyDescent="0.2">
      <c r="A311" s="12">
        <v>304</v>
      </c>
      <c r="B311" s="1">
        <v>87007264.507574528</v>
      </c>
      <c r="C311" s="1">
        <v>0.58269167776213748</v>
      </c>
      <c r="D311" s="1">
        <v>57574013.537746221</v>
      </c>
      <c r="E311" s="1">
        <v>-12020628.656469611</v>
      </c>
      <c r="F311" s="1">
        <v>0</v>
      </c>
      <c r="G311" s="1">
        <v>88080231.207148999</v>
      </c>
    </row>
    <row r="312" spans="1:7" x14ac:dyDescent="0.2">
      <c r="A312" s="12">
        <v>305</v>
      </c>
      <c r="B312" s="1">
        <v>87169667.48528783</v>
      </c>
      <c r="C312" s="1">
        <v>0.61226437569367453</v>
      </c>
      <c r="D312" s="1">
        <v>57272411.876398787</v>
      </c>
      <c r="E312" s="1">
        <v>-11955186.734603291</v>
      </c>
      <c r="F312" s="1">
        <v>0</v>
      </c>
      <c r="G312" s="1">
        <v>88068278.013411894</v>
      </c>
    </row>
    <row r="313" spans="1:7" x14ac:dyDescent="0.2">
      <c r="A313" s="12">
        <v>306</v>
      </c>
      <c r="B313" s="1">
        <v>87303998.510212123</v>
      </c>
      <c r="C313" s="1">
        <v>0.52004136955162195</v>
      </c>
      <c r="D313" s="1">
        <v>56970749.761721753</v>
      </c>
      <c r="E313" s="1">
        <v>-11889731.695494665</v>
      </c>
      <c r="F313" s="1">
        <v>0</v>
      </c>
      <c r="G313" s="1">
        <v>88037685.490359083</v>
      </c>
    </row>
    <row r="314" spans="1:7" x14ac:dyDescent="0.2">
      <c r="A314" s="12">
        <v>307</v>
      </c>
      <c r="B314" s="1">
        <v>87438329.535136402</v>
      </c>
      <c r="C314" s="1">
        <v>0.54873783939629861</v>
      </c>
      <c r="D314" s="1">
        <v>56669087.647044726</v>
      </c>
      <c r="E314" s="1">
        <v>-11824276.656386038</v>
      </c>
      <c r="F314" s="1">
        <v>0</v>
      </c>
      <c r="G314" s="1">
        <v>88008955.029049292</v>
      </c>
    </row>
    <row r="315" spans="1:7" x14ac:dyDescent="0.2">
      <c r="A315" s="12">
        <v>308</v>
      </c>
      <c r="B315" s="1">
        <v>87600708.844806075</v>
      </c>
      <c r="C315" s="1">
        <v>0.64862784129837936</v>
      </c>
      <c r="D315" s="1">
        <v>56367425.532367691</v>
      </c>
      <c r="E315" s="1">
        <v>-11758821.617277412</v>
      </c>
      <c r="F315" s="1">
        <v>0</v>
      </c>
      <c r="G315" s="1">
        <v>88002897.68021147</v>
      </c>
    </row>
    <row r="316" spans="1:7" x14ac:dyDescent="0.2">
      <c r="A316" s="12">
        <v>309</v>
      </c>
      <c r="B316" s="1">
        <v>87735063.537773982</v>
      </c>
      <c r="C316" s="1">
        <v>0.62694119614858557</v>
      </c>
      <c r="D316" s="1">
        <v>56065823.871020265</v>
      </c>
      <c r="E316" s="1">
        <v>-11693379.695411092</v>
      </c>
      <c r="F316" s="1">
        <v>0</v>
      </c>
      <c r="G316" s="1">
        <v>87978025.373337269</v>
      </c>
    </row>
    <row r="317" spans="1:7" x14ac:dyDescent="0.2">
      <c r="A317" s="12">
        <v>310</v>
      </c>
      <c r="B317" s="1">
        <v>87869394.56269829</v>
      </c>
      <c r="C317" s="1">
        <v>0.53471819000653298</v>
      </c>
      <c r="D317" s="1">
        <v>55764161.756343253</v>
      </c>
      <c r="E317" s="1">
        <v>-11627924.656302463</v>
      </c>
      <c r="F317" s="1">
        <v>0</v>
      </c>
      <c r="G317" s="1">
        <v>87954976.99706383</v>
      </c>
    </row>
    <row r="318" spans="1:7" x14ac:dyDescent="0.2">
      <c r="A318" s="12">
        <v>311</v>
      </c>
      <c r="B318" s="1">
        <v>88031773.872367948</v>
      </c>
      <c r="C318" s="1">
        <v>0.6089785203679482</v>
      </c>
      <c r="D318" s="1">
        <v>55462499.641666226</v>
      </c>
      <c r="E318" s="1">
        <v>-11562469.617193837</v>
      </c>
      <c r="F318" s="1">
        <v>0</v>
      </c>
      <c r="G318" s="1">
        <v>87954868.044052556</v>
      </c>
    </row>
    <row r="319" spans="1:7" x14ac:dyDescent="0.2">
      <c r="A319" s="12">
        <v>312</v>
      </c>
      <c r="B319" s="1">
        <v>88166104.897292227</v>
      </c>
      <c r="C319" s="1">
        <v>0.59101584458731082</v>
      </c>
      <c r="D319" s="1">
        <v>55160837.526989192</v>
      </c>
      <c r="E319" s="1">
        <v>-11497014.57808521</v>
      </c>
      <c r="F319" s="1">
        <v>0</v>
      </c>
      <c r="G319" s="1">
        <v>87935642.551324874</v>
      </c>
    </row>
    <row r="320" spans="1:7" x14ac:dyDescent="0.2">
      <c r="A320" s="12">
        <v>313</v>
      </c>
      <c r="B320" s="1">
        <v>88462838.899929836</v>
      </c>
      <c r="C320" s="1">
        <v>0.64928501236352465</v>
      </c>
      <c r="D320" s="1">
        <v>54557573.750964731</v>
      </c>
      <c r="E320" s="1">
        <v>-11366117.617110264</v>
      </c>
      <c r="F320" s="1">
        <v>0</v>
      </c>
      <c r="G320" s="1">
        <v>87924174.210961938</v>
      </c>
    </row>
    <row r="321" spans="1:7" x14ac:dyDescent="0.2">
      <c r="A321" s="12">
        <v>314</v>
      </c>
      <c r="B321" s="1">
        <v>88462838.899929836</v>
      </c>
      <c r="C321" s="1">
        <v>0.64928501236352465</v>
      </c>
      <c r="D321" s="1">
        <v>54557573.750964731</v>
      </c>
      <c r="E321" s="1">
        <v>-11366117.617110264</v>
      </c>
      <c r="F321" s="1">
        <v>0</v>
      </c>
      <c r="G321" s="1">
        <v>87924174.210961938</v>
      </c>
    </row>
    <row r="322" spans="1:7" x14ac:dyDescent="0.2">
      <c r="A322" s="12">
        <v>315</v>
      </c>
      <c r="B322" s="1">
        <v>88597169.924854115</v>
      </c>
      <c r="C322" s="1">
        <v>0.5923301867176014</v>
      </c>
      <c r="D322" s="1">
        <v>54255911.636287704</v>
      </c>
      <c r="E322" s="1">
        <v>-11300662.578001637</v>
      </c>
      <c r="F322" s="1">
        <v>0</v>
      </c>
      <c r="G322" s="1">
        <v>87910646.51494725</v>
      </c>
    </row>
    <row r="323" spans="1:7" x14ac:dyDescent="0.2">
      <c r="A323" s="12">
        <v>316</v>
      </c>
      <c r="B323" s="1">
        <v>88893903.927491724</v>
      </c>
      <c r="C323" s="1">
        <v>0.53712781724539893</v>
      </c>
      <c r="D323" s="1">
        <v>53652647.860263258</v>
      </c>
      <c r="E323" s="1">
        <v>-11169765.61702669</v>
      </c>
      <c r="F323" s="1">
        <v>0</v>
      </c>
      <c r="G323" s="1">
        <v>87910834.162472174</v>
      </c>
    </row>
    <row r="324" spans="1:7" x14ac:dyDescent="0.2">
      <c r="A324" s="12">
        <v>317</v>
      </c>
      <c r="B324" s="1">
        <v>88893903.927491724</v>
      </c>
      <c r="C324" s="1">
        <v>0.53712781724539893</v>
      </c>
      <c r="D324" s="1">
        <v>53652647.860263258</v>
      </c>
      <c r="E324" s="1">
        <v>-11169765.61702669</v>
      </c>
      <c r="F324" s="1">
        <v>0</v>
      </c>
      <c r="G324" s="1">
        <v>87910834.162472174</v>
      </c>
    </row>
    <row r="325" spans="1:7" x14ac:dyDescent="0.2">
      <c r="A325" s="12">
        <v>318</v>
      </c>
      <c r="B325" s="1">
        <v>89028234.952415988</v>
      </c>
      <c r="C325" s="1">
        <v>0.63307479275660805</v>
      </c>
      <c r="D325" s="1">
        <v>53350985.745586209</v>
      </c>
      <c r="E325" s="1">
        <v>-11104310.577918062</v>
      </c>
      <c r="F325" s="1">
        <v>0</v>
      </c>
      <c r="G325" s="1">
        <v>87903009.565818951</v>
      </c>
    </row>
    <row r="326" spans="1:7" x14ac:dyDescent="0.2">
      <c r="A326" s="12">
        <v>319</v>
      </c>
      <c r="B326" s="1">
        <v>89324945.28700994</v>
      </c>
      <c r="C326" s="1">
        <v>0.4792967635126153</v>
      </c>
      <c r="D326" s="1">
        <v>52747661.51623217</v>
      </c>
      <c r="E326" s="1">
        <v>-10973400.499700811</v>
      </c>
      <c r="F326" s="1">
        <v>0</v>
      </c>
      <c r="G326" s="1">
        <v>87914815.961944297</v>
      </c>
    </row>
    <row r="327" spans="1:7" x14ac:dyDescent="0.2">
      <c r="A327" s="12">
        <v>320</v>
      </c>
      <c r="B327" s="1">
        <v>89324945.28700994</v>
      </c>
      <c r="C327" s="1">
        <v>0.4792967635126153</v>
      </c>
      <c r="D327" s="1">
        <v>52747661.51623217</v>
      </c>
      <c r="E327" s="1">
        <v>-10973400.499700811</v>
      </c>
      <c r="F327" s="1">
        <v>0</v>
      </c>
      <c r="G327" s="1">
        <v>87914815.961944297</v>
      </c>
    </row>
    <row r="328" spans="1:7" x14ac:dyDescent="0.2">
      <c r="A328" s="12">
        <v>321</v>
      </c>
      <c r="B328" s="1">
        <v>89459276.311934218</v>
      </c>
      <c r="C328" s="1">
        <v>0.58553941904443363</v>
      </c>
      <c r="D328" s="1">
        <v>52445999.401555143</v>
      </c>
      <c r="E328" s="1">
        <v>-10907945.460592182</v>
      </c>
      <c r="F328" s="1">
        <v>0</v>
      </c>
      <c r="G328" s="1">
        <v>87912696.365369484</v>
      </c>
    </row>
    <row r="329" spans="1:7" x14ac:dyDescent="0.2">
      <c r="A329" s="12">
        <v>322</v>
      </c>
      <c r="B329" s="1">
        <v>89756010.314571828</v>
      </c>
      <c r="C329" s="1">
        <v>0.52288911083391809</v>
      </c>
      <c r="D329" s="1">
        <v>51842735.625530683</v>
      </c>
      <c r="E329" s="1">
        <v>-10777048.499617234</v>
      </c>
      <c r="F329" s="1">
        <v>0</v>
      </c>
      <c r="G329" s="1">
        <v>87936197.952970907</v>
      </c>
    </row>
    <row r="330" spans="1:7" x14ac:dyDescent="0.2">
      <c r="A330" s="12">
        <v>323</v>
      </c>
      <c r="B330" s="1">
        <v>89890341.339496106</v>
      </c>
      <c r="C330" s="1">
        <v>0.49857378142354314</v>
      </c>
      <c r="D330" s="1">
        <v>51541073.510853641</v>
      </c>
      <c r="E330" s="1">
        <v>-10711593.460508609</v>
      </c>
      <c r="F330" s="1">
        <v>0</v>
      </c>
      <c r="G330" s="1">
        <v>87939781.419160753</v>
      </c>
    </row>
    <row r="331" spans="1:7" x14ac:dyDescent="0.2">
      <c r="A331" s="12">
        <v>324</v>
      </c>
      <c r="B331" s="1">
        <v>90024672.364420384</v>
      </c>
      <c r="C331" s="1">
        <v>0.46659145625314014</v>
      </c>
      <c r="D331" s="1">
        <v>51239411.396176606</v>
      </c>
      <c r="E331" s="1">
        <v>-10646138.421399983</v>
      </c>
      <c r="F331" s="1">
        <v>0</v>
      </c>
      <c r="G331" s="1">
        <v>87945238.69718872</v>
      </c>
    </row>
    <row r="332" spans="1:7" x14ac:dyDescent="0.2">
      <c r="A332" s="12">
        <v>325</v>
      </c>
      <c r="B332" s="1">
        <v>90187051.674090058</v>
      </c>
      <c r="C332" s="1">
        <v>0.5822535637187074</v>
      </c>
      <c r="D332" s="1">
        <v>50937749.281499587</v>
      </c>
      <c r="E332" s="1">
        <v>-10580683.382291354</v>
      </c>
      <c r="F332" s="1">
        <v>0</v>
      </c>
      <c r="G332" s="1">
        <v>87974888.141896218</v>
      </c>
    </row>
    <row r="333" spans="1:7" x14ac:dyDescent="0.2">
      <c r="A333" s="12">
        <v>326</v>
      </c>
      <c r="B333" s="1">
        <v>90321406.367057979</v>
      </c>
      <c r="C333" s="1">
        <v>0.58072016456670172</v>
      </c>
      <c r="D333" s="1">
        <v>50636147.620152161</v>
      </c>
      <c r="E333" s="1">
        <v>-10515241.460425034</v>
      </c>
      <c r="F333" s="1">
        <v>0</v>
      </c>
      <c r="G333" s="1">
        <v>87984208.402941972</v>
      </c>
    </row>
    <row r="334" spans="1:7" x14ac:dyDescent="0.2">
      <c r="A334" s="12">
        <v>327</v>
      </c>
      <c r="B334" s="1">
        <v>90455737.391982257</v>
      </c>
      <c r="C334" s="1">
        <v>0.48608753118578313</v>
      </c>
      <c r="D334" s="1">
        <v>50334485.505475126</v>
      </c>
      <c r="E334" s="1">
        <v>-10449786.421316408</v>
      </c>
      <c r="F334" s="1">
        <v>0</v>
      </c>
      <c r="G334" s="1">
        <v>87995361.922517225</v>
      </c>
    </row>
    <row r="335" spans="1:7" x14ac:dyDescent="0.2">
      <c r="A335" s="12">
        <v>328</v>
      </c>
      <c r="B335" s="1">
        <v>90618116.701651931</v>
      </c>
      <c r="C335" s="1">
        <v>0.44293329790791053</v>
      </c>
      <c r="D335" s="1">
        <v>50032823.390798107</v>
      </c>
      <c r="E335" s="1">
        <v>-10384331.382207781</v>
      </c>
      <c r="F335" s="1">
        <v>0</v>
      </c>
      <c r="G335" s="1">
        <v>88030941.345512182</v>
      </c>
    </row>
    <row r="336" spans="1:7" x14ac:dyDescent="0.2">
      <c r="A336" s="12">
        <v>329</v>
      </c>
      <c r="B336" s="1">
        <v>90752447.726576209</v>
      </c>
      <c r="C336" s="1">
        <v>0.51763174231275599</v>
      </c>
      <c r="D336" s="1">
        <v>49731161.27612108</v>
      </c>
      <c r="E336" s="1">
        <v>-10318876.343099155</v>
      </c>
      <c r="F336" s="1">
        <v>0</v>
      </c>
      <c r="G336" s="1">
        <v>88045913.182897612</v>
      </c>
    </row>
    <row r="337" spans="1:7" x14ac:dyDescent="0.2">
      <c r="A337" s="12">
        <v>330</v>
      </c>
      <c r="B337" s="1">
        <v>90886778.751500502</v>
      </c>
      <c r="C337" s="1">
        <v>0.6679048592093072</v>
      </c>
      <c r="D337" s="1">
        <v>49429499.161444046</v>
      </c>
      <c r="E337" s="1">
        <v>-10253421.303990528</v>
      </c>
      <c r="F337" s="1">
        <v>0</v>
      </c>
      <c r="G337" s="1">
        <v>88062753.999745399</v>
      </c>
    </row>
    <row r="338" spans="1:7" x14ac:dyDescent="0.2">
      <c r="A338" s="12">
        <v>331</v>
      </c>
      <c r="B338" s="1">
        <v>91049158.061170161</v>
      </c>
      <c r="C338" s="1">
        <v>0.66418088984015067</v>
      </c>
      <c r="D338" s="1">
        <v>49127837.046767019</v>
      </c>
      <c r="E338" s="1">
        <v>-10187966.264881901</v>
      </c>
      <c r="F338" s="1">
        <v>0</v>
      </c>
      <c r="G338" s="1">
        <v>88104248.507304087</v>
      </c>
    </row>
    <row r="339" spans="1:7" x14ac:dyDescent="0.2">
      <c r="A339" s="12">
        <v>332</v>
      </c>
      <c r="B339" s="1">
        <v>91183512.754138112</v>
      </c>
      <c r="C339" s="1">
        <v>0.61905514336684231</v>
      </c>
      <c r="D339" s="1">
        <v>48826235.3854196</v>
      </c>
      <c r="E339" s="1">
        <v>-10122524.343015581</v>
      </c>
      <c r="F339" s="1">
        <v>0</v>
      </c>
      <c r="G339" s="1">
        <v>88124935.602280706</v>
      </c>
    </row>
    <row r="340" spans="1:7" x14ac:dyDescent="0.2">
      <c r="A340" s="12">
        <v>333</v>
      </c>
      <c r="B340" s="1">
        <v>91317843.77906239</v>
      </c>
      <c r="C340" s="1">
        <v>0.44337141195134072</v>
      </c>
      <c r="D340" s="1">
        <v>48524573.270742565</v>
      </c>
      <c r="E340" s="1">
        <v>-10057069.303906955</v>
      </c>
      <c r="F340" s="1">
        <v>0</v>
      </c>
      <c r="G340" s="1">
        <v>88147450.269312724</v>
      </c>
    </row>
    <row r="341" spans="1:7" x14ac:dyDescent="0.2">
      <c r="A341" s="12">
        <v>334</v>
      </c>
      <c r="B341" s="1">
        <v>91480223.088732049</v>
      </c>
      <c r="C341" s="1">
        <v>0.48170639075148131</v>
      </c>
      <c r="D341" s="1">
        <v>48222911.156065539</v>
      </c>
      <c r="E341" s="1">
        <v>-9991614.2647983264</v>
      </c>
      <c r="F341" s="1">
        <v>0</v>
      </c>
      <c r="G341" s="1">
        <v>88194840.894894913</v>
      </c>
    </row>
    <row r="342" spans="1:7" x14ac:dyDescent="0.2">
      <c r="A342" s="12">
        <v>335</v>
      </c>
      <c r="B342" s="1">
        <v>91568798.826210946</v>
      </c>
      <c r="C342" s="1">
        <v>0.56998637050266232</v>
      </c>
      <c r="D342" s="1">
        <v>48019304.34199094</v>
      </c>
      <c r="E342" s="1">
        <v>-9947435.3927105796</v>
      </c>
      <c r="F342" s="1">
        <v>0</v>
      </c>
      <c r="G342" s="1">
        <v>88210677.813583449</v>
      </c>
    </row>
    <row r="343" spans="1:7" x14ac:dyDescent="0.2">
      <c r="A343" s="12">
        <v>336</v>
      </c>
      <c r="B343" s="1">
        <v>91627833.539167792</v>
      </c>
      <c r="C343" s="1">
        <v>0.603502094825071</v>
      </c>
      <c r="D343" s="1">
        <v>47883526.163721494</v>
      </c>
      <c r="E343" s="1">
        <v>-9917974.0664905459</v>
      </c>
      <c r="F343" s="1">
        <v>0</v>
      </c>
      <c r="G343" s="1">
        <v>88221678.385394275</v>
      </c>
    </row>
    <row r="344" spans="1:7" x14ac:dyDescent="0.2">
      <c r="A344" s="12">
        <v>337</v>
      </c>
      <c r="B344" s="1">
        <v>91676571.00011234</v>
      </c>
      <c r="C344" s="1">
        <v>0.61598834506283107</v>
      </c>
      <c r="D344" s="1">
        <v>47793087.982647963</v>
      </c>
      <c r="E344" s="1">
        <v>-9898350.6720002629</v>
      </c>
      <c r="F344" s="1">
        <v>0</v>
      </c>
      <c r="G344" s="1">
        <v>88236973.734609395</v>
      </c>
    </row>
    <row r="345" spans="1:7" x14ac:dyDescent="0.2">
      <c r="A345" s="12">
        <v>338</v>
      </c>
      <c r="B345" s="1">
        <v>91709046.862046272</v>
      </c>
      <c r="C345" s="1">
        <v>0.61664551612797625</v>
      </c>
      <c r="D345" s="1">
        <v>47732755.559712574</v>
      </c>
      <c r="E345" s="1">
        <v>-9885259.6641785391</v>
      </c>
      <c r="F345" s="1">
        <v>0</v>
      </c>
      <c r="G345" s="1">
        <v>88247246.906415433</v>
      </c>
    </row>
    <row r="346" spans="1:7" x14ac:dyDescent="0.2">
      <c r="A346" s="12">
        <v>339</v>
      </c>
      <c r="B346" s="1">
        <v>91709046.862046272</v>
      </c>
      <c r="C346" s="1">
        <v>0.61664551612797625</v>
      </c>
      <c r="D346" s="1">
        <v>47732755.559712574</v>
      </c>
      <c r="E346" s="1">
        <v>-9885259.6641785391</v>
      </c>
      <c r="F346" s="1">
        <v>0</v>
      </c>
      <c r="G346" s="1">
        <v>88247246.906415433</v>
      </c>
    </row>
    <row r="347" spans="1:7" x14ac:dyDescent="0.2">
      <c r="A347" s="12">
        <v>340</v>
      </c>
      <c r="B347" s="1">
        <v>91713616.447496682</v>
      </c>
      <c r="C347" s="1">
        <v>0.61204531867195944</v>
      </c>
      <c r="D347" s="1">
        <v>47672785.856754728</v>
      </c>
      <c r="E347" s="1">
        <v>-9872247.3598106503</v>
      </c>
      <c r="F347" s="1">
        <v>0</v>
      </c>
      <c r="G347" s="1">
        <v>88234668.670412973</v>
      </c>
    </row>
    <row r="348" spans="1:7" x14ac:dyDescent="0.2">
      <c r="A348" s="12">
        <v>341</v>
      </c>
      <c r="B348" s="1">
        <v>91734494.968044996</v>
      </c>
      <c r="C348" s="1">
        <v>0.59452075693475226</v>
      </c>
      <c r="D348" s="1">
        <v>47582831.302317977</v>
      </c>
      <c r="E348" s="1">
        <v>-9852728.903258821</v>
      </c>
      <c r="F348" s="1">
        <v>0</v>
      </c>
      <c r="G348" s="1">
        <v>88227482.134955853</v>
      </c>
    </row>
    <row r="349" spans="1:7" x14ac:dyDescent="0.2">
      <c r="A349" s="12">
        <v>342</v>
      </c>
      <c r="B349" s="1">
        <v>91765836.41691111</v>
      </c>
      <c r="C349" s="1">
        <v>0.55574766409118159</v>
      </c>
      <c r="D349" s="1">
        <v>47447959.923992425</v>
      </c>
      <c r="E349" s="1">
        <v>-9823464.3356733788</v>
      </c>
      <c r="F349" s="1">
        <v>0</v>
      </c>
      <c r="G349" s="1">
        <v>88216994.970205262</v>
      </c>
    </row>
    <row r="350" spans="1:7" x14ac:dyDescent="0.2">
      <c r="A350" s="12">
        <v>343</v>
      </c>
      <c r="B350" s="1">
        <v>91798812.613815755</v>
      </c>
      <c r="C350" s="1">
        <v>0.57743430924097527</v>
      </c>
      <c r="D350" s="1">
        <v>47245622.629839323</v>
      </c>
      <c r="E350" s="1">
        <v>-9779560.9256740659</v>
      </c>
      <c r="F350" s="1">
        <v>0</v>
      </c>
      <c r="G350" s="1">
        <v>88190204.776321888</v>
      </c>
    </row>
    <row r="351" spans="1:7" x14ac:dyDescent="0.2">
      <c r="A351" s="12">
        <v>344</v>
      </c>
      <c r="B351" s="1">
        <v>91877804.446645871</v>
      </c>
      <c r="C351" s="1">
        <v>0.48762093033778875</v>
      </c>
      <c r="D351" s="1">
        <v>46945895.021709323</v>
      </c>
      <c r="E351" s="1">
        <v>-9714525.6383192427</v>
      </c>
      <c r="F351" s="1">
        <v>0</v>
      </c>
      <c r="G351" s="1">
        <v>88176758.35766241</v>
      </c>
    </row>
    <row r="352" spans="1:7" x14ac:dyDescent="0.2">
      <c r="A352" s="12">
        <v>345</v>
      </c>
      <c r="B352" s="1">
        <v>91928747.994730607</v>
      </c>
      <c r="C352" s="1">
        <v>0.53252761978938201</v>
      </c>
      <c r="D352" s="1">
        <v>46646167.413579322</v>
      </c>
      <c r="E352" s="1">
        <v>-9649490.3509644177</v>
      </c>
      <c r="F352" s="1">
        <v>0</v>
      </c>
      <c r="G352" s="1">
        <v>88141510.791059196</v>
      </c>
    </row>
    <row r="353" spans="1:7" x14ac:dyDescent="0.2">
      <c r="A353" s="12">
        <v>346</v>
      </c>
      <c r="B353" s="1">
        <v>92007716.15951708</v>
      </c>
      <c r="C353" s="1">
        <v>0.60569266504222186</v>
      </c>
      <c r="D353" s="1">
        <v>46346379.352119729</v>
      </c>
      <c r="E353" s="1">
        <v>-9584441.946367288</v>
      </c>
      <c r="F353" s="1">
        <v>0</v>
      </c>
      <c r="G353" s="1">
        <v>88131098.986548454</v>
      </c>
    </row>
    <row r="354" spans="1:7" x14ac:dyDescent="0.2">
      <c r="A354" s="12">
        <v>347</v>
      </c>
      <c r="B354" s="1">
        <v>92086707.992347211</v>
      </c>
      <c r="C354" s="1">
        <v>0.57743430924097527</v>
      </c>
      <c r="D354" s="1">
        <v>46046651.743989728</v>
      </c>
      <c r="E354" s="1">
        <v>-9519406.6590124648</v>
      </c>
      <c r="F354" s="1">
        <v>0</v>
      </c>
      <c r="G354" s="1">
        <v>88122290.967878699</v>
      </c>
    </row>
    <row r="355" spans="1:7" x14ac:dyDescent="0.2">
      <c r="A355" s="12">
        <v>348</v>
      </c>
      <c r="B355" s="1">
        <v>92137651.540431932</v>
      </c>
      <c r="C355" s="1">
        <v>0.47053448264401182</v>
      </c>
      <c r="D355" s="1">
        <v>45746924.13585972</v>
      </c>
      <c r="E355" s="1">
        <v>-9454371.3716576397</v>
      </c>
      <c r="F355" s="1">
        <v>0</v>
      </c>
      <c r="G355" s="1">
        <v>88091491.852125227</v>
      </c>
    </row>
    <row r="356" spans="1:7" x14ac:dyDescent="0.2">
      <c r="A356" s="12">
        <v>349</v>
      </c>
      <c r="B356" s="1">
        <v>92216643.373262048</v>
      </c>
      <c r="C356" s="1">
        <v>0.45761011836282156</v>
      </c>
      <c r="D356" s="1">
        <v>45447196.527729727</v>
      </c>
      <c r="E356" s="1">
        <v>-9389336.0843028165</v>
      </c>
      <c r="F356" s="1">
        <v>0</v>
      </c>
      <c r="G356" s="1">
        <v>88085758.396221086</v>
      </c>
    </row>
    <row r="357" spans="1:7" x14ac:dyDescent="0.2">
      <c r="A357" s="12">
        <v>350</v>
      </c>
      <c r="B357" s="1">
        <v>92267563.25330314</v>
      </c>
      <c r="C357" s="1">
        <v>0.50339303590127515</v>
      </c>
      <c r="D357" s="1">
        <v>45147408.466270134</v>
      </c>
      <c r="E357" s="1">
        <v>-9324287.6797056869</v>
      </c>
      <c r="F357" s="1">
        <v>0</v>
      </c>
      <c r="G357" s="1">
        <v>88057875.837114453</v>
      </c>
    </row>
    <row r="358" spans="1:7" x14ac:dyDescent="0.2">
      <c r="A358" s="12">
        <v>351</v>
      </c>
      <c r="B358" s="1">
        <v>92346555.086133271</v>
      </c>
      <c r="C358" s="1">
        <v>0.48148733372976621</v>
      </c>
      <c r="D358" s="1">
        <v>44847680.858140126</v>
      </c>
      <c r="E358" s="1">
        <v>-9259252.3923508618</v>
      </c>
      <c r="F358" s="1">
        <v>0</v>
      </c>
      <c r="G358" s="1">
        <v>88055219.991885245</v>
      </c>
    </row>
    <row r="359" spans="1:7" x14ac:dyDescent="0.2">
      <c r="A359" s="12">
        <v>352</v>
      </c>
      <c r="B359" s="1">
        <v>92476466.79900448</v>
      </c>
      <c r="C359" s="1">
        <v>0.54150895767970064</v>
      </c>
      <c r="D359" s="1">
        <v>44248165.188550532</v>
      </c>
      <c r="E359" s="1">
        <v>-9129168.7003989089</v>
      </c>
      <c r="F359" s="1">
        <v>0</v>
      </c>
      <c r="G359" s="1">
        <v>88030716.732376337</v>
      </c>
    </row>
    <row r="360" spans="1:7" x14ac:dyDescent="0.2">
      <c r="A360" s="12">
        <v>353</v>
      </c>
      <c r="B360" s="1">
        <v>92555458.631834596</v>
      </c>
      <c r="C360" s="1">
        <v>0.51368871592188436</v>
      </c>
      <c r="D360" s="1">
        <v>43948437.580420531</v>
      </c>
      <c r="E360" s="1">
        <v>-9064133.4130440839</v>
      </c>
      <c r="F360" s="1">
        <v>0</v>
      </c>
      <c r="G360" s="1">
        <v>88032712.160130396</v>
      </c>
    </row>
    <row r="361" spans="1:7" x14ac:dyDescent="0.2">
      <c r="A361" s="12">
        <v>354</v>
      </c>
      <c r="B361" s="1">
        <v>92606402.179919317</v>
      </c>
      <c r="C361" s="1">
        <v>0.53734687426711403</v>
      </c>
      <c r="D361" s="1">
        <v>43648709.972290531</v>
      </c>
      <c r="E361" s="1">
        <v>-8999098.1256892607</v>
      </c>
      <c r="F361" s="1">
        <v>0</v>
      </c>
      <c r="G361" s="1">
        <v>88012286.579718426</v>
      </c>
    </row>
    <row r="362" spans="1:7" x14ac:dyDescent="0.2">
      <c r="A362" s="12">
        <v>355</v>
      </c>
      <c r="B362" s="1">
        <v>92685394.012749463</v>
      </c>
      <c r="C362" s="1">
        <v>0.50996474655272794</v>
      </c>
      <c r="D362" s="1">
        <v>43348982.364160545</v>
      </c>
      <c r="E362" s="1">
        <v>-8934062.8383344356</v>
      </c>
      <c r="F362" s="1">
        <v>0</v>
      </c>
      <c r="G362" s="1">
        <v>88017363.328717142</v>
      </c>
    </row>
    <row r="363" spans="1:7" x14ac:dyDescent="0.2">
      <c r="A363" s="12">
        <v>356</v>
      </c>
      <c r="B363" s="1">
        <v>92685394.012749463</v>
      </c>
      <c r="C363" s="1">
        <v>0.50996474655272794</v>
      </c>
      <c r="D363" s="1">
        <v>43348982.364160545</v>
      </c>
      <c r="E363" s="1">
        <v>-8934062.8383344356</v>
      </c>
      <c r="F363" s="1">
        <v>0</v>
      </c>
      <c r="G363" s="1">
        <v>88017363.328717142</v>
      </c>
    </row>
    <row r="364" spans="1:7" x14ac:dyDescent="0.2">
      <c r="A364" s="12">
        <v>357</v>
      </c>
      <c r="B364" s="1">
        <v>92815305.725620657</v>
      </c>
      <c r="C364" s="1">
        <v>0.4552004911239555</v>
      </c>
      <c r="D364" s="1">
        <v>42749466.694570936</v>
      </c>
      <c r="E364" s="1">
        <v>-8803979.1463824827</v>
      </c>
      <c r="F364" s="1">
        <v>0</v>
      </c>
      <c r="G364" s="1">
        <v>88008025.804328531</v>
      </c>
    </row>
    <row r="365" spans="1:7" x14ac:dyDescent="0.2">
      <c r="A365" s="12">
        <v>358</v>
      </c>
      <c r="B365" s="1">
        <v>92815305.725620657</v>
      </c>
      <c r="C365" s="1">
        <v>0.4552004911239555</v>
      </c>
      <c r="D365" s="1">
        <v>42749466.694570936</v>
      </c>
      <c r="E365" s="1">
        <v>-8803979.1463824827</v>
      </c>
      <c r="F365" s="1">
        <v>0</v>
      </c>
      <c r="G365" s="1">
        <v>88008025.804328531</v>
      </c>
    </row>
    <row r="366" spans="1:7" x14ac:dyDescent="0.2">
      <c r="A366" s="12">
        <v>359</v>
      </c>
      <c r="B366" s="1">
        <v>92945217.438491881</v>
      </c>
      <c r="C366" s="1">
        <v>0.52332722487734828</v>
      </c>
      <c r="D366" s="1">
        <v>42149951.024981357</v>
      </c>
      <c r="E366" s="1">
        <v>-8673895.454430528</v>
      </c>
      <c r="F366" s="1">
        <v>0</v>
      </c>
      <c r="G366" s="1">
        <v>88004734.888675272</v>
      </c>
    </row>
    <row r="367" spans="1:7" x14ac:dyDescent="0.2">
      <c r="A367" s="12">
        <v>360</v>
      </c>
      <c r="B367" s="1">
        <v>92945217.438491881</v>
      </c>
      <c r="C367" s="1">
        <v>0.52332722487734828</v>
      </c>
      <c r="D367" s="1">
        <v>42149951.024981357</v>
      </c>
      <c r="E367" s="1">
        <v>-8673895.454430528</v>
      </c>
      <c r="F367" s="1">
        <v>0</v>
      </c>
      <c r="G367" s="1">
        <v>88004734.888675272</v>
      </c>
    </row>
    <row r="368" spans="1:7" x14ac:dyDescent="0.2">
      <c r="A368" s="12">
        <v>361</v>
      </c>
      <c r="B368" s="1">
        <v>93075152.819406733</v>
      </c>
      <c r="C368" s="1">
        <v>0.49463075503267162</v>
      </c>
      <c r="D368" s="1">
        <v>41550495.808721356</v>
      </c>
      <c r="E368" s="1">
        <v>-8543824.8797208797</v>
      </c>
      <c r="F368" s="1">
        <v>0</v>
      </c>
      <c r="G368" s="1">
        <v>88007522.477968216</v>
      </c>
    </row>
    <row r="369" spans="1:7" x14ac:dyDescent="0.2">
      <c r="A369" s="12">
        <v>362</v>
      </c>
      <c r="B369" s="1">
        <v>93154120.984193206</v>
      </c>
      <c r="C369" s="1">
        <v>0.39342641100030035</v>
      </c>
      <c r="D369" s="1">
        <v>41250707.747261763</v>
      </c>
      <c r="E369" s="1">
        <v>-8478776.47512375</v>
      </c>
      <c r="F369" s="1">
        <v>0</v>
      </c>
      <c r="G369" s="1">
        <v>88023382.897542283</v>
      </c>
    </row>
    <row r="370" spans="1:7" x14ac:dyDescent="0.2">
      <c r="A370" s="12">
        <v>363</v>
      </c>
      <c r="B370" s="1">
        <v>93154120.984193206</v>
      </c>
      <c r="C370" s="1">
        <v>0.39342641100030035</v>
      </c>
      <c r="D370" s="1">
        <v>41250707.747261763</v>
      </c>
      <c r="E370" s="1">
        <v>-8478776.47512375</v>
      </c>
      <c r="F370" s="1">
        <v>0</v>
      </c>
      <c r="G370" s="1">
        <v>88023382.897542283</v>
      </c>
    </row>
    <row r="371" spans="1:7" x14ac:dyDescent="0.2">
      <c r="A371" s="12">
        <v>364</v>
      </c>
      <c r="B371" s="1">
        <v>93284056.365108058</v>
      </c>
      <c r="C371" s="1">
        <v>0.57217694071981329</v>
      </c>
      <c r="D371" s="1">
        <v>40651252.531001754</v>
      </c>
      <c r="E371" s="1">
        <v>-8348705.9004141018</v>
      </c>
      <c r="F371" s="1">
        <v>0</v>
      </c>
      <c r="G371" s="1">
        <v>88035295.501220822</v>
      </c>
    </row>
    <row r="372" spans="1:7" x14ac:dyDescent="0.2">
      <c r="A372" s="12">
        <v>365</v>
      </c>
      <c r="B372" s="1">
        <v>93284056.365108058</v>
      </c>
      <c r="C372" s="1">
        <v>0.57217694071981329</v>
      </c>
      <c r="D372" s="1">
        <v>40651252.531001754</v>
      </c>
      <c r="E372" s="1">
        <v>-8348705.9004141018</v>
      </c>
      <c r="F372" s="1">
        <v>0</v>
      </c>
      <c r="G372" s="1">
        <v>88035295.501220822</v>
      </c>
    </row>
    <row r="373" spans="1:7" x14ac:dyDescent="0.2">
      <c r="A373" s="12">
        <v>366</v>
      </c>
      <c r="B373" s="1">
        <v>93413968.077979282</v>
      </c>
      <c r="C373" s="1">
        <v>0.50032623759726391</v>
      </c>
      <c r="D373" s="1">
        <v>40051736.861412168</v>
      </c>
      <c r="E373" s="1">
        <v>-8218622.208462148</v>
      </c>
      <c r="F373" s="1">
        <v>0</v>
      </c>
      <c r="G373" s="1">
        <v>88053219.272700608</v>
      </c>
    </row>
    <row r="374" spans="1:7" x14ac:dyDescent="0.2">
      <c r="A374" s="12">
        <v>367</v>
      </c>
      <c r="B374" s="1">
        <v>93413968.077979282</v>
      </c>
      <c r="C374" s="1">
        <v>0.50032623759726391</v>
      </c>
      <c r="D374" s="1">
        <v>40051736.861412168</v>
      </c>
      <c r="E374" s="1">
        <v>-8218622.208462148</v>
      </c>
      <c r="F374" s="1">
        <v>0</v>
      </c>
      <c r="G374" s="1">
        <v>88053219.272700608</v>
      </c>
    </row>
    <row r="375" spans="1:7" x14ac:dyDescent="0.2">
      <c r="A375" s="12">
        <v>368</v>
      </c>
      <c r="B375" s="1">
        <v>93543879.79085049</v>
      </c>
      <c r="C375" s="1">
        <v>0.38291167395797604</v>
      </c>
      <c r="D375" s="1">
        <v>39452221.191822566</v>
      </c>
      <c r="E375" s="1">
        <v>-8088538.5165101932</v>
      </c>
      <c r="F375" s="1">
        <v>0</v>
      </c>
      <c r="G375" s="1">
        <v>88077181.874475017</v>
      </c>
    </row>
    <row r="376" spans="1:7" x14ac:dyDescent="0.2">
      <c r="A376" s="12">
        <v>369</v>
      </c>
      <c r="B376" s="1">
        <v>93594823.338935211</v>
      </c>
      <c r="C376" s="1">
        <v>0.54304235683170632</v>
      </c>
      <c r="D376" s="1">
        <v>39152493.583692566</v>
      </c>
      <c r="E376" s="1">
        <v>-8023503.22915537</v>
      </c>
      <c r="F376" s="1">
        <v>0</v>
      </c>
      <c r="G376" s="1">
        <v>88079016.821427494</v>
      </c>
    </row>
    <row r="377" spans="1:7" x14ac:dyDescent="0.2">
      <c r="A377" s="12">
        <v>370</v>
      </c>
      <c r="B377" s="1">
        <v>93673815.171765327</v>
      </c>
      <c r="C377" s="1">
        <v>0.59035867352216564</v>
      </c>
      <c r="D377" s="1">
        <v>38852765.975562565</v>
      </c>
      <c r="E377" s="1">
        <v>-7958467.941800545</v>
      </c>
      <c r="F377" s="1">
        <v>0</v>
      </c>
      <c r="G377" s="1">
        <v>88107208.023639426</v>
      </c>
    </row>
    <row r="378" spans="1:7" x14ac:dyDescent="0.2">
      <c r="A378" s="12">
        <v>371</v>
      </c>
      <c r="B378" s="1">
        <v>93752807.004595459</v>
      </c>
      <c r="C378" s="1">
        <v>0.49857378142354314</v>
      </c>
      <c r="D378" s="1">
        <v>38553038.367432564</v>
      </c>
      <c r="E378" s="1">
        <v>-7893432.6544457218</v>
      </c>
      <c r="F378" s="1">
        <v>0</v>
      </c>
      <c r="G378" s="1">
        <v>88136959.674146757</v>
      </c>
    </row>
    <row r="379" spans="1:7" x14ac:dyDescent="0.2">
      <c r="A379" s="12">
        <v>372</v>
      </c>
      <c r="B379" s="1">
        <v>93803726.884636551</v>
      </c>
      <c r="C379" s="1">
        <v>0.45541954814567065</v>
      </c>
      <c r="D379" s="1">
        <v>38253250.305972971</v>
      </c>
      <c r="E379" s="1">
        <v>-7828384.2498485912</v>
      </c>
      <c r="F379" s="1">
        <v>0</v>
      </c>
      <c r="G379" s="1">
        <v>88143231.868003696</v>
      </c>
    </row>
    <row r="380" spans="1:7" x14ac:dyDescent="0.2">
      <c r="A380" s="12">
        <v>373</v>
      </c>
      <c r="B380" s="1">
        <v>93882718.717466667</v>
      </c>
      <c r="C380" s="1">
        <v>0.50558360611842612</v>
      </c>
      <c r="D380" s="1">
        <v>37953522.697842963</v>
      </c>
      <c r="E380" s="1">
        <v>-7763348.962493767</v>
      </c>
      <c r="F380" s="1">
        <v>0</v>
      </c>
      <c r="G380" s="1">
        <v>88176047.076128408</v>
      </c>
    </row>
    <row r="381" spans="1:7" x14ac:dyDescent="0.2">
      <c r="A381" s="12">
        <v>374</v>
      </c>
      <c r="B381" s="1">
        <v>93933662.265551403</v>
      </c>
      <c r="C381" s="1">
        <v>0.44096178471247471</v>
      </c>
      <c r="D381" s="1">
        <v>37653795.08971297</v>
      </c>
      <c r="E381" s="1">
        <v>-7698313.6751389438</v>
      </c>
      <c r="F381" s="1">
        <v>0</v>
      </c>
      <c r="G381" s="1">
        <v>88185304.591026425</v>
      </c>
    </row>
    <row r="382" spans="1:7" x14ac:dyDescent="0.2">
      <c r="A382" s="12">
        <v>375</v>
      </c>
      <c r="B382" s="1">
        <v>94012630.430337891</v>
      </c>
      <c r="C382" s="1">
        <v>0.42212288084497701</v>
      </c>
      <c r="D382" s="1">
        <v>37354007.028253376</v>
      </c>
      <c r="E382" s="1">
        <v>-7633265.2705418132</v>
      </c>
      <c r="F382" s="1">
        <v>0</v>
      </c>
      <c r="G382" s="1">
        <v>88221149.7351605</v>
      </c>
    </row>
    <row r="383" spans="1:7" x14ac:dyDescent="0.2">
      <c r="A383" s="12">
        <v>376</v>
      </c>
      <c r="B383" s="1">
        <v>94063573.978422612</v>
      </c>
      <c r="C383" s="1">
        <v>0.41138908678093766</v>
      </c>
      <c r="D383" s="1">
        <v>37054279.420123369</v>
      </c>
      <c r="E383" s="1">
        <v>-7568229.9831869882</v>
      </c>
      <c r="F383" s="1">
        <v>0</v>
      </c>
      <c r="G383" s="1">
        <v>88233360.240050152</v>
      </c>
    </row>
    <row r="384" spans="1:7" x14ac:dyDescent="0.2">
      <c r="A384" s="12">
        <v>377</v>
      </c>
      <c r="B384" s="1">
        <v>94142565.811252728</v>
      </c>
      <c r="C384" s="1">
        <v>0.44359046897305576</v>
      </c>
      <c r="D384" s="1">
        <v>36754551.811993375</v>
      </c>
      <c r="E384" s="1">
        <v>-7503194.695832165</v>
      </c>
      <c r="F384" s="1">
        <v>0</v>
      </c>
      <c r="G384" s="1">
        <v>88272286.270622671</v>
      </c>
    </row>
    <row r="385" spans="1:7" x14ac:dyDescent="0.2">
      <c r="A385" s="12">
        <v>378</v>
      </c>
      <c r="B385" s="1">
        <v>94193485.691293821</v>
      </c>
      <c r="C385" s="1">
        <v>0.4552004911239555</v>
      </c>
      <c r="D385" s="1">
        <v>36454763.750533782</v>
      </c>
      <c r="E385" s="1">
        <v>-7438146.2912350353</v>
      </c>
      <c r="F385" s="1">
        <v>0</v>
      </c>
      <c r="G385" s="1">
        <v>88287417.925235316</v>
      </c>
    </row>
    <row r="386" spans="1:7" x14ac:dyDescent="0.2">
      <c r="A386" s="12">
        <v>379</v>
      </c>
      <c r="B386" s="1">
        <v>94272477.524123952</v>
      </c>
      <c r="C386" s="1">
        <v>0.50667889122700149</v>
      </c>
      <c r="D386" s="1">
        <v>36155036.142403796</v>
      </c>
      <c r="E386" s="1">
        <v>-7373111.0038802112</v>
      </c>
      <c r="F386" s="1">
        <v>0</v>
      </c>
      <c r="G386" s="1">
        <v>88329390.397103027</v>
      </c>
    </row>
    <row r="387" spans="1:7" x14ac:dyDescent="0.2">
      <c r="A387" s="12">
        <v>380</v>
      </c>
      <c r="B387" s="1">
        <v>94351469.356954068</v>
      </c>
      <c r="C387" s="1">
        <v>0.42803742043128445</v>
      </c>
      <c r="D387" s="1">
        <v>35855308.534273773</v>
      </c>
      <c r="E387" s="1">
        <v>-7308075.716525387</v>
      </c>
      <c r="F387" s="1">
        <v>0</v>
      </c>
      <c r="G387" s="1">
        <v>88372908.214642018</v>
      </c>
    </row>
    <row r="388" spans="1:7" x14ac:dyDescent="0.2">
      <c r="A388" s="12">
        <v>381</v>
      </c>
      <c r="B388" s="1">
        <v>94402389.236995161</v>
      </c>
      <c r="C388" s="1">
        <v>0.3875118714139929</v>
      </c>
      <c r="D388" s="1">
        <v>35555520.47281418</v>
      </c>
      <c r="E388" s="1">
        <v>-7243027.3119282564</v>
      </c>
      <c r="F388" s="1">
        <v>0</v>
      </c>
      <c r="G388" s="1">
        <v>88392478.428939596</v>
      </c>
    </row>
    <row r="389" spans="1:7" x14ac:dyDescent="0.2">
      <c r="A389" s="12">
        <v>382</v>
      </c>
      <c r="B389" s="1">
        <v>94481381.069825292</v>
      </c>
      <c r="C389" s="1">
        <v>0.38663564332713257</v>
      </c>
      <c r="D389" s="1">
        <v>35255792.864684194</v>
      </c>
      <c r="E389" s="1">
        <v>-7177992.0245734332</v>
      </c>
      <c r="F389" s="1">
        <v>0</v>
      </c>
      <c r="G389" s="1">
        <v>88439031.712888569</v>
      </c>
    </row>
    <row r="390" spans="1:7" x14ac:dyDescent="0.2">
      <c r="A390" s="12">
        <v>383</v>
      </c>
      <c r="B390" s="1">
        <v>94532300.949866369</v>
      </c>
      <c r="C390" s="1">
        <v>0.44205706982105014</v>
      </c>
      <c r="D390" s="1">
        <v>34956004.803224578</v>
      </c>
      <c r="E390" s="1">
        <v>-7112943.6199763017</v>
      </c>
      <c r="F390" s="1">
        <v>0</v>
      </c>
      <c r="G390" s="1">
        <v>88461537.885647446</v>
      </c>
    </row>
    <row r="391" spans="1:7" x14ac:dyDescent="0.2">
      <c r="A391" s="12">
        <v>384</v>
      </c>
      <c r="B391" s="1">
        <v>94611292.782696486</v>
      </c>
      <c r="C391" s="1">
        <v>0.50558360611842612</v>
      </c>
      <c r="D391" s="1">
        <v>34656277.195094585</v>
      </c>
      <c r="E391" s="1">
        <v>-7047908.3326214785</v>
      </c>
      <c r="F391" s="1">
        <v>0</v>
      </c>
      <c r="G391" s="1">
        <v>88511118.848039106</v>
      </c>
    </row>
    <row r="392" spans="1:7" x14ac:dyDescent="0.2">
      <c r="A392" s="12">
        <v>385</v>
      </c>
      <c r="B392" s="1">
        <v>94662236.330781221</v>
      </c>
      <c r="C392" s="1">
        <v>0.54041367257112527</v>
      </c>
      <c r="D392" s="1">
        <v>34356549.5869646</v>
      </c>
      <c r="E392" s="1">
        <v>-6982873.0452666543</v>
      </c>
      <c r="F392" s="1">
        <v>0</v>
      </c>
      <c r="G392" s="1">
        <v>88536580.440852702</v>
      </c>
    </row>
    <row r="393" spans="1:7" x14ac:dyDescent="0.2">
      <c r="A393" s="12">
        <v>386</v>
      </c>
      <c r="B393" s="1">
        <v>94741204.495567694</v>
      </c>
      <c r="C393" s="1">
        <v>0.49156395672866032</v>
      </c>
      <c r="D393" s="1">
        <v>34056761.525505006</v>
      </c>
      <c r="E393" s="1">
        <v>-6917824.6406695247</v>
      </c>
      <c r="F393" s="1">
        <v>0</v>
      </c>
      <c r="G393" s="1">
        <v>88589154.795050338</v>
      </c>
    </row>
    <row r="394" spans="1:7" x14ac:dyDescent="0.2">
      <c r="A394" s="12">
        <v>387</v>
      </c>
      <c r="B394" s="1">
        <v>94792148.04365243</v>
      </c>
      <c r="C394" s="1">
        <v>0.4225609948884072</v>
      </c>
      <c r="D394" s="1">
        <v>33757033.917374991</v>
      </c>
      <c r="E394" s="1">
        <v>-6852789.3533147005</v>
      </c>
      <c r="F394" s="1">
        <v>0</v>
      </c>
      <c r="G394" s="1">
        <v>88617538.722315624</v>
      </c>
    </row>
    <row r="395" spans="1:7" x14ac:dyDescent="0.2">
      <c r="A395" s="12">
        <v>388</v>
      </c>
      <c r="B395" s="1">
        <v>94871139.876482561</v>
      </c>
      <c r="C395" s="1">
        <v>0.41927513956268087</v>
      </c>
      <c r="D395" s="1">
        <v>33457306.309245002</v>
      </c>
      <c r="E395" s="1">
        <v>-6787754.0659598764</v>
      </c>
      <c r="F395" s="1">
        <v>0</v>
      </c>
      <c r="G395" s="1">
        <v>88673148.958333716</v>
      </c>
    </row>
    <row r="396" spans="1:7" x14ac:dyDescent="0.2">
      <c r="A396" s="12">
        <v>389</v>
      </c>
      <c r="B396" s="1">
        <v>94950108.041269034</v>
      </c>
      <c r="C396" s="1">
        <v>0.42058948169297145</v>
      </c>
      <c r="D396" s="1">
        <v>33157518.247785408</v>
      </c>
      <c r="E396" s="1">
        <v>-6722705.6613627467</v>
      </c>
      <c r="F396" s="1">
        <v>0</v>
      </c>
      <c r="G396" s="1">
        <v>88730258.638593107</v>
      </c>
    </row>
    <row r="397" spans="1:7" x14ac:dyDescent="0.2">
      <c r="A397" s="12">
        <v>390</v>
      </c>
      <c r="B397" s="1">
        <v>95001051.58935377</v>
      </c>
      <c r="C397" s="1">
        <v>0.48827810140293404</v>
      </c>
      <c r="D397" s="1">
        <v>32857790.639655411</v>
      </c>
      <c r="E397" s="1">
        <v>-6657670.3740079226</v>
      </c>
      <c r="F397" s="1">
        <v>0</v>
      </c>
      <c r="G397" s="1">
        <v>88763034.118293226</v>
      </c>
    </row>
    <row r="398" spans="1:7" x14ac:dyDescent="0.2">
      <c r="A398" s="12">
        <v>391</v>
      </c>
      <c r="B398" s="1">
        <v>95080043.422183886</v>
      </c>
      <c r="C398" s="1">
        <v>0.53208950574595193</v>
      </c>
      <c r="D398" s="1">
        <v>32558063.031525414</v>
      </c>
      <c r="E398" s="1">
        <v>-6592635.0866530985</v>
      </c>
      <c r="F398" s="1">
        <v>0</v>
      </c>
      <c r="G398" s="1">
        <v>88823163.997361809</v>
      </c>
    </row>
    <row r="399" spans="1:7" x14ac:dyDescent="0.2">
      <c r="A399" s="12">
        <v>392</v>
      </c>
      <c r="B399" s="1">
        <v>95130963.302224979</v>
      </c>
      <c r="C399" s="1">
        <v>0.46330560092741385</v>
      </c>
      <c r="D399" s="1">
        <v>32258274.970065814</v>
      </c>
      <c r="E399" s="1">
        <v>-6527586.6820559679</v>
      </c>
      <c r="F399" s="1">
        <v>0</v>
      </c>
      <c r="G399" s="1">
        <v>88858817.625414625</v>
      </c>
    </row>
    <row r="400" spans="1:7" x14ac:dyDescent="0.2">
      <c r="A400" s="12">
        <v>393</v>
      </c>
      <c r="B400" s="1">
        <v>95209955.135055095</v>
      </c>
      <c r="C400" s="1">
        <v>0.42759930638785426</v>
      </c>
      <c r="D400" s="1">
        <v>31958547.361935806</v>
      </c>
      <c r="E400" s="1">
        <v>-6462551.3947011437</v>
      </c>
      <c r="F400" s="1">
        <v>0</v>
      </c>
      <c r="G400" s="1">
        <v>88921932.446485594</v>
      </c>
    </row>
    <row r="401" spans="1:7" x14ac:dyDescent="0.2">
      <c r="A401" s="12">
        <v>394</v>
      </c>
      <c r="B401" s="1">
        <v>95260898.683139846</v>
      </c>
      <c r="C401" s="1">
        <v>0.39276923993515511</v>
      </c>
      <c r="D401" s="1">
        <v>31658819.75380582</v>
      </c>
      <c r="E401" s="1">
        <v>-6397516.1073463205</v>
      </c>
      <c r="F401" s="1">
        <v>0</v>
      </c>
      <c r="G401" s="1">
        <v>88960504.075806215</v>
      </c>
    </row>
    <row r="402" spans="1:7" x14ac:dyDescent="0.2">
      <c r="A402" s="12">
        <v>395</v>
      </c>
      <c r="B402" s="1">
        <v>95339866.847926319</v>
      </c>
      <c r="C402" s="1">
        <v>0.40416020506433975</v>
      </c>
      <c r="D402" s="1">
        <v>31359031.692346223</v>
      </c>
      <c r="E402" s="1">
        <v>-6332467.7027491909</v>
      </c>
      <c r="F402" s="1">
        <v>0</v>
      </c>
      <c r="G402" s="1">
        <v>89026569.463113979</v>
      </c>
    </row>
    <row r="403" spans="1:7" x14ac:dyDescent="0.2">
      <c r="A403" s="12">
        <v>396</v>
      </c>
      <c r="B403" s="1">
        <v>95390810.39601104</v>
      </c>
      <c r="C403" s="1">
        <v>0.48849715842464914</v>
      </c>
      <c r="D403" s="1">
        <v>31059304.084216218</v>
      </c>
      <c r="E403" s="1">
        <v>-6267432.4153943658</v>
      </c>
      <c r="F403" s="1">
        <v>0</v>
      </c>
      <c r="G403" s="1">
        <v>89068025.844658628</v>
      </c>
    </row>
    <row r="404" spans="1:7" x14ac:dyDescent="0.2">
      <c r="A404" s="12">
        <v>397</v>
      </c>
      <c r="B404" s="1">
        <v>95469778.560797513</v>
      </c>
      <c r="C404" s="1">
        <v>0.49660226822810738</v>
      </c>
      <c r="D404" s="1">
        <v>30759516.022756614</v>
      </c>
      <c r="E404" s="1">
        <v>-6202384.0107972361</v>
      </c>
      <c r="F404" s="1">
        <v>0</v>
      </c>
      <c r="G404" s="1">
        <v>89137054.413608432</v>
      </c>
    </row>
    <row r="405" spans="1:7" x14ac:dyDescent="0.2">
      <c r="A405" s="12">
        <v>398</v>
      </c>
      <c r="B405" s="1">
        <v>95548770.393627644</v>
      </c>
      <c r="C405" s="1">
        <v>0.41839891147582053</v>
      </c>
      <c r="D405" s="1">
        <v>30459788.414626617</v>
      </c>
      <c r="E405" s="1">
        <v>-6137348.723442412</v>
      </c>
      <c r="F405" s="1">
        <v>0</v>
      </c>
      <c r="G405" s="1">
        <v>89207603.326211363</v>
      </c>
    </row>
    <row r="406" spans="1:7" x14ac:dyDescent="0.2">
      <c r="A406" s="12">
        <v>399</v>
      </c>
      <c r="B406" s="1">
        <v>95599713.941712365</v>
      </c>
      <c r="C406" s="1">
        <v>0.35925351561274643</v>
      </c>
      <c r="D406" s="1">
        <v>30160060.806496624</v>
      </c>
      <c r="E406" s="1">
        <v>-6072313.4360875869</v>
      </c>
      <c r="F406" s="1">
        <v>0</v>
      </c>
      <c r="G406" s="1">
        <v>89253387.658102512</v>
      </c>
    </row>
    <row r="407" spans="1:7" x14ac:dyDescent="0.2">
      <c r="A407" s="12">
        <v>400</v>
      </c>
      <c r="B407" s="1">
        <v>95678682.106498852</v>
      </c>
      <c r="C407" s="1">
        <v>0.43263761788730137</v>
      </c>
      <c r="D407" s="1">
        <v>29860272.745037027</v>
      </c>
      <c r="E407" s="1">
        <v>-6007265.0314904582</v>
      </c>
      <c r="F407" s="1">
        <v>0</v>
      </c>
      <c r="G407" s="1">
        <v>89326858.411428869</v>
      </c>
    </row>
    <row r="408" spans="1:7" x14ac:dyDescent="0.2">
      <c r="A408" s="12">
        <v>401</v>
      </c>
      <c r="B408" s="1">
        <v>95729625.654583588</v>
      </c>
      <c r="C408" s="1">
        <v>0.4256277931924185</v>
      </c>
      <c r="D408" s="1">
        <v>29560545.136907019</v>
      </c>
      <c r="E408" s="1">
        <v>-5942229.744135634</v>
      </c>
      <c r="F408" s="1">
        <v>0</v>
      </c>
      <c r="G408" s="1">
        <v>89375501.575941846</v>
      </c>
    </row>
    <row r="409" spans="1:7" x14ac:dyDescent="0.2">
      <c r="A409" s="12">
        <v>402</v>
      </c>
      <c r="B409" s="1">
        <v>95808593.819370061</v>
      </c>
      <c r="C409" s="1">
        <v>0.42606590723584864</v>
      </c>
      <c r="D409" s="1">
        <v>29260757.075447425</v>
      </c>
      <c r="E409" s="1">
        <v>-5877181.3395385034</v>
      </c>
      <c r="F409" s="1">
        <v>0</v>
      </c>
      <c r="G409" s="1">
        <v>89451904.128353924</v>
      </c>
    </row>
    <row r="410" spans="1:7" x14ac:dyDescent="0.2">
      <c r="A410" s="12">
        <v>403</v>
      </c>
      <c r="B410" s="1">
        <v>95859537.367454797</v>
      </c>
      <c r="C410" s="1">
        <v>0.4470953813204972</v>
      </c>
      <c r="D410" s="1">
        <v>28961029.467317432</v>
      </c>
      <c r="E410" s="1">
        <v>-5812146.0521836793</v>
      </c>
      <c r="F410" s="1">
        <v>0</v>
      </c>
      <c r="G410" s="1">
        <v>89503395.061561406</v>
      </c>
    </row>
    <row r="411" spans="1:7" x14ac:dyDescent="0.2">
      <c r="A411" s="12">
        <v>404</v>
      </c>
      <c r="B411" s="1">
        <v>95938529.200284913</v>
      </c>
      <c r="C411" s="1">
        <v>0.42738024936613922</v>
      </c>
      <c r="D411" s="1">
        <v>28661301.859187435</v>
      </c>
      <c r="E411" s="1">
        <v>-5747110.7648288561</v>
      </c>
      <c r="F411" s="1">
        <v>0</v>
      </c>
      <c r="G411" s="1">
        <v>89582737.448539168</v>
      </c>
    </row>
    <row r="412" spans="1:7" x14ac:dyDescent="0.2">
      <c r="A412" s="12">
        <v>405</v>
      </c>
      <c r="B412" s="1">
        <v>95989449.080326006</v>
      </c>
      <c r="C412" s="1">
        <v>0.35903445859103134</v>
      </c>
      <c r="D412" s="1">
        <v>28361513.797727831</v>
      </c>
      <c r="E412" s="1">
        <v>-5682062.3602317246</v>
      </c>
      <c r="F412" s="1">
        <v>0</v>
      </c>
      <c r="G412" s="1">
        <v>89637043.314653724</v>
      </c>
    </row>
    <row r="413" spans="1:7" x14ac:dyDescent="0.2">
      <c r="A413" s="12">
        <v>406</v>
      </c>
      <c r="B413" s="1">
        <v>96068440.913156137</v>
      </c>
      <c r="C413" s="1">
        <v>0.46177220177540823</v>
      </c>
      <c r="D413" s="1">
        <v>28061786.189597834</v>
      </c>
      <c r="E413" s="1">
        <v>-5617027.0728769014</v>
      </c>
      <c r="F413" s="1">
        <v>0</v>
      </c>
      <c r="G413" s="1">
        <v>89719290.305136383</v>
      </c>
    </row>
    <row r="414" spans="1:7" x14ac:dyDescent="0.2">
      <c r="A414" s="12">
        <v>407</v>
      </c>
      <c r="B414" s="1">
        <v>96147409.07794261</v>
      </c>
      <c r="C414" s="1">
        <v>0.47316316690459287</v>
      </c>
      <c r="D414" s="1">
        <v>27761998.128138244</v>
      </c>
      <c r="E414" s="1">
        <v>-5551978.6682797698</v>
      </c>
      <c r="F414" s="1">
        <v>0</v>
      </c>
      <c r="G414" s="1">
        <v>89802981.881667256</v>
      </c>
    </row>
    <row r="415" spans="1:7" x14ac:dyDescent="0.2">
      <c r="A415" s="12">
        <v>408</v>
      </c>
      <c r="B415" s="1">
        <v>96198352.626027331</v>
      </c>
      <c r="C415" s="1">
        <v>0.37612090628480832</v>
      </c>
      <c r="D415" s="1">
        <v>27462270.520008232</v>
      </c>
      <c r="E415" s="1">
        <v>-5486943.3809249466</v>
      </c>
      <c r="F415" s="1">
        <v>0</v>
      </c>
      <c r="G415" s="1">
        <v>89861558.055139571</v>
      </c>
    </row>
    <row r="416" spans="1:7" x14ac:dyDescent="0.2">
      <c r="A416" s="12">
        <v>409</v>
      </c>
      <c r="B416" s="1">
        <v>96277344.458857462</v>
      </c>
      <c r="C416" s="1">
        <v>0.44380952599477091</v>
      </c>
      <c r="D416" s="1">
        <v>27162542.911878247</v>
      </c>
      <c r="E416" s="1">
        <v>-5421908.0935701225</v>
      </c>
      <c r="F416" s="1">
        <v>0</v>
      </c>
      <c r="G416" s="1">
        <v>89948152.736854583</v>
      </c>
    </row>
    <row r="417" spans="1:7" x14ac:dyDescent="0.2">
      <c r="A417" s="12">
        <v>410</v>
      </c>
      <c r="B417" s="1">
        <v>96328264.33889854</v>
      </c>
      <c r="C417" s="1">
        <v>0.4067888893249208</v>
      </c>
      <c r="D417" s="1">
        <v>26862754.850418642</v>
      </c>
      <c r="E417" s="1">
        <v>-5356859.6889729919</v>
      </c>
      <c r="F417" s="1">
        <v>0</v>
      </c>
      <c r="G417" s="1">
        <v>90009513.823176026</v>
      </c>
    </row>
    <row r="418" spans="1:7" x14ac:dyDescent="0.2">
      <c r="A418" s="12">
        <v>411</v>
      </c>
      <c r="B418" s="1">
        <v>96407256.171728671</v>
      </c>
      <c r="C418" s="1">
        <v>0.41226531486779805</v>
      </c>
      <c r="D418" s="1">
        <v>26563027.242288645</v>
      </c>
      <c r="E418" s="1">
        <v>-5291824.4016181687</v>
      </c>
      <c r="F418" s="1">
        <v>0</v>
      </c>
      <c r="G418" s="1">
        <v>90098976.184277877</v>
      </c>
    </row>
    <row r="419" spans="1:7" x14ac:dyDescent="0.2">
      <c r="A419" s="12">
        <v>412</v>
      </c>
      <c r="B419" s="1">
        <v>96458176.051769763</v>
      </c>
      <c r="C419" s="1">
        <v>0.47228693881773248</v>
      </c>
      <c r="D419" s="1">
        <v>26263239.180829052</v>
      </c>
      <c r="E419" s="1">
        <v>-5226775.997021039</v>
      </c>
      <c r="F419" s="1">
        <v>0</v>
      </c>
      <c r="G419" s="1">
        <v>90163129.531241089</v>
      </c>
    </row>
    <row r="420" spans="1:7" x14ac:dyDescent="0.2">
      <c r="A420" s="12">
        <v>413</v>
      </c>
      <c r="B420" s="1">
        <v>96537167.884599879</v>
      </c>
      <c r="C420" s="1">
        <v>0.41138908678093766</v>
      </c>
      <c r="D420" s="1">
        <v>25963511.572699048</v>
      </c>
      <c r="E420" s="1">
        <v>-5161740.709666214</v>
      </c>
      <c r="F420" s="1">
        <v>0</v>
      </c>
      <c r="G420" s="1">
        <v>90255444.2842042</v>
      </c>
    </row>
    <row r="421" spans="1:7" x14ac:dyDescent="0.2">
      <c r="A421" s="12">
        <v>414</v>
      </c>
      <c r="B421" s="1">
        <v>96588087.764640972</v>
      </c>
      <c r="C421" s="1">
        <v>0.38181638884940061</v>
      </c>
      <c r="D421" s="1">
        <v>25663723.511239458</v>
      </c>
      <c r="E421" s="1">
        <v>-5096692.3050690843</v>
      </c>
      <c r="F421" s="1">
        <v>0</v>
      </c>
      <c r="G421" s="1">
        <v>90322376.119034559</v>
      </c>
    </row>
    <row r="422" spans="1:7" x14ac:dyDescent="0.2">
      <c r="A422" s="12">
        <v>415</v>
      </c>
      <c r="B422" s="1">
        <v>96667079.597471103</v>
      </c>
      <c r="C422" s="1">
        <v>0.36845391052478016</v>
      </c>
      <c r="D422" s="1">
        <v>25363995.903109465</v>
      </c>
      <c r="E422" s="1">
        <v>-5031657.0177142611</v>
      </c>
      <c r="F422" s="1">
        <v>0</v>
      </c>
      <c r="G422" s="1">
        <v>90417527.663112864</v>
      </c>
    </row>
    <row r="423" spans="1:7" x14ac:dyDescent="0.2">
      <c r="A423" s="12">
        <v>416</v>
      </c>
      <c r="B423" s="1">
        <v>96746071.430301204</v>
      </c>
      <c r="C423" s="1">
        <v>0.34041461174524873</v>
      </c>
      <c r="D423" s="1">
        <v>25064268.294979449</v>
      </c>
      <c r="E423" s="1">
        <v>-4966621.730359436</v>
      </c>
      <c r="F423" s="1">
        <v>0</v>
      </c>
      <c r="G423" s="1">
        <v>90514107.531621188</v>
      </c>
    </row>
    <row r="424" spans="1:7" x14ac:dyDescent="0.2">
      <c r="A424" s="12">
        <v>417</v>
      </c>
      <c r="B424" s="1">
        <v>96796991.310342297</v>
      </c>
      <c r="C424" s="1">
        <v>0.38488318715341191</v>
      </c>
      <c r="D424" s="1">
        <v>24764480.23351986</v>
      </c>
      <c r="E424" s="1">
        <v>-4901573.3257623063</v>
      </c>
      <c r="F424" s="1">
        <v>0</v>
      </c>
      <c r="G424" s="1">
        <v>90585196.275636092</v>
      </c>
    </row>
    <row r="425" spans="1:7" x14ac:dyDescent="0.2">
      <c r="A425" s="12">
        <v>418</v>
      </c>
      <c r="B425" s="1">
        <v>96875983.143172413</v>
      </c>
      <c r="C425" s="1">
        <v>0.35903445859103134</v>
      </c>
      <c r="D425" s="1">
        <v>24464752.62538987</v>
      </c>
      <c r="E425" s="1">
        <v>-4836538.0384074822</v>
      </c>
      <c r="F425" s="1">
        <v>0</v>
      </c>
      <c r="G425" s="1">
        <v>90684588.078156844</v>
      </c>
    </row>
    <row r="426" spans="1:7" x14ac:dyDescent="0.2">
      <c r="A426" s="12">
        <v>419</v>
      </c>
      <c r="B426" s="1">
        <v>96926903.023213506</v>
      </c>
      <c r="C426" s="1">
        <v>0.34698632239670141</v>
      </c>
      <c r="D426" s="1">
        <v>24164964.563930269</v>
      </c>
      <c r="E426" s="1">
        <v>-4771489.6338103516</v>
      </c>
      <c r="F426" s="1">
        <v>0</v>
      </c>
      <c r="G426" s="1">
        <v>90758419.058463559</v>
      </c>
    </row>
    <row r="427" spans="1:7" x14ac:dyDescent="0.2">
      <c r="A427" s="12">
        <v>420</v>
      </c>
      <c r="B427" s="1">
        <v>97005894.856043622</v>
      </c>
      <c r="C427" s="1">
        <v>0.35465331815672957</v>
      </c>
      <c r="D427" s="1">
        <v>23865236.955800265</v>
      </c>
      <c r="E427" s="1">
        <v>-4706454.3464555284</v>
      </c>
      <c r="F427" s="1">
        <v>0</v>
      </c>
      <c r="G427" s="1">
        <v>90860606.112515435</v>
      </c>
    </row>
    <row r="428" spans="1:7" x14ac:dyDescent="0.2">
      <c r="A428" s="12">
        <v>421</v>
      </c>
      <c r="B428" s="1">
        <v>97056814.736084729</v>
      </c>
      <c r="C428" s="1">
        <v>0.31412776913943802</v>
      </c>
      <c r="D428" s="1">
        <v>23565448.894340679</v>
      </c>
      <c r="E428" s="1">
        <v>-4641405.9418583987</v>
      </c>
      <c r="F428" s="1">
        <v>0</v>
      </c>
      <c r="G428" s="1">
        <v>90937164.328339711</v>
      </c>
    </row>
    <row r="429" spans="1:7" x14ac:dyDescent="0.2">
      <c r="A429" s="12">
        <v>422</v>
      </c>
      <c r="B429" s="1">
        <v>97135806.568914846</v>
      </c>
      <c r="C429" s="1">
        <v>0.33230950194179043</v>
      </c>
      <c r="D429" s="1">
        <v>23265721.286210675</v>
      </c>
      <c r="E429" s="1">
        <v>-4576370.6545035737</v>
      </c>
      <c r="F429" s="1">
        <v>0</v>
      </c>
      <c r="G429" s="1">
        <v>91042129.521262184</v>
      </c>
    </row>
    <row r="430" spans="1:7" x14ac:dyDescent="0.2">
      <c r="A430" s="12">
        <v>423</v>
      </c>
      <c r="B430" s="1">
        <v>97214774.733701319</v>
      </c>
      <c r="C430" s="1">
        <v>0.35246274793957866</v>
      </c>
      <c r="D430" s="1">
        <v>22965933.224751081</v>
      </c>
      <c r="E430" s="1">
        <v>-4511322.2499064431</v>
      </c>
      <c r="F430" s="1">
        <v>0</v>
      </c>
      <c r="G430" s="1">
        <v>91148474.933507264</v>
      </c>
    </row>
    <row r="431" spans="1:7" x14ac:dyDescent="0.2">
      <c r="A431" s="12">
        <v>424</v>
      </c>
      <c r="B431" s="1">
        <v>97265718.281786054</v>
      </c>
      <c r="C431" s="1">
        <v>0.33406195811551115</v>
      </c>
      <c r="D431" s="1">
        <v>22666205.616621085</v>
      </c>
      <c r="E431" s="1">
        <v>-4446286.9625516199</v>
      </c>
      <c r="F431" s="1">
        <v>0</v>
      </c>
      <c r="G431" s="1">
        <v>91229125.48182714</v>
      </c>
    </row>
    <row r="432" spans="1:7" x14ac:dyDescent="0.2">
      <c r="A432" s="12">
        <v>425</v>
      </c>
      <c r="B432" s="1">
        <v>97344710.114616171</v>
      </c>
      <c r="C432" s="1">
        <v>0.37699713437166865</v>
      </c>
      <c r="D432" s="1">
        <v>22366478.008491077</v>
      </c>
      <c r="E432" s="1">
        <v>-4381251.6751967957</v>
      </c>
      <c r="F432" s="1">
        <v>0</v>
      </c>
      <c r="G432" s="1">
        <v>91338238.893379256</v>
      </c>
    </row>
    <row r="433" spans="1:7" x14ac:dyDescent="0.2">
      <c r="A433" s="12">
        <v>426</v>
      </c>
      <c r="B433" s="1">
        <v>97395629.994657278</v>
      </c>
      <c r="C433" s="1">
        <v>0.40437926208605479</v>
      </c>
      <c r="D433" s="1">
        <v>22066689.947031494</v>
      </c>
      <c r="E433" s="1">
        <v>-4316203.2705996661</v>
      </c>
      <c r="F433" s="1">
        <v>0</v>
      </c>
      <c r="G433" s="1">
        <v>91421560.456476539</v>
      </c>
    </row>
    <row r="434" spans="1:7" x14ac:dyDescent="0.2">
      <c r="A434" s="12">
        <v>427</v>
      </c>
      <c r="B434" s="1">
        <v>97474621.827487394</v>
      </c>
      <c r="C434" s="1">
        <v>0.37371127904594231</v>
      </c>
      <c r="D434" s="1">
        <v>21766962.338901486</v>
      </c>
      <c r="E434" s="1">
        <v>-4251167.9832448419</v>
      </c>
      <c r="F434" s="1">
        <v>0</v>
      </c>
      <c r="G434" s="1">
        <v>91533407.16900824</v>
      </c>
    </row>
    <row r="435" spans="1:7" x14ac:dyDescent="0.2">
      <c r="A435" s="12">
        <v>428</v>
      </c>
      <c r="B435" s="1">
        <v>97525541.707528472</v>
      </c>
      <c r="C435" s="1">
        <v>0.35728200241731062</v>
      </c>
      <c r="D435" s="1">
        <v>21467174.277441889</v>
      </c>
      <c r="E435" s="1">
        <v>-4186119.5786477113</v>
      </c>
      <c r="F435" s="1">
        <v>0</v>
      </c>
      <c r="G435" s="1">
        <v>91619399.993720859</v>
      </c>
    </row>
    <row r="436" spans="1:7" x14ac:dyDescent="0.2">
      <c r="A436" s="12">
        <v>429</v>
      </c>
      <c r="B436" s="1">
        <v>97604533.540358603</v>
      </c>
      <c r="C436" s="1">
        <v>0.3638537130687633</v>
      </c>
      <c r="D436" s="1">
        <v>21167446.669311896</v>
      </c>
      <c r="E436" s="1">
        <v>-4121084.2912928876</v>
      </c>
      <c r="F436" s="1">
        <v>0</v>
      </c>
      <c r="G436" s="1">
        <v>91733961.814474523</v>
      </c>
    </row>
    <row r="437" spans="1:7" x14ac:dyDescent="0.2">
      <c r="A437" s="12">
        <v>430</v>
      </c>
      <c r="B437" s="1">
        <v>97655453.420399681</v>
      </c>
      <c r="C437" s="1">
        <v>0.38904527056599858</v>
      </c>
      <c r="D437" s="1">
        <v>20867658.607852299</v>
      </c>
      <c r="E437" s="1">
        <v>-4056035.8866957566</v>
      </c>
      <c r="F437" s="1">
        <v>0</v>
      </c>
      <c r="G437" s="1">
        <v>91822609.349188715</v>
      </c>
    </row>
    <row r="438" spans="1:7" x14ac:dyDescent="0.2">
      <c r="A438" s="12">
        <v>431</v>
      </c>
      <c r="B438" s="1">
        <v>97734445.253229812</v>
      </c>
      <c r="C438" s="1">
        <v>0.46943919753543634</v>
      </c>
      <c r="D438" s="1">
        <v>20567930.999722291</v>
      </c>
      <c r="E438" s="1">
        <v>-3991000.5993409329</v>
      </c>
      <c r="F438" s="1">
        <v>0</v>
      </c>
      <c r="G438" s="1">
        <v>91939867.699454367</v>
      </c>
    </row>
    <row r="439" spans="1:7" x14ac:dyDescent="0.2">
      <c r="A439" s="12">
        <v>432</v>
      </c>
      <c r="B439" s="1">
        <v>97767421.450134456</v>
      </c>
      <c r="C439" s="1">
        <v>0.45125746473308398</v>
      </c>
      <c r="D439" s="1">
        <v>20365593.705569185</v>
      </c>
      <c r="E439" s="1">
        <v>-3947097.1893416201</v>
      </c>
      <c r="F439" s="1">
        <v>0</v>
      </c>
      <c r="G439" s="1">
        <v>91999981.903439358</v>
      </c>
    </row>
    <row r="440" spans="1:7" x14ac:dyDescent="0.2">
      <c r="A440" s="12">
        <v>433</v>
      </c>
      <c r="B440" s="1">
        <v>97798762.89900057</v>
      </c>
      <c r="C440" s="1">
        <v>0.42891364851814484</v>
      </c>
      <c r="D440" s="1">
        <v>20230722.327243656</v>
      </c>
      <c r="E440" s="1">
        <v>-3917832.6217561797</v>
      </c>
      <c r="F440" s="1">
        <v>0</v>
      </c>
      <c r="G440" s="1">
        <v>92049496.420119211</v>
      </c>
    </row>
    <row r="441" spans="1:7" x14ac:dyDescent="0.2">
      <c r="A441" s="12">
        <v>434</v>
      </c>
      <c r="B441" s="1">
        <v>97819641.419548884</v>
      </c>
      <c r="C441" s="1">
        <v>0.41927513956268087</v>
      </c>
      <c r="D441" s="1">
        <v>20140767.772806887</v>
      </c>
      <c r="E441" s="1">
        <v>-3898314.165204348</v>
      </c>
      <c r="F441" s="1">
        <v>0</v>
      </c>
      <c r="G441" s="1">
        <v>92082646.329870477</v>
      </c>
    </row>
    <row r="442" spans="1:7" x14ac:dyDescent="0.2">
      <c r="A442" s="12">
        <v>435</v>
      </c>
      <c r="B442" s="1">
        <v>97852282.957788318</v>
      </c>
      <c r="C442" s="1">
        <v>0.40635077528149066</v>
      </c>
      <c r="D442" s="1">
        <v>20080858.523178641</v>
      </c>
      <c r="E442" s="1">
        <v>-3885314.9780787672</v>
      </c>
      <c r="F442" s="1">
        <v>0</v>
      </c>
      <c r="G442" s="1">
        <v>92123045.19100523</v>
      </c>
    </row>
    <row r="443" spans="1:7" x14ac:dyDescent="0.2">
      <c r="A443" s="12">
        <v>436</v>
      </c>
      <c r="B443" s="1">
        <v>85470522.575811386</v>
      </c>
      <c r="C443" s="1">
        <v>0.34431189291046382</v>
      </c>
      <c r="D443" s="1">
        <v>16875537.276644994</v>
      </c>
      <c r="E443" s="1">
        <v>-3865849.5717697502</v>
      </c>
      <c r="F443" s="1">
        <v>0</v>
      </c>
      <c r="G443" s="1">
        <v>80982913.734425634</v>
      </c>
    </row>
    <row r="444" spans="1:7" x14ac:dyDescent="0.2">
      <c r="A444" s="12">
        <v>437</v>
      </c>
      <c r="B444" s="1">
        <v>85492645.862849161</v>
      </c>
      <c r="C444" s="1">
        <v>0.33171747926995726</v>
      </c>
      <c r="D444" s="1">
        <v>16802183.575529996</v>
      </c>
      <c r="E444" s="1">
        <v>-3846925.5586514995</v>
      </c>
      <c r="F444" s="1">
        <v>0</v>
      </c>
      <c r="G444" s="1">
        <v>81013345.949605793</v>
      </c>
    </row>
    <row r="445" spans="1:7" x14ac:dyDescent="0.2">
      <c r="A445" s="12">
        <v>438</v>
      </c>
      <c r="B445" s="1">
        <v>85550528.109627038</v>
      </c>
      <c r="C445" s="1">
        <v>0.32667971381375466</v>
      </c>
      <c r="D445" s="1">
        <v>16692229.169567995</v>
      </c>
      <c r="E445" s="1">
        <v>-3818559.1832784005</v>
      </c>
      <c r="F445" s="1">
        <v>0</v>
      </c>
      <c r="G445" s="1">
        <v>81083264.730522841</v>
      </c>
    </row>
    <row r="446" spans="1:7" x14ac:dyDescent="0.2">
      <c r="A446" s="12">
        <v>439</v>
      </c>
      <c r="B446" s="1">
        <v>85612663.580473676</v>
      </c>
      <c r="C446" s="1">
        <v>0.33675524472615992</v>
      </c>
      <c r="D446" s="1">
        <v>16527246.79681799</v>
      </c>
      <c r="E446" s="1">
        <v>-3775996.5240159002</v>
      </c>
      <c r="F446" s="1">
        <v>0</v>
      </c>
      <c r="G446" s="1">
        <v>81164490.89203456</v>
      </c>
    </row>
    <row r="447" spans="1:7" x14ac:dyDescent="0.2">
      <c r="A447" s="12">
        <v>440</v>
      </c>
      <c r="B447" s="1">
        <v>85719331.347627193</v>
      </c>
      <c r="C447" s="1">
        <v>0.33229875989951912</v>
      </c>
      <c r="D447" s="1">
        <v>16282819.066112986</v>
      </c>
      <c r="E447" s="1">
        <v>-3712938.3072931492</v>
      </c>
      <c r="F447" s="1">
        <v>0</v>
      </c>
      <c r="G447" s="1">
        <v>81300032.324628204</v>
      </c>
    </row>
    <row r="448" spans="1:7" x14ac:dyDescent="0.2">
      <c r="A448" s="12">
        <v>441</v>
      </c>
      <c r="B448" s="1">
        <v>85826017.948582798</v>
      </c>
      <c r="C448" s="1">
        <v>0.38752041970789403</v>
      </c>
      <c r="D448" s="1">
        <v>16038442.099214997</v>
      </c>
      <c r="E448" s="1">
        <v>-3649893.1867732499</v>
      </c>
      <c r="F448" s="1">
        <v>0</v>
      </c>
      <c r="G448" s="1">
        <v>81436708.81796056</v>
      </c>
    </row>
    <row r="449" spans="1:7" x14ac:dyDescent="0.2">
      <c r="A449" s="12">
        <v>442</v>
      </c>
      <c r="B449" s="1">
        <v>85908016.650218233</v>
      </c>
      <c r="C449" s="1">
        <v>0.41212796635934529</v>
      </c>
      <c r="D449" s="1">
        <v>15794014.368509991</v>
      </c>
      <c r="E449" s="1">
        <v>-3586834.9700504993</v>
      </c>
      <c r="F449" s="1">
        <v>0</v>
      </c>
      <c r="G449" s="1">
        <v>81550350.198928744</v>
      </c>
    </row>
    <row r="450" spans="1:7" x14ac:dyDescent="0.2">
      <c r="A450" s="12">
        <v>443</v>
      </c>
      <c r="B450" s="1">
        <v>86014684.417371735</v>
      </c>
      <c r="C450" s="1">
        <v>0.39643338936117561</v>
      </c>
      <c r="D450" s="1">
        <v>15549586.637804991</v>
      </c>
      <c r="E450" s="1">
        <v>-3523776.7533277501</v>
      </c>
      <c r="F450" s="1">
        <v>0</v>
      </c>
      <c r="G450" s="1">
        <v>81689226.192358032</v>
      </c>
    </row>
    <row r="451" spans="1:7" x14ac:dyDescent="0.2">
      <c r="A451" s="12">
        <v>444</v>
      </c>
      <c r="B451" s="1">
        <v>86121371.018327326</v>
      </c>
      <c r="C451" s="1">
        <v>0.38132009299256775</v>
      </c>
      <c r="D451" s="1">
        <v>15305209.670906993</v>
      </c>
      <c r="E451" s="1">
        <v>-3460731.6328078504</v>
      </c>
      <c r="F451" s="1">
        <v>0</v>
      </c>
      <c r="G451" s="1">
        <v>81829220.02171053</v>
      </c>
    </row>
    <row r="452" spans="1:7" x14ac:dyDescent="0.2">
      <c r="A452" s="12">
        <v>445</v>
      </c>
      <c r="B452" s="1">
        <v>86228038.785480842</v>
      </c>
      <c r="C452" s="1">
        <v>0.36620679662395983</v>
      </c>
      <c r="D452" s="1">
        <v>15060781.940201996</v>
      </c>
      <c r="E452" s="1">
        <v>-3397673.4160850998</v>
      </c>
      <c r="F452" s="1">
        <v>0</v>
      </c>
      <c r="G452" s="1">
        <v>81970303.849707708</v>
      </c>
    </row>
    <row r="453" spans="1:7" x14ac:dyDescent="0.2">
      <c r="A453" s="12">
        <v>446</v>
      </c>
      <c r="B453" s="1">
        <v>86310037.487116277</v>
      </c>
      <c r="C453" s="1">
        <v>0.30284720800171916</v>
      </c>
      <c r="D453" s="1">
        <v>14816354.209496999</v>
      </c>
      <c r="E453" s="1">
        <v>-3334615.1993623506</v>
      </c>
      <c r="F453" s="1">
        <v>0</v>
      </c>
      <c r="G453" s="1">
        <v>82088270.45309779</v>
      </c>
    </row>
    <row r="454" spans="1:7" x14ac:dyDescent="0.2">
      <c r="A454" s="12">
        <v>447</v>
      </c>
      <c r="B454" s="1">
        <v>86416724.088071868</v>
      </c>
      <c r="C454" s="1">
        <v>0.29955328443420209</v>
      </c>
      <c r="D454" s="1">
        <v>14571977.242598994</v>
      </c>
      <c r="E454" s="1">
        <v>-3271570.0788424495</v>
      </c>
      <c r="F454" s="1">
        <v>0</v>
      </c>
      <c r="G454" s="1">
        <v>82231532.995709956</v>
      </c>
    </row>
    <row r="455" spans="1:7" x14ac:dyDescent="0.2">
      <c r="A455" s="12">
        <v>448</v>
      </c>
      <c r="B455" s="1">
        <v>86523391.855225384</v>
      </c>
      <c r="C455" s="1">
        <v>0.33636772430645201</v>
      </c>
      <c r="D455" s="1">
        <v>14327549.511893991</v>
      </c>
      <c r="E455" s="1">
        <v>-3208511.8621197003</v>
      </c>
      <c r="F455" s="1">
        <v>0</v>
      </c>
      <c r="G455" s="1">
        <v>82375869.506335899</v>
      </c>
    </row>
    <row r="456" spans="1:7" x14ac:dyDescent="0.2">
      <c r="A456" s="12">
        <v>449</v>
      </c>
      <c r="B456" s="1">
        <v>86605409.390662894</v>
      </c>
      <c r="C456" s="1">
        <v>0.40709020090314268</v>
      </c>
      <c r="D456" s="1">
        <v>14083172.54499599</v>
      </c>
      <c r="E456" s="1">
        <v>-3145466.7415997991</v>
      </c>
      <c r="F456" s="1">
        <v>0</v>
      </c>
      <c r="G456" s="1">
        <v>82497032.514494091</v>
      </c>
    </row>
    <row r="457" spans="1:7" x14ac:dyDescent="0.2">
      <c r="A457" s="12">
        <v>450</v>
      </c>
      <c r="B457" s="1">
        <v>86712077.157816395</v>
      </c>
      <c r="C457" s="1">
        <v>0.44855488581188729</v>
      </c>
      <c r="D457" s="1">
        <v>13838744.814290995</v>
      </c>
      <c r="E457" s="1">
        <v>-3082408.52487705</v>
      </c>
      <c r="F457" s="1">
        <v>0</v>
      </c>
      <c r="G457" s="1">
        <v>82643504.893390968</v>
      </c>
    </row>
    <row r="458" spans="1:7" x14ac:dyDescent="0.2">
      <c r="A458" s="12">
        <v>451</v>
      </c>
      <c r="B458" s="1">
        <v>86774212.628663048</v>
      </c>
      <c r="C458" s="1">
        <v>0.40476507838489534</v>
      </c>
      <c r="D458" s="1">
        <v>13673762.441540994</v>
      </c>
      <c r="E458" s="1">
        <v>-3039845.8656145502</v>
      </c>
      <c r="F458" s="1">
        <v>0</v>
      </c>
      <c r="G458" s="1">
        <v>82733263.429235831</v>
      </c>
    </row>
    <row r="459" spans="1:7" x14ac:dyDescent="0.2">
      <c r="A459" s="12">
        <v>452</v>
      </c>
      <c r="B459" s="1">
        <v>86832076.041638851</v>
      </c>
      <c r="C459" s="1">
        <v>0.34973717878637434</v>
      </c>
      <c r="D459" s="1">
        <v>13563757.271771995</v>
      </c>
      <c r="E459" s="1">
        <v>-3011466.3940385995</v>
      </c>
      <c r="F459" s="1">
        <v>0</v>
      </c>
      <c r="G459" s="1">
        <v>82809561.061565861</v>
      </c>
    </row>
    <row r="460" spans="1:7" x14ac:dyDescent="0.2">
      <c r="A460" s="12">
        <v>453</v>
      </c>
      <c r="B460" s="1">
        <v>86854218.162478715</v>
      </c>
      <c r="C460" s="1">
        <v>0.31892930541959674</v>
      </c>
      <c r="D460" s="1">
        <v>13490454.334463993</v>
      </c>
      <c r="E460" s="1">
        <v>-2992555.4771232</v>
      </c>
      <c r="F460" s="1">
        <v>0</v>
      </c>
      <c r="G460" s="1">
        <v>82844354.946528226</v>
      </c>
    </row>
    <row r="461" spans="1:7" x14ac:dyDescent="0.2">
      <c r="A461" s="12">
        <v>454</v>
      </c>
      <c r="B461" s="1">
        <v>86885419.342116639</v>
      </c>
      <c r="C461" s="1">
        <v>0.29315919750902186</v>
      </c>
      <c r="D461" s="1">
        <v>13441568.788322998</v>
      </c>
      <c r="E461" s="1">
        <v>-2979943.8337786505</v>
      </c>
      <c r="F461" s="1">
        <v>0</v>
      </c>
      <c r="G461" s="1">
        <v>82883800.755794778</v>
      </c>
    </row>
    <row r="462" spans="1:7" x14ac:dyDescent="0.2">
      <c r="A462" s="12">
        <v>455</v>
      </c>
      <c r="B462" s="1">
        <v>87039287.832470283</v>
      </c>
      <c r="C462" s="1">
        <v>0.27746462051085213</v>
      </c>
      <c r="D462" s="1">
        <v>13390855.745129997</v>
      </c>
      <c r="E462" s="1">
        <v>-2966860.7271315004</v>
      </c>
      <c r="F462" s="1">
        <v>0</v>
      </c>
      <c r="G462" s="1">
        <v>83044485.989318654</v>
      </c>
    </row>
    <row r="463" spans="1:7" x14ac:dyDescent="0.2">
      <c r="A463" s="12">
        <v>456</v>
      </c>
      <c r="B463" s="1">
        <v>87282415.683858737</v>
      </c>
      <c r="C463" s="1">
        <v>0.26777661001815478</v>
      </c>
      <c r="D463" s="1">
        <v>13314760.798436994</v>
      </c>
      <c r="E463" s="1">
        <v>-2947229.5190593498</v>
      </c>
      <c r="F463" s="1">
        <v>0</v>
      </c>
      <c r="G463" s="1">
        <v>83297824.880713642</v>
      </c>
    </row>
    <row r="464" spans="1:7" x14ac:dyDescent="0.2">
      <c r="A464" s="12">
        <v>457</v>
      </c>
      <c r="B464" s="1">
        <v>87634782.345083401</v>
      </c>
      <c r="C464" s="1">
        <v>0.26603276812946924</v>
      </c>
      <c r="D464" s="1">
        <v>13200643.760300992</v>
      </c>
      <c r="E464" s="1">
        <v>-2917789.2550525493</v>
      </c>
      <c r="F464" s="1">
        <v>0</v>
      </c>
      <c r="G464" s="1">
        <v>83666042.038901672</v>
      </c>
    </row>
    <row r="465" spans="1:7" x14ac:dyDescent="0.2">
      <c r="A465" s="12">
        <v>458</v>
      </c>
      <c r="B465" s="1">
        <v>88121038.047860324</v>
      </c>
      <c r="C465" s="1">
        <v>0.2737831765236271</v>
      </c>
      <c r="D465" s="1">
        <v>13048453.866914995</v>
      </c>
      <c r="E465" s="1">
        <v>-2878526.8389082504</v>
      </c>
      <c r="F465" s="1">
        <v>0</v>
      </c>
      <c r="G465" s="1">
        <v>84173875.1351199</v>
      </c>
    </row>
    <row r="466" spans="1:7" x14ac:dyDescent="0.2">
      <c r="A466" s="12">
        <v>459</v>
      </c>
      <c r="B466" s="1">
        <v>88607293.750637233</v>
      </c>
      <c r="C466" s="1">
        <v>0.27513949799260479</v>
      </c>
      <c r="D466" s="1">
        <v>12896263.973528992</v>
      </c>
      <c r="E466" s="1">
        <v>-2839264.4227639497</v>
      </c>
      <c r="F466" s="1">
        <v>0</v>
      </c>
      <c r="G466" s="1">
        <v>84682465.651294276</v>
      </c>
    </row>
    <row r="467" spans="1:7" x14ac:dyDescent="0.2">
      <c r="A467" s="12">
        <v>460</v>
      </c>
      <c r="B467" s="1">
        <v>89093568.287216201</v>
      </c>
      <c r="C467" s="1">
        <v>0.29858448338493238</v>
      </c>
      <c r="D467" s="1">
        <v>12744124.843949998</v>
      </c>
      <c r="E467" s="1">
        <v>-2800015.1028224998</v>
      </c>
      <c r="F467" s="1">
        <v>0</v>
      </c>
      <c r="G467" s="1">
        <v>85191808.789087415</v>
      </c>
    </row>
    <row r="468" spans="1:7" x14ac:dyDescent="0.2">
      <c r="A468" s="12">
        <v>461</v>
      </c>
      <c r="B468" s="1">
        <v>89579823.98999311</v>
      </c>
      <c r="C468" s="1">
        <v>0.35341862277359937</v>
      </c>
      <c r="D468" s="1">
        <v>12591934.950563991</v>
      </c>
      <c r="E468" s="1">
        <v>-2760752.6866781996</v>
      </c>
      <c r="F468" s="1">
        <v>0</v>
      </c>
      <c r="G468" s="1">
        <v>85701873.65834558</v>
      </c>
    </row>
    <row r="469" spans="1:7" x14ac:dyDescent="0.2">
      <c r="A469" s="12">
        <v>462</v>
      </c>
      <c r="B469" s="1">
        <v>90066079.692770019</v>
      </c>
      <c r="C469" s="1">
        <v>0.37977001131373617</v>
      </c>
      <c r="D469" s="1">
        <v>12439745.057177993</v>
      </c>
      <c r="E469" s="1">
        <v>-2721490.2705339002</v>
      </c>
      <c r="F469" s="1">
        <v>0</v>
      </c>
      <c r="G469" s="1">
        <v>86212656.132236108</v>
      </c>
    </row>
    <row r="470" spans="1:7" x14ac:dyDescent="0.2">
      <c r="A470" s="12">
        <v>463</v>
      </c>
      <c r="B470" s="1">
        <v>90552354.229349002</v>
      </c>
      <c r="C470" s="1">
        <v>0.37395720501811774</v>
      </c>
      <c r="D470" s="1">
        <v>12287605.927598992</v>
      </c>
      <c r="E470" s="1">
        <v>-2682240.9505924494</v>
      </c>
      <c r="F470" s="1">
        <v>0</v>
      </c>
      <c r="G470" s="1">
        <v>86724151.794431433</v>
      </c>
    </row>
    <row r="471" spans="1:7" x14ac:dyDescent="0.2">
      <c r="A471" s="12">
        <v>464</v>
      </c>
      <c r="B471" s="1">
        <v>91038609.932125911</v>
      </c>
      <c r="C471" s="1">
        <v>0.3408242091330928</v>
      </c>
      <c r="D471" s="1">
        <v>12135416.034212997</v>
      </c>
      <c r="E471" s="1">
        <v>-2642978.5344481505</v>
      </c>
      <c r="F471" s="1">
        <v>0</v>
      </c>
      <c r="G471" s="1">
        <v>87236331.56140095</v>
      </c>
    </row>
    <row r="472" spans="1:7" x14ac:dyDescent="0.2">
      <c r="A472" s="12">
        <v>465</v>
      </c>
      <c r="B472" s="1">
        <v>91524865.63490282</v>
      </c>
      <c r="C472" s="1">
        <v>0.31311649912397838</v>
      </c>
      <c r="D472" s="1">
        <v>11983226.140826993</v>
      </c>
      <c r="E472" s="1">
        <v>-2603716.1183038498</v>
      </c>
      <c r="F472" s="1">
        <v>0</v>
      </c>
      <c r="G472" s="1">
        <v>87749191.761248946</v>
      </c>
    </row>
    <row r="473" spans="1:7" x14ac:dyDescent="0.2">
      <c r="A473" s="12">
        <v>466</v>
      </c>
      <c r="B473" s="1">
        <v>92011121.337679729</v>
      </c>
      <c r="C473" s="1">
        <v>0.26758284980830083</v>
      </c>
      <c r="D473" s="1">
        <v>11831036.247440998</v>
      </c>
      <c r="E473" s="1">
        <v>-2564453.7021595505</v>
      </c>
      <c r="F473" s="1">
        <v>0</v>
      </c>
      <c r="G473" s="1">
        <v>88262720.509868935</v>
      </c>
    </row>
    <row r="474" spans="1:7" x14ac:dyDescent="0.2">
      <c r="A474" s="12">
        <v>467</v>
      </c>
      <c r="B474" s="1">
        <v>92472726.808740646</v>
      </c>
      <c r="C474" s="1">
        <v>0.26971421211669427</v>
      </c>
      <c r="D474" s="1">
        <v>11678897.117861997</v>
      </c>
      <c r="E474" s="1">
        <v>-2525204.3822180997</v>
      </c>
      <c r="F474" s="1">
        <v>0</v>
      </c>
      <c r="G474" s="1">
        <v>88752482.897473022</v>
      </c>
    </row>
    <row r="475" spans="1:7" x14ac:dyDescent="0.2">
      <c r="A475" s="12">
        <v>468</v>
      </c>
      <c r="B475" s="1">
        <v>92958982.51151754</v>
      </c>
      <c r="C475" s="1">
        <v>0.2737831765236271</v>
      </c>
      <c r="D475" s="1">
        <v>11526707.224475995</v>
      </c>
      <c r="E475" s="1">
        <v>-2485941.9660738008</v>
      </c>
      <c r="F475" s="1">
        <v>0</v>
      </c>
      <c r="G475" s="1">
        <v>89267305.048228741</v>
      </c>
    </row>
    <row r="476" spans="1:7" x14ac:dyDescent="0.2">
      <c r="A476" s="12">
        <v>469</v>
      </c>
      <c r="B476" s="1">
        <v>93445238.214294448</v>
      </c>
      <c r="C476" s="1">
        <v>0.28773391163311129</v>
      </c>
      <c r="D476" s="1">
        <v>11374517.331089996</v>
      </c>
      <c r="E476" s="1">
        <v>-2446679.5499295001</v>
      </c>
      <c r="F476" s="1">
        <v>0</v>
      </c>
      <c r="G476" s="1">
        <v>89782761.99924241</v>
      </c>
    </row>
    <row r="477" spans="1:7" x14ac:dyDescent="0.2">
      <c r="A477" s="12">
        <v>470</v>
      </c>
      <c r="B477" s="1">
        <v>93931493.917071357</v>
      </c>
      <c r="C477" s="1">
        <v>0.2805647838685153</v>
      </c>
      <c r="D477" s="1">
        <v>11222327.437703991</v>
      </c>
      <c r="E477" s="1">
        <v>-2407417.1337851994</v>
      </c>
      <c r="F477" s="1">
        <v>0</v>
      </c>
      <c r="G477" s="1">
        <v>90298842.848980546</v>
      </c>
    </row>
    <row r="478" spans="1:7" x14ac:dyDescent="0.2">
      <c r="A478" s="12">
        <v>471</v>
      </c>
      <c r="B478" s="1">
        <v>94417768.45365034</v>
      </c>
      <c r="C478" s="1">
        <v>0.2807585440783692</v>
      </c>
      <c r="D478" s="1">
        <v>11070188.308124995</v>
      </c>
      <c r="E478" s="1">
        <v>-2368167.8138437499</v>
      </c>
      <c r="F478" s="1">
        <v>0</v>
      </c>
      <c r="G478" s="1">
        <v>90815544.076163247</v>
      </c>
    </row>
    <row r="479" spans="1:7" x14ac:dyDescent="0.2">
      <c r="A479" s="12">
        <v>472</v>
      </c>
      <c r="B479" s="1">
        <v>94904024.156427249</v>
      </c>
      <c r="C479" s="1">
        <v>0.26506396708019953</v>
      </c>
      <c r="D479" s="1">
        <v>10917998.414738994</v>
      </c>
      <c r="E479" s="1">
        <v>-2328905.3976994492</v>
      </c>
      <c r="F479" s="1">
        <v>0</v>
      </c>
      <c r="G479" s="1">
        <v>91332840.934262291</v>
      </c>
    </row>
    <row r="480" spans="1:7" x14ac:dyDescent="0.2">
      <c r="A480" s="12">
        <v>473</v>
      </c>
      <c r="B480" s="1">
        <v>95390279.859204158</v>
      </c>
      <c r="C480" s="1">
        <v>0.2757207786221666</v>
      </c>
      <c r="D480" s="1">
        <v>10765808.521352995</v>
      </c>
      <c r="E480" s="1">
        <v>-2289642.9815551499</v>
      </c>
      <c r="F480" s="1">
        <v>0</v>
      </c>
      <c r="G480" s="1">
        <v>91850730.50842461</v>
      </c>
    </row>
    <row r="481" spans="1:7" x14ac:dyDescent="0.2">
      <c r="A481" s="12">
        <v>474</v>
      </c>
      <c r="B481" s="1">
        <v>95876535.561981067</v>
      </c>
      <c r="C481" s="1">
        <v>0.28831519226267316</v>
      </c>
      <c r="D481" s="1">
        <v>10613618.627966996</v>
      </c>
      <c r="E481" s="1">
        <v>-2250380.5654108496</v>
      </c>
      <c r="F481" s="1">
        <v>0</v>
      </c>
      <c r="G481" s="1">
        <v>92369202.805275321</v>
      </c>
    </row>
    <row r="482" spans="1:7" x14ac:dyDescent="0.2">
      <c r="A482" s="12">
        <v>475</v>
      </c>
      <c r="B482" s="1">
        <v>96362791.264757976</v>
      </c>
      <c r="C482" s="1">
        <v>0.28327742680647056</v>
      </c>
      <c r="D482" s="1">
        <v>10461428.734580997</v>
      </c>
      <c r="E482" s="1">
        <v>-2211118.1492665503</v>
      </c>
      <c r="F482" s="1">
        <v>0</v>
      </c>
      <c r="G482" s="1">
        <v>92888248.047704831</v>
      </c>
    </row>
    <row r="483" spans="1:7" x14ac:dyDescent="0.2">
      <c r="A483" s="12">
        <v>476</v>
      </c>
      <c r="B483" s="1">
        <v>96849065.801336944</v>
      </c>
      <c r="C483" s="1">
        <v>0.26680780896888501</v>
      </c>
      <c r="D483" s="1">
        <v>10309289.605001993</v>
      </c>
      <c r="E483" s="1">
        <v>-2171868.8293250995</v>
      </c>
      <c r="F483" s="1">
        <v>0</v>
      </c>
      <c r="G483" s="1">
        <v>93407863.090112641</v>
      </c>
    </row>
    <row r="484" spans="1:7" x14ac:dyDescent="0.2">
      <c r="A484" s="12">
        <v>477</v>
      </c>
      <c r="B484" s="1">
        <v>97310652.438595787</v>
      </c>
      <c r="C484" s="1">
        <v>0.25770107910574952</v>
      </c>
      <c r="D484" s="1">
        <v>10157099.711615998</v>
      </c>
      <c r="E484" s="1">
        <v>-2132606.4131808006</v>
      </c>
      <c r="F484" s="1">
        <v>0</v>
      </c>
      <c r="G484" s="1">
        <v>93903515.527380973</v>
      </c>
    </row>
    <row r="485" spans="1:7" x14ac:dyDescent="0.2">
      <c r="A485" s="12">
        <v>478</v>
      </c>
      <c r="B485" s="1">
        <v>97796908.141372696</v>
      </c>
      <c r="C485" s="1">
        <v>0.2712642937955258</v>
      </c>
      <c r="D485" s="1">
        <v>10004909.818229994</v>
      </c>
      <c r="E485" s="1">
        <v>-2093343.9970364997</v>
      </c>
      <c r="F485" s="1">
        <v>0</v>
      </c>
      <c r="G485" s="1">
        <v>94424216.409370467</v>
      </c>
    </row>
    <row r="486" spans="1:7" x14ac:dyDescent="0.2">
      <c r="A486" s="12">
        <v>479</v>
      </c>
      <c r="B486" s="1">
        <v>98283163.844149604</v>
      </c>
      <c r="C486" s="1">
        <v>0.2735894163137732</v>
      </c>
      <c r="D486" s="1">
        <v>9852719.9248439986</v>
      </c>
      <c r="E486" s="1">
        <v>-2054081.5808922006</v>
      </c>
      <c r="F486" s="1">
        <v>0</v>
      </c>
      <c r="G486" s="1">
        <v>94945453.436794996</v>
      </c>
    </row>
    <row r="487" spans="1:7" x14ac:dyDescent="0.2">
      <c r="A487" s="12">
        <v>480</v>
      </c>
      <c r="B487" s="1">
        <v>98769419.546926498</v>
      </c>
      <c r="C487" s="1">
        <v>0.27397693673348106</v>
      </c>
      <c r="D487" s="1">
        <v>9700530.0314579941</v>
      </c>
      <c r="E487" s="1">
        <v>-2014819.1647478999</v>
      </c>
      <c r="F487" s="1">
        <v>0</v>
      </c>
      <c r="G487" s="1">
        <v>95467217.836884469</v>
      </c>
    </row>
    <row r="488" spans="1:7" x14ac:dyDescent="0.2">
      <c r="A488" s="12">
        <v>481</v>
      </c>
      <c r="B488" s="1">
        <v>99255675.249703407</v>
      </c>
      <c r="C488" s="1">
        <v>0.27475197757289688</v>
      </c>
      <c r="D488" s="1">
        <v>9548340.1380719952</v>
      </c>
      <c r="E488" s="1">
        <v>-1975556.7486035994</v>
      </c>
      <c r="F488" s="1">
        <v>0</v>
      </c>
      <c r="G488" s="1">
        <v>95989501.012094602</v>
      </c>
    </row>
    <row r="489" spans="1:7" x14ac:dyDescent="0.2">
      <c r="A489" s="12">
        <v>482</v>
      </c>
      <c r="B489" s="1">
        <v>99741949.78628239</v>
      </c>
      <c r="C489" s="1">
        <v>0.2782396613502679</v>
      </c>
      <c r="D489" s="1">
        <v>9396201.0084929969</v>
      </c>
      <c r="E489" s="1">
        <v>-1936307.4286621502</v>
      </c>
      <c r="F489" s="1">
        <v>0</v>
      </c>
      <c r="G489" s="1">
        <v>96512300.166412562</v>
      </c>
    </row>
    <row r="490" spans="1:7" x14ac:dyDescent="0.2">
      <c r="A490" s="12">
        <v>483</v>
      </c>
      <c r="B490" s="1">
        <v>100228205.4890593</v>
      </c>
      <c r="C490" s="1">
        <v>0.27843342156012185</v>
      </c>
      <c r="D490" s="1">
        <v>9244011.1151069924</v>
      </c>
      <c r="E490" s="1">
        <v>-1897045.0125178492</v>
      </c>
      <c r="F490" s="1">
        <v>0</v>
      </c>
      <c r="G490" s="1">
        <v>97035595.672573045</v>
      </c>
    </row>
    <row r="491" spans="1:7" x14ac:dyDescent="0.2">
      <c r="A491" s="12">
        <v>484</v>
      </c>
      <c r="B491" s="1">
        <v>100714461.19183621</v>
      </c>
      <c r="C491" s="1">
        <v>0.27339565610391925</v>
      </c>
      <c r="D491" s="1">
        <v>9091821.2217209972</v>
      </c>
      <c r="E491" s="1">
        <v>-1857782.5963735504</v>
      </c>
      <c r="F491" s="1">
        <v>0</v>
      </c>
      <c r="G491" s="1">
        <v>97559385.198961243</v>
      </c>
    </row>
    <row r="492" spans="1:7" x14ac:dyDescent="0.2">
      <c r="A492" s="12">
        <v>485</v>
      </c>
      <c r="B492" s="1">
        <v>101200716.89461312</v>
      </c>
      <c r="C492" s="1">
        <v>0.28037102365866134</v>
      </c>
      <c r="D492" s="1">
        <v>8939631.3283349928</v>
      </c>
      <c r="E492" s="1">
        <v>-1818520.1802292494</v>
      </c>
      <c r="F492" s="1">
        <v>0</v>
      </c>
      <c r="G492" s="1">
        <v>98083660.848109111</v>
      </c>
    </row>
    <row r="493" spans="1:7" x14ac:dyDescent="0.2">
      <c r="A493" s="12">
        <v>486</v>
      </c>
      <c r="B493" s="1">
        <v>101686972.59739003</v>
      </c>
      <c r="C493" s="1">
        <v>0.28695887079369553</v>
      </c>
      <c r="D493" s="1">
        <v>8787441.4349489994</v>
      </c>
      <c r="E493" s="1">
        <v>-1779257.7640849506</v>
      </c>
      <c r="F493" s="1">
        <v>0</v>
      </c>
      <c r="G493" s="1">
        <v>98608414.854098067</v>
      </c>
    </row>
    <row r="494" spans="1:7" x14ac:dyDescent="0.2">
      <c r="A494" s="12">
        <v>487</v>
      </c>
      <c r="B494" s="1">
        <v>102173228.30016693</v>
      </c>
      <c r="C494" s="1">
        <v>0.25944492099443506</v>
      </c>
      <c r="D494" s="1">
        <v>8635251.5415629949</v>
      </c>
      <c r="E494" s="1">
        <v>-1739995.3479406496</v>
      </c>
      <c r="F494" s="1">
        <v>0</v>
      </c>
      <c r="G494" s="1">
        <v>99133639.586944282</v>
      </c>
    </row>
    <row r="495" spans="1:7" x14ac:dyDescent="0.2">
      <c r="A495" s="12">
        <v>488</v>
      </c>
      <c r="B495" s="1">
        <v>102634814.93742576</v>
      </c>
      <c r="C495" s="1">
        <v>0.2662265283393232</v>
      </c>
      <c r="D495" s="1">
        <v>8483061.6481769942</v>
      </c>
      <c r="E495" s="1">
        <v>-1700732.9317963491</v>
      </c>
      <c r="F495" s="1">
        <v>0</v>
      </c>
      <c r="G495" s="1">
        <v>99634755.417832419</v>
      </c>
    </row>
    <row r="496" spans="1:7" x14ac:dyDescent="0.2">
      <c r="A496" s="12">
        <v>489</v>
      </c>
      <c r="B496" s="1">
        <v>103121070.64020267</v>
      </c>
      <c r="C496" s="1">
        <v>0.24781930840319824</v>
      </c>
      <c r="D496" s="1">
        <v>8330871.7547909999</v>
      </c>
      <c r="E496" s="1">
        <v>-1661470.51565205</v>
      </c>
      <c r="F496" s="1">
        <v>0</v>
      </c>
      <c r="G496" s="1">
        <v>100160894.91108775</v>
      </c>
    </row>
    <row r="497" spans="1:7" x14ac:dyDescent="0.2">
      <c r="A497" s="12">
        <v>490</v>
      </c>
      <c r="B497" s="1">
        <v>103607326.34297958</v>
      </c>
      <c r="C497" s="1">
        <v>0.29374047813858367</v>
      </c>
      <c r="D497" s="1">
        <v>8178681.8614049926</v>
      </c>
      <c r="E497" s="1">
        <v>-1622208.0995077495</v>
      </c>
      <c r="F497" s="1">
        <v>0</v>
      </c>
      <c r="G497" s="1">
        <v>100687483.50336839</v>
      </c>
    </row>
    <row r="498" spans="1:7" x14ac:dyDescent="0.2">
      <c r="A498" s="12">
        <v>491</v>
      </c>
      <c r="B498" s="1">
        <v>104093600.87955856</v>
      </c>
      <c r="C498" s="1">
        <v>0.29780944254551656</v>
      </c>
      <c r="D498" s="1">
        <v>8026542.7318259962</v>
      </c>
      <c r="E498" s="1">
        <v>-1582958.7795663001</v>
      </c>
      <c r="F498" s="1">
        <v>0</v>
      </c>
      <c r="G498" s="1">
        <v>101214518.62753724</v>
      </c>
    </row>
    <row r="499" spans="1:7" x14ac:dyDescent="0.2">
      <c r="A499" s="12">
        <v>492</v>
      </c>
      <c r="B499" s="1">
        <v>104579856.58233547</v>
      </c>
      <c r="C499" s="1">
        <v>0.29548432002726921</v>
      </c>
      <c r="D499" s="1">
        <v>7874352.8384399945</v>
      </c>
      <c r="E499" s="1">
        <v>-1543696.3634219994</v>
      </c>
      <c r="F499" s="1">
        <v>0</v>
      </c>
      <c r="G499" s="1">
        <v>101741984.24157521</v>
      </c>
    </row>
    <row r="500" spans="1:7" x14ac:dyDescent="0.2">
      <c r="A500" s="12">
        <v>493</v>
      </c>
      <c r="B500" s="1">
        <v>105066112.28511237</v>
      </c>
      <c r="C500" s="1">
        <v>0.30323472842142707</v>
      </c>
      <c r="D500" s="1">
        <v>7722162.9450539974</v>
      </c>
      <c r="E500" s="1">
        <v>-1504433.9472777003</v>
      </c>
      <c r="F500" s="1">
        <v>0</v>
      </c>
      <c r="G500" s="1">
        <v>102269878.29090083</v>
      </c>
    </row>
    <row r="501" spans="1:7" x14ac:dyDescent="0.2">
      <c r="A501" s="12">
        <v>494</v>
      </c>
      <c r="B501" s="1">
        <v>105552367.98788927</v>
      </c>
      <c r="C501" s="1">
        <v>0.27843342156012185</v>
      </c>
      <c r="D501" s="1">
        <v>7569973.0516679967</v>
      </c>
      <c r="E501" s="1">
        <v>-1465171.5311333996</v>
      </c>
      <c r="F501" s="1">
        <v>0</v>
      </c>
      <c r="G501" s="1">
        <v>102798194.13280813</v>
      </c>
    </row>
    <row r="502" spans="1:7" x14ac:dyDescent="0.2">
      <c r="A502" s="12">
        <v>495</v>
      </c>
      <c r="B502" s="1">
        <v>106038623.69066618</v>
      </c>
      <c r="C502" s="1">
        <v>0.27765838072070609</v>
      </c>
      <c r="D502" s="1">
        <v>7417783.1582819987</v>
      </c>
      <c r="E502" s="1">
        <v>-1425909.1149891005</v>
      </c>
      <c r="F502" s="1">
        <v>0</v>
      </c>
      <c r="G502" s="1">
        <v>103326925.35326572</v>
      </c>
    </row>
    <row r="503" spans="1:7" x14ac:dyDescent="0.2">
      <c r="A503" s="12">
        <v>496</v>
      </c>
      <c r="B503" s="1">
        <v>106524879.39344311</v>
      </c>
      <c r="C503" s="1">
        <v>0.27843342156012185</v>
      </c>
      <c r="D503" s="1">
        <v>7265593.264895997</v>
      </c>
      <c r="E503" s="1">
        <v>-1386646.6988448</v>
      </c>
      <c r="F503" s="1">
        <v>0</v>
      </c>
      <c r="G503" s="1">
        <v>103856065.58615638</v>
      </c>
    </row>
    <row r="504" spans="1:7" x14ac:dyDescent="0.2">
      <c r="A504" s="12">
        <v>497</v>
      </c>
      <c r="B504" s="1">
        <v>107011135.09622002</v>
      </c>
      <c r="C504" s="1">
        <v>0.29780944254551656</v>
      </c>
      <c r="D504" s="1">
        <v>7113403.3715099953</v>
      </c>
      <c r="E504" s="1">
        <v>-1347384.2827004993</v>
      </c>
      <c r="F504" s="1">
        <v>0</v>
      </c>
      <c r="G504" s="1">
        <v>104385608.62854856</v>
      </c>
    </row>
    <row r="505" spans="1:7" x14ac:dyDescent="0.2">
      <c r="A505" s="12">
        <v>498</v>
      </c>
      <c r="B505" s="1">
        <v>107497390.79899693</v>
      </c>
      <c r="C505" s="1">
        <v>0.2805647838685153</v>
      </c>
      <c r="D505" s="1">
        <v>6961213.4781239983</v>
      </c>
      <c r="E505" s="1">
        <v>-1308121.8665562002</v>
      </c>
      <c r="F505" s="1">
        <v>0</v>
      </c>
      <c r="G505" s="1">
        <v>104915548.3263049</v>
      </c>
    </row>
    <row r="506" spans="1:7" x14ac:dyDescent="0.2">
      <c r="A506" s="12">
        <v>499</v>
      </c>
      <c r="B506" s="1">
        <v>107958977.43625575</v>
      </c>
      <c r="C506" s="1">
        <v>0.29219039645975209</v>
      </c>
      <c r="D506" s="1">
        <v>6809023.5847379947</v>
      </c>
      <c r="E506" s="1">
        <v>-1268859.4504118995</v>
      </c>
      <c r="F506" s="1">
        <v>0</v>
      </c>
      <c r="G506" s="1">
        <v>105421264.06085005</v>
      </c>
    </row>
    <row r="507" spans="1:7" x14ac:dyDescent="0.2">
      <c r="A507" s="12">
        <v>500</v>
      </c>
      <c r="B507" s="1">
        <v>108445233.13903265</v>
      </c>
      <c r="C507" s="1">
        <v>0.28482750848530208</v>
      </c>
      <c r="D507" s="1">
        <v>6656833.6913519986</v>
      </c>
      <c r="E507" s="1">
        <v>-1229597.0342676004</v>
      </c>
      <c r="F507" s="1">
        <v>0</v>
      </c>
      <c r="G507" s="1">
        <v>105951976.25743924</v>
      </c>
    </row>
    <row r="508" spans="1:7" x14ac:dyDescent="0.2">
      <c r="A508" s="12">
        <v>501</v>
      </c>
      <c r="B508" s="1">
        <v>108931488.84180956</v>
      </c>
      <c r="C508" s="1">
        <v>0.2685516508575706</v>
      </c>
      <c r="D508" s="1">
        <v>6504643.797965996</v>
      </c>
      <c r="E508" s="1">
        <v>-1190334.6181232997</v>
      </c>
      <c r="F508" s="1">
        <v>0</v>
      </c>
      <c r="G508" s="1">
        <v>106483067.65575649</v>
      </c>
    </row>
    <row r="509" spans="1:7" x14ac:dyDescent="0.2">
      <c r="A509" s="12">
        <v>502</v>
      </c>
      <c r="B509" s="1">
        <v>109417744.54458646</v>
      </c>
      <c r="C509" s="1">
        <v>0.2735894163137732</v>
      </c>
      <c r="D509" s="1">
        <v>6352453.9045799989</v>
      </c>
      <c r="E509" s="1">
        <v>-1151072.2019790006</v>
      </c>
      <c r="F509" s="1">
        <v>0</v>
      </c>
      <c r="G509" s="1">
        <v>107014532.64013363</v>
      </c>
    </row>
    <row r="510" spans="1:7" x14ac:dyDescent="0.2">
      <c r="A510" s="12">
        <v>503</v>
      </c>
      <c r="B510" s="1">
        <v>109904000.24736337</v>
      </c>
      <c r="C510" s="1">
        <v>0.2830836665966166</v>
      </c>
      <c r="D510" s="1">
        <v>6200264.0111939982</v>
      </c>
      <c r="E510" s="1">
        <v>-1111809.7858347001</v>
      </c>
      <c r="F510" s="1">
        <v>0</v>
      </c>
      <c r="G510" s="1">
        <v>107546365.65558247</v>
      </c>
    </row>
    <row r="511" spans="1:7" x14ac:dyDescent="0.2">
      <c r="A511" s="12">
        <v>504</v>
      </c>
      <c r="B511" s="1">
        <v>110390255.95014028</v>
      </c>
      <c r="C511" s="1">
        <v>0.27998350323895344</v>
      </c>
      <c r="D511" s="1">
        <v>6048074.1178079955</v>
      </c>
      <c r="E511" s="1">
        <v>-1072547.3696903994</v>
      </c>
      <c r="F511" s="1">
        <v>0</v>
      </c>
      <c r="G511" s="1">
        <v>108078561.25212495</v>
      </c>
    </row>
    <row r="512" spans="1:7" x14ac:dyDescent="0.2">
      <c r="A512" s="12">
        <v>505</v>
      </c>
      <c r="B512" s="1">
        <v>110876511.65291718</v>
      </c>
      <c r="C512" s="1">
        <v>0.28676511058384158</v>
      </c>
      <c r="D512" s="1">
        <v>5895884.2244219994</v>
      </c>
      <c r="E512" s="1">
        <v>-1033284.9535461003</v>
      </c>
      <c r="F512" s="1">
        <v>0</v>
      </c>
      <c r="G512" s="1">
        <v>108611114.12206076</v>
      </c>
    </row>
    <row r="513" spans="1:7" x14ac:dyDescent="0.2">
      <c r="A513" s="12">
        <v>506</v>
      </c>
      <c r="B513" s="1">
        <v>111362767.35569409</v>
      </c>
      <c r="C513" s="1">
        <v>0.2976156823356626</v>
      </c>
      <c r="D513" s="1">
        <v>5743694.3310359968</v>
      </c>
      <c r="E513" s="1">
        <v>-994022.53740179969</v>
      </c>
      <c r="F513" s="1">
        <v>0</v>
      </c>
      <c r="G513" s="1">
        <v>109144019.02993734</v>
      </c>
    </row>
    <row r="514" spans="1:7" x14ac:dyDescent="0.2">
      <c r="A514" s="12">
        <v>507</v>
      </c>
      <c r="B514" s="1">
        <v>111849023.05847102</v>
      </c>
      <c r="C514" s="1">
        <v>0.29587184044697706</v>
      </c>
      <c r="D514" s="1">
        <v>5591504.4376499988</v>
      </c>
      <c r="E514" s="1">
        <v>-954760.12125750061</v>
      </c>
      <c r="F514" s="1">
        <v>0</v>
      </c>
      <c r="G514" s="1">
        <v>109677270.82768033</v>
      </c>
    </row>
    <row r="515" spans="1:7" x14ac:dyDescent="0.2">
      <c r="A515" s="12">
        <v>508</v>
      </c>
      <c r="B515" s="1">
        <v>112335278.76124792</v>
      </c>
      <c r="C515" s="1">
        <v>0.31757298395061917</v>
      </c>
      <c r="D515" s="1">
        <v>5439314.5442639962</v>
      </c>
      <c r="E515" s="1">
        <v>-915497.70511319989</v>
      </c>
      <c r="F515" s="1">
        <v>0</v>
      </c>
      <c r="G515" s="1">
        <v>110210864.51585104</v>
      </c>
    </row>
    <row r="516" spans="1:7" x14ac:dyDescent="0.2">
      <c r="A516" s="12">
        <v>509</v>
      </c>
      <c r="B516" s="1">
        <v>112796846.56470467</v>
      </c>
      <c r="C516" s="1">
        <v>0.29703440170610079</v>
      </c>
      <c r="D516" s="1">
        <v>5287073.8870709958</v>
      </c>
      <c r="E516" s="1">
        <v>-876222.19276604964</v>
      </c>
      <c r="F516" s="1">
        <v>0</v>
      </c>
      <c r="G516" s="1">
        <v>110720152.03182909</v>
      </c>
    </row>
    <row r="517" spans="1:7" x14ac:dyDescent="0.2">
      <c r="A517" s="12">
        <v>510</v>
      </c>
      <c r="B517" s="1">
        <v>113283102.26748158</v>
      </c>
      <c r="C517" s="1">
        <v>0.33694900493601387</v>
      </c>
      <c r="D517" s="1">
        <v>5134883.9936849987</v>
      </c>
      <c r="E517" s="1">
        <v>-836959.77662175044</v>
      </c>
      <c r="F517" s="1">
        <v>0</v>
      </c>
      <c r="G517" s="1">
        <v>111254412.82158171</v>
      </c>
    </row>
    <row r="518" spans="1:7" x14ac:dyDescent="0.2">
      <c r="A518" s="12">
        <v>511</v>
      </c>
      <c r="B518" s="1">
        <v>113769357.97025849</v>
      </c>
      <c r="C518" s="1">
        <v>0.32454835150536127</v>
      </c>
      <c r="D518" s="1">
        <v>4982694.1002989989</v>
      </c>
      <c r="E518" s="1">
        <v>-797697.36047744995</v>
      </c>
      <c r="F518" s="1">
        <v>0</v>
      </c>
      <c r="G518" s="1">
        <v>111789000.96505344</v>
      </c>
    </row>
    <row r="519" spans="1:7" x14ac:dyDescent="0.2">
      <c r="A519" s="12">
        <v>512</v>
      </c>
      <c r="B519" s="1">
        <v>114255613.6730354</v>
      </c>
      <c r="C519" s="1">
        <v>0.34566821437944145</v>
      </c>
      <c r="D519" s="1">
        <v>4830504.2069129953</v>
      </c>
      <c r="E519" s="1">
        <v>-758434.94433314935</v>
      </c>
      <c r="F519" s="1">
        <v>0</v>
      </c>
      <c r="G519" s="1">
        <v>112323911.87327519</v>
      </c>
    </row>
    <row r="520" spans="1:7" x14ac:dyDescent="0.2">
      <c r="A520" s="12">
        <v>513</v>
      </c>
      <c r="B520" s="1">
        <v>114741869.37581229</v>
      </c>
      <c r="C520" s="1">
        <v>0.35845638822980197</v>
      </c>
      <c r="D520" s="1">
        <v>4678314.3135270001</v>
      </c>
      <c r="E520" s="1">
        <v>-719172.52818885015</v>
      </c>
      <c r="F520" s="1">
        <v>0</v>
      </c>
      <c r="G520" s="1">
        <v>112859140.91555494</v>
      </c>
    </row>
    <row r="521" spans="1:7" x14ac:dyDescent="0.2">
      <c r="A521" s="12">
        <v>514</v>
      </c>
      <c r="B521" s="1">
        <v>115228125.0785892</v>
      </c>
      <c r="C521" s="1">
        <v>0.33791780598528359</v>
      </c>
      <c r="D521" s="1">
        <v>4526124.4201409956</v>
      </c>
      <c r="E521" s="1">
        <v>-679910.11204454955</v>
      </c>
      <c r="F521" s="1">
        <v>0</v>
      </c>
      <c r="G521" s="1">
        <v>113394683.56196797</v>
      </c>
    </row>
    <row r="522" spans="1:7" x14ac:dyDescent="0.2">
      <c r="A522" s="12">
        <v>515</v>
      </c>
      <c r="B522" s="1">
        <v>115714380.78136611</v>
      </c>
      <c r="C522" s="1">
        <v>0.38248265425169142</v>
      </c>
      <c r="D522" s="1">
        <v>4373934.5267549995</v>
      </c>
      <c r="E522" s="1">
        <v>-640647.69590025034</v>
      </c>
      <c r="F522" s="1">
        <v>0</v>
      </c>
      <c r="G522" s="1">
        <v>113930535.48800761</v>
      </c>
    </row>
    <row r="523" spans="1:7" x14ac:dyDescent="0.2">
      <c r="A523" s="12">
        <v>516</v>
      </c>
      <c r="B523" s="1">
        <v>116200636.48414302</v>
      </c>
      <c r="C523" s="1">
        <v>0.34295557144148625</v>
      </c>
      <c r="D523" s="1">
        <v>4221744.6333689978</v>
      </c>
      <c r="E523" s="1">
        <v>-601385.27975594974</v>
      </c>
      <c r="F523" s="1">
        <v>0</v>
      </c>
      <c r="G523" s="1">
        <v>114466692.20201991</v>
      </c>
    </row>
    <row r="524" spans="1:7" x14ac:dyDescent="0.2">
      <c r="A524" s="12">
        <v>517</v>
      </c>
      <c r="B524" s="1">
        <v>116686892.18691994</v>
      </c>
      <c r="C524" s="1">
        <v>0.39488330768234398</v>
      </c>
      <c r="D524" s="1">
        <v>4069554.7399830008</v>
      </c>
      <c r="E524" s="1">
        <v>-562122.86361165065</v>
      </c>
      <c r="F524" s="1">
        <v>0</v>
      </c>
      <c r="G524" s="1">
        <v>115003149.61539415</v>
      </c>
    </row>
    <row r="525" spans="1:7" x14ac:dyDescent="0.2">
      <c r="A525" s="12">
        <v>518</v>
      </c>
      <c r="B525" s="1">
        <v>117173129.05589478</v>
      </c>
      <c r="C525" s="1">
        <v>0.39798347104000714</v>
      </c>
      <c r="D525" s="1">
        <v>3917314.0827899999</v>
      </c>
      <c r="E525" s="1">
        <v>-522847.35126450035</v>
      </c>
      <c r="F525" s="1">
        <v>0</v>
      </c>
      <c r="G525" s="1">
        <v>115539901.56012596</v>
      </c>
    </row>
    <row r="526" spans="1:7" x14ac:dyDescent="0.2">
      <c r="A526" s="12">
        <v>519</v>
      </c>
      <c r="B526" s="1">
        <v>117659384.75867169</v>
      </c>
      <c r="C526" s="1">
        <v>0.39875851187942296</v>
      </c>
      <c r="D526" s="1">
        <v>3765124.1894039973</v>
      </c>
      <c r="E526" s="1">
        <v>-483584.93512019969</v>
      </c>
      <c r="F526" s="1">
        <v>0</v>
      </c>
      <c r="G526" s="1">
        <v>116076947.73934861</v>
      </c>
    </row>
    <row r="527" spans="1:7" x14ac:dyDescent="0.2">
      <c r="A527" s="12">
        <v>520</v>
      </c>
      <c r="B527" s="1">
        <v>118120971.3959305</v>
      </c>
      <c r="C527" s="1">
        <v>0.46483074343961889</v>
      </c>
      <c r="D527" s="1">
        <v>3612934.2960180016</v>
      </c>
      <c r="E527" s="1">
        <v>-444322.5189759006</v>
      </c>
      <c r="F527" s="1">
        <v>0</v>
      </c>
      <c r="G527" s="1">
        <v>116589624.39073469</v>
      </c>
    </row>
    <row r="528" spans="1:7" x14ac:dyDescent="0.2">
      <c r="A528" s="12">
        <v>521</v>
      </c>
      <c r="B528" s="1">
        <v>118607227.09870741</v>
      </c>
      <c r="C528" s="1">
        <v>0.43712303343050452</v>
      </c>
      <c r="D528" s="1">
        <v>3460744.4026319985</v>
      </c>
      <c r="E528" s="1">
        <v>-405060.1028316</v>
      </c>
      <c r="F528" s="1">
        <v>0</v>
      </c>
      <c r="G528" s="1">
        <v>117127241.98794669</v>
      </c>
    </row>
    <row r="529" spans="1:7" x14ac:dyDescent="0.2">
      <c r="A529" s="12">
        <v>522</v>
      </c>
      <c r="B529" s="1">
        <v>119093501.63528639</v>
      </c>
      <c r="C529" s="1">
        <v>0.53032169437025301</v>
      </c>
      <c r="D529" s="1">
        <v>3308605.2730530011</v>
      </c>
      <c r="E529" s="1">
        <v>-365810.78289015056</v>
      </c>
      <c r="F529" s="1">
        <v>0</v>
      </c>
      <c r="G529" s="1">
        <v>117665141.67734431</v>
      </c>
    </row>
    <row r="530" spans="1:7" x14ac:dyDescent="0.2">
      <c r="A530" s="12">
        <v>523</v>
      </c>
      <c r="B530" s="1">
        <v>119469991.18176897</v>
      </c>
      <c r="C530" s="1">
        <v>0.54039722528265821</v>
      </c>
      <c r="D530" s="1">
        <v>3193016.0845139995</v>
      </c>
      <c r="E530" s="1">
        <v>-335990.7290007</v>
      </c>
      <c r="F530" s="1">
        <v>0</v>
      </c>
      <c r="G530" s="1">
        <v>118081036.54613282</v>
      </c>
    </row>
    <row r="531" spans="1:7" x14ac:dyDescent="0.2">
      <c r="A531" s="12">
        <v>524</v>
      </c>
      <c r="B531" s="1">
        <v>119712780.02472009</v>
      </c>
      <c r="C531" s="1">
        <v>0.50745798960748723</v>
      </c>
      <c r="D531" s="1">
        <v>3116007.3892949959</v>
      </c>
      <c r="E531" s="1">
        <v>-316123.78927724925</v>
      </c>
      <c r="F531" s="1">
        <v>0</v>
      </c>
      <c r="G531" s="1">
        <v>118350168.78815371</v>
      </c>
    </row>
    <row r="532" spans="1:7" x14ac:dyDescent="0.2">
      <c r="A532" s="12">
        <v>525</v>
      </c>
      <c r="B532" s="1">
        <v>119866403.67564674</v>
      </c>
      <c r="C532" s="1">
        <v>0.5834119918702344</v>
      </c>
      <c r="D532" s="1">
        <v>3064634.416610999</v>
      </c>
      <c r="E532" s="1">
        <v>-302870.43199305004</v>
      </c>
      <c r="F532" s="1">
        <v>0</v>
      </c>
      <c r="G532" s="1">
        <v>118521407.57476465</v>
      </c>
    </row>
    <row r="533" spans="1:7" x14ac:dyDescent="0.2">
      <c r="A533" s="12">
        <v>526</v>
      </c>
      <c r="B533" s="1">
        <v>119977036.1868365</v>
      </c>
      <c r="C533" s="1">
        <v>0.63940869251802512</v>
      </c>
      <c r="D533" s="1">
        <v>3030368.8468860011</v>
      </c>
      <c r="E533" s="1">
        <v>-294030.49506930058</v>
      </c>
      <c r="F533" s="1">
        <v>0</v>
      </c>
      <c r="G533" s="1">
        <v>118643803.91968945</v>
      </c>
    </row>
    <row r="534" spans="1:7" x14ac:dyDescent="0.2">
      <c r="A534" s="12">
        <v>527</v>
      </c>
      <c r="B534" s="1">
        <v>120067237.23797508</v>
      </c>
      <c r="C534" s="1">
        <v>0.67816073448881453</v>
      </c>
      <c r="D534" s="1">
        <v>3007525.133735999</v>
      </c>
      <c r="E534" s="1">
        <v>-288137.20378680003</v>
      </c>
      <c r="F534" s="1">
        <v>0</v>
      </c>
      <c r="G534" s="1">
        <v>118741850.38813862</v>
      </c>
    </row>
    <row r="535" spans="1:7" x14ac:dyDescent="0.2">
      <c r="A535" s="12">
        <v>528</v>
      </c>
      <c r="B535" s="1">
        <v>120110925.22838874</v>
      </c>
      <c r="C535" s="1">
        <v>0.70412460260924348</v>
      </c>
      <c r="D535" s="1">
        <v>2992295.9916360015</v>
      </c>
      <c r="E535" s="1">
        <v>-284208.34293180058</v>
      </c>
      <c r="F535" s="1">
        <v>0</v>
      </c>
      <c r="G535" s="1">
        <v>118790776.82439213</v>
      </c>
    </row>
    <row r="536" spans="1:7" x14ac:dyDescent="0.2">
      <c r="A536" s="12">
        <v>529</v>
      </c>
      <c r="B536" s="1">
        <v>65720219.46122808</v>
      </c>
      <c r="C536" s="1">
        <v>0.32282755716584266</v>
      </c>
      <c r="D536" s="1">
        <v>2379521.7736920011</v>
      </c>
      <c r="E536" s="1">
        <v>-278825.54575665272</v>
      </c>
      <c r="F536" s="1">
        <v>0</v>
      </c>
      <c r="G536" s="1">
        <v>64710836.879758865</v>
      </c>
    </row>
    <row r="537" spans="1:7" x14ac:dyDescent="0.2">
      <c r="A537" s="12">
        <v>530</v>
      </c>
      <c r="B537" s="1">
        <v>65768636.640957452</v>
      </c>
      <c r="C537" s="1">
        <v>0.33770083742940876</v>
      </c>
      <c r="D537" s="1">
        <v>2363637.8677200037</v>
      </c>
      <c r="E537" s="1">
        <v>-273510.01455428638</v>
      </c>
      <c r="F537" s="1">
        <v>0</v>
      </c>
      <c r="G537" s="1">
        <v>64763854.273368277</v>
      </c>
    </row>
    <row r="538" spans="1:7" x14ac:dyDescent="0.2">
      <c r="A538" s="12">
        <v>531</v>
      </c>
      <c r="B538" s="1">
        <v>65841255.918920815</v>
      </c>
      <c r="C538" s="1">
        <v>0.35799039894502499</v>
      </c>
      <c r="D538" s="1">
        <v>2339792.4953640001</v>
      </c>
      <c r="E538" s="1">
        <v>-265530.18761412177</v>
      </c>
      <c r="F538" s="1">
        <v>0</v>
      </c>
      <c r="G538" s="1">
        <v>64843391.434085026</v>
      </c>
    </row>
    <row r="539" spans="1:7" x14ac:dyDescent="0.2">
      <c r="A539" s="12">
        <v>532</v>
      </c>
      <c r="B539" s="1">
        <v>65950918.390134268</v>
      </c>
      <c r="C539" s="1">
        <v>0.38859668665502228</v>
      </c>
      <c r="D539" s="1">
        <v>2306229.450804004</v>
      </c>
      <c r="E539" s="1">
        <v>-254298.35264106182</v>
      </c>
      <c r="F539" s="1">
        <v>0</v>
      </c>
      <c r="G539" s="1">
        <v>64962810.736961909</v>
      </c>
    </row>
    <row r="540" spans="1:7" x14ac:dyDescent="0.2">
      <c r="A540" s="12">
        <v>533</v>
      </c>
      <c r="B540" s="1">
        <v>66060580.86134772</v>
      </c>
      <c r="C540" s="1">
        <v>0.4344201455017318</v>
      </c>
      <c r="D540" s="1">
        <v>2272666.4062440032</v>
      </c>
      <c r="E540" s="1">
        <v>-243066.51766800042</v>
      </c>
      <c r="F540" s="1">
        <v>0</v>
      </c>
      <c r="G540" s="1">
        <v>65082258.379168645</v>
      </c>
    </row>
    <row r="541" spans="1:7" x14ac:dyDescent="0.2">
      <c r="A541" s="12">
        <v>534</v>
      </c>
      <c r="B541" s="1">
        <v>66170230.349299788</v>
      </c>
      <c r="C541" s="1">
        <v>0.46984090543577367</v>
      </c>
      <c r="D541" s="1">
        <v>2239064.3348880038</v>
      </c>
      <c r="E541" s="1">
        <v>-231821.62242171486</v>
      </c>
      <c r="F541" s="1">
        <v>0</v>
      </c>
      <c r="G541" s="1">
        <v>65201732.698998384</v>
      </c>
    </row>
    <row r="542" spans="1:7" x14ac:dyDescent="0.2">
      <c r="A542" s="12">
        <v>535</v>
      </c>
      <c r="B542" s="1">
        <v>66266467.478734687</v>
      </c>
      <c r="C542" s="1">
        <v>0.49322548480970418</v>
      </c>
      <c r="D542" s="1">
        <v>2205501.290328003</v>
      </c>
      <c r="E542" s="1">
        <v>-220589.78744865343</v>
      </c>
      <c r="F542" s="1">
        <v>0</v>
      </c>
      <c r="G542" s="1">
        <v>65307818.136903867</v>
      </c>
    </row>
    <row r="543" spans="1:7" x14ac:dyDescent="0.2">
      <c r="A543" s="12">
        <v>536</v>
      </c>
      <c r="B543" s="1">
        <v>66376129.949948147</v>
      </c>
      <c r="C543" s="1">
        <v>0.50397207459551785</v>
      </c>
      <c r="D543" s="1">
        <v>2171938.2457680027</v>
      </c>
      <c r="E543" s="1">
        <v>-209357.95247559203</v>
      </c>
      <c r="F543" s="1">
        <v>0</v>
      </c>
      <c r="G543" s="1">
        <v>65427349.53749615</v>
      </c>
    </row>
    <row r="544" spans="1:7" x14ac:dyDescent="0.2">
      <c r="A544" s="12">
        <v>537</v>
      </c>
      <c r="B544" s="1">
        <v>66485779.437900208</v>
      </c>
      <c r="C544" s="1">
        <v>0.50285442925779322</v>
      </c>
      <c r="D544" s="1">
        <v>2138336.1744120028</v>
      </c>
      <c r="E544" s="1">
        <v>-198113.05722930646</v>
      </c>
      <c r="F544" s="1">
        <v>0</v>
      </c>
      <c r="G544" s="1">
        <v>65546907.24832575</v>
      </c>
    </row>
    <row r="545" spans="1:7" x14ac:dyDescent="0.2">
      <c r="A545" s="12">
        <v>538</v>
      </c>
      <c r="B545" s="1">
        <v>66595441.90911366</v>
      </c>
      <c r="C545" s="1">
        <v>0.54532495209132881</v>
      </c>
      <c r="D545" s="1">
        <v>2104773.1298520025</v>
      </c>
      <c r="E545" s="1">
        <v>-186881.22225624506</v>
      </c>
      <c r="F545" s="1">
        <v>0</v>
      </c>
      <c r="G545" s="1">
        <v>65666493.987655349</v>
      </c>
    </row>
    <row r="546" spans="1:7" x14ac:dyDescent="0.2">
      <c r="A546" s="12">
        <v>539</v>
      </c>
      <c r="B546" s="1">
        <v>66705104.38032712</v>
      </c>
      <c r="C546" s="1">
        <v>0.59218008355747653</v>
      </c>
      <c r="D546" s="1">
        <v>2071210.085292002</v>
      </c>
      <c r="E546" s="1">
        <v>-175649.38728318366</v>
      </c>
      <c r="F546" s="1">
        <v>0</v>
      </c>
      <c r="G546" s="1">
        <v>65786108.144180804</v>
      </c>
    </row>
    <row r="547" spans="1:7" x14ac:dyDescent="0.2">
      <c r="A547" s="12">
        <v>540</v>
      </c>
      <c r="B547" s="1">
        <v>66863041.215394661</v>
      </c>
      <c r="C547" s="1">
        <v>0.67075914807134607</v>
      </c>
      <c r="D547" s="1">
        <v>2021333.8400040013</v>
      </c>
      <c r="E547" s="1">
        <v>-158958.35810228545</v>
      </c>
      <c r="F547" s="1">
        <v>0</v>
      </c>
      <c r="G547" s="1">
        <v>65958886.031952947</v>
      </c>
    </row>
    <row r="548" spans="1:7" x14ac:dyDescent="0.2">
      <c r="A548" s="12">
        <v>541</v>
      </c>
      <c r="B548" s="1">
        <v>67021705.11309994</v>
      </c>
      <c r="C548" s="1">
        <v>0.74237442240400831</v>
      </c>
      <c r="D548" s="1">
        <v>1973643.0952920017</v>
      </c>
      <c r="E548" s="1">
        <v>-142998.70422195917</v>
      </c>
      <c r="F548" s="1">
        <v>0</v>
      </c>
      <c r="G548" s="1">
        <v>66131793.337060519</v>
      </c>
    </row>
    <row r="549" spans="1:7" x14ac:dyDescent="0.2">
      <c r="A549" s="12">
        <v>542</v>
      </c>
      <c r="B549" s="1">
        <v>67119097.752798364</v>
      </c>
      <c r="C549" s="1">
        <v>0.79799877113537987</v>
      </c>
      <c r="D549" s="1">
        <v>1943553.4355760033</v>
      </c>
      <c r="E549" s="1">
        <v>-132929.23356587806</v>
      </c>
      <c r="F549" s="1">
        <v>0</v>
      </c>
      <c r="G549" s="1">
        <v>66238201.600172564</v>
      </c>
    </row>
    <row r="550" spans="1:7" x14ac:dyDescent="0.2">
      <c r="A550" s="12">
        <v>543</v>
      </c>
      <c r="B550" s="1">
        <v>67179122.617711991</v>
      </c>
      <c r="C550" s="1">
        <v>0.830926322239113</v>
      </c>
      <c r="D550" s="1">
        <v>1922205.7781640023</v>
      </c>
      <c r="E550" s="1">
        <v>-125785.26411208182</v>
      </c>
      <c r="F550" s="1">
        <v>0</v>
      </c>
      <c r="G550" s="1">
        <v>66304639.008111537</v>
      </c>
    </row>
    <row r="551" spans="1:7" x14ac:dyDescent="0.2">
      <c r="A551" s="12">
        <v>544</v>
      </c>
      <c r="B551" s="1">
        <v>67252559.841142774</v>
      </c>
      <c r="C551" s="1">
        <v>0.86402581877941909</v>
      </c>
      <c r="D551" s="1">
        <v>1900819.0939560023</v>
      </c>
      <c r="E551" s="1">
        <v>-118628.2343850614</v>
      </c>
      <c r="F551" s="1">
        <v>0</v>
      </c>
      <c r="G551" s="1">
        <v>66384506.46897842</v>
      </c>
    </row>
    <row r="552" spans="1:7" x14ac:dyDescent="0.2">
      <c r="A552" s="12">
        <v>545</v>
      </c>
      <c r="B552" s="1">
        <v>67301314.585668236</v>
      </c>
      <c r="C552" s="1">
        <v>0.8949759973625625</v>
      </c>
      <c r="D552" s="1">
        <v>1885949.8846800032</v>
      </c>
      <c r="E552" s="1">
        <v>-113652.27028653114</v>
      </c>
      <c r="F552" s="1">
        <v>0</v>
      </c>
      <c r="G552" s="1">
        <v>66437739.055791326</v>
      </c>
    </row>
    <row r="553" spans="1:7" x14ac:dyDescent="0.2">
      <c r="A553" s="12">
        <v>546</v>
      </c>
      <c r="B553" s="1">
        <v>67332053.021638751</v>
      </c>
      <c r="C553" s="1">
        <v>0.91818863129992001</v>
      </c>
      <c r="D553" s="1">
        <v>1838961.2142000073</v>
      </c>
      <c r="E553" s="1">
        <v>-112589.4620938779</v>
      </c>
      <c r="F553" s="1">
        <v>0</v>
      </c>
      <c r="G553" s="1">
        <v>66490351.436964482</v>
      </c>
    </row>
    <row r="554" spans="1:7" x14ac:dyDescent="0.2">
      <c r="A554" s="12">
        <v>547</v>
      </c>
      <c r="B554" s="1">
        <v>67381531.05876039</v>
      </c>
      <c r="C554" s="1">
        <v>0.94569990115160296</v>
      </c>
      <c r="D554" s="1">
        <v>1801361.869992007</v>
      </c>
      <c r="E554" s="1">
        <v>-110287.46142808197</v>
      </c>
      <c r="F554" s="1">
        <v>0</v>
      </c>
      <c r="G554" s="1">
        <v>66556588.001670405</v>
      </c>
    </row>
    <row r="555" spans="1:7" x14ac:dyDescent="0.2">
      <c r="A555" s="12">
        <v>548</v>
      </c>
      <c r="B555" s="1">
        <v>67435610.10177502</v>
      </c>
      <c r="C555" s="1">
        <v>0.99298489620918307</v>
      </c>
      <c r="D555" s="1">
        <v>1744962.8536800067</v>
      </c>
      <c r="E555" s="1">
        <v>-106834.46042938807</v>
      </c>
      <c r="F555" s="1">
        <v>0</v>
      </c>
      <c r="G555" s="1">
        <v>66635847.60172841</v>
      </c>
    </row>
    <row r="556" spans="1:7" x14ac:dyDescent="0.2">
      <c r="A556" s="12">
        <v>549</v>
      </c>
      <c r="B556" s="1">
        <v>67530124.396210119</v>
      </c>
      <c r="C556" s="1">
        <v>1.0746589785813672</v>
      </c>
      <c r="D556" s="1">
        <v>1660301.2430640005</v>
      </c>
      <c r="E556" s="1">
        <v>-101651.09651412239</v>
      </c>
      <c r="F556" s="1">
        <v>0</v>
      </c>
      <c r="G556" s="1">
        <v>66768238.787275679</v>
      </c>
    </row>
    <row r="557" spans="1:7" x14ac:dyDescent="0.2">
      <c r="A557" s="12">
        <v>550</v>
      </c>
      <c r="B557" s="1">
        <v>67659210.792718917</v>
      </c>
      <c r="C557" s="1">
        <v>1.312803408234998</v>
      </c>
      <c r="D557" s="1">
        <v>1534885.9808399968</v>
      </c>
      <c r="E557" s="1">
        <v>-93972.611071836451</v>
      </c>
      <c r="F557" s="1">
        <v>0</v>
      </c>
      <c r="G557" s="1">
        <v>66953617.247303069</v>
      </c>
    </row>
    <row r="558" spans="1:7" x14ac:dyDescent="0.2">
      <c r="A558" s="12">
        <v>551</v>
      </c>
      <c r="B558" s="1">
        <v>67801722.531006262</v>
      </c>
      <c r="C558" s="1">
        <v>1.6068301047748599</v>
      </c>
      <c r="D558" s="1">
        <v>1409470.7186160076</v>
      </c>
      <c r="E558" s="1">
        <v>-86294.125629551403</v>
      </c>
      <c r="F558" s="1">
        <v>0</v>
      </c>
      <c r="G558" s="1">
        <v>67152630.813289583</v>
      </c>
    </row>
    <row r="559" spans="1:7" x14ac:dyDescent="0.2">
      <c r="A559" s="12">
        <v>552</v>
      </c>
      <c r="B559" s="1">
        <v>67896236.82544136</v>
      </c>
      <c r="C559" s="1">
        <v>1.8080062655652918</v>
      </c>
      <c r="D559" s="1">
        <v>1324809.1080000012</v>
      </c>
      <c r="E559" s="1">
        <v>-81110.76171428572</v>
      </c>
      <c r="F559" s="1">
        <v>0</v>
      </c>
      <c r="G559" s="1">
        <v>67285406.554964125</v>
      </c>
    </row>
    <row r="560" spans="1:7" x14ac:dyDescent="0.2">
      <c r="A560" s="12">
        <v>553</v>
      </c>
      <c r="B560" s="1">
        <v>67950315.868455991</v>
      </c>
      <c r="C560" s="1">
        <v>1.9412639789093813</v>
      </c>
      <c r="D560" s="1">
        <v>1268410.0916880008</v>
      </c>
      <c r="E560" s="1">
        <v>-77657.760715591823</v>
      </c>
      <c r="F560" s="1">
        <v>0</v>
      </c>
      <c r="G560" s="1">
        <v>67365028.671378076</v>
      </c>
    </row>
    <row r="561" spans="1:7" x14ac:dyDescent="0.2">
      <c r="A561" s="12">
        <v>554</v>
      </c>
      <c r="B561" s="1">
        <v>67999793.90557763</v>
      </c>
      <c r="C561" s="1">
        <v>2.028956151561621</v>
      </c>
      <c r="D561" s="1">
        <v>1230810.7474800006</v>
      </c>
      <c r="E561" s="1">
        <v>-75355.760049795892</v>
      </c>
      <c r="F561" s="1">
        <v>0</v>
      </c>
      <c r="G561" s="1">
        <v>67431556.900663957</v>
      </c>
    </row>
    <row r="562" spans="1:7" x14ac:dyDescent="0.2">
      <c r="A562" s="12">
        <v>555</v>
      </c>
      <c r="B562" s="1">
        <v>68035728.153459162</v>
      </c>
      <c r="C562" s="1">
        <v>2.1166483242138603</v>
      </c>
      <c r="D562" s="1">
        <v>1192959.0586800063</v>
      </c>
      <c r="E562" s="1">
        <v>-73038.309715102354</v>
      </c>
      <c r="F562" s="1">
        <v>0</v>
      </c>
      <c r="G562" s="1">
        <v>67484676.668188363</v>
      </c>
    </row>
    <row r="563" spans="1:7" x14ac:dyDescent="0.2">
      <c r="A563" s="12">
        <v>556</v>
      </c>
      <c r="B563" s="1">
        <v>-1825311.7170148618</v>
      </c>
      <c r="C563" s="1">
        <v>-11469341.819302162</v>
      </c>
      <c r="D563" s="1">
        <v>155603.35548000067</v>
      </c>
      <c r="E563" s="1">
        <v>-51867.785160000225</v>
      </c>
      <c r="F563" s="1">
        <v>0</v>
      </c>
      <c r="G563" s="1">
        <v>13347730.690656358</v>
      </c>
    </row>
    <row r="564" spans="1:7" x14ac:dyDescent="0.2">
      <c r="A564" s="12">
        <v>557</v>
      </c>
      <c r="B564" s="1">
        <v>1296439.8674895084</v>
      </c>
      <c r="C564" s="1">
        <v>0.31849480971374527</v>
      </c>
      <c r="D564" s="1">
        <v>562855.65076866793</v>
      </c>
      <c r="E564" s="1">
        <v>-17237.488290374597</v>
      </c>
      <c r="F564" s="1">
        <v>0</v>
      </c>
      <c r="G564" s="1">
        <v>1140263.8624850612</v>
      </c>
    </row>
    <row r="565" spans="1:7" x14ac:dyDescent="0.2">
      <c r="A565" s="12">
        <v>558</v>
      </c>
      <c r="B565" s="1">
        <v>2156448.6601929106</v>
      </c>
      <c r="C565" s="1">
        <v>0.24155269575843977</v>
      </c>
      <c r="D565" s="1">
        <v>508679.81765442941</v>
      </c>
      <c r="E565" s="1">
        <v>-15578.350130079594</v>
      </c>
      <c r="F565" s="1">
        <v>0</v>
      </c>
      <c r="G565" s="1">
        <v>1963121.4893462516</v>
      </c>
    </row>
    <row r="566" spans="1:7" x14ac:dyDescent="0.2">
      <c r="A566" s="12">
        <v>559</v>
      </c>
      <c r="B566" s="1">
        <v>2901515.9543427667</v>
      </c>
      <c r="C566" s="1">
        <v>0.16293271638977866</v>
      </c>
      <c r="D566" s="1">
        <v>461536.42441560945</v>
      </c>
      <c r="E566" s="1">
        <v>-14134.580865592501</v>
      </c>
      <c r="F566" s="1">
        <v>0</v>
      </c>
      <c r="G566" s="1">
        <v>2709315.6700912807</v>
      </c>
    </row>
    <row r="567" spans="1:7" x14ac:dyDescent="0.2">
      <c r="A567" s="12">
        <v>560</v>
      </c>
      <c r="B567" s="1">
        <v>3398056.0587914265</v>
      </c>
      <c r="C567" s="1">
        <v>0.10615494927712132</v>
      </c>
      <c r="D567" s="1">
        <v>430020.6753443167</v>
      </c>
      <c r="E567" s="1">
        <v>-13169.409147343076</v>
      </c>
      <c r="F567" s="1">
        <v>0</v>
      </c>
      <c r="G567" s="1">
        <v>3212640.0386504619</v>
      </c>
    </row>
    <row r="568" spans="1:7" x14ac:dyDescent="0.2">
      <c r="A568" s="12">
        <v>561</v>
      </c>
      <c r="B568" s="1">
        <v>3729037.6121611665</v>
      </c>
      <c r="C568" s="1">
        <v>6.708465465184156E-2</v>
      </c>
      <c r="D568" s="1">
        <v>409183.81645424094</v>
      </c>
      <c r="E568" s="1">
        <v>-12531.279085691642</v>
      </c>
      <c r="F568" s="1">
        <v>0</v>
      </c>
      <c r="G568" s="1">
        <v>3549550.0814926103</v>
      </c>
    </row>
    <row r="569" spans="1:7" x14ac:dyDescent="0.2">
      <c r="A569" s="12">
        <v>562</v>
      </c>
      <c r="B569" s="1">
        <v>3729218.492293979</v>
      </c>
      <c r="C569" s="1">
        <v>3.7122772270492051E-2</v>
      </c>
      <c r="D569" s="1">
        <v>383137.74284161674</v>
      </c>
      <c r="E569" s="1">
        <v>-11733.616508626443</v>
      </c>
      <c r="F569" s="1">
        <v>0</v>
      </c>
      <c r="G569" s="1">
        <v>3559979.1417103885</v>
      </c>
    </row>
    <row r="570" spans="1:7" x14ac:dyDescent="0.2">
      <c r="A570" s="12">
        <v>564</v>
      </c>
      <c r="B570" s="1">
        <v>4202079.0201657852</v>
      </c>
      <c r="C570" s="1">
        <v>7.7266073918416583E-2</v>
      </c>
      <c r="D570" s="1">
        <v>249233.4267852121</v>
      </c>
      <c r="E570" s="1">
        <v>-10037.387153807178</v>
      </c>
      <c r="F570" s="1">
        <v>0</v>
      </c>
      <c r="G570" s="1">
        <v>4088651.0936144241</v>
      </c>
    </row>
    <row r="571" spans="1:7" x14ac:dyDescent="0.2">
      <c r="A571" s="12">
        <v>565</v>
      </c>
      <c r="B571" s="1">
        <v>4728598.5253380565</v>
      </c>
      <c r="C571" s="1">
        <v>0.17527691798583836</v>
      </c>
      <c r="D571" s="1">
        <v>193739.28061668898</v>
      </c>
      <c r="E571" s="1">
        <v>-7802.4693217642671</v>
      </c>
      <c r="F571" s="1">
        <v>0</v>
      </c>
      <c r="G571" s="1">
        <v>4638915.0174741056</v>
      </c>
    </row>
    <row r="572" spans="1:7" x14ac:dyDescent="0.2">
      <c r="A572" s="12">
        <v>566</v>
      </c>
      <c r="B572" s="1">
        <v>5234921.1922027655</v>
      </c>
      <c r="C572" s="1">
        <v>0.28213823961118784</v>
      </c>
      <c r="D572" s="1">
        <v>140009.96595173966</v>
      </c>
      <c r="E572" s="1">
        <v>-5638.6266151212567</v>
      </c>
      <c r="F572" s="1">
        <v>0</v>
      </c>
      <c r="G572" s="1">
        <v>5169274.9473483888</v>
      </c>
    </row>
    <row r="573" spans="1:7" x14ac:dyDescent="0.2">
      <c r="A573" s="12">
        <v>567</v>
      </c>
      <c r="B573" s="1">
        <v>5727059.5111875264</v>
      </c>
      <c r="C573" s="1">
        <v>0.38633036959208295</v>
      </c>
      <c r="D573" s="1">
        <v>88045.482790364127</v>
      </c>
      <c r="E573" s="1">
        <v>-3545.859033878146</v>
      </c>
      <c r="F573" s="1">
        <v>0</v>
      </c>
      <c r="G573" s="1">
        <v>5685363.4395888178</v>
      </c>
    </row>
    <row r="574" spans="1:7" x14ac:dyDescent="0.2">
      <c r="A574" s="12">
        <v>568</v>
      </c>
      <c r="B574" s="1">
        <v>6121878.5668843016</v>
      </c>
      <c r="C574" s="1">
        <v>0.46991821319473365</v>
      </c>
      <c r="D574" s="1">
        <v>46277.803871998032</v>
      </c>
      <c r="E574" s="1">
        <v>-1863.7477327289312</v>
      </c>
      <c r="F574" s="1">
        <v>0</v>
      </c>
      <c r="G574" s="1">
        <v>6099814.4906925317</v>
      </c>
    </row>
    <row r="575" spans="1:7" x14ac:dyDescent="0.2">
      <c r="A575" s="12">
        <v>569</v>
      </c>
      <c r="B575" s="1">
        <v>6385091.2706821552</v>
      </c>
      <c r="C575" s="1">
        <v>0.52564344226316739</v>
      </c>
      <c r="D575" s="1">
        <v>18432.684593094731</v>
      </c>
      <c r="E575" s="1">
        <v>-742.34019862975367</v>
      </c>
      <c r="F575" s="1">
        <v>0</v>
      </c>
      <c r="G575" s="1">
        <v>6376268.2481911145</v>
      </c>
    </row>
    <row r="576" spans="1:7" x14ac:dyDescent="0.2">
      <c r="A576" s="12">
        <v>570</v>
      </c>
      <c r="B576" s="1">
        <v>6559627.0565271573</v>
      </c>
      <c r="C576" s="1">
        <v>0.56263750189683359</v>
      </c>
      <c r="D576" s="1">
        <v>0</v>
      </c>
      <c r="E576" s="1">
        <v>0</v>
      </c>
      <c r="F576" s="1">
        <v>0</v>
      </c>
      <c r="G576" s="1">
        <v>6559627.6191646596</v>
      </c>
    </row>
    <row r="577" spans="1:7" x14ac:dyDescent="0.2">
      <c r="A577" s="12">
        <v>571</v>
      </c>
      <c r="B577" s="1">
        <v>279263873486.56091</v>
      </c>
      <c r="C577" s="1">
        <v>843699451.94742286</v>
      </c>
      <c r="D577" s="1">
        <v>0</v>
      </c>
      <c r="E577" s="1">
        <v>0</v>
      </c>
      <c r="F577" s="1">
        <v>0</v>
      </c>
      <c r="G577" s="1">
        <v>280107572938.50836</v>
      </c>
    </row>
    <row r="578" spans="1:7" x14ac:dyDescent="0.2">
      <c r="A578" s="12">
        <v>572</v>
      </c>
      <c r="B578" s="1">
        <v>279263873486.56091</v>
      </c>
      <c r="C578" s="1">
        <v>843495733.6202594</v>
      </c>
      <c r="D578" s="1">
        <v>0</v>
      </c>
      <c r="E578" s="1">
        <v>0</v>
      </c>
      <c r="F578" s="1">
        <v>0</v>
      </c>
      <c r="G578" s="1">
        <v>280107369220.18115</v>
      </c>
    </row>
    <row r="579" spans="1:7" x14ac:dyDescent="0.2">
      <c r="A579" s="12">
        <v>573</v>
      </c>
      <c r="B579" s="1">
        <v>279263873486.56091</v>
      </c>
      <c r="C579" s="1">
        <v>843699451.94742286</v>
      </c>
      <c r="D579" s="1">
        <v>0</v>
      </c>
      <c r="E579" s="1">
        <v>0</v>
      </c>
      <c r="F579" s="1">
        <v>0</v>
      </c>
      <c r="G579" s="1">
        <v>280107572938.50836</v>
      </c>
    </row>
    <row r="580" spans="1:7" x14ac:dyDescent="0.2">
      <c r="A580" s="12">
        <v>574</v>
      </c>
      <c r="B580" s="1">
        <v>279263873486.56091</v>
      </c>
      <c r="C580" s="1">
        <v>843495733.6202594</v>
      </c>
      <c r="D580" s="1">
        <v>0</v>
      </c>
      <c r="E580" s="1">
        <v>0</v>
      </c>
      <c r="F580" s="1">
        <v>0</v>
      </c>
      <c r="G580" s="1">
        <v>280107369220.18115</v>
      </c>
    </row>
    <row r="581" spans="1:7" x14ac:dyDescent="0.2">
      <c r="A581" s="12">
        <v>575</v>
      </c>
      <c r="B581" s="1">
        <v>279263873486.56091</v>
      </c>
      <c r="C581" s="1">
        <v>843699451.94742286</v>
      </c>
      <c r="D581" s="1">
        <v>0</v>
      </c>
      <c r="E581" s="1">
        <v>0</v>
      </c>
      <c r="F581" s="1">
        <v>0</v>
      </c>
      <c r="G581" s="1">
        <v>280107572938.50836</v>
      </c>
    </row>
    <row r="582" spans="1:7" x14ac:dyDescent="0.2">
      <c r="A582" s="12">
        <v>576</v>
      </c>
      <c r="B582" s="1">
        <v>279263873486.56091</v>
      </c>
      <c r="C582" s="1">
        <v>843495733.6202594</v>
      </c>
      <c r="D582" s="1">
        <v>0</v>
      </c>
      <c r="E582" s="1">
        <v>0</v>
      </c>
      <c r="F582" s="1">
        <v>0</v>
      </c>
      <c r="G582" s="1">
        <v>280107369220.18115</v>
      </c>
    </row>
    <row r="583" spans="1:7" x14ac:dyDescent="0.2">
      <c r="A583" s="12">
        <v>577</v>
      </c>
      <c r="B583" s="1">
        <v>279263873486.56091</v>
      </c>
      <c r="C583" s="1">
        <v>843699451.94742286</v>
      </c>
      <c r="D583" s="1">
        <v>0</v>
      </c>
      <c r="E583" s="1">
        <v>0</v>
      </c>
      <c r="F583" s="1">
        <v>0</v>
      </c>
      <c r="G583" s="1">
        <v>280107572938.50836</v>
      </c>
    </row>
    <row r="584" spans="1:7" x14ac:dyDescent="0.2">
      <c r="A584" s="12">
        <v>578</v>
      </c>
      <c r="B584" s="1">
        <v>279263873486.56091</v>
      </c>
      <c r="C584" s="1">
        <v>843495733.6202594</v>
      </c>
      <c r="D584" s="1">
        <v>0</v>
      </c>
      <c r="E584" s="1">
        <v>0</v>
      </c>
      <c r="F584" s="1">
        <v>0</v>
      </c>
      <c r="G584" s="1">
        <v>280107369220.18115</v>
      </c>
    </row>
    <row r="585" spans="1:7" x14ac:dyDescent="0.2">
      <c r="A585" s="12">
        <v>579</v>
      </c>
      <c r="B585" s="1">
        <v>61497470012.46608</v>
      </c>
      <c r="C585" s="1">
        <v>905426105077947.87</v>
      </c>
      <c r="D585" s="1">
        <v>0</v>
      </c>
      <c r="E585" s="1">
        <v>0</v>
      </c>
      <c r="F585" s="1">
        <v>0</v>
      </c>
      <c r="G585" s="1">
        <v>905487602547960.37</v>
      </c>
    </row>
    <row r="586" spans="1:7" x14ac:dyDescent="0.2">
      <c r="A586" s="12">
        <v>580</v>
      </c>
      <c r="B586" s="1">
        <v>61455028694.30703</v>
      </c>
      <c r="C586" s="1">
        <v>905629823405111.25</v>
      </c>
      <c r="D586" s="1">
        <v>0</v>
      </c>
      <c r="E586" s="1">
        <v>0</v>
      </c>
      <c r="F586" s="1">
        <v>0</v>
      </c>
      <c r="G586" s="1">
        <v>905691278433805.5</v>
      </c>
    </row>
    <row r="587" spans="1:7" x14ac:dyDescent="0.2">
      <c r="A587" s="12">
        <v>581</v>
      </c>
      <c r="B587" s="1">
        <v>61497470012.46608</v>
      </c>
      <c r="C587" s="1">
        <v>905426105077947.87</v>
      </c>
      <c r="D587" s="1">
        <v>0</v>
      </c>
      <c r="E587" s="1">
        <v>0</v>
      </c>
      <c r="F587" s="1">
        <v>0</v>
      </c>
      <c r="G587" s="1">
        <v>905487602547960.37</v>
      </c>
    </row>
    <row r="588" spans="1:7" x14ac:dyDescent="0.2">
      <c r="A588" s="12">
        <v>582</v>
      </c>
      <c r="B588" s="1">
        <v>61455028694.30703</v>
      </c>
      <c r="C588" s="1">
        <v>905629823405111.25</v>
      </c>
      <c r="D588" s="1">
        <v>0</v>
      </c>
      <c r="E588" s="1">
        <v>0</v>
      </c>
      <c r="F588" s="1">
        <v>0</v>
      </c>
      <c r="G588" s="1">
        <v>905691278433805.5</v>
      </c>
    </row>
    <row r="589" spans="1:7" x14ac:dyDescent="0.2">
      <c r="A589" s="12">
        <v>583</v>
      </c>
      <c r="B589" s="1">
        <v>61497470012.46608</v>
      </c>
      <c r="C589" s="1">
        <v>905426105077947.87</v>
      </c>
      <c r="D589" s="1">
        <v>0</v>
      </c>
      <c r="E589" s="1">
        <v>0</v>
      </c>
      <c r="F589" s="1">
        <v>0</v>
      </c>
      <c r="G589" s="1">
        <v>905487602547960.37</v>
      </c>
    </row>
    <row r="590" spans="1:7" x14ac:dyDescent="0.2">
      <c r="A590" s="12">
        <v>584</v>
      </c>
      <c r="B590" s="1">
        <v>61455028694.30703</v>
      </c>
      <c r="C590" s="1">
        <v>905629823405111.25</v>
      </c>
      <c r="D590" s="1">
        <v>0</v>
      </c>
      <c r="E590" s="1">
        <v>0</v>
      </c>
      <c r="F590" s="1">
        <v>0</v>
      </c>
      <c r="G590" s="1">
        <v>905691278433805.5</v>
      </c>
    </row>
    <row r="591" spans="1:7" x14ac:dyDescent="0.2">
      <c r="A591" s="12">
        <v>585</v>
      </c>
      <c r="B591" s="1">
        <v>61497470012.46608</v>
      </c>
      <c r="C591" s="1">
        <v>905426105077947.87</v>
      </c>
      <c r="D591" s="1">
        <v>0</v>
      </c>
      <c r="E591" s="1">
        <v>0</v>
      </c>
      <c r="F591" s="1">
        <v>0</v>
      </c>
      <c r="G591" s="1">
        <v>905487602547960.37</v>
      </c>
    </row>
    <row r="592" spans="1:7" x14ac:dyDescent="0.2">
      <c r="A592" s="12">
        <v>586</v>
      </c>
      <c r="B592" s="1">
        <v>61455028694.30703</v>
      </c>
      <c r="C592" s="1">
        <v>905629823405111.25</v>
      </c>
      <c r="D592" s="1">
        <v>0</v>
      </c>
      <c r="E592" s="1">
        <v>0</v>
      </c>
      <c r="F592" s="1">
        <v>0</v>
      </c>
      <c r="G592" s="1">
        <v>905691278433805.5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"/>
  <sheetViews>
    <sheetView workbookViewId="0"/>
  </sheetViews>
  <sheetFormatPr defaultRowHeight="12.75" x14ac:dyDescent="0.2"/>
  <sheetData>
    <row r="1" spans="1:5" x14ac:dyDescent="0.2">
      <c r="A1" t="s">
        <v>34</v>
      </c>
    </row>
    <row r="2" spans="1:5" x14ac:dyDescent="0.2">
      <c r="A2" t="s">
        <v>35</v>
      </c>
    </row>
    <row r="3" spans="1:5" x14ac:dyDescent="0.2">
      <c r="A3" t="s">
        <v>36</v>
      </c>
    </row>
    <row r="4" spans="1:5" x14ac:dyDescent="0.2">
      <c r="A4" t="s">
        <v>37</v>
      </c>
      <c r="E4" t="s">
        <v>38</v>
      </c>
    </row>
    <row r="5" spans="1:5" x14ac:dyDescent="0.2">
      <c r="C5" t="s">
        <v>287</v>
      </c>
    </row>
    <row r="10" spans="1:5" x14ac:dyDescent="0.2">
      <c r="B10" t="s">
        <v>288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abels"/>
  <dimension ref="A1:J1186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2.75" x14ac:dyDescent="0.2"/>
  <cols>
    <col min="1" max="1" width="16.7109375" bestFit="1" customWidth="1"/>
    <col min="2" max="2" width="28" customWidth="1"/>
    <col min="3" max="3" width="27.7109375" customWidth="1"/>
    <col min="4" max="4" width="31.42578125" customWidth="1"/>
    <col min="5" max="5" width="31.140625" customWidth="1"/>
    <col min="6" max="6" width="31.28515625" customWidth="1"/>
    <col min="7" max="7" width="31" customWidth="1"/>
    <col min="8" max="8" width="31.42578125" customWidth="1"/>
    <col min="9" max="9" width="26.42578125" customWidth="1"/>
    <col min="10" max="10" width="13.7109375" customWidth="1"/>
    <col min="11" max="85" width="20.7109375" customWidth="1"/>
  </cols>
  <sheetData>
    <row r="1" spans="1:8" x14ac:dyDescent="0.2">
      <c r="B1" t="s">
        <v>289</v>
      </c>
    </row>
    <row r="2" spans="1:8" x14ac:dyDescent="0.2">
      <c r="B2" t="s">
        <v>290</v>
      </c>
    </row>
    <row r="3" spans="1:8" x14ac:dyDescent="0.2">
      <c r="B3" t="s">
        <v>291</v>
      </c>
    </row>
    <row r="4" spans="1:8" x14ac:dyDescent="0.2">
      <c r="B4" t="s">
        <v>292</v>
      </c>
      <c r="F4" t="s">
        <v>293</v>
      </c>
    </row>
    <row r="5" spans="1:8" x14ac:dyDescent="0.2">
      <c r="A5" t="s">
        <v>294</v>
      </c>
    </row>
    <row r="6" spans="1:8" x14ac:dyDescent="0.2">
      <c r="A6" t="s">
        <v>295</v>
      </c>
    </row>
    <row r="7" spans="1:8" x14ac:dyDescent="0.2">
      <c r="A7" t="s">
        <v>296</v>
      </c>
      <c r="B7" t="s">
        <v>297</v>
      </c>
      <c r="C7" t="s">
        <v>298</v>
      </c>
      <c r="D7" t="s">
        <v>13</v>
      </c>
      <c r="E7" t="s">
        <v>14</v>
      </c>
      <c r="F7" t="s">
        <v>15</v>
      </c>
      <c r="G7" t="s">
        <v>16</v>
      </c>
      <c r="H7" t="s">
        <v>22</v>
      </c>
    </row>
    <row r="8" spans="1:8" x14ac:dyDescent="0.2">
      <c r="A8">
        <v>1</v>
      </c>
      <c r="B8" t="s">
        <v>173</v>
      </c>
      <c r="C8" t="s">
        <v>112</v>
      </c>
      <c r="D8" t="s">
        <v>299</v>
      </c>
      <c r="F8" t="s">
        <v>300</v>
      </c>
    </row>
    <row r="9" spans="1:8" x14ac:dyDescent="0.2">
      <c r="A9">
        <v>2</v>
      </c>
      <c r="B9" t="s">
        <v>173</v>
      </c>
      <c r="C9" t="s">
        <v>112</v>
      </c>
    </row>
    <row r="10" spans="1:8" x14ac:dyDescent="0.2">
      <c r="A10">
        <v>3</v>
      </c>
      <c r="B10" t="s">
        <v>173</v>
      </c>
      <c r="C10" t="s">
        <v>112</v>
      </c>
    </row>
    <row r="11" spans="1:8" x14ac:dyDescent="0.2">
      <c r="A11">
        <v>4</v>
      </c>
      <c r="B11" t="s">
        <v>173</v>
      </c>
      <c r="C11" t="s">
        <v>112</v>
      </c>
    </row>
    <row r="12" spans="1:8" x14ac:dyDescent="0.2">
      <c r="A12">
        <v>5</v>
      </c>
      <c r="B12" t="s">
        <v>173</v>
      </c>
      <c r="C12" t="s">
        <v>112</v>
      </c>
    </row>
    <row r="13" spans="1:8" x14ac:dyDescent="0.2">
      <c r="A13">
        <v>6</v>
      </c>
      <c r="B13" t="s">
        <v>173</v>
      </c>
      <c r="C13" t="s">
        <v>112</v>
      </c>
    </row>
    <row r="14" spans="1:8" x14ac:dyDescent="0.2">
      <c r="A14">
        <v>7</v>
      </c>
      <c r="B14" t="s">
        <v>173</v>
      </c>
      <c r="C14" t="s">
        <v>112</v>
      </c>
    </row>
    <row r="15" spans="1:8" x14ac:dyDescent="0.2">
      <c r="A15">
        <v>8</v>
      </c>
      <c r="B15" t="s">
        <v>173</v>
      </c>
      <c r="C15" t="s">
        <v>112</v>
      </c>
    </row>
    <row r="16" spans="1:8" x14ac:dyDescent="0.2">
      <c r="A16">
        <v>9</v>
      </c>
      <c r="B16" t="s">
        <v>173</v>
      </c>
      <c r="C16" t="s">
        <v>112</v>
      </c>
    </row>
    <row r="17" spans="1:3" x14ac:dyDescent="0.2">
      <c r="A17">
        <v>10</v>
      </c>
      <c r="B17" t="s">
        <v>173</v>
      </c>
      <c r="C17" t="s">
        <v>112</v>
      </c>
    </row>
    <row r="18" spans="1:3" x14ac:dyDescent="0.2">
      <c r="A18">
        <v>11</v>
      </c>
      <c r="B18" t="s">
        <v>173</v>
      </c>
      <c r="C18" t="s">
        <v>112</v>
      </c>
    </row>
    <row r="19" spans="1:3" x14ac:dyDescent="0.2">
      <c r="A19">
        <v>12</v>
      </c>
      <c r="B19" t="s">
        <v>173</v>
      </c>
      <c r="C19" t="s">
        <v>112</v>
      </c>
    </row>
    <row r="20" spans="1:3" x14ac:dyDescent="0.2">
      <c r="A20">
        <v>13</v>
      </c>
      <c r="B20" t="s">
        <v>173</v>
      </c>
      <c r="C20" t="s">
        <v>112</v>
      </c>
    </row>
    <row r="21" spans="1:3" x14ac:dyDescent="0.2">
      <c r="A21">
        <v>14</v>
      </c>
      <c r="B21" t="s">
        <v>173</v>
      </c>
      <c r="C21" t="s">
        <v>112</v>
      </c>
    </row>
    <row r="22" spans="1:3" x14ac:dyDescent="0.2">
      <c r="A22">
        <v>15</v>
      </c>
      <c r="B22" t="s">
        <v>173</v>
      </c>
      <c r="C22" t="s">
        <v>112</v>
      </c>
    </row>
    <row r="23" spans="1:3" x14ac:dyDescent="0.2">
      <c r="A23">
        <v>16</v>
      </c>
      <c r="B23" t="s">
        <v>173</v>
      </c>
      <c r="C23" t="s">
        <v>112</v>
      </c>
    </row>
    <row r="24" spans="1:3" x14ac:dyDescent="0.2">
      <c r="A24">
        <v>17</v>
      </c>
      <c r="B24" t="s">
        <v>173</v>
      </c>
      <c r="C24" t="s">
        <v>112</v>
      </c>
    </row>
    <row r="25" spans="1:3" x14ac:dyDescent="0.2">
      <c r="A25">
        <v>18</v>
      </c>
      <c r="B25" t="s">
        <v>173</v>
      </c>
      <c r="C25" t="s">
        <v>112</v>
      </c>
    </row>
    <row r="26" spans="1:3" x14ac:dyDescent="0.2">
      <c r="A26">
        <v>19</v>
      </c>
      <c r="B26" t="s">
        <v>173</v>
      </c>
      <c r="C26" t="s">
        <v>112</v>
      </c>
    </row>
    <row r="27" spans="1:3" x14ac:dyDescent="0.2">
      <c r="A27">
        <v>20</v>
      </c>
      <c r="B27" t="s">
        <v>173</v>
      </c>
      <c r="C27" t="s">
        <v>112</v>
      </c>
    </row>
    <row r="28" spans="1:3" x14ac:dyDescent="0.2">
      <c r="A28">
        <v>21</v>
      </c>
      <c r="B28" t="s">
        <v>173</v>
      </c>
      <c r="C28" t="s">
        <v>112</v>
      </c>
    </row>
    <row r="29" spans="1:3" x14ac:dyDescent="0.2">
      <c r="A29">
        <v>22</v>
      </c>
      <c r="B29" t="s">
        <v>173</v>
      </c>
      <c r="C29" t="s">
        <v>112</v>
      </c>
    </row>
    <row r="30" spans="1:3" x14ac:dyDescent="0.2">
      <c r="A30">
        <v>23</v>
      </c>
      <c r="B30" t="s">
        <v>173</v>
      </c>
      <c r="C30" t="s">
        <v>112</v>
      </c>
    </row>
    <row r="31" spans="1:3" x14ac:dyDescent="0.2">
      <c r="A31">
        <v>24</v>
      </c>
      <c r="B31" t="s">
        <v>173</v>
      </c>
      <c r="C31" t="s">
        <v>112</v>
      </c>
    </row>
    <row r="32" spans="1:3" x14ac:dyDescent="0.2">
      <c r="A32">
        <v>25</v>
      </c>
      <c r="B32" t="s">
        <v>173</v>
      </c>
      <c r="C32" t="s">
        <v>112</v>
      </c>
    </row>
    <row r="33" spans="1:3" x14ac:dyDescent="0.2">
      <c r="A33">
        <v>26</v>
      </c>
      <c r="B33" t="s">
        <v>173</v>
      </c>
      <c r="C33" t="s">
        <v>112</v>
      </c>
    </row>
    <row r="34" spans="1:3" x14ac:dyDescent="0.2">
      <c r="A34">
        <v>27</v>
      </c>
      <c r="B34" t="s">
        <v>173</v>
      </c>
      <c r="C34" t="s">
        <v>112</v>
      </c>
    </row>
    <row r="35" spans="1:3" x14ac:dyDescent="0.2">
      <c r="A35">
        <v>28</v>
      </c>
      <c r="B35" t="s">
        <v>173</v>
      </c>
      <c r="C35" t="s">
        <v>112</v>
      </c>
    </row>
    <row r="36" spans="1:3" x14ac:dyDescent="0.2">
      <c r="A36">
        <v>29</v>
      </c>
      <c r="B36" t="s">
        <v>173</v>
      </c>
      <c r="C36" t="s">
        <v>112</v>
      </c>
    </row>
    <row r="37" spans="1:3" x14ac:dyDescent="0.2">
      <c r="A37">
        <v>30</v>
      </c>
      <c r="B37" t="s">
        <v>173</v>
      </c>
      <c r="C37" t="s">
        <v>112</v>
      </c>
    </row>
    <row r="38" spans="1:3" x14ac:dyDescent="0.2">
      <c r="A38">
        <v>31</v>
      </c>
      <c r="B38" t="s">
        <v>173</v>
      </c>
      <c r="C38" t="s">
        <v>112</v>
      </c>
    </row>
    <row r="39" spans="1:3" x14ac:dyDescent="0.2">
      <c r="A39">
        <v>32</v>
      </c>
      <c r="B39" t="s">
        <v>173</v>
      </c>
      <c r="C39" t="s">
        <v>112</v>
      </c>
    </row>
    <row r="40" spans="1:3" x14ac:dyDescent="0.2">
      <c r="A40">
        <v>33</v>
      </c>
      <c r="B40" t="s">
        <v>173</v>
      </c>
      <c r="C40" t="s">
        <v>112</v>
      </c>
    </row>
    <row r="41" spans="1:3" x14ac:dyDescent="0.2">
      <c r="A41">
        <v>34</v>
      </c>
      <c r="B41" t="s">
        <v>173</v>
      </c>
      <c r="C41" t="s">
        <v>112</v>
      </c>
    </row>
    <row r="42" spans="1:3" x14ac:dyDescent="0.2">
      <c r="A42">
        <v>35</v>
      </c>
      <c r="B42" t="s">
        <v>173</v>
      </c>
      <c r="C42" t="s">
        <v>112</v>
      </c>
    </row>
    <row r="43" spans="1:3" x14ac:dyDescent="0.2">
      <c r="A43">
        <v>36</v>
      </c>
      <c r="B43" t="s">
        <v>173</v>
      </c>
      <c r="C43" t="s">
        <v>112</v>
      </c>
    </row>
    <row r="44" spans="1:3" x14ac:dyDescent="0.2">
      <c r="A44">
        <v>37</v>
      </c>
      <c r="B44" t="s">
        <v>173</v>
      </c>
      <c r="C44" t="s">
        <v>112</v>
      </c>
    </row>
    <row r="45" spans="1:3" x14ac:dyDescent="0.2">
      <c r="A45">
        <v>38</v>
      </c>
      <c r="B45" t="s">
        <v>173</v>
      </c>
      <c r="C45" t="s">
        <v>112</v>
      </c>
    </row>
    <row r="46" spans="1:3" x14ac:dyDescent="0.2">
      <c r="A46">
        <v>39</v>
      </c>
      <c r="B46" t="s">
        <v>173</v>
      </c>
      <c r="C46" t="s">
        <v>112</v>
      </c>
    </row>
    <row r="47" spans="1:3" x14ac:dyDescent="0.2">
      <c r="A47">
        <v>40</v>
      </c>
      <c r="B47" t="s">
        <v>173</v>
      </c>
      <c r="C47" t="s">
        <v>112</v>
      </c>
    </row>
    <row r="48" spans="1:3" x14ac:dyDescent="0.2">
      <c r="A48">
        <v>41</v>
      </c>
      <c r="B48" t="s">
        <v>173</v>
      </c>
      <c r="C48" t="s">
        <v>112</v>
      </c>
    </row>
    <row r="49" spans="1:9" x14ac:dyDescent="0.2">
      <c r="A49">
        <v>42</v>
      </c>
      <c r="B49" t="s">
        <v>173</v>
      </c>
      <c r="C49" t="s">
        <v>112</v>
      </c>
    </row>
    <row r="50" spans="1:9" x14ac:dyDescent="0.2">
      <c r="A50">
        <v>43</v>
      </c>
      <c r="B50" t="s">
        <v>173</v>
      </c>
      <c r="C50" t="s">
        <v>112</v>
      </c>
    </row>
    <row r="51" spans="1:9" x14ac:dyDescent="0.2">
      <c r="A51">
        <v>44</v>
      </c>
      <c r="B51" t="s">
        <v>173</v>
      </c>
      <c r="C51" t="s">
        <v>112</v>
      </c>
    </row>
    <row r="52" spans="1:9" x14ac:dyDescent="0.2">
      <c r="A52">
        <v>45</v>
      </c>
      <c r="B52" t="s">
        <v>173</v>
      </c>
      <c r="C52" t="s">
        <v>112</v>
      </c>
    </row>
    <row r="53" spans="1:9" x14ac:dyDescent="0.2">
      <c r="A53">
        <v>46</v>
      </c>
      <c r="B53" t="s">
        <v>173</v>
      </c>
      <c r="C53" t="s">
        <v>112</v>
      </c>
    </row>
    <row r="54" spans="1:9" x14ac:dyDescent="0.2">
      <c r="A54">
        <v>47</v>
      </c>
      <c r="B54" t="s">
        <v>173</v>
      </c>
      <c r="C54" t="s">
        <v>112</v>
      </c>
    </row>
    <row r="55" spans="1:9" x14ac:dyDescent="0.2">
      <c r="A55">
        <v>48</v>
      </c>
      <c r="B55" t="s">
        <v>173</v>
      </c>
      <c r="C55" t="s">
        <v>112</v>
      </c>
    </row>
    <row r="56" spans="1:9" x14ac:dyDescent="0.2">
      <c r="A56">
        <v>49</v>
      </c>
      <c r="B56" t="s">
        <v>173</v>
      </c>
      <c r="C56" t="s">
        <v>112</v>
      </c>
    </row>
    <row r="57" spans="1:9" x14ac:dyDescent="0.2">
      <c r="A57">
        <v>50</v>
      </c>
      <c r="B57" t="s">
        <v>173</v>
      </c>
      <c r="C57" t="s">
        <v>112</v>
      </c>
    </row>
    <row r="58" spans="1:9" x14ac:dyDescent="0.2">
      <c r="A58">
        <v>51</v>
      </c>
      <c r="B58" t="s">
        <v>173</v>
      </c>
      <c r="C58" t="s">
        <v>112</v>
      </c>
    </row>
    <row r="59" spans="1:9" x14ac:dyDescent="0.2">
      <c r="A59">
        <v>52</v>
      </c>
      <c r="B59" t="s">
        <v>173</v>
      </c>
      <c r="C59" t="s">
        <v>112</v>
      </c>
    </row>
    <row r="60" spans="1:9" x14ac:dyDescent="0.2">
      <c r="A60">
        <v>53</v>
      </c>
      <c r="B60" t="s">
        <v>173</v>
      </c>
      <c r="C60" t="s">
        <v>112</v>
      </c>
      <c r="H60" t="s">
        <v>80</v>
      </c>
    </row>
    <row r="61" spans="1:9" x14ac:dyDescent="0.2">
      <c r="A61">
        <v>54</v>
      </c>
      <c r="B61" t="s">
        <v>173</v>
      </c>
      <c r="C61" t="s">
        <v>112</v>
      </c>
      <c r="H61" t="s">
        <v>81</v>
      </c>
      <c r="I61" t="s">
        <v>78</v>
      </c>
    </row>
    <row r="62" spans="1:9" x14ac:dyDescent="0.2">
      <c r="A62">
        <v>55</v>
      </c>
      <c r="B62" t="s">
        <v>173</v>
      </c>
      <c r="C62" t="s">
        <v>112</v>
      </c>
      <c r="H62" t="s">
        <v>76</v>
      </c>
      <c r="I62" t="s">
        <v>79</v>
      </c>
    </row>
    <row r="63" spans="1:9" x14ac:dyDescent="0.2">
      <c r="A63">
        <v>56</v>
      </c>
      <c r="B63" t="s">
        <v>173</v>
      </c>
      <c r="C63" t="s">
        <v>112</v>
      </c>
      <c r="H63" t="s">
        <v>77</v>
      </c>
    </row>
    <row r="64" spans="1:9" x14ac:dyDescent="0.2">
      <c r="A64">
        <v>57</v>
      </c>
      <c r="B64" t="s">
        <v>173</v>
      </c>
      <c r="C64" t="s">
        <v>112</v>
      </c>
    </row>
    <row r="65" spans="1:3" x14ac:dyDescent="0.2">
      <c r="A65">
        <v>58</v>
      </c>
      <c r="B65" t="s">
        <v>173</v>
      </c>
      <c r="C65" t="s">
        <v>112</v>
      </c>
    </row>
    <row r="66" spans="1:3" x14ac:dyDescent="0.2">
      <c r="A66">
        <v>59</v>
      </c>
      <c r="B66" t="s">
        <v>173</v>
      </c>
      <c r="C66" t="s">
        <v>112</v>
      </c>
    </row>
    <row r="67" spans="1:3" x14ac:dyDescent="0.2">
      <c r="A67">
        <v>60</v>
      </c>
      <c r="B67" t="s">
        <v>173</v>
      </c>
      <c r="C67" t="s">
        <v>112</v>
      </c>
    </row>
    <row r="68" spans="1:3" x14ac:dyDescent="0.2">
      <c r="A68">
        <v>61</v>
      </c>
      <c r="B68" t="s">
        <v>173</v>
      </c>
      <c r="C68" t="s">
        <v>112</v>
      </c>
    </row>
    <row r="69" spans="1:3" x14ac:dyDescent="0.2">
      <c r="A69">
        <v>62</v>
      </c>
      <c r="B69" t="s">
        <v>173</v>
      </c>
      <c r="C69" t="s">
        <v>112</v>
      </c>
    </row>
    <row r="70" spans="1:3" x14ac:dyDescent="0.2">
      <c r="A70">
        <v>63</v>
      </c>
      <c r="B70" t="s">
        <v>173</v>
      </c>
      <c r="C70" t="s">
        <v>112</v>
      </c>
    </row>
    <row r="71" spans="1:3" x14ac:dyDescent="0.2">
      <c r="A71">
        <v>64</v>
      </c>
      <c r="B71" t="s">
        <v>173</v>
      </c>
      <c r="C71" t="s">
        <v>112</v>
      </c>
    </row>
    <row r="72" spans="1:3" x14ac:dyDescent="0.2">
      <c r="A72">
        <v>65</v>
      </c>
      <c r="B72" t="s">
        <v>173</v>
      </c>
      <c r="C72" t="s">
        <v>112</v>
      </c>
    </row>
    <row r="73" spans="1:3" x14ac:dyDescent="0.2">
      <c r="A73">
        <v>66</v>
      </c>
      <c r="B73" t="s">
        <v>173</v>
      </c>
      <c r="C73" t="s">
        <v>112</v>
      </c>
    </row>
    <row r="74" spans="1:3" x14ac:dyDescent="0.2">
      <c r="A74">
        <v>67</v>
      </c>
      <c r="B74" t="s">
        <v>173</v>
      </c>
      <c r="C74" t="s">
        <v>112</v>
      </c>
    </row>
    <row r="75" spans="1:3" x14ac:dyDescent="0.2">
      <c r="A75">
        <v>68</v>
      </c>
      <c r="B75" t="s">
        <v>173</v>
      </c>
      <c r="C75" t="s">
        <v>112</v>
      </c>
    </row>
    <row r="76" spans="1:3" x14ac:dyDescent="0.2">
      <c r="A76">
        <v>69</v>
      </c>
      <c r="B76" t="s">
        <v>173</v>
      </c>
      <c r="C76" t="s">
        <v>112</v>
      </c>
    </row>
    <row r="77" spans="1:3" x14ac:dyDescent="0.2">
      <c r="A77">
        <v>70</v>
      </c>
      <c r="B77" t="s">
        <v>173</v>
      </c>
      <c r="C77" t="s">
        <v>112</v>
      </c>
    </row>
    <row r="78" spans="1:3" x14ac:dyDescent="0.2">
      <c r="A78">
        <v>71</v>
      </c>
      <c r="B78" t="s">
        <v>173</v>
      </c>
      <c r="C78" t="s">
        <v>112</v>
      </c>
    </row>
    <row r="79" spans="1:3" x14ac:dyDescent="0.2">
      <c r="A79">
        <v>72</v>
      </c>
      <c r="B79" t="s">
        <v>173</v>
      </c>
      <c r="C79" t="s">
        <v>112</v>
      </c>
    </row>
    <row r="80" spans="1:3" x14ac:dyDescent="0.2">
      <c r="A80">
        <v>73</v>
      </c>
      <c r="B80" t="s">
        <v>173</v>
      </c>
      <c r="C80" t="s">
        <v>112</v>
      </c>
    </row>
    <row r="81" spans="1:8" x14ac:dyDescent="0.2">
      <c r="A81">
        <v>74</v>
      </c>
      <c r="B81" t="s">
        <v>173</v>
      </c>
      <c r="C81" t="s">
        <v>112</v>
      </c>
    </row>
    <row r="82" spans="1:8" x14ac:dyDescent="0.2">
      <c r="A82">
        <v>75</v>
      </c>
      <c r="B82" t="s">
        <v>173</v>
      </c>
      <c r="C82" t="s">
        <v>112</v>
      </c>
    </row>
    <row r="83" spans="1:8" x14ac:dyDescent="0.2">
      <c r="A83">
        <v>76</v>
      </c>
      <c r="B83" t="s">
        <v>173</v>
      </c>
      <c r="C83" t="s">
        <v>112</v>
      </c>
    </row>
    <row r="84" spans="1:8" x14ac:dyDescent="0.2">
      <c r="A84">
        <v>77</v>
      </c>
      <c r="B84" t="s">
        <v>173</v>
      </c>
      <c r="C84" t="s">
        <v>112</v>
      </c>
    </row>
    <row r="85" spans="1:8" x14ac:dyDescent="0.2">
      <c r="A85">
        <v>78</v>
      </c>
      <c r="B85" t="s">
        <v>173</v>
      </c>
      <c r="C85" t="s">
        <v>112</v>
      </c>
    </row>
    <row r="86" spans="1:8" x14ac:dyDescent="0.2">
      <c r="A86">
        <v>79</v>
      </c>
      <c r="B86" t="s">
        <v>173</v>
      </c>
      <c r="C86" t="s">
        <v>112</v>
      </c>
    </row>
    <row r="87" spans="1:8" x14ac:dyDescent="0.2">
      <c r="A87">
        <v>80</v>
      </c>
      <c r="B87" t="s">
        <v>173</v>
      </c>
      <c r="C87" t="s">
        <v>112</v>
      </c>
    </row>
    <row r="88" spans="1:8" x14ac:dyDescent="0.2">
      <c r="A88">
        <v>81</v>
      </c>
      <c r="B88" t="s">
        <v>173</v>
      </c>
      <c r="C88" t="s">
        <v>112</v>
      </c>
      <c r="H88" t="s">
        <v>74</v>
      </c>
    </row>
    <row r="89" spans="1:8" x14ac:dyDescent="0.2">
      <c r="A89">
        <v>82</v>
      </c>
      <c r="B89" t="s">
        <v>173</v>
      </c>
      <c r="C89" t="s">
        <v>112</v>
      </c>
      <c r="H89" t="s">
        <v>75</v>
      </c>
    </row>
    <row r="90" spans="1:8" x14ac:dyDescent="0.2">
      <c r="A90">
        <v>83</v>
      </c>
      <c r="B90" t="s">
        <v>173</v>
      </c>
      <c r="C90" t="s">
        <v>112</v>
      </c>
      <c r="G90" t="s">
        <v>301</v>
      </c>
      <c r="H90" t="s">
        <v>72</v>
      </c>
    </row>
    <row r="91" spans="1:8" x14ac:dyDescent="0.2">
      <c r="A91">
        <v>84</v>
      </c>
      <c r="B91" t="s">
        <v>173</v>
      </c>
      <c r="C91" t="s">
        <v>113</v>
      </c>
      <c r="F91" t="s">
        <v>302</v>
      </c>
      <c r="H91" t="s">
        <v>73</v>
      </c>
    </row>
    <row r="92" spans="1:8" x14ac:dyDescent="0.2">
      <c r="A92">
        <v>85</v>
      </c>
      <c r="B92" t="s">
        <v>173</v>
      </c>
      <c r="C92" t="s">
        <v>113</v>
      </c>
      <c r="H92" t="s">
        <v>69</v>
      </c>
    </row>
    <row r="93" spans="1:8" x14ac:dyDescent="0.2">
      <c r="A93">
        <v>86</v>
      </c>
      <c r="B93" t="s">
        <v>173</v>
      </c>
      <c r="C93" t="s">
        <v>113</v>
      </c>
      <c r="H93" t="s">
        <v>71</v>
      </c>
    </row>
    <row r="94" spans="1:8" x14ac:dyDescent="0.2">
      <c r="A94">
        <v>87</v>
      </c>
      <c r="B94" t="s">
        <v>173</v>
      </c>
      <c r="C94" t="s">
        <v>113</v>
      </c>
    </row>
    <row r="95" spans="1:8" x14ac:dyDescent="0.2">
      <c r="A95">
        <v>88</v>
      </c>
      <c r="B95" t="s">
        <v>173</v>
      </c>
      <c r="C95" t="s">
        <v>113</v>
      </c>
    </row>
    <row r="96" spans="1:8" x14ac:dyDescent="0.2">
      <c r="A96">
        <v>89</v>
      </c>
      <c r="B96" t="s">
        <v>173</v>
      </c>
      <c r="C96" t="s">
        <v>113</v>
      </c>
    </row>
    <row r="97" spans="1:3" x14ac:dyDescent="0.2">
      <c r="A97">
        <v>90</v>
      </c>
      <c r="B97" t="s">
        <v>173</v>
      </c>
      <c r="C97" t="s">
        <v>113</v>
      </c>
    </row>
    <row r="98" spans="1:3" x14ac:dyDescent="0.2">
      <c r="A98">
        <v>91</v>
      </c>
      <c r="B98" t="s">
        <v>173</v>
      </c>
      <c r="C98" t="s">
        <v>113</v>
      </c>
    </row>
    <row r="99" spans="1:3" x14ac:dyDescent="0.2">
      <c r="A99">
        <v>92</v>
      </c>
      <c r="B99" t="s">
        <v>173</v>
      </c>
      <c r="C99" t="s">
        <v>113</v>
      </c>
    </row>
    <row r="100" spans="1:3" x14ac:dyDescent="0.2">
      <c r="A100">
        <v>93</v>
      </c>
      <c r="B100" t="s">
        <v>173</v>
      </c>
      <c r="C100" t="s">
        <v>113</v>
      </c>
    </row>
    <row r="101" spans="1:3" x14ac:dyDescent="0.2">
      <c r="A101">
        <v>94</v>
      </c>
      <c r="B101" t="s">
        <v>173</v>
      </c>
      <c r="C101" t="s">
        <v>113</v>
      </c>
    </row>
    <row r="102" spans="1:3" x14ac:dyDescent="0.2">
      <c r="A102">
        <v>95</v>
      </c>
      <c r="B102" t="s">
        <v>173</v>
      </c>
      <c r="C102" t="s">
        <v>113</v>
      </c>
    </row>
    <row r="103" spans="1:3" x14ac:dyDescent="0.2">
      <c r="A103">
        <v>96</v>
      </c>
      <c r="B103" t="s">
        <v>173</v>
      </c>
      <c r="C103" t="s">
        <v>113</v>
      </c>
    </row>
    <row r="104" spans="1:3" x14ac:dyDescent="0.2">
      <c r="A104">
        <v>97</v>
      </c>
      <c r="B104" t="s">
        <v>173</v>
      </c>
      <c r="C104" t="s">
        <v>113</v>
      </c>
    </row>
    <row r="105" spans="1:3" x14ac:dyDescent="0.2">
      <c r="A105">
        <v>98</v>
      </c>
      <c r="B105" t="s">
        <v>173</v>
      </c>
      <c r="C105" t="s">
        <v>113</v>
      </c>
    </row>
    <row r="106" spans="1:3" x14ac:dyDescent="0.2">
      <c r="A106">
        <v>99</v>
      </c>
      <c r="B106" t="s">
        <v>173</v>
      </c>
      <c r="C106" t="s">
        <v>113</v>
      </c>
    </row>
    <row r="107" spans="1:3" x14ac:dyDescent="0.2">
      <c r="A107">
        <v>100</v>
      </c>
      <c r="B107" t="s">
        <v>173</v>
      </c>
      <c r="C107" t="s">
        <v>113</v>
      </c>
    </row>
    <row r="108" spans="1:3" x14ac:dyDescent="0.2">
      <c r="A108">
        <v>101</v>
      </c>
      <c r="B108" t="s">
        <v>173</v>
      </c>
      <c r="C108" t="s">
        <v>113</v>
      </c>
    </row>
    <row r="109" spans="1:3" x14ac:dyDescent="0.2">
      <c r="A109">
        <v>102</v>
      </c>
      <c r="B109" t="s">
        <v>173</v>
      </c>
      <c r="C109" t="s">
        <v>113</v>
      </c>
    </row>
    <row r="110" spans="1:3" x14ac:dyDescent="0.2">
      <c r="A110">
        <v>103</v>
      </c>
      <c r="B110" t="s">
        <v>173</v>
      </c>
      <c r="C110" t="s">
        <v>113</v>
      </c>
    </row>
    <row r="111" spans="1:3" x14ac:dyDescent="0.2">
      <c r="A111">
        <v>104</v>
      </c>
      <c r="B111" t="s">
        <v>173</v>
      </c>
      <c r="C111" t="s">
        <v>113</v>
      </c>
    </row>
    <row r="112" spans="1:3" x14ac:dyDescent="0.2">
      <c r="A112">
        <v>105</v>
      </c>
      <c r="B112" t="s">
        <v>173</v>
      </c>
      <c r="C112" t="s">
        <v>113</v>
      </c>
    </row>
    <row r="113" spans="1:8" x14ac:dyDescent="0.2">
      <c r="A113">
        <v>106</v>
      </c>
      <c r="B113" t="s">
        <v>173</v>
      </c>
      <c r="C113" t="s">
        <v>113</v>
      </c>
    </row>
    <row r="114" spans="1:8" x14ac:dyDescent="0.2">
      <c r="A114">
        <v>107</v>
      </c>
      <c r="B114" t="s">
        <v>173</v>
      </c>
      <c r="C114" t="s">
        <v>113</v>
      </c>
    </row>
    <row r="115" spans="1:8" x14ac:dyDescent="0.2">
      <c r="A115">
        <v>108</v>
      </c>
      <c r="B115" t="s">
        <v>173</v>
      </c>
      <c r="C115" t="s">
        <v>113</v>
      </c>
    </row>
    <row r="116" spans="1:8" x14ac:dyDescent="0.2">
      <c r="A116">
        <v>109</v>
      </c>
      <c r="B116" t="s">
        <v>173</v>
      </c>
      <c r="C116" t="s">
        <v>113</v>
      </c>
    </row>
    <row r="117" spans="1:8" x14ac:dyDescent="0.2">
      <c r="A117">
        <v>110</v>
      </c>
      <c r="B117" t="s">
        <v>173</v>
      </c>
      <c r="C117" t="s">
        <v>113</v>
      </c>
      <c r="E117" t="s">
        <v>303</v>
      </c>
      <c r="G117" t="s">
        <v>304</v>
      </c>
    </row>
    <row r="118" spans="1:8" x14ac:dyDescent="0.2">
      <c r="A118">
        <v>111</v>
      </c>
      <c r="B118" t="s">
        <v>174</v>
      </c>
      <c r="C118" t="s">
        <v>114</v>
      </c>
      <c r="D118" t="s">
        <v>305</v>
      </c>
      <c r="F118" t="s">
        <v>306</v>
      </c>
    </row>
    <row r="119" spans="1:8" x14ac:dyDescent="0.2">
      <c r="A119">
        <v>112</v>
      </c>
      <c r="B119" t="s">
        <v>174</v>
      </c>
      <c r="C119" t="s">
        <v>114</v>
      </c>
    </row>
    <row r="120" spans="1:8" x14ac:dyDescent="0.2">
      <c r="A120">
        <v>113</v>
      </c>
      <c r="B120" t="s">
        <v>174</v>
      </c>
      <c r="C120" t="s">
        <v>114</v>
      </c>
    </row>
    <row r="121" spans="1:8" x14ac:dyDescent="0.2">
      <c r="A121">
        <v>114</v>
      </c>
      <c r="B121" t="s">
        <v>174</v>
      </c>
      <c r="C121" t="s">
        <v>114</v>
      </c>
    </row>
    <row r="122" spans="1:8" x14ac:dyDescent="0.2">
      <c r="A122">
        <v>115</v>
      </c>
      <c r="B122" t="s">
        <v>174</v>
      </c>
      <c r="C122" t="s">
        <v>114</v>
      </c>
    </row>
    <row r="123" spans="1:8" x14ac:dyDescent="0.2">
      <c r="A123">
        <v>116</v>
      </c>
      <c r="B123" t="s">
        <v>174</v>
      </c>
      <c r="C123" t="s">
        <v>114</v>
      </c>
    </row>
    <row r="124" spans="1:8" x14ac:dyDescent="0.2">
      <c r="A124">
        <v>117</v>
      </c>
      <c r="B124" t="s">
        <v>174</v>
      </c>
      <c r="C124" t="s">
        <v>114</v>
      </c>
      <c r="G124" t="s">
        <v>307</v>
      </c>
    </row>
    <row r="125" spans="1:8" x14ac:dyDescent="0.2">
      <c r="A125">
        <v>118</v>
      </c>
      <c r="B125" t="s">
        <v>174</v>
      </c>
      <c r="C125" t="s">
        <v>115</v>
      </c>
      <c r="F125" t="s">
        <v>308</v>
      </c>
      <c r="H125" t="s">
        <v>82</v>
      </c>
    </row>
    <row r="126" spans="1:8" x14ac:dyDescent="0.2">
      <c r="A126">
        <v>119</v>
      </c>
      <c r="B126" t="s">
        <v>174</v>
      </c>
      <c r="C126" t="s">
        <v>115</v>
      </c>
      <c r="H126" t="s">
        <v>83</v>
      </c>
    </row>
    <row r="127" spans="1:8" x14ac:dyDescent="0.2">
      <c r="A127">
        <v>120</v>
      </c>
      <c r="B127" t="s">
        <v>174</v>
      </c>
      <c r="C127" t="s">
        <v>115</v>
      </c>
    </row>
    <row r="128" spans="1:8" x14ac:dyDescent="0.2">
      <c r="A128">
        <v>121</v>
      </c>
      <c r="B128" t="s">
        <v>174</v>
      </c>
      <c r="C128" t="s">
        <v>115</v>
      </c>
    </row>
    <row r="129" spans="1:7" x14ac:dyDescent="0.2">
      <c r="A129">
        <v>122</v>
      </c>
      <c r="B129" t="s">
        <v>174</v>
      </c>
      <c r="C129" t="s">
        <v>115</v>
      </c>
    </row>
    <row r="130" spans="1:7" x14ac:dyDescent="0.2">
      <c r="A130">
        <v>123</v>
      </c>
      <c r="B130" t="s">
        <v>174</v>
      </c>
      <c r="C130" t="s">
        <v>115</v>
      </c>
      <c r="E130" t="s">
        <v>309</v>
      </c>
      <c r="G130" t="s">
        <v>310</v>
      </c>
    </row>
    <row r="131" spans="1:7" x14ac:dyDescent="0.2">
      <c r="A131">
        <v>124</v>
      </c>
      <c r="B131" t="s">
        <v>175</v>
      </c>
      <c r="C131" t="s">
        <v>116</v>
      </c>
      <c r="D131" t="s">
        <v>311</v>
      </c>
      <c r="F131" t="s">
        <v>312</v>
      </c>
    </row>
    <row r="132" spans="1:7" x14ac:dyDescent="0.2">
      <c r="A132">
        <v>125</v>
      </c>
      <c r="B132" t="s">
        <v>175</v>
      </c>
      <c r="C132" t="s">
        <v>116</v>
      </c>
    </row>
    <row r="133" spans="1:7" x14ac:dyDescent="0.2">
      <c r="A133">
        <v>126</v>
      </c>
      <c r="B133" t="s">
        <v>175</v>
      </c>
      <c r="C133" t="s">
        <v>116</v>
      </c>
    </row>
    <row r="134" spans="1:7" x14ac:dyDescent="0.2">
      <c r="A134">
        <v>127</v>
      </c>
      <c r="B134" t="s">
        <v>175</v>
      </c>
      <c r="C134" t="s">
        <v>116</v>
      </c>
    </row>
    <row r="135" spans="1:7" x14ac:dyDescent="0.2">
      <c r="A135">
        <v>128</v>
      </c>
      <c r="B135" t="s">
        <v>175</v>
      </c>
      <c r="C135" t="s">
        <v>116</v>
      </c>
    </row>
    <row r="136" spans="1:7" x14ac:dyDescent="0.2">
      <c r="A136">
        <v>129</v>
      </c>
      <c r="B136" t="s">
        <v>175</v>
      </c>
      <c r="C136" t="s">
        <v>116</v>
      </c>
    </row>
    <row r="137" spans="1:7" x14ac:dyDescent="0.2">
      <c r="A137">
        <v>130</v>
      </c>
      <c r="B137" t="s">
        <v>175</v>
      </c>
      <c r="C137" t="s">
        <v>116</v>
      </c>
    </row>
    <row r="138" spans="1:7" x14ac:dyDescent="0.2">
      <c r="A138">
        <v>131</v>
      </c>
      <c r="B138" t="s">
        <v>175</v>
      </c>
      <c r="C138" t="s">
        <v>116</v>
      </c>
    </row>
    <row r="139" spans="1:7" x14ac:dyDescent="0.2">
      <c r="A139">
        <v>132</v>
      </c>
      <c r="B139" t="s">
        <v>175</v>
      </c>
      <c r="C139" t="s">
        <v>116</v>
      </c>
    </row>
    <row r="140" spans="1:7" x14ac:dyDescent="0.2">
      <c r="A140">
        <v>133</v>
      </c>
      <c r="B140" t="s">
        <v>175</v>
      </c>
      <c r="C140" t="s">
        <v>116</v>
      </c>
    </row>
    <row r="141" spans="1:7" x14ac:dyDescent="0.2">
      <c r="A141">
        <v>134</v>
      </c>
      <c r="B141" t="s">
        <v>175</v>
      </c>
      <c r="C141" t="s">
        <v>116</v>
      </c>
    </row>
    <row r="142" spans="1:7" x14ac:dyDescent="0.2">
      <c r="A142">
        <v>135</v>
      </c>
      <c r="B142" t="s">
        <v>175</v>
      </c>
      <c r="C142" t="s">
        <v>116</v>
      </c>
    </row>
    <row r="143" spans="1:7" x14ac:dyDescent="0.2">
      <c r="A143">
        <v>136</v>
      </c>
      <c r="B143" t="s">
        <v>175</v>
      </c>
      <c r="C143" t="s">
        <v>116</v>
      </c>
    </row>
    <row r="144" spans="1:7" x14ac:dyDescent="0.2">
      <c r="A144">
        <v>137</v>
      </c>
      <c r="B144" t="s">
        <v>175</v>
      </c>
      <c r="C144" t="s">
        <v>116</v>
      </c>
    </row>
    <row r="145" spans="1:3" x14ac:dyDescent="0.2">
      <c r="A145">
        <v>138</v>
      </c>
      <c r="B145" t="s">
        <v>175</v>
      </c>
      <c r="C145" t="s">
        <v>116</v>
      </c>
    </row>
    <row r="146" spans="1:3" x14ac:dyDescent="0.2">
      <c r="A146">
        <v>139</v>
      </c>
      <c r="B146" t="s">
        <v>175</v>
      </c>
      <c r="C146" t="s">
        <v>116</v>
      </c>
    </row>
    <row r="147" spans="1:3" x14ac:dyDescent="0.2">
      <c r="A147">
        <v>140</v>
      </c>
      <c r="B147" t="s">
        <v>175</v>
      </c>
      <c r="C147" t="s">
        <v>116</v>
      </c>
    </row>
    <row r="148" spans="1:3" x14ac:dyDescent="0.2">
      <c r="A148">
        <v>141</v>
      </c>
      <c r="B148" t="s">
        <v>175</v>
      </c>
      <c r="C148" t="s">
        <v>116</v>
      </c>
    </row>
    <row r="149" spans="1:3" x14ac:dyDescent="0.2">
      <c r="A149">
        <v>142</v>
      </c>
      <c r="B149" t="s">
        <v>175</v>
      </c>
      <c r="C149" t="s">
        <v>116</v>
      </c>
    </row>
    <row r="150" spans="1:3" x14ac:dyDescent="0.2">
      <c r="A150">
        <v>143</v>
      </c>
      <c r="B150" t="s">
        <v>175</v>
      </c>
      <c r="C150" t="s">
        <v>116</v>
      </c>
    </row>
    <row r="151" spans="1:3" x14ac:dyDescent="0.2">
      <c r="A151">
        <v>144</v>
      </c>
      <c r="B151" t="s">
        <v>175</v>
      </c>
      <c r="C151" t="s">
        <v>116</v>
      </c>
    </row>
    <row r="152" spans="1:3" x14ac:dyDescent="0.2">
      <c r="A152">
        <v>145</v>
      </c>
      <c r="B152" t="s">
        <v>175</v>
      </c>
      <c r="C152" t="s">
        <v>116</v>
      </c>
    </row>
    <row r="153" spans="1:3" x14ac:dyDescent="0.2">
      <c r="A153">
        <v>146</v>
      </c>
      <c r="B153" t="s">
        <v>175</v>
      </c>
      <c r="C153" t="s">
        <v>116</v>
      </c>
    </row>
    <row r="154" spans="1:3" x14ac:dyDescent="0.2">
      <c r="A154">
        <v>147</v>
      </c>
      <c r="B154" t="s">
        <v>175</v>
      </c>
      <c r="C154" t="s">
        <v>116</v>
      </c>
    </row>
    <row r="155" spans="1:3" x14ac:dyDescent="0.2">
      <c r="A155">
        <v>148</v>
      </c>
      <c r="B155" t="s">
        <v>175</v>
      </c>
      <c r="C155" t="s">
        <v>116</v>
      </c>
    </row>
    <row r="156" spans="1:3" x14ac:dyDescent="0.2">
      <c r="A156">
        <v>149</v>
      </c>
      <c r="B156" t="s">
        <v>175</v>
      </c>
      <c r="C156" t="s">
        <v>116</v>
      </c>
    </row>
    <row r="157" spans="1:3" x14ac:dyDescent="0.2">
      <c r="A157">
        <v>150</v>
      </c>
      <c r="B157" t="s">
        <v>175</v>
      </c>
      <c r="C157" t="s">
        <v>116</v>
      </c>
    </row>
    <row r="158" spans="1:3" x14ac:dyDescent="0.2">
      <c r="A158">
        <v>151</v>
      </c>
      <c r="B158" t="s">
        <v>175</v>
      </c>
      <c r="C158" t="s">
        <v>116</v>
      </c>
    </row>
    <row r="159" spans="1:3" x14ac:dyDescent="0.2">
      <c r="A159">
        <v>152</v>
      </c>
      <c r="B159" t="s">
        <v>175</v>
      </c>
      <c r="C159" t="s">
        <v>116</v>
      </c>
    </row>
    <row r="160" spans="1:3" x14ac:dyDescent="0.2">
      <c r="A160">
        <v>153</v>
      </c>
      <c r="B160" t="s">
        <v>175</v>
      </c>
      <c r="C160" t="s">
        <v>116</v>
      </c>
    </row>
    <row r="161" spans="1:3" x14ac:dyDescent="0.2">
      <c r="A161">
        <v>154</v>
      </c>
      <c r="B161" t="s">
        <v>175</v>
      </c>
      <c r="C161" t="s">
        <v>116</v>
      </c>
    </row>
    <row r="162" spans="1:3" x14ac:dyDescent="0.2">
      <c r="A162">
        <v>155</v>
      </c>
      <c r="B162" t="s">
        <v>175</v>
      </c>
      <c r="C162" t="s">
        <v>116</v>
      </c>
    </row>
    <row r="163" spans="1:3" x14ac:dyDescent="0.2">
      <c r="A163">
        <v>156</v>
      </c>
      <c r="B163" t="s">
        <v>175</v>
      </c>
      <c r="C163" t="s">
        <v>116</v>
      </c>
    </row>
    <row r="164" spans="1:3" x14ac:dyDescent="0.2">
      <c r="A164">
        <v>157</v>
      </c>
      <c r="B164" t="s">
        <v>175</v>
      </c>
      <c r="C164" t="s">
        <v>116</v>
      </c>
    </row>
    <row r="165" spans="1:3" x14ac:dyDescent="0.2">
      <c r="A165">
        <v>158</v>
      </c>
      <c r="B165" t="s">
        <v>175</v>
      </c>
      <c r="C165" t="s">
        <v>116</v>
      </c>
    </row>
    <row r="166" spans="1:3" x14ac:dyDescent="0.2">
      <c r="A166">
        <v>159</v>
      </c>
      <c r="B166" t="s">
        <v>175</v>
      </c>
      <c r="C166" t="s">
        <v>116</v>
      </c>
    </row>
    <row r="167" spans="1:3" x14ac:dyDescent="0.2">
      <c r="A167">
        <v>160</v>
      </c>
      <c r="B167" t="s">
        <v>175</v>
      </c>
      <c r="C167" t="s">
        <v>116</v>
      </c>
    </row>
    <row r="168" spans="1:3" x14ac:dyDescent="0.2">
      <c r="A168">
        <v>161</v>
      </c>
      <c r="B168" t="s">
        <v>175</v>
      </c>
      <c r="C168" t="s">
        <v>116</v>
      </c>
    </row>
    <row r="169" spans="1:3" x14ac:dyDescent="0.2">
      <c r="A169">
        <v>162</v>
      </c>
      <c r="B169" t="s">
        <v>175</v>
      </c>
      <c r="C169" t="s">
        <v>116</v>
      </c>
    </row>
    <row r="170" spans="1:3" x14ac:dyDescent="0.2">
      <c r="A170">
        <v>163</v>
      </c>
      <c r="B170" t="s">
        <v>175</v>
      </c>
      <c r="C170" t="s">
        <v>116</v>
      </c>
    </row>
    <row r="171" spans="1:3" x14ac:dyDescent="0.2">
      <c r="A171">
        <v>164</v>
      </c>
      <c r="B171" t="s">
        <v>175</v>
      </c>
      <c r="C171" t="s">
        <v>116</v>
      </c>
    </row>
    <row r="172" spans="1:3" x14ac:dyDescent="0.2">
      <c r="A172">
        <v>165</v>
      </c>
      <c r="B172" t="s">
        <v>175</v>
      </c>
      <c r="C172" t="s">
        <v>116</v>
      </c>
    </row>
    <row r="173" spans="1:3" x14ac:dyDescent="0.2">
      <c r="A173">
        <v>166</v>
      </c>
      <c r="B173" t="s">
        <v>175</v>
      </c>
      <c r="C173" t="s">
        <v>116</v>
      </c>
    </row>
    <row r="174" spans="1:3" x14ac:dyDescent="0.2">
      <c r="A174">
        <v>167</v>
      </c>
      <c r="B174" t="s">
        <v>175</v>
      </c>
      <c r="C174" t="s">
        <v>116</v>
      </c>
    </row>
    <row r="175" spans="1:3" x14ac:dyDescent="0.2">
      <c r="A175">
        <v>168</v>
      </c>
      <c r="B175" t="s">
        <v>175</v>
      </c>
      <c r="C175" t="s">
        <v>116</v>
      </c>
    </row>
    <row r="176" spans="1:3" x14ac:dyDescent="0.2">
      <c r="A176">
        <v>169</v>
      </c>
      <c r="B176" t="s">
        <v>175</v>
      </c>
      <c r="C176" t="s">
        <v>116</v>
      </c>
    </row>
    <row r="177" spans="1:9" x14ac:dyDescent="0.2">
      <c r="A177">
        <v>170</v>
      </c>
      <c r="B177" t="s">
        <v>175</v>
      </c>
      <c r="C177" t="s">
        <v>116</v>
      </c>
    </row>
    <row r="178" spans="1:9" x14ac:dyDescent="0.2">
      <c r="A178">
        <v>171</v>
      </c>
      <c r="B178" t="s">
        <v>175</v>
      </c>
      <c r="C178" t="s">
        <v>116</v>
      </c>
    </row>
    <row r="179" spans="1:9" x14ac:dyDescent="0.2">
      <c r="A179">
        <v>172</v>
      </c>
      <c r="B179" t="s">
        <v>175</v>
      </c>
      <c r="C179" t="s">
        <v>116</v>
      </c>
    </row>
    <row r="180" spans="1:9" x14ac:dyDescent="0.2">
      <c r="A180">
        <v>173</v>
      </c>
      <c r="B180" t="s">
        <v>175</v>
      </c>
      <c r="C180" t="s">
        <v>116</v>
      </c>
    </row>
    <row r="181" spans="1:9" x14ac:dyDescent="0.2">
      <c r="A181">
        <v>174</v>
      </c>
      <c r="B181" t="s">
        <v>175</v>
      </c>
      <c r="C181" t="s">
        <v>116</v>
      </c>
    </row>
    <row r="182" spans="1:9" x14ac:dyDescent="0.2">
      <c r="A182">
        <v>175</v>
      </c>
      <c r="B182" t="s">
        <v>175</v>
      </c>
      <c r="C182" t="s">
        <v>116</v>
      </c>
    </row>
    <row r="183" spans="1:9" x14ac:dyDescent="0.2">
      <c r="A183">
        <v>176</v>
      </c>
      <c r="B183" t="s">
        <v>175</v>
      </c>
      <c r="C183" t="s">
        <v>116</v>
      </c>
    </row>
    <row r="184" spans="1:9" x14ac:dyDescent="0.2">
      <c r="A184">
        <v>177</v>
      </c>
      <c r="B184" t="s">
        <v>175</v>
      </c>
      <c r="C184" t="s">
        <v>116</v>
      </c>
      <c r="H184" t="s">
        <v>94</v>
      </c>
    </row>
    <row r="185" spans="1:9" x14ac:dyDescent="0.2">
      <c r="A185">
        <v>178</v>
      </c>
      <c r="B185" t="s">
        <v>175</v>
      </c>
      <c r="C185" t="s">
        <v>116</v>
      </c>
      <c r="H185" t="s">
        <v>95</v>
      </c>
      <c r="I185" t="s">
        <v>92</v>
      </c>
    </row>
    <row r="186" spans="1:9" x14ac:dyDescent="0.2">
      <c r="A186">
        <v>179</v>
      </c>
      <c r="B186" t="s">
        <v>175</v>
      </c>
      <c r="C186" t="s">
        <v>116</v>
      </c>
      <c r="H186" t="s">
        <v>90</v>
      </c>
      <c r="I186" t="s">
        <v>93</v>
      </c>
    </row>
    <row r="187" spans="1:9" x14ac:dyDescent="0.2">
      <c r="A187">
        <v>180</v>
      </c>
      <c r="B187" t="s">
        <v>175</v>
      </c>
      <c r="C187" t="s">
        <v>116</v>
      </c>
      <c r="H187" t="s">
        <v>91</v>
      </c>
    </row>
    <row r="188" spans="1:9" x14ac:dyDescent="0.2">
      <c r="A188">
        <v>181</v>
      </c>
      <c r="B188" t="s">
        <v>175</v>
      </c>
      <c r="C188" t="s">
        <v>116</v>
      </c>
    </row>
    <row r="189" spans="1:9" x14ac:dyDescent="0.2">
      <c r="A189">
        <v>182</v>
      </c>
      <c r="B189" t="s">
        <v>175</v>
      </c>
      <c r="C189" t="s">
        <v>116</v>
      </c>
    </row>
    <row r="190" spans="1:9" x14ac:dyDescent="0.2">
      <c r="A190">
        <v>183</v>
      </c>
      <c r="B190" t="s">
        <v>175</v>
      </c>
      <c r="C190" t="s">
        <v>116</v>
      </c>
    </row>
    <row r="191" spans="1:9" x14ac:dyDescent="0.2">
      <c r="A191">
        <v>184</v>
      </c>
      <c r="B191" t="s">
        <v>175</v>
      </c>
      <c r="C191" t="s">
        <v>116</v>
      </c>
    </row>
    <row r="192" spans="1:9" x14ac:dyDescent="0.2">
      <c r="A192">
        <v>185</v>
      </c>
      <c r="B192" t="s">
        <v>175</v>
      </c>
      <c r="C192" t="s">
        <v>116</v>
      </c>
    </row>
    <row r="193" spans="1:3" x14ac:dyDescent="0.2">
      <c r="A193">
        <v>186</v>
      </c>
      <c r="B193" t="s">
        <v>175</v>
      </c>
      <c r="C193" t="s">
        <v>116</v>
      </c>
    </row>
    <row r="194" spans="1:3" x14ac:dyDescent="0.2">
      <c r="A194">
        <v>187</v>
      </c>
      <c r="B194" t="s">
        <v>175</v>
      </c>
      <c r="C194" t="s">
        <v>116</v>
      </c>
    </row>
    <row r="195" spans="1:3" x14ac:dyDescent="0.2">
      <c r="A195">
        <v>188</v>
      </c>
      <c r="B195" t="s">
        <v>175</v>
      </c>
      <c r="C195" t="s">
        <v>116</v>
      </c>
    </row>
    <row r="196" spans="1:3" x14ac:dyDescent="0.2">
      <c r="A196">
        <v>189</v>
      </c>
      <c r="B196" t="s">
        <v>175</v>
      </c>
      <c r="C196" t="s">
        <v>116</v>
      </c>
    </row>
    <row r="197" spans="1:3" x14ac:dyDescent="0.2">
      <c r="A197">
        <v>190</v>
      </c>
      <c r="B197" t="s">
        <v>175</v>
      </c>
      <c r="C197" t="s">
        <v>116</v>
      </c>
    </row>
    <row r="198" spans="1:3" x14ac:dyDescent="0.2">
      <c r="A198">
        <v>191</v>
      </c>
      <c r="B198" t="s">
        <v>175</v>
      </c>
      <c r="C198" t="s">
        <v>116</v>
      </c>
    </row>
    <row r="199" spans="1:3" x14ac:dyDescent="0.2">
      <c r="A199">
        <v>192</v>
      </c>
      <c r="B199" t="s">
        <v>175</v>
      </c>
      <c r="C199" t="s">
        <v>116</v>
      </c>
    </row>
    <row r="200" spans="1:3" x14ac:dyDescent="0.2">
      <c r="A200">
        <v>193</v>
      </c>
      <c r="B200" t="s">
        <v>175</v>
      </c>
      <c r="C200" t="s">
        <v>116</v>
      </c>
    </row>
    <row r="201" spans="1:3" x14ac:dyDescent="0.2">
      <c r="A201">
        <v>194</v>
      </c>
      <c r="B201" t="s">
        <v>175</v>
      </c>
      <c r="C201" t="s">
        <v>116</v>
      </c>
    </row>
    <row r="202" spans="1:3" x14ac:dyDescent="0.2">
      <c r="A202">
        <v>195</v>
      </c>
      <c r="B202" t="s">
        <v>175</v>
      </c>
      <c r="C202" t="s">
        <v>116</v>
      </c>
    </row>
    <row r="203" spans="1:3" x14ac:dyDescent="0.2">
      <c r="A203">
        <v>196</v>
      </c>
      <c r="B203" t="s">
        <v>175</v>
      </c>
      <c r="C203" t="s">
        <v>116</v>
      </c>
    </row>
    <row r="204" spans="1:3" x14ac:dyDescent="0.2">
      <c r="A204">
        <v>197</v>
      </c>
      <c r="B204" t="s">
        <v>175</v>
      </c>
      <c r="C204" t="s">
        <v>116</v>
      </c>
    </row>
    <row r="205" spans="1:3" x14ac:dyDescent="0.2">
      <c r="A205">
        <v>198</v>
      </c>
      <c r="B205" t="s">
        <v>175</v>
      </c>
      <c r="C205" t="s">
        <v>116</v>
      </c>
    </row>
    <row r="206" spans="1:3" x14ac:dyDescent="0.2">
      <c r="A206">
        <v>199</v>
      </c>
      <c r="B206" t="s">
        <v>175</v>
      </c>
      <c r="C206" t="s">
        <v>116</v>
      </c>
    </row>
    <row r="207" spans="1:3" x14ac:dyDescent="0.2">
      <c r="A207">
        <v>200</v>
      </c>
      <c r="B207" t="s">
        <v>175</v>
      </c>
      <c r="C207" t="s">
        <v>116</v>
      </c>
    </row>
    <row r="208" spans="1:3" x14ac:dyDescent="0.2">
      <c r="A208">
        <v>201</v>
      </c>
      <c r="B208" t="s">
        <v>175</v>
      </c>
      <c r="C208" t="s">
        <v>116</v>
      </c>
    </row>
    <row r="209" spans="1:8" x14ac:dyDescent="0.2">
      <c r="A209">
        <v>202</v>
      </c>
      <c r="B209" t="s">
        <v>175</v>
      </c>
      <c r="C209" t="s">
        <v>116</v>
      </c>
    </row>
    <row r="210" spans="1:8" x14ac:dyDescent="0.2">
      <c r="A210">
        <v>203</v>
      </c>
      <c r="B210" t="s">
        <v>175</v>
      </c>
      <c r="C210" t="s">
        <v>116</v>
      </c>
    </row>
    <row r="211" spans="1:8" x14ac:dyDescent="0.2">
      <c r="A211">
        <v>204</v>
      </c>
      <c r="B211" t="s">
        <v>175</v>
      </c>
      <c r="C211" t="s">
        <v>116</v>
      </c>
    </row>
    <row r="212" spans="1:8" x14ac:dyDescent="0.2">
      <c r="A212">
        <v>205</v>
      </c>
      <c r="B212" t="s">
        <v>175</v>
      </c>
      <c r="C212" t="s">
        <v>116</v>
      </c>
      <c r="H212" t="s">
        <v>88</v>
      </c>
    </row>
    <row r="213" spans="1:8" x14ac:dyDescent="0.2">
      <c r="A213">
        <v>206</v>
      </c>
      <c r="B213" t="s">
        <v>175</v>
      </c>
      <c r="C213" t="s">
        <v>116</v>
      </c>
      <c r="H213" t="s">
        <v>89</v>
      </c>
    </row>
    <row r="214" spans="1:8" x14ac:dyDescent="0.2">
      <c r="A214">
        <v>207</v>
      </c>
      <c r="B214" t="s">
        <v>175</v>
      </c>
      <c r="C214" t="s">
        <v>116</v>
      </c>
      <c r="G214" t="s">
        <v>313</v>
      </c>
      <c r="H214" t="s">
        <v>86</v>
      </c>
    </row>
    <row r="215" spans="1:8" x14ac:dyDescent="0.2">
      <c r="A215">
        <v>208</v>
      </c>
      <c r="B215" t="s">
        <v>175</v>
      </c>
      <c r="C215" t="s">
        <v>117</v>
      </c>
      <c r="F215" t="s">
        <v>314</v>
      </c>
      <c r="H215" t="s">
        <v>87</v>
      </c>
    </row>
    <row r="216" spans="1:8" x14ac:dyDescent="0.2">
      <c r="A216">
        <v>209</v>
      </c>
      <c r="B216" t="s">
        <v>175</v>
      </c>
      <c r="C216" t="s">
        <v>117</v>
      </c>
      <c r="H216" t="s">
        <v>84</v>
      </c>
    </row>
    <row r="217" spans="1:8" x14ac:dyDescent="0.2">
      <c r="A217">
        <v>210</v>
      </c>
      <c r="B217" t="s">
        <v>175</v>
      </c>
      <c r="C217" t="s">
        <v>117</v>
      </c>
      <c r="H217" t="s">
        <v>85</v>
      </c>
    </row>
    <row r="218" spans="1:8" x14ac:dyDescent="0.2">
      <c r="A218">
        <v>211</v>
      </c>
      <c r="B218" t="s">
        <v>175</v>
      </c>
      <c r="C218" t="s">
        <v>117</v>
      </c>
    </row>
    <row r="219" spans="1:8" x14ac:dyDescent="0.2">
      <c r="A219">
        <v>212</v>
      </c>
      <c r="B219" t="s">
        <v>175</v>
      </c>
      <c r="C219" t="s">
        <v>117</v>
      </c>
    </row>
    <row r="220" spans="1:8" x14ac:dyDescent="0.2">
      <c r="A220">
        <v>213</v>
      </c>
      <c r="B220" t="s">
        <v>175</v>
      </c>
      <c r="C220" t="s">
        <v>117</v>
      </c>
    </row>
    <row r="221" spans="1:8" x14ac:dyDescent="0.2">
      <c r="A221">
        <v>214</v>
      </c>
      <c r="B221" t="s">
        <v>175</v>
      </c>
      <c r="C221" t="s">
        <v>117</v>
      </c>
    </row>
    <row r="222" spans="1:8" x14ac:dyDescent="0.2">
      <c r="A222">
        <v>215</v>
      </c>
      <c r="B222" t="s">
        <v>175</v>
      </c>
      <c r="C222" t="s">
        <v>117</v>
      </c>
    </row>
    <row r="223" spans="1:8" x14ac:dyDescent="0.2">
      <c r="A223">
        <v>216</v>
      </c>
      <c r="B223" t="s">
        <v>175</v>
      </c>
      <c r="C223" t="s">
        <v>117</v>
      </c>
    </row>
    <row r="224" spans="1:8" x14ac:dyDescent="0.2">
      <c r="A224">
        <v>217</v>
      </c>
      <c r="B224" t="s">
        <v>175</v>
      </c>
      <c r="C224" t="s">
        <v>117</v>
      </c>
    </row>
    <row r="225" spans="1:3" x14ac:dyDescent="0.2">
      <c r="A225">
        <v>218</v>
      </c>
      <c r="B225" t="s">
        <v>175</v>
      </c>
      <c r="C225" t="s">
        <v>117</v>
      </c>
    </row>
    <row r="226" spans="1:3" x14ac:dyDescent="0.2">
      <c r="A226">
        <v>219</v>
      </c>
      <c r="B226" t="s">
        <v>175</v>
      </c>
      <c r="C226" t="s">
        <v>117</v>
      </c>
    </row>
    <row r="227" spans="1:3" x14ac:dyDescent="0.2">
      <c r="A227">
        <v>220</v>
      </c>
      <c r="B227" t="s">
        <v>175</v>
      </c>
      <c r="C227" t="s">
        <v>117</v>
      </c>
    </row>
    <row r="228" spans="1:3" x14ac:dyDescent="0.2">
      <c r="A228">
        <v>221</v>
      </c>
      <c r="B228" t="s">
        <v>175</v>
      </c>
      <c r="C228" t="s">
        <v>117</v>
      </c>
    </row>
    <row r="229" spans="1:3" x14ac:dyDescent="0.2">
      <c r="A229">
        <v>222</v>
      </c>
      <c r="B229" t="s">
        <v>175</v>
      </c>
      <c r="C229" t="s">
        <v>117</v>
      </c>
    </row>
    <row r="230" spans="1:3" x14ac:dyDescent="0.2">
      <c r="A230">
        <v>223</v>
      </c>
      <c r="B230" t="s">
        <v>175</v>
      </c>
      <c r="C230" t="s">
        <v>117</v>
      </c>
    </row>
    <row r="231" spans="1:3" x14ac:dyDescent="0.2">
      <c r="A231">
        <v>224</v>
      </c>
      <c r="B231" t="s">
        <v>175</v>
      </c>
      <c r="C231" t="s">
        <v>117</v>
      </c>
    </row>
    <row r="232" spans="1:3" x14ac:dyDescent="0.2">
      <c r="A232">
        <v>225</v>
      </c>
      <c r="B232" t="s">
        <v>175</v>
      </c>
      <c r="C232" t="s">
        <v>117</v>
      </c>
    </row>
    <row r="233" spans="1:3" x14ac:dyDescent="0.2">
      <c r="A233">
        <v>226</v>
      </c>
      <c r="B233" t="s">
        <v>175</v>
      </c>
      <c r="C233" t="s">
        <v>117</v>
      </c>
    </row>
    <row r="234" spans="1:3" x14ac:dyDescent="0.2">
      <c r="A234">
        <v>227</v>
      </c>
      <c r="B234" t="s">
        <v>175</v>
      </c>
      <c r="C234" t="s">
        <v>117</v>
      </c>
    </row>
    <row r="235" spans="1:3" x14ac:dyDescent="0.2">
      <c r="A235">
        <v>228</v>
      </c>
      <c r="B235" t="s">
        <v>175</v>
      </c>
      <c r="C235" t="s">
        <v>117</v>
      </c>
    </row>
    <row r="236" spans="1:3" x14ac:dyDescent="0.2">
      <c r="A236">
        <v>229</v>
      </c>
      <c r="B236" t="s">
        <v>175</v>
      </c>
      <c r="C236" t="s">
        <v>117</v>
      </c>
    </row>
    <row r="237" spans="1:3" x14ac:dyDescent="0.2">
      <c r="A237">
        <v>230</v>
      </c>
      <c r="B237" t="s">
        <v>175</v>
      </c>
      <c r="C237" t="s">
        <v>117</v>
      </c>
    </row>
    <row r="238" spans="1:3" x14ac:dyDescent="0.2">
      <c r="A238">
        <v>231</v>
      </c>
      <c r="B238" t="s">
        <v>175</v>
      </c>
      <c r="C238" t="s">
        <v>117</v>
      </c>
    </row>
    <row r="239" spans="1:3" x14ac:dyDescent="0.2">
      <c r="A239">
        <v>232</v>
      </c>
      <c r="B239" t="s">
        <v>175</v>
      </c>
      <c r="C239" t="s">
        <v>117</v>
      </c>
    </row>
    <row r="240" spans="1:3" x14ac:dyDescent="0.2">
      <c r="A240">
        <v>233</v>
      </c>
      <c r="B240" t="s">
        <v>175</v>
      </c>
      <c r="C240" t="s">
        <v>117</v>
      </c>
    </row>
    <row r="241" spans="1:8" x14ac:dyDescent="0.2">
      <c r="A241">
        <v>234</v>
      </c>
      <c r="B241" t="s">
        <v>175</v>
      </c>
      <c r="C241" t="s">
        <v>117</v>
      </c>
      <c r="E241" t="s">
        <v>315</v>
      </c>
      <c r="G241" t="s">
        <v>316</v>
      </c>
    </row>
    <row r="242" spans="1:8" x14ac:dyDescent="0.2">
      <c r="A242">
        <v>235</v>
      </c>
      <c r="B242" t="s">
        <v>176</v>
      </c>
      <c r="C242" t="s">
        <v>118</v>
      </c>
      <c r="D242" t="s">
        <v>317</v>
      </c>
      <c r="F242" t="s">
        <v>318</v>
      </c>
    </row>
    <row r="243" spans="1:8" x14ac:dyDescent="0.2">
      <c r="A243">
        <v>236</v>
      </c>
      <c r="B243" t="s">
        <v>176</v>
      </c>
      <c r="C243" t="s">
        <v>118</v>
      </c>
    </row>
    <row r="244" spans="1:8" x14ac:dyDescent="0.2">
      <c r="A244">
        <v>237</v>
      </c>
      <c r="B244" t="s">
        <v>176</v>
      </c>
      <c r="C244" t="s">
        <v>118</v>
      </c>
    </row>
    <row r="245" spans="1:8" x14ac:dyDescent="0.2">
      <c r="A245">
        <v>238</v>
      </c>
      <c r="B245" t="s">
        <v>176</v>
      </c>
      <c r="C245" t="s">
        <v>118</v>
      </c>
    </row>
    <row r="246" spans="1:8" x14ac:dyDescent="0.2">
      <c r="A246">
        <v>239</v>
      </c>
      <c r="B246" t="s">
        <v>176</v>
      </c>
      <c r="C246" t="s">
        <v>118</v>
      </c>
    </row>
    <row r="247" spans="1:8" x14ac:dyDescent="0.2">
      <c r="A247">
        <v>240</v>
      </c>
      <c r="B247" t="s">
        <v>176</v>
      </c>
      <c r="C247" t="s">
        <v>118</v>
      </c>
    </row>
    <row r="248" spans="1:8" x14ac:dyDescent="0.2">
      <c r="A248">
        <v>241</v>
      </c>
      <c r="B248" t="s">
        <v>176</v>
      </c>
      <c r="C248" t="s">
        <v>118</v>
      </c>
      <c r="G248" t="s">
        <v>319</v>
      </c>
    </row>
    <row r="249" spans="1:8" x14ac:dyDescent="0.2">
      <c r="A249">
        <v>242</v>
      </c>
      <c r="B249" t="s">
        <v>176</v>
      </c>
      <c r="C249" t="s">
        <v>119</v>
      </c>
      <c r="F249" t="s">
        <v>320</v>
      </c>
      <c r="H249" t="s">
        <v>96</v>
      </c>
    </row>
    <row r="250" spans="1:8" x14ac:dyDescent="0.2">
      <c r="A250">
        <v>243</v>
      </c>
      <c r="B250" t="s">
        <v>176</v>
      </c>
      <c r="C250" t="s">
        <v>119</v>
      </c>
      <c r="H250" t="s">
        <v>97</v>
      </c>
    </row>
    <row r="251" spans="1:8" x14ac:dyDescent="0.2">
      <c r="A251">
        <v>244</v>
      </c>
      <c r="B251" t="s">
        <v>176</v>
      </c>
      <c r="C251" t="s">
        <v>119</v>
      </c>
    </row>
    <row r="252" spans="1:8" x14ac:dyDescent="0.2">
      <c r="A252">
        <v>245</v>
      </c>
      <c r="B252" t="s">
        <v>176</v>
      </c>
      <c r="C252" t="s">
        <v>119</v>
      </c>
    </row>
    <row r="253" spans="1:8" x14ac:dyDescent="0.2">
      <c r="A253">
        <v>246</v>
      </c>
      <c r="B253" t="s">
        <v>176</v>
      </c>
      <c r="C253" t="s">
        <v>119</v>
      </c>
    </row>
    <row r="254" spans="1:8" x14ac:dyDescent="0.2">
      <c r="A254">
        <v>247</v>
      </c>
      <c r="B254" t="s">
        <v>176</v>
      </c>
      <c r="C254" t="s">
        <v>119</v>
      </c>
      <c r="E254" t="s">
        <v>321</v>
      </c>
      <c r="G254" t="s">
        <v>322</v>
      </c>
    </row>
    <row r="255" spans="1:8" x14ac:dyDescent="0.2">
      <c r="A255">
        <v>248</v>
      </c>
      <c r="B255" t="s">
        <v>177</v>
      </c>
      <c r="C255" t="s">
        <v>120</v>
      </c>
      <c r="D255" t="s">
        <v>323</v>
      </c>
      <c r="F255" t="s">
        <v>324</v>
      </c>
      <c r="G255" t="s">
        <v>325</v>
      </c>
      <c r="H255" t="s">
        <v>110</v>
      </c>
    </row>
    <row r="256" spans="1:8" x14ac:dyDescent="0.2">
      <c r="A256">
        <v>249</v>
      </c>
      <c r="B256" t="s">
        <v>177</v>
      </c>
      <c r="C256" t="s">
        <v>121</v>
      </c>
      <c r="F256" t="s">
        <v>326</v>
      </c>
      <c r="H256" t="s">
        <v>111</v>
      </c>
    </row>
    <row r="257" spans="1:8" x14ac:dyDescent="0.2">
      <c r="A257">
        <v>250</v>
      </c>
      <c r="B257" t="s">
        <v>177</v>
      </c>
      <c r="C257" t="s">
        <v>121</v>
      </c>
    </row>
    <row r="258" spans="1:8" x14ac:dyDescent="0.2">
      <c r="A258">
        <v>251</v>
      </c>
      <c r="B258" t="s">
        <v>177</v>
      </c>
      <c r="C258" t="s">
        <v>121</v>
      </c>
    </row>
    <row r="259" spans="1:8" x14ac:dyDescent="0.2">
      <c r="A259">
        <v>252</v>
      </c>
      <c r="B259" t="s">
        <v>177</v>
      </c>
      <c r="C259" t="s">
        <v>121</v>
      </c>
    </row>
    <row r="260" spans="1:8" x14ac:dyDescent="0.2">
      <c r="A260">
        <v>253</v>
      </c>
      <c r="B260" t="s">
        <v>177</v>
      </c>
      <c r="C260" t="s">
        <v>121</v>
      </c>
      <c r="G260" t="s">
        <v>327</v>
      </c>
      <c r="H260" t="s">
        <v>108</v>
      </c>
    </row>
    <row r="261" spans="1:8" x14ac:dyDescent="0.2">
      <c r="A261">
        <v>254</v>
      </c>
      <c r="B261" t="s">
        <v>177</v>
      </c>
      <c r="C261" t="s">
        <v>122</v>
      </c>
      <c r="F261" t="s">
        <v>328</v>
      </c>
      <c r="H261" t="s">
        <v>109</v>
      </c>
    </row>
    <row r="262" spans="1:8" x14ac:dyDescent="0.2">
      <c r="A262">
        <v>255</v>
      </c>
      <c r="B262" t="s">
        <v>177</v>
      </c>
      <c r="C262" t="s">
        <v>122</v>
      </c>
    </row>
    <row r="263" spans="1:8" x14ac:dyDescent="0.2">
      <c r="A263">
        <v>256</v>
      </c>
      <c r="B263" t="s">
        <v>177</v>
      </c>
      <c r="C263" t="s">
        <v>122</v>
      </c>
    </row>
    <row r="264" spans="1:8" x14ac:dyDescent="0.2">
      <c r="A264">
        <v>257</v>
      </c>
      <c r="B264" t="s">
        <v>177</v>
      </c>
      <c r="C264" t="s">
        <v>122</v>
      </c>
    </row>
    <row r="265" spans="1:8" x14ac:dyDescent="0.2">
      <c r="A265">
        <v>258</v>
      </c>
      <c r="B265" t="s">
        <v>177</v>
      </c>
      <c r="C265" t="s">
        <v>122</v>
      </c>
    </row>
    <row r="266" spans="1:8" x14ac:dyDescent="0.2">
      <c r="A266">
        <v>259</v>
      </c>
      <c r="B266" t="s">
        <v>177</v>
      </c>
      <c r="C266" t="s">
        <v>122</v>
      </c>
    </row>
    <row r="267" spans="1:8" x14ac:dyDescent="0.2">
      <c r="A267">
        <v>260</v>
      </c>
      <c r="B267" t="s">
        <v>177</v>
      </c>
      <c r="C267" t="s">
        <v>122</v>
      </c>
    </row>
    <row r="268" spans="1:8" x14ac:dyDescent="0.2">
      <c r="A268">
        <v>261</v>
      </c>
      <c r="B268" t="s">
        <v>177</v>
      </c>
      <c r="C268" t="s">
        <v>122</v>
      </c>
    </row>
    <row r="269" spans="1:8" x14ac:dyDescent="0.2">
      <c r="A269">
        <v>262</v>
      </c>
      <c r="B269" t="s">
        <v>177</v>
      </c>
      <c r="C269" t="s">
        <v>122</v>
      </c>
    </row>
    <row r="270" spans="1:8" x14ac:dyDescent="0.2">
      <c r="A270">
        <v>263</v>
      </c>
      <c r="B270" t="s">
        <v>177</v>
      </c>
      <c r="C270" t="s">
        <v>122</v>
      </c>
    </row>
    <row r="271" spans="1:8" x14ac:dyDescent="0.2">
      <c r="A271">
        <v>264</v>
      </c>
      <c r="B271" t="s">
        <v>177</v>
      </c>
      <c r="C271" t="s">
        <v>122</v>
      </c>
    </row>
    <row r="272" spans="1:8" x14ac:dyDescent="0.2">
      <c r="A272">
        <v>265</v>
      </c>
      <c r="B272" t="s">
        <v>177</v>
      </c>
      <c r="C272" t="s">
        <v>122</v>
      </c>
      <c r="G272" t="s">
        <v>329</v>
      </c>
    </row>
    <row r="273" spans="1:7" x14ac:dyDescent="0.2">
      <c r="A273">
        <v>266</v>
      </c>
      <c r="B273" t="s">
        <v>177</v>
      </c>
      <c r="C273" t="s">
        <v>123</v>
      </c>
      <c r="F273" t="s">
        <v>330</v>
      </c>
    </row>
    <row r="274" spans="1:7" x14ac:dyDescent="0.2">
      <c r="A274">
        <v>267</v>
      </c>
      <c r="B274" t="s">
        <v>177</v>
      </c>
      <c r="C274" t="s">
        <v>123</v>
      </c>
    </row>
    <row r="275" spans="1:7" x14ac:dyDescent="0.2">
      <c r="A275">
        <v>268</v>
      </c>
      <c r="B275" t="s">
        <v>177</v>
      </c>
      <c r="C275" t="s">
        <v>123</v>
      </c>
    </row>
    <row r="276" spans="1:7" x14ac:dyDescent="0.2">
      <c r="A276">
        <v>269</v>
      </c>
      <c r="B276" t="s">
        <v>177</v>
      </c>
      <c r="C276" t="s">
        <v>123</v>
      </c>
    </row>
    <row r="277" spans="1:7" x14ac:dyDescent="0.2">
      <c r="A277">
        <v>270</v>
      </c>
      <c r="B277" t="s">
        <v>177</v>
      </c>
      <c r="C277" t="s">
        <v>123</v>
      </c>
    </row>
    <row r="278" spans="1:7" x14ac:dyDescent="0.2">
      <c r="A278">
        <v>271</v>
      </c>
      <c r="B278" t="s">
        <v>177</v>
      </c>
      <c r="C278" t="s">
        <v>123</v>
      </c>
    </row>
    <row r="279" spans="1:7" x14ac:dyDescent="0.2">
      <c r="A279">
        <v>272</v>
      </c>
      <c r="B279" t="s">
        <v>177</v>
      </c>
      <c r="C279" t="s">
        <v>123</v>
      </c>
    </row>
    <row r="280" spans="1:7" x14ac:dyDescent="0.2">
      <c r="A280">
        <v>273</v>
      </c>
      <c r="B280" t="s">
        <v>177</v>
      </c>
      <c r="C280" t="s">
        <v>123</v>
      </c>
    </row>
    <row r="281" spans="1:7" x14ac:dyDescent="0.2">
      <c r="A281">
        <v>274</v>
      </c>
      <c r="B281" t="s">
        <v>177</v>
      </c>
      <c r="C281" t="s">
        <v>123</v>
      </c>
    </row>
    <row r="282" spans="1:7" x14ac:dyDescent="0.2">
      <c r="A282">
        <v>275</v>
      </c>
      <c r="B282" t="s">
        <v>177</v>
      </c>
      <c r="C282" t="s">
        <v>123</v>
      </c>
    </row>
    <row r="283" spans="1:7" x14ac:dyDescent="0.2">
      <c r="A283">
        <v>276</v>
      </c>
      <c r="B283" t="s">
        <v>177</v>
      </c>
      <c r="C283" t="s">
        <v>123</v>
      </c>
      <c r="G283" t="s">
        <v>331</v>
      </c>
    </row>
    <row r="284" spans="1:7" x14ac:dyDescent="0.2">
      <c r="A284">
        <v>277</v>
      </c>
      <c r="B284" t="s">
        <v>177</v>
      </c>
      <c r="C284" t="s">
        <v>124</v>
      </c>
      <c r="F284" t="s">
        <v>332</v>
      </c>
      <c r="G284" t="s">
        <v>333</v>
      </c>
    </row>
    <row r="285" spans="1:7" x14ac:dyDescent="0.2">
      <c r="A285">
        <v>278</v>
      </c>
      <c r="B285" t="s">
        <v>177</v>
      </c>
      <c r="C285" t="s">
        <v>125</v>
      </c>
      <c r="F285" t="s">
        <v>334</v>
      </c>
    </row>
    <row r="286" spans="1:7" x14ac:dyDescent="0.2">
      <c r="A286">
        <v>279</v>
      </c>
      <c r="B286" t="s">
        <v>177</v>
      </c>
      <c r="C286" t="s">
        <v>125</v>
      </c>
      <c r="G286" t="s">
        <v>335</v>
      </c>
    </row>
    <row r="287" spans="1:7" x14ac:dyDescent="0.2">
      <c r="A287">
        <v>280</v>
      </c>
      <c r="B287" t="s">
        <v>177</v>
      </c>
      <c r="C287" t="s">
        <v>126</v>
      </c>
      <c r="F287" t="s">
        <v>336</v>
      </c>
    </row>
    <row r="288" spans="1:7" x14ac:dyDescent="0.2">
      <c r="A288">
        <v>281</v>
      </c>
      <c r="B288" t="s">
        <v>177</v>
      </c>
      <c r="C288" t="s">
        <v>126</v>
      </c>
    </row>
    <row r="289" spans="1:7" x14ac:dyDescent="0.2">
      <c r="A289">
        <v>282</v>
      </c>
      <c r="B289" t="s">
        <v>177</v>
      </c>
      <c r="C289" t="s">
        <v>126</v>
      </c>
    </row>
    <row r="290" spans="1:7" x14ac:dyDescent="0.2">
      <c r="A290">
        <v>283</v>
      </c>
      <c r="B290" t="s">
        <v>177</v>
      </c>
      <c r="C290" t="s">
        <v>126</v>
      </c>
    </row>
    <row r="291" spans="1:7" x14ac:dyDescent="0.2">
      <c r="A291">
        <v>284</v>
      </c>
      <c r="B291" t="s">
        <v>177</v>
      </c>
      <c r="C291" t="s">
        <v>126</v>
      </c>
    </row>
    <row r="292" spans="1:7" x14ac:dyDescent="0.2">
      <c r="A292">
        <v>285</v>
      </c>
      <c r="B292" t="s">
        <v>177</v>
      </c>
      <c r="C292" t="s">
        <v>126</v>
      </c>
    </row>
    <row r="293" spans="1:7" x14ac:dyDescent="0.2">
      <c r="A293">
        <v>286</v>
      </c>
      <c r="B293" t="s">
        <v>177</v>
      </c>
      <c r="C293" t="s">
        <v>126</v>
      </c>
    </row>
    <row r="294" spans="1:7" x14ac:dyDescent="0.2">
      <c r="A294">
        <v>287</v>
      </c>
      <c r="B294" t="s">
        <v>177</v>
      </c>
      <c r="C294" t="s">
        <v>126</v>
      </c>
    </row>
    <row r="295" spans="1:7" x14ac:dyDescent="0.2">
      <c r="A295">
        <v>288</v>
      </c>
      <c r="B295" t="s">
        <v>177</v>
      </c>
      <c r="C295" t="s">
        <v>126</v>
      </c>
    </row>
    <row r="296" spans="1:7" x14ac:dyDescent="0.2">
      <c r="A296">
        <v>289</v>
      </c>
      <c r="B296" t="s">
        <v>177</v>
      </c>
      <c r="C296" t="s">
        <v>126</v>
      </c>
    </row>
    <row r="297" spans="1:7" x14ac:dyDescent="0.2">
      <c r="A297">
        <v>290</v>
      </c>
      <c r="B297" t="s">
        <v>177</v>
      </c>
      <c r="C297" t="s">
        <v>126</v>
      </c>
    </row>
    <row r="298" spans="1:7" x14ac:dyDescent="0.2">
      <c r="A298">
        <v>291</v>
      </c>
      <c r="B298" t="s">
        <v>177</v>
      </c>
      <c r="C298" t="s">
        <v>126</v>
      </c>
    </row>
    <row r="299" spans="1:7" x14ac:dyDescent="0.2">
      <c r="A299">
        <v>292</v>
      </c>
      <c r="B299" t="s">
        <v>177</v>
      </c>
      <c r="C299" t="s">
        <v>126</v>
      </c>
      <c r="G299" t="s">
        <v>337</v>
      </c>
    </row>
    <row r="300" spans="1:7" x14ac:dyDescent="0.2">
      <c r="A300">
        <v>293</v>
      </c>
      <c r="B300" t="s">
        <v>177</v>
      </c>
      <c r="C300" t="s">
        <v>127</v>
      </c>
      <c r="F300" t="s">
        <v>338</v>
      </c>
    </row>
    <row r="301" spans="1:7" x14ac:dyDescent="0.2">
      <c r="A301">
        <v>294</v>
      </c>
      <c r="B301" t="s">
        <v>177</v>
      </c>
      <c r="C301" t="s">
        <v>127</v>
      </c>
    </row>
    <row r="302" spans="1:7" x14ac:dyDescent="0.2">
      <c r="A302">
        <v>295</v>
      </c>
      <c r="B302" t="s">
        <v>177</v>
      </c>
      <c r="C302" t="s">
        <v>127</v>
      </c>
    </row>
    <row r="303" spans="1:7" x14ac:dyDescent="0.2">
      <c r="A303">
        <v>296</v>
      </c>
      <c r="B303" t="s">
        <v>177</v>
      </c>
      <c r="C303" t="s">
        <v>127</v>
      </c>
    </row>
    <row r="304" spans="1:7" x14ac:dyDescent="0.2">
      <c r="A304">
        <v>297</v>
      </c>
      <c r="B304" t="s">
        <v>177</v>
      </c>
      <c r="C304" t="s">
        <v>127</v>
      </c>
    </row>
    <row r="305" spans="1:3" x14ac:dyDescent="0.2">
      <c r="A305">
        <v>298</v>
      </c>
      <c r="B305" t="s">
        <v>177</v>
      </c>
      <c r="C305" t="s">
        <v>127</v>
      </c>
    </row>
    <row r="306" spans="1:3" x14ac:dyDescent="0.2">
      <c r="A306">
        <v>299</v>
      </c>
      <c r="B306" t="s">
        <v>177</v>
      </c>
      <c r="C306" t="s">
        <v>127</v>
      </c>
    </row>
    <row r="307" spans="1:3" x14ac:dyDescent="0.2">
      <c r="A307">
        <v>300</v>
      </c>
      <c r="B307" t="s">
        <v>177</v>
      </c>
      <c r="C307" t="s">
        <v>127</v>
      </c>
    </row>
    <row r="308" spans="1:3" x14ac:dyDescent="0.2">
      <c r="A308">
        <v>301</v>
      </c>
      <c r="B308" t="s">
        <v>177</v>
      </c>
      <c r="C308" t="s">
        <v>127</v>
      </c>
    </row>
    <row r="309" spans="1:3" x14ac:dyDescent="0.2">
      <c r="A309">
        <v>302</v>
      </c>
      <c r="B309" t="s">
        <v>177</v>
      </c>
      <c r="C309" t="s">
        <v>127</v>
      </c>
    </row>
    <row r="310" spans="1:3" x14ac:dyDescent="0.2">
      <c r="A310">
        <v>303</v>
      </c>
      <c r="B310" t="s">
        <v>177</v>
      </c>
      <c r="C310" t="s">
        <v>127</v>
      </c>
    </row>
    <row r="311" spans="1:3" x14ac:dyDescent="0.2">
      <c r="A311">
        <v>304</v>
      </c>
      <c r="B311" t="s">
        <v>177</v>
      </c>
      <c r="C311" t="s">
        <v>127</v>
      </c>
    </row>
    <row r="312" spans="1:3" x14ac:dyDescent="0.2">
      <c r="A312">
        <v>305</v>
      </c>
      <c r="B312" t="s">
        <v>177</v>
      </c>
      <c r="C312" t="s">
        <v>127</v>
      </c>
    </row>
    <row r="313" spans="1:3" x14ac:dyDescent="0.2">
      <c r="A313">
        <v>306</v>
      </c>
      <c r="B313" t="s">
        <v>177</v>
      </c>
      <c r="C313" t="s">
        <v>127</v>
      </c>
    </row>
    <row r="314" spans="1:3" x14ac:dyDescent="0.2">
      <c r="A314">
        <v>307</v>
      </c>
      <c r="B314" t="s">
        <v>177</v>
      </c>
      <c r="C314" t="s">
        <v>127</v>
      </c>
    </row>
    <row r="315" spans="1:3" x14ac:dyDescent="0.2">
      <c r="A315">
        <v>308</v>
      </c>
      <c r="B315" t="s">
        <v>177</v>
      </c>
      <c r="C315" t="s">
        <v>127</v>
      </c>
    </row>
    <row r="316" spans="1:3" x14ac:dyDescent="0.2">
      <c r="A316">
        <v>309</v>
      </c>
      <c r="B316" t="s">
        <v>177</v>
      </c>
      <c r="C316" t="s">
        <v>127</v>
      </c>
    </row>
    <row r="317" spans="1:3" x14ac:dyDescent="0.2">
      <c r="A317">
        <v>310</v>
      </c>
      <c r="B317" t="s">
        <v>177</v>
      </c>
      <c r="C317" t="s">
        <v>127</v>
      </c>
    </row>
    <row r="318" spans="1:3" x14ac:dyDescent="0.2">
      <c r="A318">
        <v>311</v>
      </c>
      <c r="B318" t="s">
        <v>177</v>
      </c>
      <c r="C318" t="s">
        <v>127</v>
      </c>
    </row>
    <row r="319" spans="1:3" x14ac:dyDescent="0.2">
      <c r="A319">
        <v>312</v>
      </c>
      <c r="B319" t="s">
        <v>177</v>
      </c>
      <c r="C319" t="s">
        <v>127</v>
      </c>
    </row>
    <row r="320" spans="1:3" x14ac:dyDescent="0.2">
      <c r="A320">
        <v>313</v>
      </c>
      <c r="B320" t="s">
        <v>177</v>
      </c>
      <c r="C320" t="s">
        <v>127</v>
      </c>
    </row>
    <row r="321" spans="1:3" x14ac:dyDescent="0.2">
      <c r="A321">
        <v>314</v>
      </c>
      <c r="B321" t="s">
        <v>177</v>
      </c>
      <c r="C321" t="s">
        <v>127</v>
      </c>
    </row>
    <row r="322" spans="1:3" x14ac:dyDescent="0.2">
      <c r="A322">
        <v>315</v>
      </c>
      <c r="B322" t="s">
        <v>177</v>
      </c>
      <c r="C322" t="s">
        <v>127</v>
      </c>
    </row>
    <row r="323" spans="1:3" x14ac:dyDescent="0.2">
      <c r="A323">
        <v>316</v>
      </c>
      <c r="B323" t="s">
        <v>177</v>
      </c>
      <c r="C323" t="s">
        <v>127</v>
      </c>
    </row>
    <row r="324" spans="1:3" x14ac:dyDescent="0.2">
      <c r="A324">
        <v>317</v>
      </c>
      <c r="B324" t="s">
        <v>177</v>
      </c>
      <c r="C324" t="s">
        <v>127</v>
      </c>
    </row>
    <row r="325" spans="1:3" x14ac:dyDescent="0.2">
      <c r="A325">
        <v>318</v>
      </c>
      <c r="B325" t="s">
        <v>177</v>
      </c>
      <c r="C325" t="s">
        <v>127</v>
      </c>
    </row>
    <row r="326" spans="1:3" x14ac:dyDescent="0.2">
      <c r="A326">
        <v>319</v>
      </c>
      <c r="B326" t="s">
        <v>177</v>
      </c>
      <c r="C326" t="s">
        <v>127</v>
      </c>
    </row>
    <row r="327" spans="1:3" x14ac:dyDescent="0.2">
      <c r="A327">
        <v>320</v>
      </c>
      <c r="B327" t="s">
        <v>177</v>
      </c>
      <c r="C327" t="s">
        <v>127</v>
      </c>
    </row>
    <row r="328" spans="1:3" x14ac:dyDescent="0.2">
      <c r="A328">
        <v>321</v>
      </c>
      <c r="B328" t="s">
        <v>177</v>
      </c>
      <c r="C328" t="s">
        <v>127</v>
      </c>
    </row>
    <row r="329" spans="1:3" x14ac:dyDescent="0.2">
      <c r="A329">
        <v>322</v>
      </c>
      <c r="B329" t="s">
        <v>177</v>
      </c>
      <c r="C329" t="s">
        <v>127</v>
      </c>
    </row>
    <row r="330" spans="1:3" x14ac:dyDescent="0.2">
      <c r="A330">
        <v>323</v>
      </c>
      <c r="B330" t="s">
        <v>177</v>
      </c>
      <c r="C330" t="s">
        <v>127</v>
      </c>
    </row>
    <row r="331" spans="1:3" x14ac:dyDescent="0.2">
      <c r="A331">
        <v>324</v>
      </c>
      <c r="B331" t="s">
        <v>177</v>
      </c>
      <c r="C331" t="s">
        <v>127</v>
      </c>
    </row>
    <row r="332" spans="1:3" x14ac:dyDescent="0.2">
      <c r="A332">
        <v>325</v>
      </c>
      <c r="B332" t="s">
        <v>177</v>
      </c>
      <c r="C332" t="s">
        <v>127</v>
      </c>
    </row>
    <row r="333" spans="1:3" x14ac:dyDescent="0.2">
      <c r="A333">
        <v>326</v>
      </c>
      <c r="B333" t="s">
        <v>177</v>
      </c>
      <c r="C333" t="s">
        <v>127</v>
      </c>
    </row>
    <row r="334" spans="1:3" x14ac:dyDescent="0.2">
      <c r="A334">
        <v>327</v>
      </c>
      <c r="B334" t="s">
        <v>177</v>
      </c>
      <c r="C334" t="s">
        <v>127</v>
      </c>
    </row>
    <row r="335" spans="1:3" x14ac:dyDescent="0.2">
      <c r="A335">
        <v>328</v>
      </c>
      <c r="B335" t="s">
        <v>177</v>
      </c>
      <c r="C335" t="s">
        <v>127</v>
      </c>
    </row>
    <row r="336" spans="1:3" x14ac:dyDescent="0.2">
      <c r="A336">
        <v>329</v>
      </c>
      <c r="B336" t="s">
        <v>177</v>
      </c>
      <c r="C336" t="s">
        <v>127</v>
      </c>
    </row>
    <row r="337" spans="1:7" x14ac:dyDescent="0.2">
      <c r="A337">
        <v>330</v>
      </c>
      <c r="B337" t="s">
        <v>177</v>
      </c>
      <c r="C337" t="s">
        <v>127</v>
      </c>
    </row>
    <row r="338" spans="1:7" x14ac:dyDescent="0.2">
      <c r="A338">
        <v>331</v>
      </c>
      <c r="B338" t="s">
        <v>177</v>
      </c>
      <c r="C338" t="s">
        <v>127</v>
      </c>
    </row>
    <row r="339" spans="1:7" x14ac:dyDescent="0.2">
      <c r="A339">
        <v>332</v>
      </c>
      <c r="B339" t="s">
        <v>177</v>
      </c>
      <c r="C339" t="s">
        <v>127</v>
      </c>
    </row>
    <row r="340" spans="1:7" x14ac:dyDescent="0.2">
      <c r="A340">
        <v>333</v>
      </c>
      <c r="B340" t="s">
        <v>177</v>
      </c>
      <c r="C340" t="s">
        <v>127</v>
      </c>
    </row>
    <row r="341" spans="1:7" x14ac:dyDescent="0.2">
      <c r="A341">
        <v>334</v>
      </c>
      <c r="B341" t="s">
        <v>177</v>
      </c>
      <c r="C341" t="s">
        <v>127</v>
      </c>
    </row>
    <row r="342" spans="1:7" x14ac:dyDescent="0.2">
      <c r="A342">
        <v>335</v>
      </c>
      <c r="B342" t="s">
        <v>177</v>
      </c>
      <c r="C342" t="s">
        <v>127</v>
      </c>
    </row>
    <row r="343" spans="1:7" x14ac:dyDescent="0.2">
      <c r="A343">
        <v>336</v>
      </c>
      <c r="B343" t="s">
        <v>177</v>
      </c>
      <c r="C343" t="s">
        <v>127</v>
      </c>
    </row>
    <row r="344" spans="1:7" x14ac:dyDescent="0.2">
      <c r="A344">
        <v>337</v>
      </c>
      <c r="B344" t="s">
        <v>177</v>
      </c>
      <c r="C344" t="s">
        <v>127</v>
      </c>
    </row>
    <row r="345" spans="1:7" x14ac:dyDescent="0.2">
      <c r="A345">
        <v>338</v>
      </c>
      <c r="B345" t="s">
        <v>177</v>
      </c>
      <c r="C345" t="s">
        <v>127</v>
      </c>
      <c r="G345" t="s">
        <v>339</v>
      </c>
    </row>
    <row r="346" spans="1:7" x14ac:dyDescent="0.2">
      <c r="A346">
        <v>339</v>
      </c>
      <c r="B346" t="s">
        <v>177</v>
      </c>
      <c r="C346" t="s">
        <v>128</v>
      </c>
      <c r="F346" t="s">
        <v>340</v>
      </c>
    </row>
    <row r="347" spans="1:7" x14ac:dyDescent="0.2">
      <c r="A347">
        <v>340</v>
      </c>
      <c r="B347" t="s">
        <v>177</v>
      </c>
      <c r="C347" t="s">
        <v>128</v>
      </c>
    </row>
    <row r="348" spans="1:7" x14ac:dyDescent="0.2">
      <c r="A348">
        <v>341</v>
      </c>
      <c r="B348" t="s">
        <v>177</v>
      </c>
      <c r="C348" t="s">
        <v>128</v>
      </c>
    </row>
    <row r="349" spans="1:7" x14ac:dyDescent="0.2">
      <c r="A349">
        <v>342</v>
      </c>
      <c r="B349" t="s">
        <v>177</v>
      </c>
      <c r="C349" t="s">
        <v>128</v>
      </c>
    </row>
    <row r="350" spans="1:7" x14ac:dyDescent="0.2">
      <c r="A350">
        <v>343</v>
      </c>
      <c r="B350" t="s">
        <v>177</v>
      </c>
      <c r="C350" t="s">
        <v>128</v>
      </c>
    </row>
    <row r="351" spans="1:7" x14ac:dyDescent="0.2">
      <c r="A351">
        <v>344</v>
      </c>
      <c r="B351" t="s">
        <v>177</v>
      </c>
      <c r="C351" t="s">
        <v>128</v>
      </c>
    </row>
    <row r="352" spans="1:7" x14ac:dyDescent="0.2">
      <c r="A352">
        <v>345</v>
      </c>
      <c r="B352" t="s">
        <v>177</v>
      </c>
      <c r="C352" t="s">
        <v>128</v>
      </c>
    </row>
    <row r="353" spans="1:3" x14ac:dyDescent="0.2">
      <c r="A353">
        <v>346</v>
      </c>
      <c r="B353" t="s">
        <v>177</v>
      </c>
      <c r="C353" t="s">
        <v>128</v>
      </c>
    </row>
    <row r="354" spans="1:3" x14ac:dyDescent="0.2">
      <c r="A354">
        <v>347</v>
      </c>
      <c r="B354" t="s">
        <v>177</v>
      </c>
      <c r="C354" t="s">
        <v>128</v>
      </c>
    </row>
    <row r="355" spans="1:3" x14ac:dyDescent="0.2">
      <c r="A355">
        <v>348</v>
      </c>
      <c r="B355" t="s">
        <v>177</v>
      </c>
      <c r="C355" t="s">
        <v>128</v>
      </c>
    </row>
    <row r="356" spans="1:3" x14ac:dyDescent="0.2">
      <c r="A356">
        <v>349</v>
      </c>
      <c r="B356" t="s">
        <v>177</v>
      </c>
      <c r="C356" t="s">
        <v>128</v>
      </c>
    </row>
    <row r="357" spans="1:3" x14ac:dyDescent="0.2">
      <c r="A357">
        <v>350</v>
      </c>
      <c r="B357" t="s">
        <v>177</v>
      </c>
      <c r="C357" t="s">
        <v>128</v>
      </c>
    </row>
    <row r="358" spans="1:3" x14ac:dyDescent="0.2">
      <c r="A358">
        <v>351</v>
      </c>
      <c r="B358" t="s">
        <v>177</v>
      </c>
      <c r="C358" t="s">
        <v>128</v>
      </c>
    </row>
    <row r="359" spans="1:3" x14ac:dyDescent="0.2">
      <c r="A359">
        <v>352</v>
      </c>
      <c r="B359" t="s">
        <v>177</v>
      </c>
      <c r="C359" t="s">
        <v>128</v>
      </c>
    </row>
    <row r="360" spans="1:3" x14ac:dyDescent="0.2">
      <c r="A360">
        <v>353</v>
      </c>
      <c r="B360" t="s">
        <v>177</v>
      </c>
      <c r="C360" t="s">
        <v>128</v>
      </c>
    </row>
    <row r="361" spans="1:3" x14ac:dyDescent="0.2">
      <c r="A361">
        <v>354</v>
      </c>
      <c r="B361" t="s">
        <v>177</v>
      </c>
      <c r="C361" t="s">
        <v>128</v>
      </c>
    </row>
    <row r="362" spans="1:3" x14ac:dyDescent="0.2">
      <c r="A362">
        <v>355</v>
      </c>
      <c r="B362" t="s">
        <v>177</v>
      </c>
      <c r="C362" t="s">
        <v>128</v>
      </c>
    </row>
    <row r="363" spans="1:3" x14ac:dyDescent="0.2">
      <c r="A363">
        <v>356</v>
      </c>
      <c r="B363" t="s">
        <v>177</v>
      </c>
      <c r="C363" t="s">
        <v>128</v>
      </c>
    </row>
    <row r="364" spans="1:3" x14ac:dyDescent="0.2">
      <c r="A364">
        <v>357</v>
      </c>
      <c r="B364" t="s">
        <v>177</v>
      </c>
      <c r="C364" t="s">
        <v>128</v>
      </c>
    </row>
    <row r="365" spans="1:3" x14ac:dyDescent="0.2">
      <c r="A365">
        <v>358</v>
      </c>
      <c r="B365" t="s">
        <v>177</v>
      </c>
      <c r="C365" t="s">
        <v>128</v>
      </c>
    </row>
    <row r="366" spans="1:3" x14ac:dyDescent="0.2">
      <c r="A366">
        <v>359</v>
      </c>
      <c r="B366" t="s">
        <v>177</v>
      </c>
      <c r="C366" t="s">
        <v>128</v>
      </c>
    </row>
    <row r="367" spans="1:3" x14ac:dyDescent="0.2">
      <c r="A367">
        <v>360</v>
      </c>
      <c r="B367" t="s">
        <v>177</v>
      </c>
      <c r="C367" t="s">
        <v>128</v>
      </c>
    </row>
    <row r="368" spans="1:3" x14ac:dyDescent="0.2">
      <c r="A368">
        <v>361</v>
      </c>
      <c r="B368" t="s">
        <v>177</v>
      </c>
      <c r="C368" t="s">
        <v>128</v>
      </c>
    </row>
    <row r="369" spans="1:3" x14ac:dyDescent="0.2">
      <c r="A369">
        <v>362</v>
      </c>
      <c r="B369" t="s">
        <v>177</v>
      </c>
      <c r="C369" t="s">
        <v>128</v>
      </c>
    </row>
    <row r="370" spans="1:3" x14ac:dyDescent="0.2">
      <c r="A370">
        <v>363</v>
      </c>
      <c r="B370" t="s">
        <v>177</v>
      </c>
      <c r="C370" t="s">
        <v>128</v>
      </c>
    </row>
    <row r="371" spans="1:3" x14ac:dyDescent="0.2">
      <c r="A371">
        <v>364</v>
      </c>
      <c r="B371" t="s">
        <v>177</v>
      </c>
      <c r="C371" t="s">
        <v>128</v>
      </c>
    </row>
    <row r="372" spans="1:3" x14ac:dyDescent="0.2">
      <c r="A372">
        <v>365</v>
      </c>
      <c r="B372" t="s">
        <v>177</v>
      </c>
      <c r="C372" t="s">
        <v>128</v>
      </c>
    </row>
    <row r="373" spans="1:3" x14ac:dyDescent="0.2">
      <c r="A373">
        <v>366</v>
      </c>
      <c r="B373" t="s">
        <v>177</v>
      </c>
      <c r="C373" t="s">
        <v>128</v>
      </c>
    </row>
    <row r="374" spans="1:3" x14ac:dyDescent="0.2">
      <c r="A374">
        <v>367</v>
      </c>
      <c r="B374" t="s">
        <v>177</v>
      </c>
      <c r="C374" t="s">
        <v>128</v>
      </c>
    </row>
    <row r="375" spans="1:3" x14ac:dyDescent="0.2">
      <c r="A375">
        <v>368</v>
      </c>
      <c r="B375" t="s">
        <v>177</v>
      </c>
      <c r="C375" t="s">
        <v>128</v>
      </c>
    </row>
    <row r="376" spans="1:3" x14ac:dyDescent="0.2">
      <c r="A376">
        <v>369</v>
      </c>
      <c r="B376" t="s">
        <v>177</v>
      </c>
      <c r="C376" t="s">
        <v>128</v>
      </c>
    </row>
    <row r="377" spans="1:3" x14ac:dyDescent="0.2">
      <c r="A377">
        <v>370</v>
      </c>
      <c r="B377" t="s">
        <v>177</v>
      </c>
      <c r="C377" t="s">
        <v>128</v>
      </c>
    </row>
    <row r="378" spans="1:3" x14ac:dyDescent="0.2">
      <c r="A378">
        <v>371</v>
      </c>
      <c r="B378" t="s">
        <v>177</v>
      </c>
      <c r="C378" t="s">
        <v>128</v>
      </c>
    </row>
    <row r="379" spans="1:3" x14ac:dyDescent="0.2">
      <c r="A379">
        <v>372</v>
      </c>
      <c r="B379" t="s">
        <v>177</v>
      </c>
      <c r="C379" t="s">
        <v>128</v>
      </c>
    </row>
    <row r="380" spans="1:3" x14ac:dyDescent="0.2">
      <c r="A380">
        <v>373</v>
      </c>
      <c r="B380" t="s">
        <v>177</v>
      </c>
      <c r="C380" t="s">
        <v>128</v>
      </c>
    </row>
    <row r="381" spans="1:3" x14ac:dyDescent="0.2">
      <c r="A381">
        <v>374</v>
      </c>
      <c r="B381" t="s">
        <v>177</v>
      </c>
      <c r="C381" t="s">
        <v>128</v>
      </c>
    </row>
    <row r="382" spans="1:3" x14ac:dyDescent="0.2">
      <c r="A382">
        <v>375</v>
      </c>
      <c r="B382" t="s">
        <v>177</v>
      </c>
      <c r="C382" t="s">
        <v>128</v>
      </c>
    </row>
    <row r="383" spans="1:3" x14ac:dyDescent="0.2">
      <c r="A383">
        <v>376</v>
      </c>
      <c r="B383" t="s">
        <v>177</v>
      </c>
      <c r="C383" t="s">
        <v>128</v>
      </c>
    </row>
    <row r="384" spans="1:3" x14ac:dyDescent="0.2">
      <c r="A384">
        <v>377</v>
      </c>
      <c r="B384" t="s">
        <v>177</v>
      </c>
      <c r="C384" t="s">
        <v>128</v>
      </c>
    </row>
    <row r="385" spans="1:3" x14ac:dyDescent="0.2">
      <c r="A385">
        <v>378</v>
      </c>
      <c r="B385" t="s">
        <v>177</v>
      </c>
      <c r="C385" t="s">
        <v>128</v>
      </c>
    </row>
    <row r="386" spans="1:3" x14ac:dyDescent="0.2">
      <c r="A386">
        <v>379</v>
      </c>
      <c r="B386" t="s">
        <v>177</v>
      </c>
      <c r="C386" t="s">
        <v>128</v>
      </c>
    </row>
    <row r="387" spans="1:3" x14ac:dyDescent="0.2">
      <c r="A387">
        <v>380</v>
      </c>
      <c r="B387" t="s">
        <v>177</v>
      </c>
      <c r="C387" t="s">
        <v>128</v>
      </c>
    </row>
    <row r="388" spans="1:3" x14ac:dyDescent="0.2">
      <c r="A388">
        <v>381</v>
      </c>
      <c r="B388" t="s">
        <v>177</v>
      </c>
      <c r="C388" t="s">
        <v>128</v>
      </c>
    </row>
    <row r="389" spans="1:3" x14ac:dyDescent="0.2">
      <c r="A389">
        <v>382</v>
      </c>
      <c r="B389" t="s">
        <v>177</v>
      </c>
      <c r="C389" t="s">
        <v>128</v>
      </c>
    </row>
    <row r="390" spans="1:3" x14ac:dyDescent="0.2">
      <c r="A390">
        <v>383</v>
      </c>
      <c r="B390" t="s">
        <v>177</v>
      </c>
      <c r="C390" t="s">
        <v>128</v>
      </c>
    </row>
    <row r="391" spans="1:3" x14ac:dyDescent="0.2">
      <c r="A391">
        <v>384</v>
      </c>
      <c r="B391" t="s">
        <v>177</v>
      </c>
      <c r="C391" t="s">
        <v>128</v>
      </c>
    </row>
    <row r="392" spans="1:3" x14ac:dyDescent="0.2">
      <c r="A392">
        <v>385</v>
      </c>
      <c r="B392" t="s">
        <v>177</v>
      </c>
      <c r="C392" t="s">
        <v>128</v>
      </c>
    </row>
    <row r="393" spans="1:3" x14ac:dyDescent="0.2">
      <c r="A393">
        <v>386</v>
      </c>
      <c r="B393" t="s">
        <v>177</v>
      </c>
      <c r="C393" t="s">
        <v>128</v>
      </c>
    </row>
    <row r="394" spans="1:3" x14ac:dyDescent="0.2">
      <c r="A394">
        <v>387</v>
      </c>
      <c r="B394" t="s">
        <v>177</v>
      </c>
      <c r="C394" t="s">
        <v>128</v>
      </c>
    </row>
    <row r="395" spans="1:3" x14ac:dyDescent="0.2">
      <c r="A395">
        <v>388</v>
      </c>
      <c r="B395" t="s">
        <v>177</v>
      </c>
      <c r="C395" t="s">
        <v>128</v>
      </c>
    </row>
    <row r="396" spans="1:3" x14ac:dyDescent="0.2">
      <c r="A396">
        <v>389</v>
      </c>
      <c r="B396" t="s">
        <v>177</v>
      </c>
      <c r="C396" t="s">
        <v>128</v>
      </c>
    </row>
    <row r="397" spans="1:3" x14ac:dyDescent="0.2">
      <c r="A397">
        <v>390</v>
      </c>
      <c r="B397" t="s">
        <v>177</v>
      </c>
      <c r="C397" t="s">
        <v>128</v>
      </c>
    </row>
    <row r="398" spans="1:3" x14ac:dyDescent="0.2">
      <c r="A398">
        <v>391</v>
      </c>
      <c r="B398" t="s">
        <v>177</v>
      </c>
      <c r="C398" t="s">
        <v>128</v>
      </c>
    </row>
    <row r="399" spans="1:3" x14ac:dyDescent="0.2">
      <c r="A399">
        <v>392</v>
      </c>
      <c r="B399" t="s">
        <v>177</v>
      </c>
      <c r="C399" t="s">
        <v>128</v>
      </c>
    </row>
    <row r="400" spans="1:3" x14ac:dyDescent="0.2">
      <c r="A400">
        <v>393</v>
      </c>
      <c r="B400" t="s">
        <v>177</v>
      </c>
      <c r="C400" t="s">
        <v>128</v>
      </c>
    </row>
    <row r="401" spans="1:3" x14ac:dyDescent="0.2">
      <c r="A401">
        <v>394</v>
      </c>
      <c r="B401" t="s">
        <v>177</v>
      </c>
      <c r="C401" t="s">
        <v>128</v>
      </c>
    </row>
    <row r="402" spans="1:3" x14ac:dyDescent="0.2">
      <c r="A402">
        <v>395</v>
      </c>
      <c r="B402" t="s">
        <v>177</v>
      </c>
      <c r="C402" t="s">
        <v>128</v>
      </c>
    </row>
    <row r="403" spans="1:3" x14ac:dyDescent="0.2">
      <c r="A403">
        <v>396</v>
      </c>
      <c r="B403" t="s">
        <v>177</v>
      </c>
      <c r="C403" t="s">
        <v>128</v>
      </c>
    </row>
    <row r="404" spans="1:3" x14ac:dyDescent="0.2">
      <c r="A404">
        <v>397</v>
      </c>
      <c r="B404" t="s">
        <v>177</v>
      </c>
      <c r="C404" t="s">
        <v>128</v>
      </c>
    </row>
    <row r="405" spans="1:3" x14ac:dyDescent="0.2">
      <c r="A405">
        <v>398</v>
      </c>
      <c r="B405" t="s">
        <v>177</v>
      </c>
      <c r="C405" t="s">
        <v>128</v>
      </c>
    </row>
    <row r="406" spans="1:3" x14ac:dyDescent="0.2">
      <c r="A406">
        <v>399</v>
      </c>
      <c r="B406" t="s">
        <v>177</v>
      </c>
      <c r="C406" t="s">
        <v>128</v>
      </c>
    </row>
    <row r="407" spans="1:3" x14ac:dyDescent="0.2">
      <c r="A407">
        <v>400</v>
      </c>
      <c r="B407" t="s">
        <v>177</v>
      </c>
      <c r="C407" t="s">
        <v>128</v>
      </c>
    </row>
    <row r="408" spans="1:3" x14ac:dyDescent="0.2">
      <c r="A408">
        <v>401</v>
      </c>
      <c r="B408" t="s">
        <v>177</v>
      </c>
      <c r="C408" t="s">
        <v>128</v>
      </c>
    </row>
    <row r="409" spans="1:3" x14ac:dyDescent="0.2">
      <c r="A409">
        <v>402</v>
      </c>
      <c r="B409" t="s">
        <v>177</v>
      </c>
      <c r="C409" t="s">
        <v>128</v>
      </c>
    </row>
    <row r="410" spans="1:3" x14ac:dyDescent="0.2">
      <c r="A410">
        <v>403</v>
      </c>
      <c r="B410" t="s">
        <v>177</v>
      </c>
      <c r="C410" t="s">
        <v>128</v>
      </c>
    </row>
    <row r="411" spans="1:3" x14ac:dyDescent="0.2">
      <c r="A411">
        <v>404</v>
      </c>
      <c r="B411" t="s">
        <v>177</v>
      </c>
      <c r="C411" t="s">
        <v>128</v>
      </c>
    </row>
    <row r="412" spans="1:3" x14ac:dyDescent="0.2">
      <c r="A412">
        <v>405</v>
      </c>
      <c r="B412" t="s">
        <v>177</v>
      </c>
      <c r="C412" t="s">
        <v>128</v>
      </c>
    </row>
    <row r="413" spans="1:3" x14ac:dyDescent="0.2">
      <c r="A413">
        <v>406</v>
      </c>
      <c r="B413" t="s">
        <v>177</v>
      </c>
      <c r="C413" t="s">
        <v>128</v>
      </c>
    </row>
    <row r="414" spans="1:3" x14ac:dyDescent="0.2">
      <c r="A414">
        <v>407</v>
      </c>
      <c r="B414" t="s">
        <v>177</v>
      </c>
      <c r="C414" t="s">
        <v>128</v>
      </c>
    </row>
    <row r="415" spans="1:3" x14ac:dyDescent="0.2">
      <c r="A415">
        <v>408</v>
      </c>
      <c r="B415" t="s">
        <v>177</v>
      </c>
      <c r="C415" t="s">
        <v>128</v>
      </c>
    </row>
    <row r="416" spans="1:3" x14ac:dyDescent="0.2">
      <c r="A416">
        <v>409</v>
      </c>
      <c r="B416" t="s">
        <v>177</v>
      </c>
      <c r="C416" t="s">
        <v>128</v>
      </c>
    </row>
    <row r="417" spans="1:3" x14ac:dyDescent="0.2">
      <c r="A417">
        <v>410</v>
      </c>
      <c r="B417" t="s">
        <v>177</v>
      </c>
      <c r="C417" t="s">
        <v>128</v>
      </c>
    </row>
    <row r="418" spans="1:3" x14ac:dyDescent="0.2">
      <c r="A418">
        <v>411</v>
      </c>
      <c r="B418" t="s">
        <v>177</v>
      </c>
      <c r="C418" t="s">
        <v>128</v>
      </c>
    </row>
    <row r="419" spans="1:3" x14ac:dyDescent="0.2">
      <c r="A419">
        <v>412</v>
      </c>
      <c r="B419" t="s">
        <v>177</v>
      </c>
      <c r="C419" t="s">
        <v>128</v>
      </c>
    </row>
    <row r="420" spans="1:3" x14ac:dyDescent="0.2">
      <c r="A420">
        <v>413</v>
      </c>
      <c r="B420" t="s">
        <v>177</v>
      </c>
      <c r="C420" t="s">
        <v>128</v>
      </c>
    </row>
    <row r="421" spans="1:3" x14ac:dyDescent="0.2">
      <c r="A421">
        <v>414</v>
      </c>
      <c r="B421" t="s">
        <v>177</v>
      </c>
      <c r="C421" t="s">
        <v>128</v>
      </c>
    </row>
    <row r="422" spans="1:3" x14ac:dyDescent="0.2">
      <c r="A422">
        <v>415</v>
      </c>
      <c r="B422" t="s">
        <v>177</v>
      </c>
      <c r="C422" t="s">
        <v>128</v>
      </c>
    </row>
    <row r="423" spans="1:3" x14ac:dyDescent="0.2">
      <c r="A423">
        <v>416</v>
      </c>
      <c r="B423" t="s">
        <v>177</v>
      </c>
      <c r="C423" t="s">
        <v>128</v>
      </c>
    </row>
    <row r="424" spans="1:3" x14ac:dyDescent="0.2">
      <c r="A424">
        <v>417</v>
      </c>
      <c r="B424" t="s">
        <v>177</v>
      </c>
      <c r="C424" t="s">
        <v>128</v>
      </c>
    </row>
    <row r="425" spans="1:3" x14ac:dyDescent="0.2">
      <c r="A425">
        <v>418</v>
      </c>
      <c r="B425" t="s">
        <v>177</v>
      </c>
      <c r="C425" t="s">
        <v>128</v>
      </c>
    </row>
    <row r="426" spans="1:3" x14ac:dyDescent="0.2">
      <c r="A426">
        <v>419</v>
      </c>
      <c r="B426" t="s">
        <v>177</v>
      </c>
      <c r="C426" t="s">
        <v>128</v>
      </c>
    </row>
    <row r="427" spans="1:3" x14ac:dyDescent="0.2">
      <c r="A427">
        <v>420</v>
      </c>
      <c r="B427" t="s">
        <v>177</v>
      </c>
      <c r="C427" t="s">
        <v>128</v>
      </c>
    </row>
    <row r="428" spans="1:3" x14ac:dyDescent="0.2">
      <c r="A428">
        <v>421</v>
      </c>
      <c r="B428" t="s">
        <v>177</v>
      </c>
      <c r="C428" t="s">
        <v>128</v>
      </c>
    </row>
    <row r="429" spans="1:3" x14ac:dyDescent="0.2">
      <c r="A429">
        <v>422</v>
      </c>
      <c r="B429" t="s">
        <v>177</v>
      </c>
      <c r="C429" t="s">
        <v>128</v>
      </c>
    </row>
    <row r="430" spans="1:3" x14ac:dyDescent="0.2">
      <c r="A430">
        <v>423</v>
      </c>
      <c r="B430" t="s">
        <v>177</v>
      </c>
      <c r="C430" t="s">
        <v>128</v>
      </c>
    </row>
    <row r="431" spans="1:3" x14ac:dyDescent="0.2">
      <c r="A431">
        <v>424</v>
      </c>
      <c r="B431" t="s">
        <v>177</v>
      </c>
      <c r="C431" t="s">
        <v>128</v>
      </c>
    </row>
    <row r="432" spans="1:3" x14ac:dyDescent="0.2">
      <c r="A432">
        <v>425</v>
      </c>
      <c r="B432" t="s">
        <v>177</v>
      </c>
      <c r="C432" t="s">
        <v>128</v>
      </c>
    </row>
    <row r="433" spans="1:7" x14ac:dyDescent="0.2">
      <c r="A433">
        <v>426</v>
      </c>
      <c r="B433" t="s">
        <v>177</v>
      </c>
      <c r="C433" t="s">
        <v>128</v>
      </c>
    </row>
    <row r="434" spans="1:7" x14ac:dyDescent="0.2">
      <c r="A434">
        <v>427</v>
      </c>
      <c r="B434" t="s">
        <v>177</v>
      </c>
      <c r="C434" t="s">
        <v>128</v>
      </c>
    </row>
    <row r="435" spans="1:7" x14ac:dyDescent="0.2">
      <c r="A435">
        <v>428</v>
      </c>
      <c r="B435" t="s">
        <v>177</v>
      </c>
      <c r="C435" t="s">
        <v>128</v>
      </c>
    </row>
    <row r="436" spans="1:7" x14ac:dyDescent="0.2">
      <c r="A436">
        <v>429</v>
      </c>
      <c r="B436" t="s">
        <v>177</v>
      </c>
      <c r="C436" t="s">
        <v>128</v>
      </c>
    </row>
    <row r="437" spans="1:7" x14ac:dyDescent="0.2">
      <c r="A437">
        <v>430</v>
      </c>
      <c r="B437" t="s">
        <v>177</v>
      </c>
      <c r="C437" t="s">
        <v>128</v>
      </c>
    </row>
    <row r="438" spans="1:7" x14ac:dyDescent="0.2">
      <c r="A438">
        <v>431</v>
      </c>
      <c r="B438" t="s">
        <v>177</v>
      </c>
      <c r="C438" t="s">
        <v>128</v>
      </c>
    </row>
    <row r="439" spans="1:7" x14ac:dyDescent="0.2">
      <c r="A439">
        <v>432</v>
      </c>
      <c r="B439" t="s">
        <v>177</v>
      </c>
      <c r="C439" t="s">
        <v>128</v>
      </c>
    </row>
    <row r="440" spans="1:7" x14ac:dyDescent="0.2">
      <c r="A440">
        <v>433</v>
      </c>
      <c r="B440" t="s">
        <v>177</v>
      </c>
      <c r="C440" t="s">
        <v>128</v>
      </c>
    </row>
    <row r="441" spans="1:7" x14ac:dyDescent="0.2">
      <c r="A441">
        <v>434</v>
      </c>
      <c r="B441" t="s">
        <v>177</v>
      </c>
      <c r="C441" t="s">
        <v>128</v>
      </c>
    </row>
    <row r="442" spans="1:7" x14ac:dyDescent="0.2">
      <c r="A442">
        <v>435</v>
      </c>
      <c r="B442" t="s">
        <v>177</v>
      </c>
      <c r="C442" t="s">
        <v>128</v>
      </c>
      <c r="G442" t="s">
        <v>341</v>
      </c>
    </row>
    <row r="443" spans="1:7" x14ac:dyDescent="0.2">
      <c r="A443">
        <v>436</v>
      </c>
      <c r="B443" t="s">
        <v>177</v>
      </c>
      <c r="C443" t="s">
        <v>129</v>
      </c>
      <c r="F443" t="s">
        <v>342</v>
      </c>
    </row>
    <row r="444" spans="1:7" x14ac:dyDescent="0.2">
      <c r="A444">
        <v>437</v>
      </c>
      <c r="B444" t="s">
        <v>177</v>
      </c>
      <c r="C444" t="s">
        <v>129</v>
      </c>
    </row>
    <row r="445" spans="1:7" x14ac:dyDescent="0.2">
      <c r="A445">
        <v>438</v>
      </c>
      <c r="B445" t="s">
        <v>177</v>
      </c>
      <c r="C445" t="s">
        <v>129</v>
      </c>
    </row>
    <row r="446" spans="1:7" x14ac:dyDescent="0.2">
      <c r="A446">
        <v>439</v>
      </c>
      <c r="B446" t="s">
        <v>177</v>
      </c>
      <c r="C446" t="s">
        <v>129</v>
      </c>
    </row>
    <row r="447" spans="1:7" x14ac:dyDescent="0.2">
      <c r="A447">
        <v>440</v>
      </c>
      <c r="B447" t="s">
        <v>177</v>
      </c>
      <c r="C447" t="s">
        <v>129</v>
      </c>
    </row>
    <row r="448" spans="1:7" x14ac:dyDescent="0.2">
      <c r="A448">
        <v>441</v>
      </c>
      <c r="B448" t="s">
        <v>177</v>
      </c>
      <c r="C448" t="s">
        <v>129</v>
      </c>
    </row>
    <row r="449" spans="1:7" x14ac:dyDescent="0.2">
      <c r="A449">
        <v>442</v>
      </c>
      <c r="B449" t="s">
        <v>177</v>
      </c>
      <c r="C449" t="s">
        <v>129</v>
      </c>
    </row>
    <row r="450" spans="1:7" x14ac:dyDescent="0.2">
      <c r="A450">
        <v>443</v>
      </c>
      <c r="B450" t="s">
        <v>177</v>
      </c>
      <c r="C450" t="s">
        <v>129</v>
      </c>
    </row>
    <row r="451" spans="1:7" x14ac:dyDescent="0.2">
      <c r="A451">
        <v>444</v>
      </c>
      <c r="B451" t="s">
        <v>177</v>
      </c>
      <c r="C451" t="s">
        <v>129</v>
      </c>
    </row>
    <row r="452" spans="1:7" x14ac:dyDescent="0.2">
      <c r="A452">
        <v>445</v>
      </c>
      <c r="B452" t="s">
        <v>177</v>
      </c>
      <c r="C452" t="s">
        <v>129</v>
      </c>
    </row>
    <row r="453" spans="1:7" x14ac:dyDescent="0.2">
      <c r="A453">
        <v>446</v>
      </c>
      <c r="B453" t="s">
        <v>177</v>
      </c>
      <c r="C453" t="s">
        <v>129</v>
      </c>
    </row>
    <row r="454" spans="1:7" x14ac:dyDescent="0.2">
      <c r="A454">
        <v>447</v>
      </c>
      <c r="B454" t="s">
        <v>177</v>
      </c>
      <c r="C454" t="s">
        <v>129</v>
      </c>
    </row>
    <row r="455" spans="1:7" x14ac:dyDescent="0.2">
      <c r="A455">
        <v>448</v>
      </c>
      <c r="B455" t="s">
        <v>177</v>
      </c>
      <c r="C455" t="s">
        <v>129</v>
      </c>
    </row>
    <row r="456" spans="1:7" x14ac:dyDescent="0.2">
      <c r="A456">
        <v>449</v>
      </c>
      <c r="B456" t="s">
        <v>177</v>
      </c>
      <c r="C456" t="s">
        <v>129</v>
      </c>
    </row>
    <row r="457" spans="1:7" x14ac:dyDescent="0.2">
      <c r="A457">
        <v>450</v>
      </c>
      <c r="B457" t="s">
        <v>177</v>
      </c>
      <c r="C457" t="s">
        <v>129</v>
      </c>
    </row>
    <row r="458" spans="1:7" x14ac:dyDescent="0.2">
      <c r="A458">
        <v>451</v>
      </c>
      <c r="B458" t="s">
        <v>177</v>
      </c>
      <c r="C458" t="s">
        <v>129</v>
      </c>
    </row>
    <row r="459" spans="1:7" x14ac:dyDescent="0.2">
      <c r="A459">
        <v>452</v>
      </c>
      <c r="B459" t="s">
        <v>177</v>
      </c>
      <c r="C459" t="s">
        <v>129</v>
      </c>
    </row>
    <row r="460" spans="1:7" x14ac:dyDescent="0.2">
      <c r="A460">
        <v>453</v>
      </c>
      <c r="B460" t="s">
        <v>177</v>
      </c>
      <c r="C460" t="s">
        <v>129</v>
      </c>
    </row>
    <row r="461" spans="1:7" x14ac:dyDescent="0.2">
      <c r="A461">
        <v>454</v>
      </c>
      <c r="B461" t="s">
        <v>177</v>
      </c>
      <c r="C461" t="s">
        <v>129</v>
      </c>
      <c r="G461" t="s">
        <v>343</v>
      </c>
    </row>
    <row r="462" spans="1:7" x14ac:dyDescent="0.2">
      <c r="A462">
        <v>455</v>
      </c>
      <c r="B462" t="s">
        <v>177</v>
      </c>
      <c r="C462" t="s">
        <v>130</v>
      </c>
      <c r="F462" t="s">
        <v>344</v>
      </c>
    </row>
    <row r="463" spans="1:7" x14ac:dyDescent="0.2">
      <c r="A463">
        <v>456</v>
      </c>
      <c r="B463" t="s">
        <v>177</v>
      </c>
      <c r="C463" t="s">
        <v>130</v>
      </c>
    </row>
    <row r="464" spans="1:7" x14ac:dyDescent="0.2">
      <c r="A464">
        <v>457</v>
      </c>
      <c r="B464" t="s">
        <v>177</v>
      </c>
      <c r="C464" t="s">
        <v>130</v>
      </c>
    </row>
    <row r="465" spans="1:3" x14ac:dyDescent="0.2">
      <c r="A465">
        <v>458</v>
      </c>
      <c r="B465" t="s">
        <v>177</v>
      </c>
      <c r="C465" t="s">
        <v>130</v>
      </c>
    </row>
    <row r="466" spans="1:3" x14ac:dyDescent="0.2">
      <c r="A466">
        <v>459</v>
      </c>
      <c r="B466" t="s">
        <v>177</v>
      </c>
      <c r="C466" t="s">
        <v>130</v>
      </c>
    </row>
    <row r="467" spans="1:3" x14ac:dyDescent="0.2">
      <c r="A467">
        <v>460</v>
      </c>
      <c r="B467" t="s">
        <v>177</v>
      </c>
      <c r="C467" t="s">
        <v>130</v>
      </c>
    </row>
    <row r="468" spans="1:3" x14ac:dyDescent="0.2">
      <c r="A468">
        <v>461</v>
      </c>
      <c r="B468" t="s">
        <v>177</v>
      </c>
      <c r="C468" t="s">
        <v>130</v>
      </c>
    </row>
    <row r="469" spans="1:3" x14ac:dyDescent="0.2">
      <c r="A469">
        <v>462</v>
      </c>
      <c r="B469" t="s">
        <v>177</v>
      </c>
      <c r="C469" t="s">
        <v>130</v>
      </c>
    </row>
    <row r="470" spans="1:3" x14ac:dyDescent="0.2">
      <c r="A470">
        <v>463</v>
      </c>
      <c r="B470" t="s">
        <v>177</v>
      </c>
      <c r="C470" t="s">
        <v>130</v>
      </c>
    </row>
    <row r="471" spans="1:3" x14ac:dyDescent="0.2">
      <c r="A471">
        <v>464</v>
      </c>
      <c r="B471" t="s">
        <v>177</v>
      </c>
      <c r="C471" t="s">
        <v>130</v>
      </c>
    </row>
    <row r="472" spans="1:3" x14ac:dyDescent="0.2">
      <c r="A472">
        <v>465</v>
      </c>
      <c r="B472" t="s">
        <v>177</v>
      </c>
      <c r="C472" t="s">
        <v>130</v>
      </c>
    </row>
    <row r="473" spans="1:3" x14ac:dyDescent="0.2">
      <c r="A473">
        <v>466</v>
      </c>
      <c r="B473" t="s">
        <v>177</v>
      </c>
      <c r="C473" t="s">
        <v>130</v>
      </c>
    </row>
    <row r="474" spans="1:3" x14ac:dyDescent="0.2">
      <c r="A474">
        <v>467</v>
      </c>
      <c r="B474" t="s">
        <v>177</v>
      </c>
      <c r="C474" t="s">
        <v>130</v>
      </c>
    </row>
    <row r="475" spans="1:3" x14ac:dyDescent="0.2">
      <c r="A475">
        <v>468</v>
      </c>
      <c r="B475" t="s">
        <v>177</v>
      </c>
      <c r="C475" t="s">
        <v>130</v>
      </c>
    </row>
    <row r="476" spans="1:3" x14ac:dyDescent="0.2">
      <c r="A476">
        <v>469</v>
      </c>
      <c r="B476" t="s">
        <v>177</v>
      </c>
      <c r="C476" t="s">
        <v>130</v>
      </c>
    </row>
    <row r="477" spans="1:3" x14ac:dyDescent="0.2">
      <c r="A477">
        <v>470</v>
      </c>
      <c r="B477" t="s">
        <v>177</v>
      </c>
      <c r="C477" t="s">
        <v>130</v>
      </c>
    </row>
    <row r="478" spans="1:3" x14ac:dyDescent="0.2">
      <c r="A478">
        <v>471</v>
      </c>
      <c r="B478" t="s">
        <v>177</v>
      </c>
      <c r="C478" t="s">
        <v>130</v>
      </c>
    </row>
    <row r="479" spans="1:3" x14ac:dyDescent="0.2">
      <c r="A479">
        <v>472</v>
      </c>
      <c r="B479" t="s">
        <v>177</v>
      </c>
      <c r="C479" t="s">
        <v>130</v>
      </c>
    </row>
    <row r="480" spans="1:3" x14ac:dyDescent="0.2">
      <c r="A480">
        <v>473</v>
      </c>
      <c r="B480" t="s">
        <v>177</v>
      </c>
      <c r="C480" t="s">
        <v>130</v>
      </c>
    </row>
    <row r="481" spans="1:3" x14ac:dyDescent="0.2">
      <c r="A481">
        <v>474</v>
      </c>
      <c r="B481" t="s">
        <v>177</v>
      </c>
      <c r="C481" t="s">
        <v>130</v>
      </c>
    </row>
    <row r="482" spans="1:3" x14ac:dyDescent="0.2">
      <c r="A482">
        <v>475</v>
      </c>
      <c r="B482" t="s">
        <v>177</v>
      </c>
      <c r="C482" t="s">
        <v>130</v>
      </c>
    </row>
    <row r="483" spans="1:3" x14ac:dyDescent="0.2">
      <c r="A483">
        <v>476</v>
      </c>
      <c r="B483" t="s">
        <v>177</v>
      </c>
      <c r="C483" t="s">
        <v>130</v>
      </c>
    </row>
    <row r="484" spans="1:3" x14ac:dyDescent="0.2">
      <c r="A484">
        <v>477</v>
      </c>
      <c r="B484" t="s">
        <v>177</v>
      </c>
      <c r="C484" t="s">
        <v>130</v>
      </c>
    </row>
    <row r="485" spans="1:3" x14ac:dyDescent="0.2">
      <c r="A485">
        <v>478</v>
      </c>
      <c r="B485" t="s">
        <v>177</v>
      </c>
      <c r="C485" t="s">
        <v>130</v>
      </c>
    </row>
    <row r="486" spans="1:3" x14ac:dyDescent="0.2">
      <c r="A486">
        <v>479</v>
      </c>
      <c r="B486" t="s">
        <v>177</v>
      </c>
      <c r="C486" t="s">
        <v>130</v>
      </c>
    </row>
    <row r="487" spans="1:3" x14ac:dyDescent="0.2">
      <c r="A487">
        <v>480</v>
      </c>
      <c r="B487" t="s">
        <v>177</v>
      </c>
      <c r="C487" t="s">
        <v>130</v>
      </c>
    </row>
    <row r="488" spans="1:3" x14ac:dyDescent="0.2">
      <c r="A488">
        <v>481</v>
      </c>
      <c r="B488" t="s">
        <v>177</v>
      </c>
      <c r="C488" t="s">
        <v>130</v>
      </c>
    </row>
    <row r="489" spans="1:3" x14ac:dyDescent="0.2">
      <c r="A489">
        <v>482</v>
      </c>
      <c r="B489" t="s">
        <v>177</v>
      </c>
      <c r="C489" t="s">
        <v>130</v>
      </c>
    </row>
    <row r="490" spans="1:3" x14ac:dyDescent="0.2">
      <c r="A490">
        <v>483</v>
      </c>
      <c r="B490" t="s">
        <v>177</v>
      </c>
      <c r="C490" t="s">
        <v>130</v>
      </c>
    </row>
    <row r="491" spans="1:3" x14ac:dyDescent="0.2">
      <c r="A491">
        <v>484</v>
      </c>
      <c r="B491" t="s">
        <v>177</v>
      </c>
      <c r="C491" t="s">
        <v>130</v>
      </c>
    </row>
    <row r="492" spans="1:3" x14ac:dyDescent="0.2">
      <c r="A492">
        <v>485</v>
      </c>
      <c r="B492" t="s">
        <v>177</v>
      </c>
      <c r="C492" t="s">
        <v>130</v>
      </c>
    </row>
    <row r="493" spans="1:3" x14ac:dyDescent="0.2">
      <c r="A493">
        <v>486</v>
      </c>
      <c r="B493" t="s">
        <v>177</v>
      </c>
      <c r="C493" t="s">
        <v>130</v>
      </c>
    </row>
    <row r="494" spans="1:3" x14ac:dyDescent="0.2">
      <c r="A494">
        <v>487</v>
      </c>
      <c r="B494" t="s">
        <v>177</v>
      </c>
      <c r="C494" t="s">
        <v>130</v>
      </c>
    </row>
    <row r="495" spans="1:3" x14ac:dyDescent="0.2">
      <c r="A495">
        <v>488</v>
      </c>
      <c r="B495" t="s">
        <v>177</v>
      </c>
      <c r="C495" t="s">
        <v>130</v>
      </c>
    </row>
    <row r="496" spans="1:3" x14ac:dyDescent="0.2">
      <c r="A496">
        <v>489</v>
      </c>
      <c r="B496" t="s">
        <v>177</v>
      </c>
      <c r="C496" t="s">
        <v>130</v>
      </c>
    </row>
    <row r="497" spans="1:3" x14ac:dyDescent="0.2">
      <c r="A497">
        <v>490</v>
      </c>
      <c r="B497" t="s">
        <v>177</v>
      </c>
      <c r="C497" t="s">
        <v>130</v>
      </c>
    </row>
    <row r="498" spans="1:3" x14ac:dyDescent="0.2">
      <c r="A498">
        <v>491</v>
      </c>
      <c r="B498" t="s">
        <v>177</v>
      </c>
      <c r="C498" t="s">
        <v>130</v>
      </c>
    </row>
    <row r="499" spans="1:3" x14ac:dyDescent="0.2">
      <c r="A499">
        <v>492</v>
      </c>
      <c r="B499" t="s">
        <v>177</v>
      </c>
      <c r="C499" t="s">
        <v>130</v>
      </c>
    </row>
    <row r="500" spans="1:3" x14ac:dyDescent="0.2">
      <c r="A500">
        <v>493</v>
      </c>
      <c r="B500" t="s">
        <v>177</v>
      </c>
      <c r="C500" t="s">
        <v>130</v>
      </c>
    </row>
    <row r="501" spans="1:3" x14ac:dyDescent="0.2">
      <c r="A501">
        <v>494</v>
      </c>
      <c r="B501" t="s">
        <v>177</v>
      </c>
      <c r="C501" t="s">
        <v>130</v>
      </c>
    </row>
    <row r="502" spans="1:3" x14ac:dyDescent="0.2">
      <c r="A502">
        <v>495</v>
      </c>
      <c r="B502" t="s">
        <v>177</v>
      </c>
      <c r="C502" t="s">
        <v>130</v>
      </c>
    </row>
    <row r="503" spans="1:3" x14ac:dyDescent="0.2">
      <c r="A503">
        <v>496</v>
      </c>
      <c r="B503" t="s">
        <v>177</v>
      </c>
      <c r="C503" t="s">
        <v>130</v>
      </c>
    </row>
    <row r="504" spans="1:3" x14ac:dyDescent="0.2">
      <c r="A504">
        <v>497</v>
      </c>
      <c r="B504" t="s">
        <v>177</v>
      </c>
      <c r="C504" t="s">
        <v>130</v>
      </c>
    </row>
    <row r="505" spans="1:3" x14ac:dyDescent="0.2">
      <c r="A505">
        <v>498</v>
      </c>
      <c r="B505" t="s">
        <v>177</v>
      </c>
      <c r="C505" t="s">
        <v>130</v>
      </c>
    </row>
    <row r="506" spans="1:3" x14ac:dyDescent="0.2">
      <c r="A506">
        <v>499</v>
      </c>
      <c r="B506" t="s">
        <v>177</v>
      </c>
      <c r="C506" t="s">
        <v>130</v>
      </c>
    </row>
    <row r="507" spans="1:3" x14ac:dyDescent="0.2">
      <c r="A507">
        <v>500</v>
      </c>
      <c r="B507" t="s">
        <v>177</v>
      </c>
      <c r="C507" t="s">
        <v>130</v>
      </c>
    </row>
    <row r="508" spans="1:3" x14ac:dyDescent="0.2">
      <c r="A508">
        <v>501</v>
      </c>
      <c r="B508" t="s">
        <v>177</v>
      </c>
      <c r="C508" t="s">
        <v>130</v>
      </c>
    </row>
    <row r="509" spans="1:3" x14ac:dyDescent="0.2">
      <c r="A509">
        <v>502</v>
      </c>
      <c r="B509" t="s">
        <v>177</v>
      </c>
      <c r="C509" t="s">
        <v>130</v>
      </c>
    </row>
    <row r="510" spans="1:3" x14ac:dyDescent="0.2">
      <c r="A510">
        <v>503</v>
      </c>
      <c r="B510" t="s">
        <v>177</v>
      </c>
      <c r="C510" t="s">
        <v>130</v>
      </c>
    </row>
    <row r="511" spans="1:3" x14ac:dyDescent="0.2">
      <c r="A511">
        <v>504</v>
      </c>
      <c r="B511" t="s">
        <v>177</v>
      </c>
      <c r="C511" t="s">
        <v>130</v>
      </c>
    </row>
    <row r="512" spans="1:3" x14ac:dyDescent="0.2">
      <c r="A512">
        <v>505</v>
      </c>
      <c r="B512" t="s">
        <v>177</v>
      </c>
      <c r="C512" t="s">
        <v>130</v>
      </c>
    </row>
    <row r="513" spans="1:3" x14ac:dyDescent="0.2">
      <c r="A513">
        <v>506</v>
      </c>
      <c r="B513" t="s">
        <v>177</v>
      </c>
      <c r="C513" t="s">
        <v>130</v>
      </c>
    </row>
    <row r="514" spans="1:3" x14ac:dyDescent="0.2">
      <c r="A514">
        <v>507</v>
      </c>
      <c r="B514" t="s">
        <v>177</v>
      </c>
      <c r="C514" t="s">
        <v>130</v>
      </c>
    </row>
    <row r="515" spans="1:3" x14ac:dyDescent="0.2">
      <c r="A515">
        <v>508</v>
      </c>
      <c r="B515" t="s">
        <v>177</v>
      </c>
      <c r="C515" t="s">
        <v>130</v>
      </c>
    </row>
    <row r="516" spans="1:3" x14ac:dyDescent="0.2">
      <c r="A516">
        <v>509</v>
      </c>
      <c r="B516" t="s">
        <v>177</v>
      </c>
      <c r="C516" t="s">
        <v>130</v>
      </c>
    </row>
    <row r="517" spans="1:3" x14ac:dyDescent="0.2">
      <c r="A517">
        <v>510</v>
      </c>
      <c r="B517" t="s">
        <v>177</v>
      </c>
      <c r="C517" t="s">
        <v>130</v>
      </c>
    </row>
    <row r="518" spans="1:3" x14ac:dyDescent="0.2">
      <c r="A518">
        <v>511</v>
      </c>
      <c r="B518" t="s">
        <v>177</v>
      </c>
      <c r="C518" t="s">
        <v>130</v>
      </c>
    </row>
    <row r="519" spans="1:3" x14ac:dyDescent="0.2">
      <c r="A519">
        <v>512</v>
      </c>
      <c r="B519" t="s">
        <v>177</v>
      </c>
      <c r="C519" t="s">
        <v>130</v>
      </c>
    </row>
    <row r="520" spans="1:3" x14ac:dyDescent="0.2">
      <c r="A520">
        <v>513</v>
      </c>
      <c r="B520" t="s">
        <v>177</v>
      </c>
      <c r="C520" t="s">
        <v>130</v>
      </c>
    </row>
    <row r="521" spans="1:3" x14ac:dyDescent="0.2">
      <c r="A521">
        <v>514</v>
      </c>
      <c r="B521" t="s">
        <v>177</v>
      </c>
      <c r="C521" t="s">
        <v>130</v>
      </c>
    </row>
    <row r="522" spans="1:3" x14ac:dyDescent="0.2">
      <c r="A522">
        <v>515</v>
      </c>
      <c r="B522" t="s">
        <v>177</v>
      </c>
      <c r="C522" t="s">
        <v>130</v>
      </c>
    </row>
    <row r="523" spans="1:3" x14ac:dyDescent="0.2">
      <c r="A523">
        <v>516</v>
      </c>
      <c r="B523" t="s">
        <v>177</v>
      </c>
      <c r="C523" t="s">
        <v>130</v>
      </c>
    </row>
    <row r="524" spans="1:3" x14ac:dyDescent="0.2">
      <c r="A524">
        <v>517</v>
      </c>
      <c r="B524" t="s">
        <v>177</v>
      </c>
      <c r="C524" t="s">
        <v>130</v>
      </c>
    </row>
    <row r="525" spans="1:3" x14ac:dyDescent="0.2">
      <c r="A525">
        <v>518</v>
      </c>
      <c r="B525" t="s">
        <v>177</v>
      </c>
      <c r="C525" t="s">
        <v>130</v>
      </c>
    </row>
    <row r="526" spans="1:3" x14ac:dyDescent="0.2">
      <c r="A526">
        <v>519</v>
      </c>
      <c r="B526" t="s">
        <v>177</v>
      </c>
      <c r="C526" t="s">
        <v>130</v>
      </c>
    </row>
    <row r="527" spans="1:3" x14ac:dyDescent="0.2">
      <c r="A527">
        <v>520</v>
      </c>
      <c r="B527" t="s">
        <v>177</v>
      </c>
      <c r="C527" t="s">
        <v>130</v>
      </c>
    </row>
    <row r="528" spans="1:3" x14ac:dyDescent="0.2">
      <c r="A528">
        <v>521</v>
      </c>
      <c r="B528" t="s">
        <v>177</v>
      </c>
      <c r="C528" t="s">
        <v>130</v>
      </c>
    </row>
    <row r="529" spans="1:8" x14ac:dyDescent="0.2">
      <c r="A529">
        <v>522</v>
      </c>
      <c r="B529" t="s">
        <v>177</v>
      </c>
      <c r="C529" t="s">
        <v>130</v>
      </c>
    </row>
    <row r="530" spans="1:8" x14ac:dyDescent="0.2">
      <c r="A530">
        <v>523</v>
      </c>
      <c r="B530" t="s">
        <v>177</v>
      </c>
      <c r="C530" t="s">
        <v>130</v>
      </c>
    </row>
    <row r="531" spans="1:8" x14ac:dyDescent="0.2">
      <c r="A531">
        <v>524</v>
      </c>
      <c r="B531" t="s">
        <v>177</v>
      </c>
      <c r="C531" t="s">
        <v>130</v>
      </c>
    </row>
    <row r="532" spans="1:8" x14ac:dyDescent="0.2">
      <c r="A532">
        <v>525</v>
      </c>
      <c r="B532" t="s">
        <v>177</v>
      </c>
      <c r="C532" t="s">
        <v>130</v>
      </c>
    </row>
    <row r="533" spans="1:8" x14ac:dyDescent="0.2">
      <c r="A533">
        <v>526</v>
      </c>
      <c r="B533" t="s">
        <v>177</v>
      </c>
      <c r="C533" t="s">
        <v>130</v>
      </c>
    </row>
    <row r="534" spans="1:8" x14ac:dyDescent="0.2">
      <c r="A534">
        <v>527</v>
      </c>
      <c r="B534" t="s">
        <v>177</v>
      </c>
      <c r="C534" t="s">
        <v>130</v>
      </c>
    </row>
    <row r="535" spans="1:8" x14ac:dyDescent="0.2">
      <c r="A535">
        <v>528</v>
      </c>
      <c r="B535" t="s">
        <v>177</v>
      </c>
      <c r="C535" t="s">
        <v>130</v>
      </c>
      <c r="G535" t="s">
        <v>345</v>
      </c>
      <c r="H535" t="s">
        <v>104</v>
      </c>
    </row>
    <row r="536" spans="1:8" x14ac:dyDescent="0.2">
      <c r="A536">
        <v>529</v>
      </c>
      <c r="B536" t="s">
        <v>177</v>
      </c>
      <c r="C536" t="s">
        <v>131</v>
      </c>
      <c r="F536" t="s">
        <v>346</v>
      </c>
      <c r="H536" t="s">
        <v>105</v>
      </c>
    </row>
    <row r="537" spans="1:8" x14ac:dyDescent="0.2">
      <c r="A537">
        <v>530</v>
      </c>
      <c r="B537" t="s">
        <v>177</v>
      </c>
      <c r="C537" t="s">
        <v>131</v>
      </c>
    </row>
    <row r="538" spans="1:8" x14ac:dyDescent="0.2">
      <c r="A538">
        <v>531</v>
      </c>
      <c r="B538" t="s">
        <v>177</v>
      </c>
      <c r="C538" t="s">
        <v>131</v>
      </c>
    </row>
    <row r="539" spans="1:8" x14ac:dyDescent="0.2">
      <c r="A539">
        <v>532</v>
      </c>
      <c r="B539" t="s">
        <v>177</v>
      </c>
      <c r="C539" t="s">
        <v>131</v>
      </c>
    </row>
    <row r="540" spans="1:8" x14ac:dyDescent="0.2">
      <c r="A540">
        <v>533</v>
      </c>
      <c r="B540" t="s">
        <v>177</v>
      </c>
      <c r="C540" t="s">
        <v>131</v>
      </c>
    </row>
    <row r="541" spans="1:8" x14ac:dyDescent="0.2">
      <c r="A541">
        <v>534</v>
      </c>
      <c r="B541" t="s">
        <v>177</v>
      </c>
      <c r="C541" t="s">
        <v>131</v>
      </c>
    </row>
    <row r="542" spans="1:8" x14ac:dyDescent="0.2">
      <c r="A542">
        <v>535</v>
      </c>
      <c r="B542" t="s">
        <v>177</v>
      </c>
      <c r="C542" t="s">
        <v>131</v>
      </c>
    </row>
    <row r="543" spans="1:8" x14ac:dyDescent="0.2">
      <c r="A543">
        <v>536</v>
      </c>
      <c r="B543" t="s">
        <v>177</v>
      </c>
      <c r="C543" t="s">
        <v>131</v>
      </c>
    </row>
    <row r="544" spans="1:8" x14ac:dyDescent="0.2">
      <c r="A544">
        <v>537</v>
      </c>
      <c r="B544" t="s">
        <v>177</v>
      </c>
      <c r="C544" t="s">
        <v>131</v>
      </c>
    </row>
    <row r="545" spans="1:8" x14ac:dyDescent="0.2">
      <c r="A545">
        <v>538</v>
      </c>
      <c r="B545" t="s">
        <v>177</v>
      </c>
      <c r="C545" t="s">
        <v>131</v>
      </c>
    </row>
    <row r="546" spans="1:8" x14ac:dyDescent="0.2">
      <c r="A546">
        <v>539</v>
      </c>
      <c r="B546" t="s">
        <v>177</v>
      </c>
      <c r="C546" t="s">
        <v>131</v>
      </c>
      <c r="H546" t="s">
        <v>102</v>
      </c>
    </row>
    <row r="547" spans="1:8" x14ac:dyDescent="0.2">
      <c r="A547">
        <v>540</v>
      </c>
      <c r="B547" t="s">
        <v>177</v>
      </c>
      <c r="C547" t="s">
        <v>131</v>
      </c>
      <c r="H547" t="s">
        <v>103</v>
      </c>
    </row>
    <row r="548" spans="1:8" x14ac:dyDescent="0.2">
      <c r="A548">
        <v>541</v>
      </c>
      <c r="B548" t="s">
        <v>177</v>
      </c>
      <c r="C548" t="s">
        <v>131</v>
      </c>
      <c r="H548" t="s">
        <v>106</v>
      </c>
    </row>
    <row r="549" spans="1:8" x14ac:dyDescent="0.2">
      <c r="A549">
        <v>542</v>
      </c>
      <c r="B549" t="s">
        <v>177</v>
      </c>
      <c r="C549" t="s">
        <v>131</v>
      </c>
      <c r="H549" t="s">
        <v>107</v>
      </c>
    </row>
    <row r="550" spans="1:8" x14ac:dyDescent="0.2">
      <c r="A550">
        <v>543</v>
      </c>
      <c r="B550" t="s">
        <v>177</v>
      </c>
      <c r="C550" t="s">
        <v>131</v>
      </c>
    </row>
    <row r="551" spans="1:8" x14ac:dyDescent="0.2">
      <c r="A551">
        <v>544</v>
      </c>
      <c r="B551" t="s">
        <v>177</v>
      </c>
      <c r="C551" t="s">
        <v>131</v>
      </c>
    </row>
    <row r="552" spans="1:8" x14ac:dyDescent="0.2">
      <c r="A552">
        <v>545</v>
      </c>
      <c r="B552" t="s">
        <v>177</v>
      </c>
      <c r="C552" t="s">
        <v>131</v>
      </c>
    </row>
    <row r="553" spans="1:8" x14ac:dyDescent="0.2">
      <c r="A553">
        <v>546</v>
      </c>
      <c r="B553" t="s">
        <v>177</v>
      </c>
      <c r="C553" t="s">
        <v>131</v>
      </c>
      <c r="G553" t="s">
        <v>347</v>
      </c>
    </row>
    <row r="554" spans="1:8" x14ac:dyDescent="0.2">
      <c r="A554">
        <v>547</v>
      </c>
      <c r="B554" t="s">
        <v>177</v>
      </c>
      <c r="C554" t="s">
        <v>132</v>
      </c>
      <c r="F554" t="s">
        <v>348</v>
      </c>
    </row>
    <row r="555" spans="1:8" x14ac:dyDescent="0.2">
      <c r="A555">
        <v>548</v>
      </c>
      <c r="B555" t="s">
        <v>177</v>
      </c>
      <c r="C555" t="s">
        <v>132</v>
      </c>
    </row>
    <row r="556" spans="1:8" x14ac:dyDescent="0.2">
      <c r="A556">
        <v>549</v>
      </c>
      <c r="B556" t="s">
        <v>177</v>
      </c>
      <c r="C556" t="s">
        <v>132</v>
      </c>
    </row>
    <row r="557" spans="1:8" x14ac:dyDescent="0.2">
      <c r="A557">
        <v>550</v>
      </c>
      <c r="B557" t="s">
        <v>177</v>
      </c>
      <c r="C557" t="s">
        <v>132</v>
      </c>
    </row>
    <row r="558" spans="1:8" x14ac:dyDescent="0.2">
      <c r="A558">
        <v>551</v>
      </c>
      <c r="B558" t="s">
        <v>177</v>
      </c>
      <c r="C558" t="s">
        <v>132</v>
      </c>
    </row>
    <row r="559" spans="1:8" x14ac:dyDescent="0.2">
      <c r="A559">
        <v>552</v>
      </c>
      <c r="B559" t="s">
        <v>177</v>
      </c>
      <c r="C559" t="s">
        <v>132</v>
      </c>
    </row>
    <row r="560" spans="1:8" x14ac:dyDescent="0.2">
      <c r="A560">
        <v>553</v>
      </c>
      <c r="B560" t="s">
        <v>177</v>
      </c>
      <c r="C560" t="s">
        <v>132</v>
      </c>
    </row>
    <row r="561" spans="1:8" x14ac:dyDescent="0.2">
      <c r="A561">
        <v>554</v>
      </c>
      <c r="B561" t="s">
        <v>177</v>
      </c>
      <c r="C561" t="s">
        <v>132</v>
      </c>
      <c r="G561" t="s">
        <v>349</v>
      </c>
    </row>
    <row r="562" spans="1:8" x14ac:dyDescent="0.2">
      <c r="A562">
        <v>555</v>
      </c>
      <c r="B562" t="s">
        <v>177</v>
      </c>
      <c r="C562" t="s">
        <v>133</v>
      </c>
      <c r="F562" t="s">
        <v>350</v>
      </c>
      <c r="G562" t="s">
        <v>351</v>
      </c>
      <c r="H562" t="s">
        <v>100</v>
      </c>
    </row>
    <row r="563" spans="1:8" x14ac:dyDescent="0.2">
      <c r="A563">
        <v>556</v>
      </c>
      <c r="B563" t="s">
        <v>177</v>
      </c>
      <c r="C563" t="s">
        <v>134</v>
      </c>
      <c r="F563" t="s">
        <v>352</v>
      </c>
      <c r="G563" t="s">
        <v>353</v>
      </c>
      <c r="H563" t="s">
        <v>101</v>
      </c>
    </row>
    <row r="564" spans="1:8" x14ac:dyDescent="0.2">
      <c r="A564">
        <v>557</v>
      </c>
      <c r="B564" t="s">
        <v>177</v>
      </c>
      <c r="C564" t="s">
        <v>135</v>
      </c>
      <c r="F564" t="s">
        <v>354</v>
      </c>
    </row>
    <row r="565" spans="1:8" x14ac:dyDescent="0.2">
      <c r="A565">
        <v>558</v>
      </c>
      <c r="B565" t="s">
        <v>177</v>
      </c>
      <c r="C565" t="s">
        <v>135</v>
      </c>
    </row>
    <row r="566" spans="1:8" x14ac:dyDescent="0.2">
      <c r="A566">
        <v>559</v>
      </c>
      <c r="B566" t="s">
        <v>177</v>
      </c>
      <c r="C566" t="s">
        <v>135</v>
      </c>
    </row>
    <row r="567" spans="1:8" x14ac:dyDescent="0.2">
      <c r="A567">
        <v>560</v>
      </c>
      <c r="B567" t="s">
        <v>177</v>
      </c>
      <c r="C567" t="s">
        <v>135</v>
      </c>
    </row>
    <row r="568" spans="1:8" x14ac:dyDescent="0.2">
      <c r="A568">
        <v>561</v>
      </c>
      <c r="B568" t="s">
        <v>177</v>
      </c>
      <c r="C568" t="s">
        <v>135</v>
      </c>
      <c r="G568" t="s">
        <v>355</v>
      </c>
      <c r="H568" t="s">
        <v>98</v>
      </c>
    </row>
    <row r="569" spans="1:8" x14ac:dyDescent="0.2">
      <c r="A569">
        <v>562</v>
      </c>
      <c r="B569" t="s">
        <v>177</v>
      </c>
      <c r="C569" t="s">
        <v>136</v>
      </c>
      <c r="F569" t="s">
        <v>356</v>
      </c>
      <c r="G569" t="s">
        <v>357</v>
      </c>
      <c r="H569" t="s">
        <v>99</v>
      </c>
    </row>
    <row r="570" spans="1:8" x14ac:dyDescent="0.2">
      <c r="A570">
        <v>563</v>
      </c>
      <c r="B570" t="s">
        <v>177</v>
      </c>
      <c r="C570" t="s">
        <v>137</v>
      </c>
      <c r="F570" t="s">
        <v>358</v>
      </c>
      <c r="G570" t="s">
        <v>359</v>
      </c>
    </row>
    <row r="571" spans="1:8" x14ac:dyDescent="0.2">
      <c r="A571">
        <v>564</v>
      </c>
      <c r="B571" t="s">
        <v>177</v>
      </c>
      <c r="C571" t="s">
        <v>138</v>
      </c>
      <c r="F571" t="s">
        <v>360</v>
      </c>
      <c r="G571" t="s">
        <v>361</v>
      </c>
    </row>
    <row r="572" spans="1:8" x14ac:dyDescent="0.2">
      <c r="A572">
        <v>565</v>
      </c>
      <c r="B572" t="s">
        <v>177</v>
      </c>
      <c r="C572" t="s">
        <v>139</v>
      </c>
      <c r="F572" t="s">
        <v>362</v>
      </c>
    </row>
    <row r="573" spans="1:8" x14ac:dyDescent="0.2">
      <c r="A573">
        <v>566</v>
      </c>
      <c r="B573" t="s">
        <v>177</v>
      </c>
      <c r="C573" t="s">
        <v>139</v>
      </c>
    </row>
    <row r="574" spans="1:8" x14ac:dyDescent="0.2">
      <c r="A574">
        <v>567</v>
      </c>
      <c r="B574" t="s">
        <v>177</v>
      </c>
      <c r="C574" t="s">
        <v>139</v>
      </c>
    </row>
    <row r="575" spans="1:8" x14ac:dyDescent="0.2">
      <c r="A575">
        <v>568</v>
      </c>
      <c r="B575" t="s">
        <v>177</v>
      </c>
      <c r="C575" t="s">
        <v>139</v>
      </c>
    </row>
    <row r="576" spans="1:8" x14ac:dyDescent="0.2">
      <c r="A576">
        <v>569</v>
      </c>
      <c r="B576" t="s">
        <v>177</v>
      </c>
      <c r="C576" t="s">
        <v>139</v>
      </c>
    </row>
    <row r="577" spans="1:7" x14ac:dyDescent="0.2">
      <c r="A577">
        <v>570</v>
      </c>
      <c r="B577" t="s">
        <v>177</v>
      </c>
      <c r="C577" t="s">
        <v>139</v>
      </c>
      <c r="E577" t="s">
        <v>363</v>
      </c>
      <c r="G577" t="s">
        <v>364</v>
      </c>
    </row>
    <row r="578" spans="1:7" x14ac:dyDescent="0.2">
      <c r="A578">
        <v>571</v>
      </c>
      <c r="B578" t="s">
        <v>140</v>
      </c>
      <c r="D578" t="s">
        <v>365</v>
      </c>
      <c r="E578" t="s">
        <v>366</v>
      </c>
    </row>
    <row r="579" spans="1:7" x14ac:dyDescent="0.2">
      <c r="A579">
        <v>572</v>
      </c>
      <c r="B579" t="s">
        <v>141</v>
      </c>
      <c r="D579" t="s">
        <v>367</v>
      </c>
      <c r="E579" t="s">
        <v>368</v>
      </c>
    </row>
    <row r="580" spans="1:7" x14ac:dyDescent="0.2">
      <c r="A580">
        <v>573</v>
      </c>
      <c r="B580" t="s">
        <v>142</v>
      </c>
      <c r="D580" t="s">
        <v>369</v>
      </c>
      <c r="E580" t="s">
        <v>370</v>
      </c>
    </row>
    <row r="581" spans="1:7" x14ac:dyDescent="0.2">
      <c r="A581">
        <v>574</v>
      </c>
      <c r="B581" t="s">
        <v>143</v>
      </c>
      <c r="D581" t="s">
        <v>371</v>
      </c>
      <c r="E581" t="s">
        <v>372</v>
      </c>
    </row>
    <row r="582" spans="1:7" x14ac:dyDescent="0.2">
      <c r="A582">
        <v>575</v>
      </c>
      <c r="B582" t="s">
        <v>144</v>
      </c>
      <c r="D582" t="s">
        <v>373</v>
      </c>
      <c r="E582" t="s">
        <v>374</v>
      </c>
    </row>
    <row r="583" spans="1:7" x14ac:dyDescent="0.2">
      <c r="A583">
        <v>576</v>
      </c>
      <c r="B583" t="s">
        <v>145</v>
      </c>
      <c r="D583" t="s">
        <v>375</v>
      </c>
      <c r="E583" t="s">
        <v>376</v>
      </c>
    </row>
    <row r="584" spans="1:7" x14ac:dyDescent="0.2">
      <c r="A584">
        <v>577</v>
      </c>
      <c r="B584" t="s">
        <v>146</v>
      </c>
      <c r="D584" t="s">
        <v>377</v>
      </c>
      <c r="E584" t="s">
        <v>378</v>
      </c>
    </row>
    <row r="585" spans="1:7" x14ac:dyDescent="0.2">
      <c r="A585">
        <v>578</v>
      </c>
      <c r="B585" t="s">
        <v>147</v>
      </c>
      <c r="D585" t="s">
        <v>379</v>
      </c>
      <c r="E585" t="s">
        <v>380</v>
      </c>
    </row>
    <row r="586" spans="1:7" x14ac:dyDescent="0.2">
      <c r="A586">
        <v>579</v>
      </c>
      <c r="B586" t="s">
        <v>148</v>
      </c>
      <c r="D586" t="s">
        <v>381</v>
      </c>
      <c r="E586" t="s">
        <v>382</v>
      </c>
    </row>
    <row r="587" spans="1:7" x14ac:dyDescent="0.2">
      <c r="A587">
        <v>580</v>
      </c>
      <c r="B587" t="s">
        <v>149</v>
      </c>
      <c r="D587" t="s">
        <v>383</v>
      </c>
      <c r="E587" t="s">
        <v>384</v>
      </c>
    </row>
    <row r="588" spans="1:7" x14ac:dyDescent="0.2">
      <c r="A588">
        <v>581</v>
      </c>
      <c r="B588" t="s">
        <v>150</v>
      </c>
      <c r="D588" t="s">
        <v>385</v>
      </c>
      <c r="E588" t="s">
        <v>386</v>
      </c>
    </row>
    <row r="589" spans="1:7" x14ac:dyDescent="0.2">
      <c r="A589">
        <v>582</v>
      </c>
      <c r="B589" t="s">
        <v>151</v>
      </c>
      <c r="D589" t="s">
        <v>387</v>
      </c>
      <c r="E589" t="s">
        <v>388</v>
      </c>
    </row>
    <row r="590" spans="1:7" x14ac:dyDescent="0.2">
      <c r="A590">
        <v>583</v>
      </c>
      <c r="B590" t="s">
        <v>152</v>
      </c>
      <c r="D590" t="s">
        <v>389</v>
      </c>
      <c r="E590" t="s">
        <v>390</v>
      </c>
    </row>
    <row r="591" spans="1:7" x14ac:dyDescent="0.2">
      <c r="A591">
        <v>584</v>
      </c>
      <c r="B591" t="s">
        <v>153</v>
      </c>
      <c r="D591" t="s">
        <v>391</v>
      </c>
      <c r="E591" t="s">
        <v>392</v>
      </c>
    </row>
    <row r="592" spans="1:7" x14ac:dyDescent="0.2">
      <c r="A592">
        <v>585</v>
      </c>
      <c r="B592" t="s">
        <v>154</v>
      </c>
      <c r="D592" t="s">
        <v>393</v>
      </c>
      <c r="E592" t="s">
        <v>394</v>
      </c>
    </row>
    <row r="593" spans="1:5" x14ac:dyDescent="0.2">
      <c r="A593">
        <v>586</v>
      </c>
      <c r="B593" t="s">
        <v>155</v>
      </c>
      <c r="D593" t="s">
        <v>395</v>
      </c>
      <c r="E593" t="s">
        <v>396</v>
      </c>
    </row>
    <row r="594" spans="1:5" x14ac:dyDescent="0.2">
      <c r="A594">
        <v>587</v>
      </c>
      <c r="B594" t="s">
        <v>156</v>
      </c>
      <c r="D594" t="s">
        <v>263</v>
      </c>
      <c r="E594" t="s">
        <v>264</v>
      </c>
    </row>
    <row r="595" spans="1:5" x14ac:dyDescent="0.2">
      <c r="A595">
        <v>588</v>
      </c>
      <c r="B595" t="s">
        <v>157</v>
      </c>
      <c r="D595" t="s">
        <v>265</v>
      </c>
      <c r="E595" t="s">
        <v>266</v>
      </c>
    </row>
    <row r="596" spans="1:5" x14ac:dyDescent="0.2">
      <c r="A596">
        <v>589</v>
      </c>
      <c r="B596" t="s">
        <v>158</v>
      </c>
      <c r="D596" t="s">
        <v>267</v>
      </c>
      <c r="E596" t="s">
        <v>268</v>
      </c>
    </row>
    <row r="597" spans="1:5" x14ac:dyDescent="0.2">
      <c r="A597" t="s">
        <v>397</v>
      </c>
    </row>
    <row r="598" spans="1:5" x14ac:dyDescent="0.2">
      <c r="A598" t="s">
        <v>398</v>
      </c>
      <c r="B598" t="s">
        <v>399</v>
      </c>
    </row>
    <row r="599" spans="1:5" x14ac:dyDescent="0.2">
      <c r="A599">
        <v>1</v>
      </c>
      <c r="B599" t="s">
        <v>189</v>
      </c>
    </row>
    <row r="600" spans="1:5" x14ac:dyDescent="0.2">
      <c r="A600">
        <v>2</v>
      </c>
    </row>
    <row r="601" spans="1:5" x14ac:dyDescent="0.2">
      <c r="A601">
        <v>3</v>
      </c>
    </row>
    <row r="602" spans="1:5" x14ac:dyDescent="0.2">
      <c r="A602">
        <v>4</v>
      </c>
    </row>
    <row r="603" spans="1:5" x14ac:dyDescent="0.2">
      <c r="A603">
        <v>5</v>
      </c>
    </row>
    <row r="604" spans="1:5" x14ac:dyDescent="0.2">
      <c r="A604">
        <v>6</v>
      </c>
    </row>
    <row r="605" spans="1:5" x14ac:dyDescent="0.2">
      <c r="A605">
        <v>7</v>
      </c>
    </row>
    <row r="606" spans="1:5" x14ac:dyDescent="0.2">
      <c r="A606">
        <v>8</v>
      </c>
    </row>
    <row r="607" spans="1:5" x14ac:dyDescent="0.2">
      <c r="A607">
        <v>9</v>
      </c>
    </row>
    <row r="608" spans="1:5" x14ac:dyDescent="0.2">
      <c r="A608">
        <v>10</v>
      </c>
    </row>
    <row r="609" spans="1:1" x14ac:dyDescent="0.2">
      <c r="A609">
        <v>11</v>
      </c>
    </row>
    <row r="610" spans="1:1" x14ac:dyDescent="0.2">
      <c r="A610">
        <v>12</v>
      </c>
    </row>
    <row r="611" spans="1:1" x14ac:dyDescent="0.2">
      <c r="A611">
        <v>13</v>
      </c>
    </row>
    <row r="612" spans="1:1" x14ac:dyDescent="0.2">
      <c r="A612">
        <v>14</v>
      </c>
    </row>
    <row r="613" spans="1:1" x14ac:dyDescent="0.2">
      <c r="A613">
        <v>15</v>
      </c>
    </row>
    <row r="614" spans="1:1" x14ac:dyDescent="0.2">
      <c r="A614">
        <v>16</v>
      </c>
    </row>
    <row r="615" spans="1:1" x14ac:dyDescent="0.2">
      <c r="A615">
        <v>17</v>
      </c>
    </row>
    <row r="616" spans="1:1" x14ac:dyDescent="0.2">
      <c r="A616">
        <v>18</v>
      </c>
    </row>
    <row r="617" spans="1:1" x14ac:dyDescent="0.2">
      <c r="A617">
        <v>19</v>
      </c>
    </row>
    <row r="618" spans="1:1" x14ac:dyDescent="0.2">
      <c r="A618">
        <v>20</v>
      </c>
    </row>
    <row r="619" spans="1:1" x14ac:dyDescent="0.2">
      <c r="A619">
        <v>21</v>
      </c>
    </row>
    <row r="620" spans="1:1" x14ac:dyDescent="0.2">
      <c r="A620">
        <v>22</v>
      </c>
    </row>
    <row r="621" spans="1:1" x14ac:dyDescent="0.2">
      <c r="A621">
        <v>23</v>
      </c>
    </row>
    <row r="622" spans="1:1" x14ac:dyDescent="0.2">
      <c r="A622">
        <v>24</v>
      </c>
    </row>
    <row r="623" spans="1:1" x14ac:dyDescent="0.2">
      <c r="A623">
        <v>25</v>
      </c>
    </row>
    <row r="624" spans="1:1" x14ac:dyDescent="0.2">
      <c r="A624">
        <v>26</v>
      </c>
    </row>
    <row r="625" spans="1:1" x14ac:dyDescent="0.2">
      <c r="A625">
        <v>27</v>
      </c>
    </row>
    <row r="626" spans="1:1" x14ac:dyDescent="0.2">
      <c r="A626">
        <v>28</v>
      </c>
    </row>
    <row r="627" spans="1:1" x14ac:dyDescent="0.2">
      <c r="A627">
        <v>29</v>
      </c>
    </row>
    <row r="628" spans="1:1" x14ac:dyDescent="0.2">
      <c r="A628">
        <v>30</v>
      </c>
    </row>
    <row r="629" spans="1:1" x14ac:dyDescent="0.2">
      <c r="A629">
        <v>31</v>
      </c>
    </row>
    <row r="630" spans="1:1" x14ac:dyDescent="0.2">
      <c r="A630">
        <v>32</v>
      </c>
    </row>
    <row r="631" spans="1:1" x14ac:dyDescent="0.2">
      <c r="A631">
        <v>33</v>
      </c>
    </row>
    <row r="632" spans="1:1" x14ac:dyDescent="0.2">
      <c r="A632">
        <v>34</v>
      </c>
    </row>
    <row r="633" spans="1:1" x14ac:dyDescent="0.2">
      <c r="A633">
        <v>35</v>
      </c>
    </row>
    <row r="634" spans="1:1" x14ac:dyDescent="0.2">
      <c r="A634">
        <v>36</v>
      </c>
    </row>
    <row r="635" spans="1:1" x14ac:dyDescent="0.2">
      <c r="A635">
        <v>37</v>
      </c>
    </row>
    <row r="636" spans="1:1" x14ac:dyDescent="0.2">
      <c r="A636">
        <v>38</v>
      </c>
    </row>
    <row r="637" spans="1:1" x14ac:dyDescent="0.2">
      <c r="A637">
        <v>39</v>
      </c>
    </row>
    <row r="638" spans="1:1" x14ac:dyDescent="0.2">
      <c r="A638">
        <v>40</v>
      </c>
    </row>
    <row r="639" spans="1:1" x14ac:dyDescent="0.2">
      <c r="A639">
        <v>41</v>
      </c>
    </row>
    <row r="640" spans="1:1" x14ac:dyDescent="0.2">
      <c r="A640">
        <v>42</v>
      </c>
    </row>
    <row r="641" spans="1:2" x14ac:dyDescent="0.2">
      <c r="A641">
        <v>43</v>
      </c>
    </row>
    <row r="642" spans="1:2" x14ac:dyDescent="0.2">
      <c r="A642">
        <v>44</v>
      </c>
    </row>
    <row r="643" spans="1:2" x14ac:dyDescent="0.2">
      <c r="A643">
        <v>45</v>
      </c>
    </row>
    <row r="644" spans="1:2" x14ac:dyDescent="0.2">
      <c r="A644">
        <v>46</v>
      </c>
    </row>
    <row r="645" spans="1:2" x14ac:dyDescent="0.2">
      <c r="A645">
        <v>47</v>
      </c>
    </row>
    <row r="646" spans="1:2" x14ac:dyDescent="0.2">
      <c r="A646">
        <v>48</v>
      </c>
    </row>
    <row r="647" spans="1:2" x14ac:dyDescent="0.2">
      <c r="A647">
        <v>49</v>
      </c>
    </row>
    <row r="648" spans="1:2" x14ac:dyDescent="0.2">
      <c r="A648">
        <v>50</v>
      </c>
    </row>
    <row r="649" spans="1:2" x14ac:dyDescent="0.2">
      <c r="A649">
        <v>51</v>
      </c>
    </row>
    <row r="650" spans="1:2" x14ac:dyDescent="0.2">
      <c r="A650">
        <v>52</v>
      </c>
    </row>
    <row r="651" spans="1:2" x14ac:dyDescent="0.2">
      <c r="A651">
        <v>53</v>
      </c>
    </row>
    <row r="652" spans="1:2" x14ac:dyDescent="0.2">
      <c r="A652">
        <v>54</v>
      </c>
      <c r="B652" t="s">
        <v>190</v>
      </c>
    </row>
    <row r="653" spans="1:2" x14ac:dyDescent="0.2">
      <c r="A653">
        <v>55</v>
      </c>
      <c r="B653" t="s">
        <v>191</v>
      </c>
    </row>
    <row r="654" spans="1:2" x14ac:dyDescent="0.2">
      <c r="A654">
        <v>56</v>
      </c>
      <c r="B654" t="s">
        <v>192</v>
      </c>
    </row>
    <row r="655" spans="1:2" x14ac:dyDescent="0.2">
      <c r="A655">
        <v>57</v>
      </c>
    </row>
    <row r="656" spans="1:2" x14ac:dyDescent="0.2">
      <c r="A656">
        <v>58</v>
      </c>
    </row>
    <row r="657" spans="1:1" x14ac:dyDescent="0.2">
      <c r="A657">
        <v>59</v>
      </c>
    </row>
    <row r="658" spans="1:1" x14ac:dyDescent="0.2">
      <c r="A658">
        <v>60</v>
      </c>
    </row>
    <row r="659" spans="1:1" x14ac:dyDescent="0.2">
      <c r="A659">
        <v>61</v>
      </c>
    </row>
    <row r="660" spans="1:1" x14ac:dyDescent="0.2">
      <c r="A660">
        <v>62</v>
      </c>
    </row>
    <row r="661" spans="1:1" x14ac:dyDescent="0.2">
      <c r="A661">
        <v>63</v>
      </c>
    </row>
    <row r="662" spans="1:1" x14ac:dyDescent="0.2">
      <c r="A662">
        <v>64</v>
      </c>
    </row>
    <row r="663" spans="1:1" x14ac:dyDescent="0.2">
      <c r="A663">
        <v>65</v>
      </c>
    </row>
    <row r="664" spans="1:1" x14ac:dyDescent="0.2">
      <c r="A664">
        <v>66</v>
      </c>
    </row>
    <row r="665" spans="1:1" x14ac:dyDescent="0.2">
      <c r="A665">
        <v>67</v>
      </c>
    </row>
    <row r="666" spans="1:1" x14ac:dyDescent="0.2">
      <c r="A666">
        <v>68</v>
      </c>
    </row>
    <row r="667" spans="1:1" x14ac:dyDescent="0.2">
      <c r="A667">
        <v>69</v>
      </c>
    </row>
    <row r="668" spans="1:1" x14ac:dyDescent="0.2">
      <c r="A668">
        <v>70</v>
      </c>
    </row>
    <row r="669" spans="1:1" x14ac:dyDescent="0.2">
      <c r="A669">
        <v>71</v>
      </c>
    </row>
    <row r="670" spans="1:1" x14ac:dyDescent="0.2">
      <c r="A670">
        <v>72</v>
      </c>
    </row>
    <row r="671" spans="1:1" x14ac:dyDescent="0.2">
      <c r="A671">
        <v>73</v>
      </c>
    </row>
    <row r="672" spans="1:1" x14ac:dyDescent="0.2">
      <c r="A672">
        <v>74</v>
      </c>
    </row>
    <row r="673" spans="1:2" x14ac:dyDescent="0.2">
      <c r="A673">
        <v>75</v>
      </c>
    </row>
    <row r="674" spans="1:2" x14ac:dyDescent="0.2">
      <c r="A674">
        <v>76</v>
      </c>
    </row>
    <row r="675" spans="1:2" x14ac:dyDescent="0.2">
      <c r="A675">
        <v>77</v>
      </c>
    </row>
    <row r="676" spans="1:2" x14ac:dyDescent="0.2">
      <c r="A676">
        <v>78</v>
      </c>
    </row>
    <row r="677" spans="1:2" x14ac:dyDescent="0.2">
      <c r="A677">
        <v>79</v>
      </c>
    </row>
    <row r="678" spans="1:2" x14ac:dyDescent="0.2">
      <c r="A678">
        <v>80</v>
      </c>
    </row>
    <row r="679" spans="1:2" x14ac:dyDescent="0.2">
      <c r="A679">
        <v>81</v>
      </c>
    </row>
    <row r="680" spans="1:2" x14ac:dyDescent="0.2">
      <c r="A680">
        <v>82</v>
      </c>
      <c r="B680" t="s">
        <v>193</v>
      </c>
    </row>
    <row r="681" spans="1:2" x14ac:dyDescent="0.2">
      <c r="A681">
        <v>83</v>
      </c>
    </row>
    <row r="682" spans="1:2" x14ac:dyDescent="0.2">
      <c r="A682">
        <v>84</v>
      </c>
      <c r="B682" t="s">
        <v>194</v>
      </c>
    </row>
    <row r="683" spans="1:2" x14ac:dyDescent="0.2">
      <c r="A683">
        <v>85</v>
      </c>
    </row>
    <row r="684" spans="1:2" x14ac:dyDescent="0.2">
      <c r="A684">
        <v>86</v>
      </c>
      <c r="B684" t="s">
        <v>195</v>
      </c>
    </row>
    <row r="685" spans="1:2" x14ac:dyDescent="0.2">
      <c r="A685">
        <v>87</v>
      </c>
    </row>
    <row r="686" spans="1:2" x14ac:dyDescent="0.2">
      <c r="A686">
        <v>88</v>
      </c>
    </row>
    <row r="687" spans="1:2" x14ac:dyDescent="0.2">
      <c r="A687">
        <v>89</v>
      </c>
    </row>
    <row r="688" spans="1:2" x14ac:dyDescent="0.2">
      <c r="A688">
        <v>90</v>
      </c>
    </row>
    <row r="689" spans="1:1" x14ac:dyDescent="0.2">
      <c r="A689">
        <v>91</v>
      </c>
    </row>
    <row r="690" spans="1:1" x14ac:dyDescent="0.2">
      <c r="A690">
        <v>92</v>
      </c>
    </row>
    <row r="691" spans="1:1" x14ac:dyDescent="0.2">
      <c r="A691">
        <v>93</v>
      </c>
    </row>
    <row r="692" spans="1:1" x14ac:dyDescent="0.2">
      <c r="A692">
        <v>94</v>
      </c>
    </row>
    <row r="693" spans="1:1" x14ac:dyDescent="0.2">
      <c r="A693">
        <v>95</v>
      </c>
    </row>
    <row r="694" spans="1:1" x14ac:dyDescent="0.2">
      <c r="A694">
        <v>96</v>
      </c>
    </row>
    <row r="695" spans="1:1" x14ac:dyDescent="0.2">
      <c r="A695">
        <v>97</v>
      </c>
    </row>
    <row r="696" spans="1:1" x14ac:dyDescent="0.2">
      <c r="A696">
        <v>98</v>
      </c>
    </row>
    <row r="697" spans="1:1" x14ac:dyDescent="0.2">
      <c r="A697">
        <v>99</v>
      </c>
    </row>
    <row r="698" spans="1:1" x14ac:dyDescent="0.2">
      <c r="A698">
        <v>100</v>
      </c>
    </row>
    <row r="699" spans="1:1" x14ac:dyDescent="0.2">
      <c r="A699">
        <v>101</v>
      </c>
    </row>
    <row r="700" spans="1:1" x14ac:dyDescent="0.2">
      <c r="A700">
        <v>102</v>
      </c>
    </row>
    <row r="701" spans="1:1" x14ac:dyDescent="0.2">
      <c r="A701">
        <v>103</v>
      </c>
    </row>
    <row r="702" spans="1:1" x14ac:dyDescent="0.2">
      <c r="A702">
        <v>104</v>
      </c>
    </row>
    <row r="703" spans="1:1" x14ac:dyDescent="0.2">
      <c r="A703">
        <v>105</v>
      </c>
    </row>
    <row r="704" spans="1:1" x14ac:dyDescent="0.2">
      <c r="A704">
        <v>106</v>
      </c>
    </row>
    <row r="705" spans="1:3" x14ac:dyDescent="0.2">
      <c r="A705">
        <v>107</v>
      </c>
    </row>
    <row r="706" spans="1:3" x14ac:dyDescent="0.2">
      <c r="A706">
        <v>108</v>
      </c>
    </row>
    <row r="707" spans="1:3" x14ac:dyDescent="0.2">
      <c r="A707">
        <v>109</v>
      </c>
    </row>
    <row r="708" spans="1:3" x14ac:dyDescent="0.2">
      <c r="A708">
        <v>110</v>
      </c>
    </row>
    <row r="709" spans="1:3" x14ac:dyDescent="0.2">
      <c r="A709">
        <v>112</v>
      </c>
      <c r="B709" t="s">
        <v>196</v>
      </c>
      <c r="C709" t="s">
        <v>197</v>
      </c>
    </row>
    <row r="710" spans="1:3" x14ac:dyDescent="0.2">
      <c r="A710">
        <v>113</v>
      </c>
    </row>
    <row r="711" spans="1:3" x14ac:dyDescent="0.2">
      <c r="A711">
        <v>114</v>
      </c>
    </row>
    <row r="712" spans="1:3" x14ac:dyDescent="0.2">
      <c r="A712">
        <v>115</v>
      </c>
    </row>
    <row r="713" spans="1:3" x14ac:dyDescent="0.2">
      <c r="A713">
        <v>116</v>
      </c>
    </row>
    <row r="714" spans="1:3" x14ac:dyDescent="0.2">
      <c r="A714">
        <v>117</v>
      </c>
    </row>
    <row r="715" spans="1:3" x14ac:dyDescent="0.2">
      <c r="A715">
        <v>118</v>
      </c>
    </row>
    <row r="716" spans="1:3" x14ac:dyDescent="0.2">
      <c r="A716">
        <v>119</v>
      </c>
    </row>
    <row r="717" spans="1:3" x14ac:dyDescent="0.2">
      <c r="A717">
        <v>121</v>
      </c>
    </row>
    <row r="718" spans="1:3" x14ac:dyDescent="0.2">
      <c r="A718">
        <v>122</v>
      </c>
    </row>
    <row r="719" spans="1:3" x14ac:dyDescent="0.2">
      <c r="A719">
        <v>123</v>
      </c>
    </row>
    <row r="720" spans="1:3" x14ac:dyDescent="0.2">
      <c r="A720">
        <v>124</v>
      </c>
    </row>
    <row r="721" spans="1:2" x14ac:dyDescent="0.2">
      <c r="A721">
        <v>126</v>
      </c>
      <c r="B721" t="s">
        <v>198</v>
      </c>
    </row>
    <row r="722" spans="1:2" x14ac:dyDescent="0.2">
      <c r="A722">
        <v>127</v>
      </c>
    </row>
    <row r="723" spans="1:2" x14ac:dyDescent="0.2">
      <c r="A723">
        <v>128</v>
      </c>
    </row>
    <row r="724" spans="1:2" x14ac:dyDescent="0.2">
      <c r="A724">
        <v>129</v>
      </c>
    </row>
    <row r="725" spans="1:2" x14ac:dyDescent="0.2">
      <c r="A725">
        <v>130</v>
      </c>
    </row>
    <row r="726" spans="1:2" x14ac:dyDescent="0.2">
      <c r="A726">
        <v>131</v>
      </c>
    </row>
    <row r="727" spans="1:2" x14ac:dyDescent="0.2">
      <c r="A727">
        <v>132</v>
      </c>
    </row>
    <row r="728" spans="1:2" x14ac:dyDescent="0.2">
      <c r="A728">
        <v>133</v>
      </c>
    </row>
    <row r="729" spans="1:2" x14ac:dyDescent="0.2">
      <c r="A729">
        <v>134</v>
      </c>
    </row>
    <row r="730" spans="1:2" x14ac:dyDescent="0.2">
      <c r="A730">
        <v>135</v>
      </c>
    </row>
    <row r="731" spans="1:2" x14ac:dyDescent="0.2">
      <c r="A731">
        <v>136</v>
      </c>
    </row>
    <row r="732" spans="1:2" x14ac:dyDescent="0.2">
      <c r="A732">
        <v>137</v>
      </c>
    </row>
    <row r="733" spans="1:2" x14ac:dyDescent="0.2">
      <c r="A733">
        <v>138</v>
      </c>
    </row>
    <row r="734" spans="1:2" x14ac:dyDescent="0.2">
      <c r="A734">
        <v>139</v>
      </c>
    </row>
    <row r="735" spans="1:2" x14ac:dyDescent="0.2">
      <c r="A735">
        <v>140</v>
      </c>
    </row>
    <row r="736" spans="1:2" x14ac:dyDescent="0.2">
      <c r="A736">
        <v>141</v>
      </c>
    </row>
    <row r="737" spans="1:1" x14ac:dyDescent="0.2">
      <c r="A737">
        <v>142</v>
      </c>
    </row>
    <row r="738" spans="1:1" x14ac:dyDescent="0.2">
      <c r="A738">
        <v>143</v>
      </c>
    </row>
    <row r="739" spans="1:1" x14ac:dyDescent="0.2">
      <c r="A739">
        <v>144</v>
      </c>
    </row>
    <row r="740" spans="1:1" x14ac:dyDescent="0.2">
      <c r="A740">
        <v>145</v>
      </c>
    </row>
    <row r="741" spans="1:1" x14ac:dyDescent="0.2">
      <c r="A741">
        <v>146</v>
      </c>
    </row>
    <row r="742" spans="1:1" x14ac:dyDescent="0.2">
      <c r="A742">
        <v>147</v>
      </c>
    </row>
    <row r="743" spans="1:1" x14ac:dyDescent="0.2">
      <c r="A743">
        <v>148</v>
      </c>
    </row>
    <row r="744" spans="1:1" x14ac:dyDescent="0.2">
      <c r="A744">
        <v>149</v>
      </c>
    </row>
    <row r="745" spans="1:1" x14ac:dyDescent="0.2">
      <c r="A745">
        <v>150</v>
      </c>
    </row>
    <row r="746" spans="1:1" x14ac:dyDescent="0.2">
      <c r="A746">
        <v>151</v>
      </c>
    </row>
    <row r="747" spans="1:1" x14ac:dyDescent="0.2">
      <c r="A747">
        <v>152</v>
      </c>
    </row>
    <row r="748" spans="1:1" x14ac:dyDescent="0.2">
      <c r="A748">
        <v>153</v>
      </c>
    </row>
    <row r="749" spans="1:1" x14ac:dyDescent="0.2">
      <c r="A749">
        <v>154</v>
      </c>
    </row>
    <row r="750" spans="1:1" x14ac:dyDescent="0.2">
      <c r="A750">
        <v>155</v>
      </c>
    </row>
    <row r="751" spans="1:1" x14ac:dyDescent="0.2">
      <c r="A751">
        <v>156</v>
      </c>
    </row>
    <row r="752" spans="1:1" x14ac:dyDescent="0.2">
      <c r="A752">
        <v>157</v>
      </c>
    </row>
    <row r="753" spans="1:1" x14ac:dyDescent="0.2">
      <c r="A753">
        <v>158</v>
      </c>
    </row>
    <row r="754" spans="1:1" x14ac:dyDescent="0.2">
      <c r="A754">
        <v>159</v>
      </c>
    </row>
    <row r="755" spans="1:1" x14ac:dyDescent="0.2">
      <c r="A755">
        <v>160</v>
      </c>
    </row>
    <row r="756" spans="1:1" x14ac:dyDescent="0.2">
      <c r="A756">
        <v>161</v>
      </c>
    </row>
    <row r="757" spans="1:1" x14ac:dyDescent="0.2">
      <c r="A757">
        <v>162</v>
      </c>
    </row>
    <row r="758" spans="1:1" x14ac:dyDescent="0.2">
      <c r="A758">
        <v>163</v>
      </c>
    </row>
    <row r="759" spans="1:1" x14ac:dyDescent="0.2">
      <c r="A759">
        <v>164</v>
      </c>
    </row>
    <row r="760" spans="1:1" x14ac:dyDescent="0.2">
      <c r="A760">
        <v>165</v>
      </c>
    </row>
    <row r="761" spans="1:1" x14ac:dyDescent="0.2">
      <c r="A761">
        <v>166</v>
      </c>
    </row>
    <row r="762" spans="1:1" x14ac:dyDescent="0.2">
      <c r="A762">
        <v>167</v>
      </c>
    </row>
    <row r="763" spans="1:1" x14ac:dyDescent="0.2">
      <c r="A763">
        <v>168</v>
      </c>
    </row>
    <row r="764" spans="1:1" x14ac:dyDescent="0.2">
      <c r="A764">
        <v>169</v>
      </c>
    </row>
    <row r="765" spans="1:1" x14ac:dyDescent="0.2">
      <c r="A765">
        <v>170</v>
      </c>
    </row>
    <row r="766" spans="1:1" x14ac:dyDescent="0.2">
      <c r="A766">
        <v>171</v>
      </c>
    </row>
    <row r="767" spans="1:1" x14ac:dyDescent="0.2">
      <c r="A767">
        <v>172</v>
      </c>
    </row>
    <row r="768" spans="1:1" x14ac:dyDescent="0.2">
      <c r="A768">
        <v>173</v>
      </c>
    </row>
    <row r="769" spans="1:2" x14ac:dyDescent="0.2">
      <c r="A769">
        <v>174</v>
      </c>
    </row>
    <row r="770" spans="1:2" x14ac:dyDescent="0.2">
      <c r="A770">
        <v>175</v>
      </c>
    </row>
    <row r="771" spans="1:2" x14ac:dyDescent="0.2">
      <c r="A771">
        <v>176</v>
      </c>
    </row>
    <row r="772" spans="1:2" x14ac:dyDescent="0.2">
      <c r="A772">
        <v>177</v>
      </c>
    </row>
    <row r="773" spans="1:2" x14ac:dyDescent="0.2">
      <c r="A773">
        <v>178</v>
      </c>
    </row>
    <row r="774" spans="1:2" x14ac:dyDescent="0.2">
      <c r="A774">
        <v>179</v>
      </c>
    </row>
    <row r="775" spans="1:2" x14ac:dyDescent="0.2">
      <c r="A775">
        <v>180</v>
      </c>
      <c r="B775" t="s">
        <v>199</v>
      </c>
    </row>
    <row r="776" spans="1:2" x14ac:dyDescent="0.2">
      <c r="A776">
        <v>181</v>
      </c>
      <c r="B776" t="s">
        <v>200</v>
      </c>
    </row>
    <row r="777" spans="1:2" x14ac:dyDescent="0.2">
      <c r="A777">
        <v>182</v>
      </c>
      <c r="B777" t="s">
        <v>201</v>
      </c>
    </row>
    <row r="778" spans="1:2" x14ac:dyDescent="0.2">
      <c r="A778">
        <v>183</v>
      </c>
    </row>
    <row r="779" spans="1:2" x14ac:dyDescent="0.2">
      <c r="A779">
        <v>184</v>
      </c>
    </row>
    <row r="780" spans="1:2" x14ac:dyDescent="0.2">
      <c r="A780">
        <v>185</v>
      </c>
    </row>
    <row r="781" spans="1:2" x14ac:dyDescent="0.2">
      <c r="A781">
        <v>186</v>
      </c>
    </row>
    <row r="782" spans="1:2" x14ac:dyDescent="0.2">
      <c r="A782">
        <v>187</v>
      </c>
    </row>
    <row r="783" spans="1:2" x14ac:dyDescent="0.2">
      <c r="A783">
        <v>188</v>
      </c>
    </row>
    <row r="784" spans="1:2" x14ac:dyDescent="0.2">
      <c r="A784">
        <v>189</v>
      </c>
    </row>
    <row r="785" spans="1:1" x14ac:dyDescent="0.2">
      <c r="A785">
        <v>190</v>
      </c>
    </row>
    <row r="786" spans="1:1" x14ac:dyDescent="0.2">
      <c r="A786">
        <v>191</v>
      </c>
    </row>
    <row r="787" spans="1:1" x14ac:dyDescent="0.2">
      <c r="A787">
        <v>192</v>
      </c>
    </row>
    <row r="788" spans="1:1" x14ac:dyDescent="0.2">
      <c r="A788">
        <v>193</v>
      </c>
    </row>
    <row r="789" spans="1:1" x14ac:dyDescent="0.2">
      <c r="A789">
        <v>194</v>
      </c>
    </row>
    <row r="790" spans="1:1" x14ac:dyDescent="0.2">
      <c r="A790">
        <v>195</v>
      </c>
    </row>
    <row r="791" spans="1:1" x14ac:dyDescent="0.2">
      <c r="A791">
        <v>196</v>
      </c>
    </row>
    <row r="792" spans="1:1" x14ac:dyDescent="0.2">
      <c r="A792">
        <v>197</v>
      </c>
    </row>
    <row r="793" spans="1:1" x14ac:dyDescent="0.2">
      <c r="A793">
        <v>198</v>
      </c>
    </row>
    <row r="794" spans="1:1" x14ac:dyDescent="0.2">
      <c r="A794">
        <v>199</v>
      </c>
    </row>
    <row r="795" spans="1:1" x14ac:dyDescent="0.2">
      <c r="A795">
        <v>200</v>
      </c>
    </row>
    <row r="796" spans="1:1" x14ac:dyDescent="0.2">
      <c r="A796">
        <v>201</v>
      </c>
    </row>
    <row r="797" spans="1:1" x14ac:dyDescent="0.2">
      <c r="A797">
        <v>202</v>
      </c>
    </row>
    <row r="798" spans="1:1" x14ac:dyDescent="0.2">
      <c r="A798">
        <v>203</v>
      </c>
    </row>
    <row r="799" spans="1:1" x14ac:dyDescent="0.2">
      <c r="A799">
        <v>204</v>
      </c>
    </row>
    <row r="800" spans="1:1" x14ac:dyDescent="0.2">
      <c r="A800">
        <v>205</v>
      </c>
    </row>
    <row r="801" spans="1:2" x14ac:dyDescent="0.2">
      <c r="A801">
        <v>206</v>
      </c>
    </row>
    <row r="802" spans="1:2" x14ac:dyDescent="0.2">
      <c r="A802">
        <v>207</v>
      </c>
    </row>
    <row r="803" spans="1:2" x14ac:dyDescent="0.2">
      <c r="A803">
        <v>208</v>
      </c>
      <c r="B803" t="s">
        <v>202</v>
      </c>
    </row>
    <row r="804" spans="1:2" x14ac:dyDescent="0.2">
      <c r="A804">
        <v>209</v>
      </c>
    </row>
    <row r="805" spans="1:2" x14ac:dyDescent="0.2">
      <c r="A805">
        <v>210</v>
      </c>
      <c r="B805" t="s">
        <v>203</v>
      </c>
    </row>
    <row r="806" spans="1:2" x14ac:dyDescent="0.2">
      <c r="A806">
        <v>211</v>
      </c>
    </row>
    <row r="807" spans="1:2" x14ac:dyDescent="0.2">
      <c r="A807">
        <v>212</v>
      </c>
      <c r="B807" t="s">
        <v>204</v>
      </c>
    </row>
    <row r="808" spans="1:2" x14ac:dyDescent="0.2">
      <c r="A808">
        <v>213</v>
      </c>
    </row>
    <row r="809" spans="1:2" x14ac:dyDescent="0.2">
      <c r="A809">
        <v>214</v>
      </c>
    </row>
    <row r="810" spans="1:2" x14ac:dyDescent="0.2">
      <c r="A810">
        <v>215</v>
      </c>
    </row>
    <row r="811" spans="1:2" x14ac:dyDescent="0.2">
      <c r="A811">
        <v>216</v>
      </c>
    </row>
    <row r="812" spans="1:2" x14ac:dyDescent="0.2">
      <c r="A812">
        <v>217</v>
      </c>
    </row>
    <row r="813" spans="1:2" x14ac:dyDescent="0.2">
      <c r="A813">
        <v>218</v>
      </c>
    </row>
    <row r="814" spans="1:2" x14ac:dyDescent="0.2">
      <c r="A814">
        <v>219</v>
      </c>
    </row>
    <row r="815" spans="1:2" x14ac:dyDescent="0.2">
      <c r="A815">
        <v>220</v>
      </c>
    </row>
    <row r="816" spans="1:2" x14ac:dyDescent="0.2">
      <c r="A816">
        <v>221</v>
      </c>
    </row>
    <row r="817" spans="1:3" x14ac:dyDescent="0.2">
      <c r="A817">
        <v>222</v>
      </c>
    </row>
    <row r="818" spans="1:3" x14ac:dyDescent="0.2">
      <c r="A818">
        <v>223</v>
      </c>
    </row>
    <row r="819" spans="1:3" x14ac:dyDescent="0.2">
      <c r="A819">
        <v>224</v>
      </c>
    </row>
    <row r="820" spans="1:3" x14ac:dyDescent="0.2">
      <c r="A820">
        <v>225</v>
      </c>
    </row>
    <row r="821" spans="1:3" x14ac:dyDescent="0.2">
      <c r="A821">
        <v>226</v>
      </c>
    </row>
    <row r="822" spans="1:3" x14ac:dyDescent="0.2">
      <c r="A822">
        <v>227</v>
      </c>
    </row>
    <row r="823" spans="1:3" x14ac:dyDescent="0.2">
      <c r="A823">
        <v>228</v>
      </c>
    </row>
    <row r="824" spans="1:3" x14ac:dyDescent="0.2">
      <c r="A824">
        <v>229</v>
      </c>
    </row>
    <row r="825" spans="1:3" x14ac:dyDescent="0.2">
      <c r="A825">
        <v>230</v>
      </c>
    </row>
    <row r="826" spans="1:3" x14ac:dyDescent="0.2">
      <c r="A826">
        <v>231</v>
      </c>
    </row>
    <row r="827" spans="1:3" x14ac:dyDescent="0.2">
      <c r="A827">
        <v>232</v>
      </c>
    </row>
    <row r="828" spans="1:3" x14ac:dyDescent="0.2">
      <c r="A828">
        <v>233</v>
      </c>
    </row>
    <row r="829" spans="1:3" x14ac:dyDescent="0.2">
      <c r="A829">
        <v>234</v>
      </c>
    </row>
    <row r="830" spans="1:3" x14ac:dyDescent="0.2">
      <c r="A830">
        <v>235</v>
      </c>
    </row>
    <row r="831" spans="1:3" x14ac:dyDescent="0.2">
      <c r="A831">
        <v>236</v>
      </c>
    </row>
    <row r="832" spans="1:3" x14ac:dyDescent="0.2">
      <c r="A832">
        <v>238</v>
      </c>
      <c r="B832" t="s">
        <v>205</v>
      </c>
      <c r="C832" t="s">
        <v>206</v>
      </c>
    </row>
    <row r="833" spans="1:4" x14ac:dyDescent="0.2">
      <c r="A833">
        <v>239</v>
      </c>
    </row>
    <row r="834" spans="1:4" x14ac:dyDescent="0.2">
      <c r="A834">
        <v>240</v>
      </c>
    </row>
    <row r="835" spans="1:4" x14ac:dyDescent="0.2">
      <c r="A835">
        <v>241</v>
      </c>
    </row>
    <row r="836" spans="1:4" x14ac:dyDescent="0.2">
      <c r="A836">
        <v>242</v>
      </c>
    </row>
    <row r="837" spans="1:4" x14ac:dyDescent="0.2">
      <c r="A837">
        <v>243</v>
      </c>
    </row>
    <row r="838" spans="1:4" x14ac:dyDescent="0.2">
      <c r="A838">
        <v>244</v>
      </c>
    </row>
    <row r="839" spans="1:4" x14ac:dyDescent="0.2">
      <c r="A839">
        <v>245</v>
      </c>
    </row>
    <row r="840" spans="1:4" x14ac:dyDescent="0.2">
      <c r="A840">
        <v>246</v>
      </c>
      <c r="B840" t="s">
        <v>207</v>
      </c>
      <c r="C840" t="s">
        <v>208</v>
      </c>
    </row>
    <row r="841" spans="1:4" x14ac:dyDescent="0.2">
      <c r="A841">
        <v>247</v>
      </c>
    </row>
    <row r="842" spans="1:4" x14ac:dyDescent="0.2">
      <c r="A842">
        <v>248</v>
      </c>
    </row>
    <row r="843" spans="1:4" x14ac:dyDescent="0.2">
      <c r="A843">
        <v>249</v>
      </c>
    </row>
    <row r="844" spans="1:4" x14ac:dyDescent="0.2">
      <c r="A844">
        <v>250</v>
      </c>
    </row>
    <row r="845" spans="1:4" x14ac:dyDescent="0.2">
      <c r="A845">
        <v>252</v>
      </c>
      <c r="B845" t="s">
        <v>209</v>
      </c>
    </row>
    <row r="846" spans="1:4" x14ac:dyDescent="0.2">
      <c r="A846">
        <v>253</v>
      </c>
      <c r="B846" t="s">
        <v>210</v>
      </c>
      <c r="C846" t="s">
        <v>211</v>
      </c>
      <c r="D846" t="s">
        <v>212</v>
      </c>
    </row>
    <row r="847" spans="1:4" x14ac:dyDescent="0.2">
      <c r="A847">
        <v>254</v>
      </c>
    </row>
    <row r="848" spans="1:4" x14ac:dyDescent="0.2">
      <c r="A848">
        <v>255</v>
      </c>
    </row>
    <row r="849" spans="1:2" x14ac:dyDescent="0.2">
      <c r="A849">
        <v>256</v>
      </c>
    </row>
    <row r="850" spans="1:2" x14ac:dyDescent="0.2">
      <c r="A850">
        <v>257</v>
      </c>
    </row>
    <row r="851" spans="1:2" x14ac:dyDescent="0.2">
      <c r="A851">
        <v>258</v>
      </c>
      <c r="B851" t="s">
        <v>213</v>
      </c>
    </row>
    <row r="852" spans="1:2" x14ac:dyDescent="0.2">
      <c r="A852">
        <v>259</v>
      </c>
    </row>
    <row r="853" spans="1:2" x14ac:dyDescent="0.2">
      <c r="A853">
        <v>260</v>
      </c>
    </row>
    <row r="854" spans="1:2" x14ac:dyDescent="0.2">
      <c r="A854">
        <v>261</v>
      </c>
    </row>
    <row r="855" spans="1:2" x14ac:dyDescent="0.2">
      <c r="A855">
        <v>262</v>
      </c>
    </row>
    <row r="856" spans="1:2" x14ac:dyDescent="0.2">
      <c r="A856">
        <v>263</v>
      </c>
    </row>
    <row r="857" spans="1:2" x14ac:dyDescent="0.2">
      <c r="A857">
        <v>264</v>
      </c>
    </row>
    <row r="858" spans="1:2" x14ac:dyDescent="0.2">
      <c r="A858">
        <v>265</v>
      </c>
    </row>
    <row r="859" spans="1:2" x14ac:dyDescent="0.2">
      <c r="A859">
        <v>266</v>
      </c>
    </row>
    <row r="860" spans="1:2" x14ac:dyDescent="0.2">
      <c r="A860">
        <v>267</v>
      </c>
    </row>
    <row r="861" spans="1:2" x14ac:dyDescent="0.2">
      <c r="A861">
        <v>268</v>
      </c>
    </row>
    <row r="862" spans="1:2" x14ac:dyDescent="0.2">
      <c r="A862">
        <v>269</v>
      </c>
    </row>
    <row r="863" spans="1:2" x14ac:dyDescent="0.2">
      <c r="A863">
        <v>270</v>
      </c>
    </row>
    <row r="864" spans="1:2" x14ac:dyDescent="0.2">
      <c r="A864">
        <v>271</v>
      </c>
    </row>
    <row r="865" spans="1:1" x14ac:dyDescent="0.2">
      <c r="A865">
        <v>272</v>
      </c>
    </row>
    <row r="866" spans="1:1" x14ac:dyDescent="0.2">
      <c r="A866">
        <v>273</v>
      </c>
    </row>
    <row r="867" spans="1:1" x14ac:dyDescent="0.2">
      <c r="A867">
        <v>274</v>
      </c>
    </row>
    <row r="868" spans="1:1" x14ac:dyDescent="0.2">
      <c r="A868">
        <v>275</v>
      </c>
    </row>
    <row r="869" spans="1:1" x14ac:dyDescent="0.2">
      <c r="A869">
        <v>276</v>
      </c>
    </row>
    <row r="870" spans="1:1" x14ac:dyDescent="0.2">
      <c r="A870">
        <v>277</v>
      </c>
    </row>
    <row r="871" spans="1:1" x14ac:dyDescent="0.2">
      <c r="A871">
        <v>278</v>
      </c>
    </row>
    <row r="872" spans="1:1" x14ac:dyDescent="0.2">
      <c r="A872">
        <v>279</v>
      </c>
    </row>
    <row r="873" spans="1:1" x14ac:dyDescent="0.2">
      <c r="A873">
        <v>280</v>
      </c>
    </row>
    <row r="874" spans="1:1" x14ac:dyDescent="0.2">
      <c r="A874">
        <v>281</v>
      </c>
    </row>
    <row r="875" spans="1:1" x14ac:dyDescent="0.2">
      <c r="A875">
        <v>282</v>
      </c>
    </row>
    <row r="876" spans="1:1" x14ac:dyDescent="0.2">
      <c r="A876">
        <v>283</v>
      </c>
    </row>
    <row r="877" spans="1:1" x14ac:dyDescent="0.2">
      <c r="A877">
        <v>284</v>
      </c>
    </row>
    <row r="878" spans="1:1" x14ac:dyDescent="0.2">
      <c r="A878">
        <v>285</v>
      </c>
    </row>
    <row r="879" spans="1:1" x14ac:dyDescent="0.2">
      <c r="A879">
        <v>286</v>
      </c>
    </row>
    <row r="880" spans="1:1" x14ac:dyDescent="0.2">
      <c r="A880">
        <v>287</v>
      </c>
    </row>
    <row r="881" spans="1:1" x14ac:dyDescent="0.2">
      <c r="A881">
        <v>288</v>
      </c>
    </row>
    <row r="882" spans="1:1" x14ac:dyDescent="0.2">
      <c r="A882">
        <v>289</v>
      </c>
    </row>
    <row r="883" spans="1:1" x14ac:dyDescent="0.2">
      <c r="A883">
        <v>290</v>
      </c>
    </row>
    <row r="884" spans="1:1" x14ac:dyDescent="0.2">
      <c r="A884">
        <v>291</v>
      </c>
    </row>
    <row r="885" spans="1:1" x14ac:dyDescent="0.2">
      <c r="A885">
        <v>292</v>
      </c>
    </row>
    <row r="886" spans="1:1" x14ac:dyDescent="0.2">
      <c r="A886">
        <v>293</v>
      </c>
    </row>
    <row r="887" spans="1:1" x14ac:dyDescent="0.2">
      <c r="A887">
        <v>294</v>
      </c>
    </row>
    <row r="888" spans="1:1" x14ac:dyDescent="0.2">
      <c r="A888">
        <v>295</v>
      </c>
    </row>
    <row r="889" spans="1:1" x14ac:dyDescent="0.2">
      <c r="A889">
        <v>296</v>
      </c>
    </row>
    <row r="890" spans="1:1" x14ac:dyDescent="0.2">
      <c r="A890">
        <v>297</v>
      </c>
    </row>
    <row r="891" spans="1:1" x14ac:dyDescent="0.2">
      <c r="A891">
        <v>298</v>
      </c>
    </row>
    <row r="892" spans="1:1" x14ac:dyDescent="0.2">
      <c r="A892">
        <v>299</v>
      </c>
    </row>
    <row r="893" spans="1:1" x14ac:dyDescent="0.2">
      <c r="A893">
        <v>300</v>
      </c>
    </row>
    <row r="894" spans="1:1" x14ac:dyDescent="0.2">
      <c r="A894">
        <v>301</v>
      </c>
    </row>
    <row r="895" spans="1:1" x14ac:dyDescent="0.2">
      <c r="A895">
        <v>302</v>
      </c>
    </row>
    <row r="896" spans="1:1" x14ac:dyDescent="0.2">
      <c r="A896">
        <v>303</v>
      </c>
    </row>
    <row r="897" spans="1:1" x14ac:dyDescent="0.2">
      <c r="A897">
        <v>304</v>
      </c>
    </row>
    <row r="898" spans="1:1" x14ac:dyDescent="0.2">
      <c r="A898">
        <v>305</v>
      </c>
    </row>
    <row r="899" spans="1:1" x14ac:dyDescent="0.2">
      <c r="A899">
        <v>306</v>
      </c>
    </row>
    <row r="900" spans="1:1" x14ac:dyDescent="0.2">
      <c r="A900">
        <v>307</v>
      </c>
    </row>
    <row r="901" spans="1:1" x14ac:dyDescent="0.2">
      <c r="A901">
        <v>308</v>
      </c>
    </row>
    <row r="902" spans="1:1" x14ac:dyDescent="0.2">
      <c r="A902">
        <v>309</v>
      </c>
    </row>
    <row r="903" spans="1:1" x14ac:dyDescent="0.2">
      <c r="A903">
        <v>310</v>
      </c>
    </row>
    <row r="904" spans="1:1" x14ac:dyDescent="0.2">
      <c r="A904">
        <v>311</v>
      </c>
    </row>
    <row r="905" spans="1:1" x14ac:dyDescent="0.2">
      <c r="A905">
        <v>312</v>
      </c>
    </row>
    <row r="906" spans="1:1" x14ac:dyDescent="0.2">
      <c r="A906">
        <v>313</v>
      </c>
    </row>
    <row r="907" spans="1:1" x14ac:dyDescent="0.2">
      <c r="A907">
        <v>314</v>
      </c>
    </row>
    <row r="908" spans="1:1" x14ac:dyDescent="0.2">
      <c r="A908">
        <v>315</v>
      </c>
    </row>
    <row r="909" spans="1:1" x14ac:dyDescent="0.2">
      <c r="A909">
        <v>316</v>
      </c>
    </row>
    <row r="910" spans="1:1" x14ac:dyDescent="0.2">
      <c r="A910">
        <v>317</v>
      </c>
    </row>
    <row r="911" spans="1:1" x14ac:dyDescent="0.2">
      <c r="A911">
        <v>318</v>
      </c>
    </row>
    <row r="912" spans="1:1" x14ac:dyDescent="0.2">
      <c r="A912">
        <v>319</v>
      </c>
    </row>
    <row r="913" spans="1:1" x14ac:dyDescent="0.2">
      <c r="A913">
        <v>320</v>
      </c>
    </row>
    <row r="914" spans="1:1" x14ac:dyDescent="0.2">
      <c r="A914">
        <v>321</v>
      </c>
    </row>
    <row r="915" spans="1:1" x14ac:dyDescent="0.2">
      <c r="A915">
        <v>322</v>
      </c>
    </row>
    <row r="916" spans="1:1" x14ac:dyDescent="0.2">
      <c r="A916">
        <v>323</v>
      </c>
    </row>
    <row r="917" spans="1:1" x14ac:dyDescent="0.2">
      <c r="A917">
        <v>324</v>
      </c>
    </row>
    <row r="918" spans="1:1" x14ac:dyDescent="0.2">
      <c r="A918">
        <v>325</v>
      </c>
    </row>
    <row r="919" spans="1:1" x14ac:dyDescent="0.2">
      <c r="A919">
        <v>326</v>
      </c>
    </row>
    <row r="920" spans="1:1" x14ac:dyDescent="0.2">
      <c r="A920">
        <v>327</v>
      </c>
    </row>
    <row r="921" spans="1:1" x14ac:dyDescent="0.2">
      <c r="A921">
        <v>328</v>
      </c>
    </row>
    <row r="922" spans="1:1" x14ac:dyDescent="0.2">
      <c r="A922">
        <v>329</v>
      </c>
    </row>
    <row r="923" spans="1:1" x14ac:dyDescent="0.2">
      <c r="A923">
        <v>330</v>
      </c>
    </row>
    <row r="924" spans="1:1" x14ac:dyDescent="0.2">
      <c r="A924">
        <v>331</v>
      </c>
    </row>
    <row r="925" spans="1:1" x14ac:dyDescent="0.2">
      <c r="A925">
        <v>332</v>
      </c>
    </row>
    <row r="926" spans="1:1" x14ac:dyDescent="0.2">
      <c r="A926">
        <v>333</v>
      </c>
    </row>
    <row r="927" spans="1:1" x14ac:dyDescent="0.2">
      <c r="A927">
        <v>334</v>
      </c>
    </row>
    <row r="928" spans="1:1" x14ac:dyDescent="0.2">
      <c r="A928">
        <v>335</v>
      </c>
    </row>
    <row r="929" spans="1:1" x14ac:dyDescent="0.2">
      <c r="A929">
        <v>336</v>
      </c>
    </row>
    <row r="930" spans="1:1" x14ac:dyDescent="0.2">
      <c r="A930">
        <v>337</v>
      </c>
    </row>
    <row r="931" spans="1:1" x14ac:dyDescent="0.2">
      <c r="A931">
        <v>338</v>
      </c>
    </row>
    <row r="932" spans="1:1" x14ac:dyDescent="0.2">
      <c r="A932">
        <v>339</v>
      </c>
    </row>
    <row r="933" spans="1:1" x14ac:dyDescent="0.2">
      <c r="A933">
        <v>340</v>
      </c>
    </row>
    <row r="934" spans="1:1" x14ac:dyDescent="0.2">
      <c r="A934">
        <v>341</v>
      </c>
    </row>
    <row r="935" spans="1:1" x14ac:dyDescent="0.2">
      <c r="A935">
        <v>342</v>
      </c>
    </row>
    <row r="936" spans="1:1" x14ac:dyDescent="0.2">
      <c r="A936">
        <v>343</v>
      </c>
    </row>
    <row r="937" spans="1:1" x14ac:dyDescent="0.2">
      <c r="A937">
        <v>344</v>
      </c>
    </row>
    <row r="938" spans="1:1" x14ac:dyDescent="0.2">
      <c r="A938">
        <v>345</v>
      </c>
    </row>
    <row r="939" spans="1:1" x14ac:dyDescent="0.2">
      <c r="A939">
        <v>346</v>
      </c>
    </row>
    <row r="940" spans="1:1" x14ac:dyDescent="0.2">
      <c r="A940">
        <v>347</v>
      </c>
    </row>
    <row r="941" spans="1:1" x14ac:dyDescent="0.2">
      <c r="A941">
        <v>348</v>
      </c>
    </row>
    <row r="942" spans="1:1" x14ac:dyDescent="0.2">
      <c r="A942">
        <v>349</v>
      </c>
    </row>
    <row r="943" spans="1:1" x14ac:dyDescent="0.2">
      <c r="A943">
        <v>350</v>
      </c>
    </row>
    <row r="944" spans="1:1" x14ac:dyDescent="0.2">
      <c r="A944">
        <v>351</v>
      </c>
    </row>
    <row r="945" spans="1:1" x14ac:dyDescent="0.2">
      <c r="A945">
        <v>352</v>
      </c>
    </row>
    <row r="946" spans="1:1" x14ac:dyDescent="0.2">
      <c r="A946">
        <v>353</v>
      </c>
    </row>
    <row r="947" spans="1:1" x14ac:dyDescent="0.2">
      <c r="A947">
        <v>354</v>
      </c>
    </row>
    <row r="948" spans="1:1" x14ac:dyDescent="0.2">
      <c r="A948">
        <v>355</v>
      </c>
    </row>
    <row r="949" spans="1:1" x14ac:dyDescent="0.2">
      <c r="A949">
        <v>356</v>
      </c>
    </row>
    <row r="950" spans="1:1" x14ac:dyDescent="0.2">
      <c r="A950">
        <v>357</v>
      </c>
    </row>
    <row r="951" spans="1:1" x14ac:dyDescent="0.2">
      <c r="A951">
        <v>358</v>
      </c>
    </row>
    <row r="952" spans="1:1" x14ac:dyDescent="0.2">
      <c r="A952">
        <v>359</v>
      </c>
    </row>
    <row r="953" spans="1:1" x14ac:dyDescent="0.2">
      <c r="A953">
        <v>360</v>
      </c>
    </row>
    <row r="954" spans="1:1" x14ac:dyDescent="0.2">
      <c r="A954">
        <v>361</v>
      </c>
    </row>
    <row r="955" spans="1:1" x14ac:dyDescent="0.2">
      <c r="A955">
        <v>362</v>
      </c>
    </row>
    <row r="956" spans="1:1" x14ac:dyDescent="0.2">
      <c r="A956">
        <v>363</v>
      </c>
    </row>
    <row r="957" spans="1:1" x14ac:dyDescent="0.2">
      <c r="A957">
        <v>364</v>
      </c>
    </row>
    <row r="958" spans="1:1" x14ac:dyDescent="0.2">
      <c r="A958">
        <v>365</v>
      </c>
    </row>
    <row r="959" spans="1:1" x14ac:dyDescent="0.2">
      <c r="A959">
        <v>366</v>
      </c>
    </row>
    <row r="960" spans="1:1" x14ac:dyDescent="0.2">
      <c r="A960">
        <v>367</v>
      </c>
    </row>
    <row r="961" spans="1:1" x14ac:dyDescent="0.2">
      <c r="A961">
        <v>368</v>
      </c>
    </row>
    <row r="962" spans="1:1" x14ac:dyDescent="0.2">
      <c r="A962">
        <v>369</v>
      </c>
    </row>
    <row r="963" spans="1:1" x14ac:dyDescent="0.2">
      <c r="A963">
        <v>370</v>
      </c>
    </row>
    <row r="964" spans="1:1" x14ac:dyDescent="0.2">
      <c r="A964">
        <v>371</v>
      </c>
    </row>
    <row r="965" spans="1:1" x14ac:dyDescent="0.2">
      <c r="A965">
        <v>372</v>
      </c>
    </row>
    <row r="966" spans="1:1" x14ac:dyDescent="0.2">
      <c r="A966">
        <v>373</v>
      </c>
    </row>
    <row r="967" spans="1:1" x14ac:dyDescent="0.2">
      <c r="A967">
        <v>374</v>
      </c>
    </row>
    <row r="968" spans="1:1" x14ac:dyDescent="0.2">
      <c r="A968">
        <v>375</v>
      </c>
    </row>
    <row r="969" spans="1:1" x14ac:dyDescent="0.2">
      <c r="A969">
        <v>376</v>
      </c>
    </row>
    <row r="970" spans="1:1" x14ac:dyDescent="0.2">
      <c r="A970">
        <v>377</v>
      </c>
    </row>
    <row r="971" spans="1:1" x14ac:dyDescent="0.2">
      <c r="A971">
        <v>378</v>
      </c>
    </row>
    <row r="972" spans="1:1" x14ac:dyDescent="0.2">
      <c r="A972">
        <v>379</v>
      </c>
    </row>
    <row r="973" spans="1:1" x14ac:dyDescent="0.2">
      <c r="A973">
        <v>380</v>
      </c>
    </row>
    <row r="974" spans="1:1" x14ac:dyDescent="0.2">
      <c r="A974">
        <v>381</v>
      </c>
    </row>
    <row r="975" spans="1:1" x14ac:dyDescent="0.2">
      <c r="A975">
        <v>382</v>
      </c>
    </row>
    <row r="976" spans="1:1" x14ac:dyDescent="0.2">
      <c r="A976">
        <v>383</v>
      </c>
    </row>
    <row r="977" spans="1:1" x14ac:dyDescent="0.2">
      <c r="A977">
        <v>384</v>
      </c>
    </row>
    <row r="978" spans="1:1" x14ac:dyDescent="0.2">
      <c r="A978">
        <v>385</v>
      </c>
    </row>
    <row r="979" spans="1:1" x14ac:dyDescent="0.2">
      <c r="A979">
        <v>386</v>
      </c>
    </row>
    <row r="980" spans="1:1" x14ac:dyDescent="0.2">
      <c r="A980">
        <v>387</v>
      </c>
    </row>
    <row r="981" spans="1:1" x14ac:dyDescent="0.2">
      <c r="A981">
        <v>388</v>
      </c>
    </row>
    <row r="982" spans="1:1" x14ac:dyDescent="0.2">
      <c r="A982">
        <v>389</v>
      </c>
    </row>
    <row r="983" spans="1:1" x14ac:dyDescent="0.2">
      <c r="A983">
        <v>390</v>
      </c>
    </row>
    <row r="984" spans="1:1" x14ac:dyDescent="0.2">
      <c r="A984">
        <v>391</v>
      </c>
    </row>
    <row r="985" spans="1:1" x14ac:dyDescent="0.2">
      <c r="A985">
        <v>392</v>
      </c>
    </row>
    <row r="986" spans="1:1" x14ac:dyDescent="0.2">
      <c r="A986">
        <v>393</v>
      </c>
    </row>
    <row r="987" spans="1:1" x14ac:dyDescent="0.2">
      <c r="A987">
        <v>394</v>
      </c>
    </row>
    <row r="988" spans="1:1" x14ac:dyDescent="0.2">
      <c r="A988">
        <v>395</v>
      </c>
    </row>
    <row r="989" spans="1:1" x14ac:dyDescent="0.2">
      <c r="A989">
        <v>396</v>
      </c>
    </row>
    <row r="990" spans="1:1" x14ac:dyDescent="0.2">
      <c r="A990">
        <v>397</v>
      </c>
    </row>
    <row r="991" spans="1:1" x14ac:dyDescent="0.2">
      <c r="A991">
        <v>398</v>
      </c>
    </row>
    <row r="992" spans="1:1" x14ac:dyDescent="0.2">
      <c r="A992">
        <v>399</v>
      </c>
    </row>
    <row r="993" spans="1:1" x14ac:dyDescent="0.2">
      <c r="A993">
        <v>400</v>
      </c>
    </row>
    <row r="994" spans="1:1" x14ac:dyDescent="0.2">
      <c r="A994">
        <v>401</v>
      </c>
    </row>
    <row r="995" spans="1:1" x14ac:dyDescent="0.2">
      <c r="A995">
        <v>402</v>
      </c>
    </row>
    <row r="996" spans="1:1" x14ac:dyDescent="0.2">
      <c r="A996">
        <v>403</v>
      </c>
    </row>
    <row r="997" spans="1:1" x14ac:dyDescent="0.2">
      <c r="A997">
        <v>404</v>
      </c>
    </row>
    <row r="998" spans="1:1" x14ac:dyDescent="0.2">
      <c r="A998">
        <v>405</v>
      </c>
    </row>
    <row r="999" spans="1:1" x14ac:dyDescent="0.2">
      <c r="A999">
        <v>406</v>
      </c>
    </row>
    <row r="1000" spans="1:1" x14ac:dyDescent="0.2">
      <c r="A1000">
        <v>407</v>
      </c>
    </row>
    <row r="1001" spans="1:1" x14ac:dyDescent="0.2">
      <c r="A1001">
        <v>408</v>
      </c>
    </row>
    <row r="1002" spans="1:1" x14ac:dyDescent="0.2">
      <c r="A1002">
        <v>409</v>
      </c>
    </row>
    <row r="1003" spans="1:1" x14ac:dyDescent="0.2">
      <c r="A1003">
        <v>410</v>
      </c>
    </row>
    <row r="1004" spans="1:1" x14ac:dyDescent="0.2">
      <c r="A1004">
        <v>411</v>
      </c>
    </row>
    <row r="1005" spans="1:1" x14ac:dyDescent="0.2">
      <c r="A1005">
        <v>412</v>
      </c>
    </row>
    <row r="1006" spans="1:1" x14ac:dyDescent="0.2">
      <c r="A1006">
        <v>413</v>
      </c>
    </row>
    <row r="1007" spans="1:1" x14ac:dyDescent="0.2">
      <c r="A1007">
        <v>414</v>
      </c>
    </row>
    <row r="1008" spans="1:1" x14ac:dyDescent="0.2">
      <c r="A1008">
        <v>415</v>
      </c>
    </row>
    <row r="1009" spans="1:1" x14ac:dyDescent="0.2">
      <c r="A1009">
        <v>416</v>
      </c>
    </row>
    <row r="1010" spans="1:1" x14ac:dyDescent="0.2">
      <c r="A1010">
        <v>417</v>
      </c>
    </row>
    <row r="1011" spans="1:1" x14ac:dyDescent="0.2">
      <c r="A1011">
        <v>418</v>
      </c>
    </row>
    <row r="1012" spans="1:1" x14ac:dyDescent="0.2">
      <c r="A1012">
        <v>419</v>
      </c>
    </row>
    <row r="1013" spans="1:1" x14ac:dyDescent="0.2">
      <c r="A1013">
        <v>420</v>
      </c>
    </row>
    <row r="1014" spans="1:1" x14ac:dyDescent="0.2">
      <c r="A1014">
        <v>421</v>
      </c>
    </row>
    <row r="1015" spans="1:1" x14ac:dyDescent="0.2">
      <c r="A1015">
        <v>422</v>
      </c>
    </row>
    <row r="1016" spans="1:1" x14ac:dyDescent="0.2">
      <c r="A1016">
        <v>423</v>
      </c>
    </row>
    <row r="1017" spans="1:1" x14ac:dyDescent="0.2">
      <c r="A1017">
        <v>424</v>
      </c>
    </row>
    <row r="1018" spans="1:1" x14ac:dyDescent="0.2">
      <c r="A1018">
        <v>425</v>
      </c>
    </row>
    <row r="1019" spans="1:1" x14ac:dyDescent="0.2">
      <c r="A1019">
        <v>426</v>
      </c>
    </row>
    <row r="1020" spans="1:1" x14ac:dyDescent="0.2">
      <c r="A1020">
        <v>427</v>
      </c>
    </row>
    <row r="1021" spans="1:1" x14ac:dyDescent="0.2">
      <c r="A1021">
        <v>428</v>
      </c>
    </row>
    <row r="1022" spans="1:1" x14ac:dyDescent="0.2">
      <c r="A1022">
        <v>429</v>
      </c>
    </row>
    <row r="1023" spans="1:1" x14ac:dyDescent="0.2">
      <c r="A1023">
        <v>430</v>
      </c>
    </row>
    <row r="1024" spans="1:1" x14ac:dyDescent="0.2">
      <c r="A1024">
        <v>431</v>
      </c>
    </row>
    <row r="1025" spans="1:1" x14ac:dyDescent="0.2">
      <c r="A1025">
        <v>432</v>
      </c>
    </row>
    <row r="1026" spans="1:1" x14ac:dyDescent="0.2">
      <c r="A1026">
        <v>433</v>
      </c>
    </row>
    <row r="1027" spans="1:1" x14ac:dyDescent="0.2">
      <c r="A1027">
        <v>434</v>
      </c>
    </row>
    <row r="1028" spans="1:1" x14ac:dyDescent="0.2">
      <c r="A1028">
        <v>435</v>
      </c>
    </row>
    <row r="1029" spans="1:1" x14ac:dyDescent="0.2">
      <c r="A1029">
        <v>436</v>
      </c>
    </row>
    <row r="1030" spans="1:1" x14ac:dyDescent="0.2">
      <c r="A1030">
        <v>437</v>
      </c>
    </row>
    <row r="1031" spans="1:1" x14ac:dyDescent="0.2">
      <c r="A1031">
        <v>438</v>
      </c>
    </row>
    <row r="1032" spans="1:1" x14ac:dyDescent="0.2">
      <c r="A1032">
        <v>439</v>
      </c>
    </row>
    <row r="1033" spans="1:1" x14ac:dyDescent="0.2">
      <c r="A1033">
        <v>440</v>
      </c>
    </row>
    <row r="1034" spans="1:1" x14ac:dyDescent="0.2">
      <c r="A1034">
        <v>441</v>
      </c>
    </row>
    <row r="1035" spans="1:1" x14ac:dyDescent="0.2">
      <c r="A1035">
        <v>442</v>
      </c>
    </row>
    <row r="1036" spans="1:1" x14ac:dyDescent="0.2">
      <c r="A1036">
        <v>443</v>
      </c>
    </row>
    <row r="1037" spans="1:1" x14ac:dyDescent="0.2">
      <c r="A1037">
        <v>444</v>
      </c>
    </row>
    <row r="1038" spans="1:1" x14ac:dyDescent="0.2">
      <c r="A1038">
        <v>445</v>
      </c>
    </row>
    <row r="1039" spans="1:1" x14ac:dyDescent="0.2">
      <c r="A1039">
        <v>446</v>
      </c>
    </row>
    <row r="1040" spans="1:1" x14ac:dyDescent="0.2">
      <c r="A1040">
        <v>447</v>
      </c>
    </row>
    <row r="1041" spans="1:1" x14ac:dyDescent="0.2">
      <c r="A1041">
        <v>448</v>
      </c>
    </row>
    <row r="1042" spans="1:1" x14ac:dyDescent="0.2">
      <c r="A1042">
        <v>449</v>
      </c>
    </row>
    <row r="1043" spans="1:1" x14ac:dyDescent="0.2">
      <c r="A1043">
        <v>450</v>
      </c>
    </row>
    <row r="1044" spans="1:1" x14ac:dyDescent="0.2">
      <c r="A1044">
        <v>451</v>
      </c>
    </row>
    <row r="1045" spans="1:1" x14ac:dyDescent="0.2">
      <c r="A1045">
        <v>452</v>
      </c>
    </row>
    <row r="1046" spans="1:1" x14ac:dyDescent="0.2">
      <c r="A1046">
        <v>453</v>
      </c>
    </row>
    <row r="1047" spans="1:1" x14ac:dyDescent="0.2">
      <c r="A1047">
        <v>454</v>
      </c>
    </row>
    <row r="1048" spans="1:1" x14ac:dyDescent="0.2">
      <c r="A1048">
        <v>455</v>
      </c>
    </row>
    <row r="1049" spans="1:1" x14ac:dyDescent="0.2">
      <c r="A1049">
        <v>456</v>
      </c>
    </row>
    <row r="1050" spans="1:1" x14ac:dyDescent="0.2">
      <c r="A1050">
        <v>457</v>
      </c>
    </row>
    <row r="1051" spans="1:1" x14ac:dyDescent="0.2">
      <c r="A1051">
        <v>458</v>
      </c>
    </row>
    <row r="1052" spans="1:1" x14ac:dyDescent="0.2">
      <c r="A1052">
        <v>459</v>
      </c>
    </row>
    <row r="1053" spans="1:1" x14ac:dyDescent="0.2">
      <c r="A1053">
        <v>460</v>
      </c>
    </row>
    <row r="1054" spans="1:1" x14ac:dyDescent="0.2">
      <c r="A1054">
        <v>461</v>
      </c>
    </row>
    <row r="1055" spans="1:1" x14ac:dyDescent="0.2">
      <c r="A1055">
        <v>462</v>
      </c>
    </row>
    <row r="1056" spans="1:1" x14ac:dyDescent="0.2">
      <c r="A1056">
        <v>463</v>
      </c>
    </row>
    <row r="1057" spans="1:1" x14ac:dyDescent="0.2">
      <c r="A1057">
        <v>464</v>
      </c>
    </row>
    <row r="1058" spans="1:1" x14ac:dyDescent="0.2">
      <c r="A1058">
        <v>465</v>
      </c>
    </row>
    <row r="1059" spans="1:1" x14ac:dyDescent="0.2">
      <c r="A1059">
        <v>466</v>
      </c>
    </row>
    <row r="1060" spans="1:1" x14ac:dyDescent="0.2">
      <c r="A1060">
        <v>467</v>
      </c>
    </row>
    <row r="1061" spans="1:1" x14ac:dyDescent="0.2">
      <c r="A1061">
        <v>468</v>
      </c>
    </row>
    <row r="1062" spans="1:1" x14ac:dyDescent="0.2">
      <c r="A1062">
        <v>469</v>
      </c>
    </row>
    <row r="1063" spans="1:1" x14ac:dyDescent="0.2">
      <c r="A1063">
        <v>470</v>
      </c>
    </row>
    <row r="1064" spans="1:1" x14ac:dyDescent="0.2">
      <c r="A1064">
        <v>471</v>
      </c>
    </row>
    <row r="1065" spans="1:1" x14ac:dyDescent="0.2">
      <c r="A1065">
        <v>472</v>
      </c>
    </row>
    <row r="1066" spans="1:1" x14ac:dyDescent="0.2">
      <c r="A1066">
        <v>473</v>
      </c>
    </row>
    <row r="1067" spans="1:1" x14ac:dyDescent="0.2">
      <c r="A1067">
        <v>474</v>
      </c>
    </row>
    <row r="1068" spans="1:1" x14ac:dyDescent="0.2">
      <c r="A1068">
        <v>475</v>
      </c>
    </row>
    <row r="1069" spans="1:1" x14ac:dyDescent="0.2">
      <c r="A1069">
        <v>476</v>
      </c>
    </row>
    <row r="1070" spans="1:1" x14ac:dyDescent="0.2">
      <c r="A1070">
        <v>477</v>
      </c>
    </row>
    <row r="1071" spans="1:1" x14ac:dyDescent="0.2">
      <c r="A1071">
        <v>478</v>
      </c>
    </row>
    <row r="1072" spans="1:1" x14ac:dyDescent="0.2">
      <c r="A1072">
        <v>479</v>
      </c>
    </row>
    <row r="1073" spans="1:1" x14ac:dyDescent="0.2">
      <c r="A1073">
        <v>480</v>
      </c>
    </row>
    <row r="1074" spans="1:1" x14ac:dyDescent="0.2">
      <c r="A1074">
        <v>481</v>
      </c>
    </row>
    <row r="1075" spans="1:1" x14ac:dyDescent="0.2">
      <c r="A1075">
        <v>482</v>
      </c>
    </row>
    <row r="1076" spans="1:1" x14ac:dyDescent="0.2">
      <c r="A1076">
        <v>483</v>
      </c>
    </row>
    <row r="1077" spans="1:1" x14ac:dyDescent="0.2">
      <c r="A1077">
        <v>484</v>
      </c>
    </row>
    <row r="1078" spans="1:1" x14ac:dyDescent="0.2">
      <c r="A1078">
        <v>485</v>
      </c>
    </row>
    <row r="1079" spans="1:1" x14ac:dyDescent="0.2">
      <c r="A1079">
        <v>486</v>
      </c>
    </row>
    <row r="1080" spans="1:1" x14ac:dyDescent="0.2">
      <c r="A1080">
        <v>487</v>
      </c>
    </row>
    <row r="1081" spans="1:1" x14ac:dyDescent="0.2">
      <c r="A1081">
        <v>488</v>
      </c>
    </row>
    <row r="1082" spans="1:1" x14ac:dyDescent="0.2">
      <c r="A1082">
        <v>489</v>
      </c>
    </row>
    <row r="1083" spans="1:1" x14ac:dyDescent="0.2">
      <c r="A1083">
        <v>490</v>
      </c>
    </row>
    <row r="1084" spans="1:1" x14ac:dyDescent="0.2">
      <c r="A1084">
        <v>491</v>
      </c>
    </row>
    <row r="1085" spans="1:1" x14ac:dyDescent="0.2">
      <c r="A1085">
        <v>492</v>
      </c>
    </row>
    <row r="1086" spans="1:1" x14ac:dyDescent="0.2">
      <c r="A1086">
        <v>493</v>
      </c>
    </row>
    <row r="1087" spans="1:1" x14ac:dyDescent="0.2">
      <c r="A1087">
        <v>494</v>
      </c>
    </row>
    <row r="1088" spans="1:1" x14ac:dyDescent="0.2">
      <c r="A1088">
        <v>495</v>
      </c>
    </row>
    <row r="1089" spans="1:1" x14ac:dyDescent="0.2">
      <c r="A1089">
        <v>496</v>
      </c>
    </row>
    <row r="1090" spans="1:1" x14ac:dyDescent="0.2">
      <c r="A1090">
        <v>497</v>
      </c>
    </row>
    <row r="1091" spans="1:1" x14ac:dyDescent="0.2">
      <c r="A1091">
        <v>498</v>
      </c>
    </row>
    <row r="1092" spans="1:1" x14ac:dyDescent="0.2">
      <c r="A1092">
        <v>499</v>
      </c>
    </row>
    <row r="1093" spans="1:1" x14ac:dyDescent="0.2">
      <c r="A1093">
        <v>500</v>
      </c>
    </row>
    <row r="1094" spans="1:1" x14ac:dyDescent="0.2">
      <c r="A1094">
        <v>501</v>
      </c>
    </row>
    <row r="1095" spans="1:1" x14ac:dyDescent="0.2">
      <c r="A1095">
        <v>502</v>
      </c>
    </row>
    <row r="1096" spans="1:1" x14ac:dyDescent="0.2">
      <c r="A1096">
        <v>503</v>
      </c>
    </row>
    <row r="1097" spans="1:1" x14ac:dyDescent="0.2">
      <c r="A1097">
        <v>504</v>
      </c>
    </row>
    <row r="1098" spans="1:1" x14ac:dyDescent="0.2">
      <c r="A1098">
        <v>505</v>
      </c>
    </row>
    <row r="1099" spans="1:1" x14ac:dyDescent="0.2">
      <c r="A1099">
        <v>506</v>
      </c>
    </row>
    <row r="1100" spans="1:1" x14ac:dyDescent="0.2">
      <c r="A1100">
        <v>507</v>
      </c>
    </row>
    <row r="1101" spans="1:1" x14ac:dyDescent="0.2">
      <c r="A1101">
        <v>508</v>
      </c>
    </row>
    <row r="1102" spans="1:1" x14ac:dyDescent="0.2">
      <c r="A1102">
        <v>509</v>
      </c>
    </row>
    <row r="1103" spans="1:1" x14ac:dyDescent="0.2">
      <c r="A1103">
        <v>510</v>
      </c>
    </row>
    <row r="1104" spans="1:1" x14ac:dyDescent="0.2">
      <c r="A1104">
        <v>511</v>
      </c>
    </row>
    <row r="1105" spans="1:1" x14ac:dyDescent="0.2">
      <c r="A1105">
        <v>512</v>
      </c>
    </row>
    <row r="1106" spans="1:1" x14ac:dyDescent="0.2">
      <c r="A1106">
        <v>513</v>
      </c>
    </row>
    <row r="1107" spans="1:1" x14ac:dyDescent="0.2">
      <c r="A1107">
        <v>514</v>
      </c>
    </row>
    <row r="1108" spans="1:1" x14ac:dyDescent="0.2">
      <c r="A1108">
        <v>515</v>
      </c>
    </row>
    <row r="1109" spans="1:1" x14ac:dyDescent="0.2">
      <c r="A1109">
        <v>516</v>
      </c>
    </row>
    <row r="1110" spans="1:1" x14ac:dyDescent="0.2">
      <c r="A1110">
        <v>517</v>
      </c>
    </row>
    <row r="1111" spans="1:1" x14ac:dyDescent="0.2">
      <c r="A1111">
        <v>518</v>
      </c>
    </row>
    <row r="1112" spans="1:1" x14ac:dyDescent="0.2">
      <c r="A1112">
        <v>519</v>
      </c>
    </row>
    <row r="1113" spans="1:1" x14ac:dyDescent="0.2">
      <c r="A1113">
        <v>520</v>
      </c>
    </row>
    <row r="1114" spans="1:1" x14ac:dyDescent="0.2">
      <c r="A1114">
        <v>521</v>
      </c>
    </row>
    <row r="1115" spans="1:1" x14ac:dyDescent="0.2">
      <c r="A1115">
        <v>522</v>
      </c>
    </row>
    <row r="1116" spans="1:1" x14ac:dyDescent="0.2">
      <c r="A1116">
        <v>523</v>
      </c>
    </row>
    <row r="1117" spans="1:1" x14ac:dyDescent="0.2">
      <c r="A1117">
        <v>524</v>
      </c>
    </row>
    <row r="1118" spans="1:1" x14ac:dyDescent="0.2">
      <c r="A1118">
        <v>525</v>
      </c>
    </row>
    <row r="1119" spans="1:1" x14ac:dyDescent="0.2">
      <c r="A1119">
        <v>526</v>
      </c>
    </row>
    <row r="1120" spans="1:1" x14ac:dyDescent="0.2">
      <c r="A1120">
        <v>527</v>
      </c>
    </row>
    <row r="1121" spans="1:3" x14ac:dyDescent="0.2">
      <c r="A1121">
        <v>528</v>
      </c>
    </row>
    <row r="1122" spans="1:3" x14ac:dyDescent="0.2">
      <c r="A1122">
        <v>529</v>
      </c>
    </row>
    <row r="1123" spans="1:3" x14ac:dyDescent="0.2">
      <c r="A1123">
        <v>530</v>
      </c>
    </row>
    <row r="1124" spans="1:3" x14ac:dyDescent="0.2">
      <c r="A1124">
        <v>531</v>
      </c>
    </row>
    <row r="1125" spans="1:3" x14ac:dyDescent="0.2">
      <c r="A1125">
        <v>532</v>
      </c>
    </row>
    <row r="1126" spans="1:3" x14ac:dyDescent="0.2">
      <c r="A1126">
        <v>533</v>
      </c>
      <c r="B1126" t="s">
        <v>214</v>
      </c>
      <c r="C1126" t="s">
        <v>215</v>
      </c>
    </row>
    <row r="1127" spans="1:3" x14ac:dyDescent="0.2">
      <c r="A1127">
        <v>534</v>
      </c>
    </row>
    <row r="1128" spans="1:3" x14ac:dyDescent="0.2">
      <c r="A1128">
        <v>535</v>
      </c>
    </row>
    <row r="1129" spans="1:3" x14ac:dyDescent="0.2">
      <c r="A1129">
        <v>536</v>
      </c>
    </row>
    <row r="1130" spans="1:3" x14ac:dyDescent="0.2">
      <c r="A1130">
        <v>537</v>
      </c>
    </row>
    <row r="1131" spans="1:3" x14ac:dyDescent="0.2">
      <c r="A1131">
        <v>538</v>
      </c>
    </row>
    <row r="1132" spans="1:3" x14ac:dyDescent="0.2">
      <c r="A1132">
        <v>539</v>
      </c>
    </row>
    <row r="1133" spans="1:3" x14ac:dyDescent="0.2">
      <c r="A1133">
        <v>540</v>
      </c>
    </row>
    <row r="1134" spans="1:3" x14ac:dyDescent="0.2">
      <c r="A1134">
        <v>541</v>
      </c>
    </row>
    <row r="1135" spans="1:3" x14ac:dyDescent="0.2">
      <c r="A1135">
        <v>542</v>
      </c>
    </row>
    <row r="1136" spans="1:3" x14ac:dyDescent="0.2">
      <c r="A1136">
        <v>543</v>
      </c>
    </row>
    <row r="1137" spans="1:4" x14ac:dyDescent="0.2">
      <c r="A1137">
        <v>544</v>
      </c>
      <c r="B1137" t="s">
        <v>216</v>
      </c>
      <c r="C1137" t="s">
        <v>217</v>
      </c>
      <c r="D1137" t="s">
        <v>218</v>
      </c>
    </row>
    <row r="1138" spans="1:4" x14ac:dyDescent="0.2">
      <c r="A1138">
        <v>545</v>
      </c>
    </row>
    <row r="1139" spans="1:4" x14ac:dyDescent="0.2">
      <c r="A1139">
        <v>546</v>
      </c>
      <c r="B1139" t="s">
        <v>219</v>
      </c>
    </row>
    <row r="1140" spans="1:4" x14ac:dyDescent="0.2">
      <c r="A1140">
        <v>547</v>
      </c>
    </row>
    <row r="1141" spans="1:4" x14ac:dyDescent="0.2">
      <c r="A1141">
        <v>548</v>
      </c>
    </row>
    <row r="1142" spans="1:4" x14ac:dyDescent="0.2">
      <c r="A1142">
        <v>549</v>
      </c>
    </row>
    <row r="1143" spans="1:4" x14ac:dyDescent="0.2">
      <c r="A1143">
        <v>550</v>
      </c>
    </row>
    <row r="1144" spans="1:4" x14ac:dyDescent="0.2">
      <c r="A1144">
        <v>551</v>
      </c>
    </row>
    <row r="1145" spans="1:4" x14ac:dyDescent="0.2">
      <c r="A1145">
        <v>552</v>
      </c>
    </row>
    <row r="1146" spans="1:4" x14ac:dyDescent="0.2">
      <c r="A1146">
        <v>553</v>
      </c>
    </row>
    <row r="1147" spans="1:4" x14ac:dyDescent="0.2">
      <c r="A1147">
        <v>554</v>
      </c>
    </row>
    <row r="1148" spans="1:4" x14ac:dyDescent="0.2">
      <c r="A1148">
        <v>555</v>
      </c>
    </row>
    <row r="1149" spans="1:4" x14ac:dyDescent="0.2">
      <c r="A1149">
        <v>556</v>
      </c>
    </row>
    <row r="1150" spans="1:4" x14ac:dyDescent="0.2">
      <c r="A1150">
        <v>557</v>
      </c>
    </row>
    <row r="1151" spans="1:4" x14ac:dyDescent="0.2">
      <c r="A1151">
        <v>558</v>
      </c>
    </row>
    <row r="1152" spans="1:4" x14ac:dyDescent="0.2">
      <c r="A1152">
        <v>559</v>
      </c>
    </row>
    <row r="1153" spans="1:10" x14ac:dyDescent="0.2">
      <c r="A1153">
        <v>560</v>
      </c>
      <c r="B1153" t="s">
        <v>220</v>
      </c>
      <c r="C1153" t="s">
        <v>221</v>
      </c>
      <c r="D1153" t="s">
        <v>222</v>
      </c>
      <c r="E1153" t="s">
        <v>223</v>
      </c>
      <c r="F1153" t="s">
        <v>224</v>
      </c>
      <c r="G1153" t="s">
        <v>225</v>
      </c>
      <c r="H1153" t="s">
        <v>226</v>
      </c>
      <c r="I1153" t="s">
        <v>227</v>
      </c>
      <c r="J1153" t="s">
        <v>228</v>
      </c>
    </row>
    <row r="1154" spans="1:10" x14ac:dyDescent="0.2">
      <c r="A1154">
        <v>561</v>
      </c>
    </row>
    <row r="1155" spans="1:10" x14ac:dyDescent="0.2">
      <c r="A1155">
        <v>562</v>
      </c>
    </row>
    <row r="1156" spans="1:10" x14ac:dyDescent="0.2">
      <c r="A1156">
        <v>563</v>
      </c>
    </row>
    <row r="1157" spans="1:10" x14ac:dyDescent="0.2">
      <c r="A1157">
        <v>564</v>
      </c>
    </row>
    <row r="1158" spans="1:10" x14ac:dyDescent="0.2">
      <c r="A1158">
        <v>565</v>
      </c>
    </row>
    <row r="1159" spans="1:10" x14ac:dyDescent="0.2">
      <c r="A1159">
        <v>566</v>
      </c>
      <c r="B1159" t="s">
        <v>229</v>
      </c>
      <c r="C1159" t="s">
        <v>230</v>
      </c>
    </row>
    <row r="1160" spans="1:10" x14ac:dyDescent="0.2">
      <c r="A1160">
        <v>567</v>
      </c>
    </row>
    <row r="1161" spans="1:10" x14ac:dyDescent="0.2">
      <c r="A1161">
        <v>568</v>
      </c>
    </row>
    <row r="1162" spans="1:10" x14ac:dyDescent="0.2">
      <c r="A1162">
        <v>569</v>
      </c>
    </row>
    <row r="1163" spans="1:10" x14ac:dyDescent="0.2">
      <c r="A1163">
        <v>570</v>
      </c>
    </row>
    <row r="1164" spans="1:10" x14ac:dyDescent="0.2">
      <c r="A1164">
        <v>571</v>
      </c>
    </row>
    <row r="1165" spans="1:10" x14ac:dyDescent="0.2">
      <c r="A1165">
        <v>572</v>
      </c>
    </row>
    <row r="1166" spans="1:10" x14ac:dyDescent="0.2">
      <c r="A1166">
        <v>573</v>
      </c>
    </row>
    <row r="1167" spans="1:10" x14ac:dyDescent="0.2">
      <c r="A1167">
        <v>574</v>
      </c>
    </row>
    <row r="1168" spans="1:10" x14ac:dyDescent="0.2">
      <c r="A1168">
        <v>575</v>
      </c>
      <c r="B1168" t="s">
        <v>231</v>
      </c>
    </row>
    <row r="1169" spans="1:3" x14ac:dyDescent="0.2">
      <c r="A1169">
        <v>576</v>
      </c>
      <c r="B1169" t="s">
        <v>232</v>
      </c>
      <c r="C1169" t="s">
        <v>233</v>
      </c>
    </row>
    <row r="1170" spans="1:3" x14ac:dyDescent="0.2">
      <c r="A1170">
        <v>577</v>
      </c>
      <c r="B1170" t="s">
        <v>234</v>
      </c>
    </row>
    <row r="1171" spans="1:3" x14ac:dyDescent="0.2">
      <c r="A1171">
        <v>578</v>
      </c>
      <c r="B1171" t="s">
        <v>235</v>
      </c>
      <c r="C1171" t="s">
        <v>236</v>
      </c>
    </row>
    <row r="1172" spans="1:3" x14ac:dyDescent="0.2">
      <c r="A1172">
        <v>579</v>
      </c>
      <c r="B1172" t="s">
        <v>237</v>
      </c>
    </row>
    <row r="1173" spans="1:3" x14ac:dyDescent="0.2">
      <c r="A1173">
        <v>580</v>
      </c>
      <c r="B1173" t="s">
        <v>238</v>
      </c>
      <c r="C1173" t="s">
        <v>239</v>
      </c>
    </row>
    <row r="1174" spans="1:3" x14ac:dyDescent="0.2">
      <c r="A1174">
        <v>581</v>
      </c>
      <c r="B1174" t="s">
        <v>240</v>
      </c>
    </row>
    <row r="1175" spans="1:3" x14ac:dyDescent="0.2">
      <c r="A1175">
        <v>582</v>
      </c>
      <c r="B1175" t="s">
        <v>241</v>
      </c>
      <c r="C1175" t="s">
        <v>242</v>
      </c>
    </row>
    <row r="1176" spans="1:3" x14ac:dyDescent="0.2">
      <c r="A1176">
        <v>583</v>
      </c>
      <c r="B1176" t="s">
        <v>243</v>
      </c>
    </row>
    <row r="1177" spans="1:3" x14ac:dyDescent="0.2">
      <c r="A1177">
        <v>584</v>
      </c>
      <c r="B1177" t="s">
        <v>244</v>
      </c>
      <c r="C1177" t="s">
        <v>245</v>
      </c>
    </row>
    <row r="1178" spans="1:3" x14ac:dyDescent="0.2">
      <c r="A1178">
        <v>585</v>
      </c>
      <c r="B1178" t="s">
        <v>246</v>
      </c>
    </row>
    <row r="1179" spans="1:3" x14ac:dyDescent="0.2">
      <c r="A1179">
        <v>586</v>
      </c>
      <c r="B1179" t="s">
        <v>247</v>
      </c>
      <c r="C1179" t="s">
        <v>248</v>
      </c>
    </row>
    <row r="1180" spans="1:3" x14ac:dyDescent="0.2">
      <c r="A1180">
        <v>587</v>
      </c>
      <c r="B1180" t="s">
        <v>249</v>
      </c>
    </row>
    <row r="1181" spans="1:3" x14ac:dyDescent="0.2">
      <c r="A1181">
        <v>588</v>
      </c>
      <c r="B1181" t="s">
        <v>250</v>
      </c>
      <c r="C1181" t="s">
        <v>251</v>
      </c>
    </row>
    <row r="1182" spans="1:3" x14ac:dyDescent="0.2">
      <c r="A1182">
        <v>589</v>
      </c>
      <c r="B1182" t="s">
        <v>252</v>
      </c>
    </row>
    <row r="1183" spans="1:3" x14ac:dyDescent="0.2">
      <c r="A1183">
        <v>590</v>
      </c>
      <c r="B1183" t="s">
        <v>253</v>
      </c>
      <c r="C1183" t="s">
        <v>254</v>
      </c>
    </row>
    <row r="1184" spans="1:3" x14ac:dyDescent="0.2">
      <c r="A1184">
        <v>591</v>
      </c>
      <c r="B1184" t="s">
        <v>255</v>
      </c>
    </row>
    <row r="1185" spans="1:2" x14ac:dyDescent="0.2">
      <c r="A1185">
        <v>611</v>
      </c>
      <c r="B1185" t="s">
        <v>256</v>
      </c>
    </row>
    <row r="1186" spans="1:2" x14ac:dyDescent="0.2">
      <c r="A1186">
        <v>613</v>
      </c>
      <c r="B1186" t="s">
        <v>257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ummary"/>
  <dimension ref="A1:X595"/>
  <sheetViews>
    <sheetView zoomScale="85" zoomScaleNormal="85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Q42" sqref="Q42"/>
    </sheetView>
  </sheetViews>
  <sheetFormatPr defaultRowHeight="12.75" x14ac:dyDescent="0.2"/>
  <cols>
    <col min="1" max="15" width="10.7109375" customWidth="1"/>
    <col min="16" max="16" width="26.7109375" customWidth="1"/>
    <col min="17" max="17" width="26.5703125" customWidth="1"/>
    <col min="18" max="18" width="31.42578125" customWidth="1"/>
    <col min="19" max="19" width="31.140625" customWidth="1"/>
    <col min="20" max="20" width="31.28515625" customWidth="1"/>
    <col min="21" max="21" width="31" customWidth="1"/>
    <col min="22" max="22" width="31.42578125" customWidth="1"/>
    <col min="23" max="23" width="26.42578125" customWidth="1"/>
  </cols>
  <sheetData>
    <row r="1" spans="1:24" ht="18" x14ac:dyDescent="0.25">
      <c r="A1" s="21" t="s">
        <v>3</v>
      </c>
    </row>
    <row r="3" spans="1:24" ht="12.75" customHeight="1" thickBot="1" x14ac:dyDescent="0.25">
      <c r="B3" s="23" t="s">
        <v>24</v>
      </c>
      <c r="C3">
        <f ca="1">ROW(OFFSET(INDEX(Labels!A:A, MATCH("Nodal Labels", Labels!A:A, 0)), -1, 0)) - 7</f>
        <v>589</v>
      </c>
    </row>
    <row r="4" spans="1:24" ht="27.95" customHeight="1" x14ac:dyDescent="0.2">
      <c r="A4" s="81" t="s">
        <v>4</v>
      </c>
      <c r="B4" s="84" t="s">
        <v>25</v>
      </c>
      <c r="C4" s="87" t="s">
        <v>26</v>
      </c>
      <c r="D4" s="90" t="s">
        <v>5</v>
      </c>
      <c r="E4" s="90"/>
      <c r="F4" s="90"/>
      <c r="G4" s="91" t="s">
        <v>6</v>
      </c>
      <c r="H4" s="92"/>
      <c r="I4" s="93"/>
      <c r="J4" s="94" t="s">
        <v>7</v>
      </c>
      <c r="K4" s="87" t="s">
        <v>8</v>
      </c>
      <c r="L4" s="96" t="s">
        <v>9</v>
      </c>
      <c r="M4" s="97"/>
      <c r="N4" s="98" t="s">
        <v>10</v>
      </c>
      <c r="O4" s="99"/>
      <c r="P4" s="74" t="s">
        <v>11</v>
      </c>
      <c r="Q4" s="100" t="s">
        <v>12</v>
      </c>
      <c r="R4" s="74" t="s">
        <v>13</v>
      </c>
      <c r="S4" s="71" t="s">
        <v>14</v>
      </c>
      <c r="T4" s="74" t="s">
        <v>15</v>
      </c>
      <c r="U4" s="71" t="s">
        <v>16</v>
      </c>
      <c r="V4" s="77" t="s">
        <v>22</v>
      </c>
      <c r="W4" s="80" t="s">
        <v>23</v>
      </c>
    </row>
    <row r="5" spans="1:24" ht="14.25" x14ac:dyDescent="0.2">
      <c r="A5" s="82"/>
      <c r="B5" s="85"/>
      <c r="C5" s="88"/>
      <c r="D5" s="24" t="s">
        <v>27</v>
      </c>
      <c r="E5" s="25" t="s">
        <v>28</v>
      </c>
      <c r="F5" s="26" t="s">
        <v>29</v>
      </c>
      <c r="G5" s="24" t="s">
        <v>30</v>
      </c>
      <c r="H5" s="25" t="s">
        <v>31</v>
      </c>
      <c r="I5" s="26" t="s">
        <v>32</v>
      </c>
      <c r="J5" s="95"/>
      <c r="K5" s="88"/>
      <c r="L5" s="64" t="s">
        <v>17</v>
      </c>
      <c r="M5" s="65" t="s">
        <v>18</v>
      </c>
      <c r="N5" s="65" t="s">
        <v>17</v>
      </c>
      <c r="O5" s="66" t="s">
        <v>18</v>
      </c>
      <c r="P5" s="75"/>
      <c r="Q5" s="101"/>
      <c r="R5" s="75"/>
      <c r="S5" s="72"/>
      <c r="T5" s="75"/>
      <c r="U5" s="72"/>
      <c r="V5" s="78"/>
      <c r="W5" s="80"/>
    </row>
    <row r="6" spans="1:24" s="22" customFormat="1" ht="13.5" thickBot="1" x14ac:dyDescent="0.25">
      <c r="A6" s="83"/>
      <c r="B6" s="86"/>
      <c r="C6" s="89"/>
      <c r="D6" s="27" t="s">
        <v>19</v>
      </c>
      <c r="E6" s="28" t="s">
        <v>19</v>
      </c>
      <c r="F6" s="29" t="s">
        <v>19</v>
      </c>
      <c r="G6" s="27" t="s">
        <v>19</v>
      </c>
      <c r="H6" s="28" t="s">
        <v>19</v>
      </c>
      <c r="I6" s="29" t="s">
        <v>19</v>
      </c>
      <c r="J6" s="27" t="s">
        <v>19</v>
      </c>
      <c r="K6" s="89"/>
      <c r="L6" s="67" t="s">
        <v>20</v>
      </c>
      <c r="M6" s="68" t="s">
        <v>20</v>
      </c>
      <c r="N6" s="68" t="s">
        <v>21</v>
      </c>
      <c r="O6" s="69" t="s">
        <v>21</v>
      </c>
      <c r="P6" s="76"/>
      <c r="Q6" s="102"/>
      <c r="R6" s="76"/>
      <c r="S6" s="73"/>
      <c r="T6" s="76"/>
      <c r="U6" s="73"/>
      <c r="V6" s="79"/>
      <c r="W6" s="80"/>
    </row>
    <row r="7" spans="1:24" s="22" customFormat="1" x14ac:dyDescent="0.2">
      <c r="A7" s="30">
        <f>Labels!A8</f>
        <v>1</v>
      </c>
      <c r="B7" s="31">
        <f>INDEX(EchoData!B:B, MATCH(Summary!$A7, EchoData!$A:$A, 0))</f>
        <v>1</v>
      </c>
      <c r="C7" s="32">
        <f>INDEX(EchoData!C:C, MATCH(Summary!$A7, EchoData!$A:$A, 0))</f>
        <v>2</v>
      </c>
      <c r="D7" s="39">
        <f>INDEX(Displacements!B:B, MATCH(Summary!$B7, Displacements!$A:$A, 0))</f>
        <v>-50</v>
      </c>
      <c r="E7" s="40">
        <f>INDEX(Displacements!C:C, MATCH(Summary!$B7, Displacements!$A:$A, 0))</f>
        <v>0</v>
      </c>
      <c r="F7" s="41">
        <f>INDEX(Displacements!D:D, MATCH(Summary!$B7, Displacements!$A:$A, 0))</f>
        <v>0</v>
      </c>
      <c r="G7" s="39">
        <f>INDEX(Displacements!B:B, MATCH(Summary!$C7, Displacements!$A:$A, 0))</f>
        <v>-49.5</v>
      </c>
      <c r="H7" s="40">
        <f>INDEX(Displacements!C:C, MATCH(Summary!$C7, Displacements!$A:$A, 0))</f>
        <v>0</v>
      </c>
      <c r="I7" s="41">
        <f>INDEX(Displacements!D:D, MATCH(Summary!$C7, Displacements!$A:$A, 0))</f>
        <v>0</v>
      </c>
      <c r="J7" s="39">
        <f t="shared" ref="J7:J70" si="0">SQRT((G7 - D7)^2 + (H7 - E7)^2 + (I7 - F7)^2)</f>
        <v>0.5</v>
      </c>
      <c r="K7" s="48" t="str">
        <f t="shared" ref="K7:K70" si="1">IF(P7 = P6, J7/J6, "N/A")</f>
        <v>N/A</v>
      </c>
      <c r="L7" s="51">
        <f>INDEX('Forces+Stresses'!C:C, MATCH(Summary!$A7, 'Forces+Stresses'!$A:$A, 0))</f>
        <v>-2048</v>
      </c>
      <c r="M7" s="52">
        <f>INDEX('Forces+Stresses'!D:D, MATCH(Summary!$A7, 'Forces+Stresses'!$A:$A, 0))</f>
        <v>-2048</v>
      </c>
      <c r="N7" s="52">
        <f>IFERROR(INDEX('Forces+Stresses'!Q:Q, MATCH(Summary!$A7, 'Forces+Stresses'!$A:$A, 0)), INDEX(Flexjoints!D:D, MATCH(Summary!$A7, Flexjoints!$A:$A, 0)))</f>
        <v>3.2339999999999999E-10</v>
      </c>
      <c r="O7" s="53">
        <f>IFERROR(INDEX('Forces+Stresses'!R:R, MATCH(Summary!$A7, 'Forces+Stresses'!$A:$A, 0)), INDEX(Flexjoints!E:E, MATCH(Summary!$A7, Flexjoints!$A:$A, 0)))</f>
        <v>1.144E-8</v>
      </c>
      <c r="P7" s="30" t="str">
        <f>IF(INDEX(Labels!B:B, MATCH(Summary!$A7, Labels!$A:$A, 0)) = 0, "", INDEX(Labels!B:B, MATCH(Summary!$A7, Labels!$A:$A, 0)))</f>
        <v>{Conductor Soil String}</v>
      </c>
      <c r="Q7" s="60" t="str">
        <f>IF(INDEX(Labels!C:C, MATCH(Summary!$A7, Labels!$A:$A, 0)) = 0, "", INDEX(Labels!C:C, MATCH(Summary!$A7, Labels!$A:$A, 0)))</f>
        <v>{Cond 36x1.5in}</v>
      </c>
      <c r="R7" s="30" t="str">
        <f>IF(INDEX(Labels!D:D, MATCH(Summary!$A7, Labels!$A:$A, 0)) = 0, "", INDEX(Labels!D:D, MATCH(Summary!$A7, Labels!$A:$A, 0)))</f>
        <v>{Conductor Soil String_First}</v>
      </c>
      <c r="S7" s="60" t="str">
        <f>IF(INDEX(Labels!E:E, MATCH(Summary!$A7, Labels!$A:$A, 0)) = 0, "", INDEX(Labels!E:E, MATCH(Summary!$A7, Labels!$A:$A, 0)))</f>
        <v/>
      </c>
      <c r="T7" s="30" t="str">
        <f>IF(INDEX(Labels!F:F, MATCH(Summary!$A7, Labels!$A:$A, 0)) = 0, "", INDEX(Labels!F:F, MATCH(Summary!$A7, Labels!$A:$A, 0)))</f>
        <v>{Cond 36x1.5in_First}</v>
      </c>
      <c r="U7" s="60" t="str">
        <f>IF(INDEX(Labels!G:G, MATCH(Summary!$A7, Labels!$A:$A, 0)) = 0, "", INDEX(Labels!G:G, MATCH(Summary!$A7, Labels!$A:$A, 0)))</f>
        <v/>
      </c>
      <c r="V7" s="61" t="str">
        <f>IF(INDEX(Labels!H:H, MATCH(Summary!$A7, Labels!$A:$A, 0)) = 0, "", INDEX(Labels!H:H, MATCH(Summary!$A7, Labels!$A:$A, 0)))</f>
        <v/>
      </c>
      <c r="W7" s="22" t="str">
        <f>IF(INDEX(Labels!I:I, MATCH(Summary!$A7, Labels!$A:$A, 0)) = 0, "", INDEX(Labels!I:I, MATCH(Summary!$A7, Labels!$A:$A, 0)))</f>
        <v/>
      </c>
      <c r="X7" s="22" t="str">
        <f>IF(INDEX(Labels!J:J, MATCH(Summary!$A7, Labels!$A:$A, 0)) = 0, "", INDEX(Labels!J:J, MATCH(Summary!$A7, Labels!$A:$A, 0)))</f>
        <v/>
      </c>
    </row>
    <row r="8" spans="1:24" x14ac:dyDescent="0.2">
      <c r="A8" s="33">
        <f>Labels!A9</f>
        <v>2</v>
      </c>
      <c r="B8" s="34">
        <f>INDEX(EchoData!B:B, MATCH(Summary!$A8, EchoData!$A:$A, 0))</f>
        <v>2</v>
      </c>
      <c r="C8" s="35">
        <f>INDEX(EchoData!C:C, MATCH(Summary!$A8, EchoData!$A:$A, 0))</f>
        <v>3</v>
      </c>
      <c r="D8" s="42">
        <f>INDEX(Displacements!B:B, MATCH(Summary!$B8, Displacements!$A:$A, 0))</f>
        <v>-49.5</v>
      </c>
      <c r="E8" s="43">
        <f>INDEX(Displacements!C:C, MATCH(Summary!$B8, Displacements!$A:$A, 0))</f>
        <v>0</v>
      </c>
      <c r="F8" s="44">
        <f>INDEX(Displacements!D:D, MATCH(Summary!$B8, Displacements!$A:$A, 0))</f>
        <v>0</v>
      </c>
      <c r="G8" s="42">
        <f>INDEX(Displacements!B:B, MATCH(Summary!$C8, Displacements!$A:$A, 0))</f>
        <v>-49</v>
      </c>
      <c r="H8" s="43">
        <f>INDEX(Displacements!C:C, MATCH(Summary!$C8, Displacements!$A:$A, 0))</f>
        <v>0</v>
      </c>
      <c r="I8" s="44">
        <f>INDEX(Displacements!D:D, MATCH(Summary!$C8, Displacements!$A:$A, 0))</f>
        <v>0</v>
      </c>
      <c r="J8" s="42">
        <f t="shared" si="0"/>
        <v>0.5</v>
      </c>
      <c r="K8" s="49">
        <f t="shared" si="1"/>
        <v>1</v>
      </c>
      <c r="L8" s="54">
        <f>INDEX('Forces+Stresses'!C:C, MATCH(Summary!$A8, 'Forces+Stresses'!$A:$A, 0))</f>
        <v>-2045</v>
      </c>
      <c r="M8" s="55">
        <f>INDEX('Forces+Stresses'!D:D, MATCH(Summary!$A8, 'Forces+Stresses'!$A:$A, 0))</f>
        <v>-2045</v>
      </c>
      <c r="N8" s="55">
        <f>IFERROR(INDEX('Forces+Stresses'!Q:Q, MATCH(Summary!$A8, 'Forces+Stresses'!$A:$A, 0)), INDEX(Flexjoints!D:D, MATCH(Summary!$A8, Flexjoints!$A:$A, 0)))</f>
        <v>2.7199999999999999E-10</v>
      </c>
      <c r="O8" s="56">
        <f>IFERROR(INDEX('Forces+Stresses'!R:R, MATCH(Summary!$A8, 'Forces+Stresses'!$A:$A, 0)), INDEX(Flexjoints!E:E, MATCH(Summary!$A8, Flexjoints!$A:$A, 0)))</f>
        <v>9.6630000000000002E-9</v>
      </c>
      <c r="P8" s="33" t="str">
        <f>IF(INDEX(Labels!B:B, MATCH(Summary!$A8, Labels!$A:$A, 0)) = 0, "", INDEX(Labels!B:B, MATCH(Summary!$A8, Labels!$A:$A, 0)))</f>
        <v>{Conductor Soil String}</v>
      </c>
      <c r="Q8" s="35" t="str">
        <f>IF(INDEX(Labels!C:C, MATCH(Summary!$A8, Labels!$A:$A, 0)) = 0, "", INDEX(Labels!C:C, MATCH(Summary!$A8, Labels!$A:$A, 0)))</f>
        <v>{Cond 36x1.5in}</v>
      </c>
      <c r="R8" s="33" t="str">
        <f>IF(INDEX(Labels!D:D, MATCH(Summary!$A8, Labels!$A:$A, 0)) = 0, "", INDEX(Labels!D:D, MATCH(Summary!$A8, Labels!$A:$A, 0)))</f>
        <v/>
      </c>
      <c r="S8" s="35" t="str">
        <f>IF(INDEX(Labels!E:E, MATCH(Summary!$A8, Labels!$A:$A, 0)) = 0, "", INDEX(Labels!E:E, MATCH(Summary!$A8, Labels!$A:$A, 0)))</f>
        <v/>
      </c>
      <c r="T8" s="33" t="str">
        <f>IF(INDEX(Labels!F:F, MATCH(Summary!$A8, Labels!$A:$A, 0)) = 0, "", INDEX(Labels!F:F, MATCH(Summary!$A8, Labels!$A:$A, 0)))</f>
        <v/>
      </c>
      <c r="U8" s="35" t="str">
        <f>IF(INDEX(Labels!G:G, MATCH(Summary!$A8, Labels!$A:$A, 0)) = 0, "", INDEX(Labels!G:G, MATCH(Summary!$A8, Labels!$A:$A, 0)))</f>
        <v/>
      </c>
      <c r="V8" s="62" t="str">
        <f>IF(INDEX(Labels!H:H, MATCH(Summary!$A8, Labels!$A:$A, 0)) = 0, "", INDEX(Labels!H:H, MATCH(Summary!$A8, Labels!$A:$A, 0)))</f>
        <v/>
      </c>
      <c r="W8" t="str">
        <f>IF(INDEX(Labels!I:I, MATCH(Summary!$A8, Labels!$A:$A, 0)) = 0, "", INDEX(Labels!I:I, MATCH(Summary!$A8, Labels!$A:$A, 0)))</f>
        <v/>
      </c>
      <c r="X8" t="str">
        <f>IF(INDEX(Labels!J:J, MATCH(Summary!$A8, Labels!$A:$A, 0)) = 0, "", INDEX(Labels!J:J, MATCH(Summary!$A8, Labels!$A:$A, 0)))</f>
        <v/>
      </c>
    </row>
    <row r="9" spans="1:24" x14ac:dyDescent="0.2">
      <c r="A9" s="33">
        <f>Labels!A10</f>
        <v>3</v>
      </c>
      <c r="B9" s="34">
        <f>INDEX(EchoData!B:B, MATCH(Summary!$A9, EchoData!$A:$A, 0))</f>
        <v>3</v>
      </c>
      <c r="C9" s="35">
        <f>INDEX(EchoData!C:C, MATCH(Summary!$A9, EchoData!$A:$A, 0))</f>
        <v>4</v>
      </c>
      <c r="D9" s="42">
        <f>INDEX(Displacements!B:B, MATCH(Summary!$B9, Displacements!$A:$A, 0))</f>
        <v>-49</v>
      </c>
      <c r="E9" s="43">
        <f>INDEX(Displacements!C:C, MATCH(Summary!$B9, Displacements!$A:$A, 0))</f>
        <v>0</v>
      </c>
      <c r="F9" s="44">
        <f>INDEX(Displacements!D:D, MATCH(Summary!$B9, Displacements!$A:$A, 0))</f>
        <v>0</v>
      </c>
      <c r="G9" s="42">
        <f>INDEX(Displacements!B:B, MATCH(Summary!$C9, Displacements!$A:$A, 0))</f>
        <v>-48.5</v>
      </c>
      <c r="H9" s="43">
        <f>INDEX(Displacements!C:C, MATCH(Summary!$C9, Displacements!$A:$A, 0))</f>
        <v>0</v>
      </c>
      <c r="I9" s="44">
        <f>INDEX(Displacements!D:D, MATCH(Summary!$C9, Displacements!$A:$A, 0))</f>
        <v>0</v>
      </c>
      <c r="J9" s="42">
        <f t="shared" si="0"/>
        <v>0.5</v>
      </c>
      <c r="K9" s="49">
        <f t="shared" si="1"/>
        <v>1</v>
      </c>
      <c r="L9" s="54">
        <f>INDEX('Forces+Stresses'!C:C, MATCH(Summary!$A9, 'Forces+Stresses'!$A:$A, 0))</f>
        <v>-2041</v>
      </c>
      <c r="M9" s="55">
        <f>INDEX('Forces+Stresses'!D:D, MATCH(Summary!$A9, 'Forces+Stresses'!$A:$A, 0))</f>
        <v>-2041</v>
      </c>
      <c r="N9" s="55">
        <f>IFERROR(INDEX('Forces+Stresses'!Q:Q, MATCH(Summary!$A9, 'Forces+Stresses'!$A:$A, 0)), INDEX(Flexjoints!D:D, MATCH(Summary!$A9, Flexjoints!$A:$A, 0)))</f>
        <v>2.203E-10</v>
      </c>
      <c r="O9" s="56">
        <f>IFERROR(INDEX('Forces+Stresses'!R:R, MATCH(Summary!$A9, 'Forces+Stresses'!$A:$A, 0)), INDEX(Flexjoints!E:E, MATCH(Summary!$A9, Flexjoints!$A:$A, 0)))</f>
        <v>7.8809999999999996E-9</v>
      </c>
      <c r="P9" s="33" t="str">
        <f>IF(INDEX(Labels!B:B, MATCH(Summary!$A9, Labels!$A:$A, 0)) = 0, "", INDEX(Labels!B:B, MATCH(Summary!$A9, Labels!$A:$A, 0)))</f>
        <v>{Conductor Soil String}</v>
      </c>
      <c r="Q9" s="35" t="str">
        <f>IF(INDEX(Labels!C:C, MATCH(Summary!$A9, Labels!$A:$A, 0)) = 0, "", INDEX(Labels!C:C, MATCH(Summary!$A9, Labels!$A:$A, 0)))</f>
        <v>{Cond 36x1.5in}</v>
      </c>
      <c r="R9" s="33" t="str">
        <f>IF(INDEX(Labels!D:D, MATCH(Summary!$A9, Labels!$A:$A, 0)) = 0, "", INDEX(Labels!D:D, MATCH(Summary!$A9, Labels!$A:$A, 0)))</f>
        <v/>
      </c>
      <c r="S9" s="35" t="str">
        <f>IF(INDEX(Labels!E:E, MATCH(Summary!$A9, Labels!$A:$A, 0)) = 0, "", INDEX(Labels!E:E, MATCH(Summary!$A9, Labels!$A:$A, 0)))</f>
        <v/>
      </c>
      <c r="T9" s="33" t="str">
        <f>IF(INDEX(Labels!F:F, MATCH(Summary!$A9, Labels!$A:$A, 0)) = 0, "", INDEX(Labels!F:F, MATCH(Summary!$A9, Labels!$A:$A, 0)))</f>
        <v/>
      </c>
      <c r="U9" s="35" t="str">
        <f>IF(INDEX(Labels!G:G, MATCH(Summary!$A9, Labels!$A:$A, 0)) = 0, "", INDEX(Labels!G:G, MATCH(Summary!$A9, Labels!$A:$A, 0)))</f>
        <v/>
      </c>
      <c r="V9" s="62" t="str">
        <f>IF(INDEX(Labels!H:H, MATCH(Summary!$A9, Labels!$A:$A, 0)) = 0, "", INDEX(Labels!H:H, MATCH(Summary!$A9, Labels!$A:$A, 0)))</f>
        <v/>
      </c>
      <c r="W9" t="str">
        <f>IF(INDEX(Labels!I:I, MATCH(Summary!$A9, Labels!$A:$A, 0)) = 0, "", INDEX(Labels!I:I, MATCH(Summary!$A9, Labels!$A:$A, 0)))</f>
        <v/>
      </c>
      <c r="X9" t="str">
        <f>IF(INDEX(Labels!J:J, MATCH(Summary!$A9, Labels!$A:$A, 0)) = 0, "", INDEX(Labels!J:J, MATCH(Summary!$A9, Labels!$A:$A, 0)))</f>
        <v/>
      </c>
    </row>
    <row r="10" spans="1:24" x14ac:dyDescent="0.2">
      <c r="A10" s="33">
        <f>Labels!A11</f>
        <v>4</v>
      </c>
      <c r="B10" s="34">
        <f>INDEX(EchoData!B:B, MATCH(Summary!$A10, EchoData!$A:$A, 0))</f>
        <v>4</v>
      </c>
      <c r="C10" s="35">
        <f>INDEX(EchoData!C:C, MATCH(Summary!$A10, EchoData!$A:$A, 0))</f>
        <v>5</v>
      </c>
      <c r="D10" s="42">
        <f>INDEX(Displacements!B:B, MATCH(Summary!$B10, Displacements!$A:$A, 0))</f>
        <v>-48.5</v>
      </c>
      <c r="E10" s="43">
        <f>INDEX(Displacements!C:C, MATCH(Summary!$B10, Displacements!$A:$A, 0))</f>
        <v>0</v>
      </c>
      <c r="F10" s="44">
        <f>INDEX(Displacements!D:D, MATCH(Summary!$B10, Displacements!$A:$A, 0))</f>
        <v>0</v>
      </c>
      <c r="G10" s="42">
        <f>INDEX(Displacements!B:B, MATCH(Summary!$C10, Displacements!$A:$A, 0))</f>
        <v>-48</v>
      </c>
      <c r="H10" s="43">
        <f>INDEX(Displacements!C:C, MATCH(Summary!$C10, Displacements!$A:$A, 0))</f>
        <v>0</v>
      </c>
      <c r="I10" s="44">
        <f>INDEX(Displacements!D:D, MATCH(Summary!$C10, Displacements!$A:$A, 0))</f>
        <v>0</v>
      </c>
      <c r="J10" s="42">
        <f t="shared" si="0"/>
        <v>0.5</v>
      </c>
      <c r="K10" s="49">
        <f t="shared" si="1"/>
        <v>1</v>
      </c>
      <c r="L10" s="54">
        <f>INDEX('Forces+Stresses'!C:C, MATCH(Summary!$A10, 'Forces+Stresses'!$A:$A, 0))</f>
        <v>-2038</v>
      </c>
      <c r="M10" s="55">
        <f>INDEX('Forces+Stresses'!D:D, MATCH(Summary!$A10, 'Forces+Stresses'!$A:$A, 0))</f>
        <v>-2038</v>
      </c>
      <c r="N10" s="55">
        <f>IFERROR(INDEX('Forces+Stresses'!Q:Q, MATCH(Summary!$A10, 'Forces+Stresses'!$A:$A, 0)), INDEX(Flexjoints!D:D, MATCH(Summary!$A10, Flexjoints!$A:$A, 0)))</f>
        <v>1.683E-10</v>
      </c>
      <c r="O10" s="56">
        <f>IFERROR(INDEX('Forces+Stresses'!R:R, MATCH(Summary!$A10, 'Forces+Stresses'!$A:$A, 0)), INDEX(Flexjoints!E:E, MATCH(Summary!$A10, Flexjoints!$A:$A, 0)))</f>
        <v>6.0840000000000001E-9</v>
      </c>
      <c r="P10" s="33" t="str">
        <f>IF(INDEX(Labels!B:B, MATCH(Summary!$A10, Labels!$A:$A, 0)) = 0, "", INDEX(Labels!B:B, MATCH(Summary!$A10, Labels!$A:$A, 0)))</f>
        <v>{Conductor Soil String}</v>
      </c>
      <c r="Q10" s="35" t="str">
        <f>IF(INDEX(Labels!C:C, MATCH(Summary!$A10, Labels!$A:$A, 0)) = 0, "", INDEX(Labels!C:C, MATCH(Summary!$A10, Labels!$A:$A, 0)))</f>
        <v>{Cond 36x1.5in}</v>
      </c>
      <c r="R10" s="33" t="str">
        <f>IF(INDEX(Labels!D:D, MATCH(Summary!$A10, Labels!$A:$A, 0)) = 0, "", INDEX(Labels!D:D, MATCH(Summary!$A10, Labels!$A:$A, 0)))</f>
        <v/>
      </c>
      <c r="S10" s="35" t="str">
        <f>IF(INDEX(Labels!E:E, MATCH(Summary!$A10, Labels!$A:$A, 0)) = 0, "", INDEX(Labels!E:E, MATCH(Summary!$A10, Labels!$A:$A, 0)))</f>
        <v/>
      </c>
      <c r="T10" s="33" t="str">
        <f>IF(INDEX(Labels!F:F, MATCH(Summary!$A10, Labels!$A:$A, 0)) = 0, "", INDEX(Labels!F:F, MATCH(Summary!$A10, Labels!$A:$A, 0)))</f>
        <v/>
      </c>
      <c r="U10" s="35" t="str">
        <f>IF(INDEX(Labels!G:G, MATCH(Summary!$A10, Labels!$A:$A, 0)) = 0, "", INDEX(Labels!G:G, MATCH(Summary!$A10, Labels!$A:$A, 0)))</f>
        <v/>
      </c>
      <c r="V10" s="62" t="str">
        <f>IF(INDEX(Labels!H:H, MATCH(Summary!$A10, Labels!$A:$A, 0)) = 0, "", INDEX(Labels!H:H, MATCH(Summary!$A10, Labels!$A:$A, 0)))</f>
        <v/>
      </c>
      <c r="W10" t="str">
        <f>IF(INDEX(Labels!I:I, MATCH(Summary!$A10, Labels!$A:$A, 0)) = 0, "", INDEX(Labels!I:I, MATCH(Summary!$A10, Labels!$A:$A, 0)))</f>
        <v/>
      </c>
      <c r="X10" t="str">
        <f>IF(INDEX(Labels!J:J, MATCH(Summary!$A10, Labels!$A:$A, 0)) = 0, "", INDEX(Labels!J:J, MATCH(Summary!$A10, Labels!$A:$A, 0)))</f>
        <v/>
      </c>
    </row>
    <row r="11" spans="1:24" x14ac:dyDescent="0.2">
      <c r="A11" s="33">
        <f>Labels!A12</f>
        <v>5</v>
      </c>
      <c r="B11" s="34">
        <f>INDEX(EchoData!B:B, MATCH(Summary!$A11, EchoData!$A:$A, 0))</f>
        <v>5</v>
      </c>
      <c r="C11" s="35">
        <f>INDEX(EchoData!C:C, MATCH(Summary!$A11, EchoData!$A:$A, 0))</f>
        <v>6</v>
      </c>
      <c r="D11" s="42">
        <f>INDEX(Displacements!B:B, MATCH(Summary!$B11, Displacements!$A:$A, 0))</f>
        <v>-48</v>
      </c>
      <c r="E11" s="43">
        <f>INDEX(Displacements!C:C, MATCH(Summary!$B11, Displacements!$A:$A, 0))</f>
        <v>0</v>
      </c>
      <c r="F11" s="44">
        <f>INDEX(Displacements!D:D, MATCH(Summary!$B11, Displacements!$A:$A, 0))</f>
        <v>0</v>
      </c>
      <c r="G11" s="42">
        <f>INDEX(Displacements!B:B, MATCH(Summary!$C11, Displacements!$A:$A, 0))</f>
        <v>-47.5</v>
      </c>
      <c r="H11" s="43">
        <f>INDEX(Displacements!C:C, MATCH(Summary!$C11, Displacements!$A:$A, 0))</f>
        <v>0</v>
      </c>
      <c r="I11" s="44">
        <f>INDEX(Displacements!D:D, MATCH(Summary!$C11, Displacements!$A:$A, 0))</f>
        <v>0</v>
      </c>
      <c r="J11" s="42">
        <f t="shared" si="0"/>
        <v>0.5</v>
      </c>
      <c r="K11" s="49">
        <f t="shared" si="1"/>
        <v>1</v>
      </c>
      <c r="L11" s="54">
        <f>INDEX('Forces+Stresses'!C:C, MATCH(Summary!$A11, 'Forces+Stresses'!$A:$A, 0))</f>
        <v>-2034</v>
      </c>
      <c r="M11" s="55">
        <f>INDEX('Forces+Stresses'!D:D, MATCH(Summary!$A11, 'Forces+Stresses'!$A:$A, 0))</f>
        <v>-2034</v>
      </c>
      <c r="N11" s="55">
        <f>IFERROR(INDEX('Forces+Stresses'!Q:Q, MATCH(Summary!$A11, 'Forces+Stresses'!$A:$A, 0)), INDEX(Flexjoints!D:D, MATCH(Summary!$A11, Flexjoints!$A:$A, 0)))</f>
        <v>1.154E-10</v>
      </c>
      <c r="O11" s="56">
        <f>IFERROR(INDEX('Forces+Stresses'!R:R, MATCH(Summary!$A11, 'Forces+Stresses'!$A:$A, 0)), INDEX(Flexjoints!E:E, MATCH(Summary!$A11, Flexjoints!$A:$A, 0)))</f>
        <v>4.258E-9</v>
      </c>
      <c r="P11" s="33" t="str">
        <f>IF(INDEX(Labels!B:B, MATCH(Summary!$A11, Labels!$A:$A, 0)) = 0, "", INDEX(Labels!B:B, MATCH(Summary!$A11, Labels!$A:$A, 0)))</f>
        <v>{Conductor Soil String}</v>
      </c>
      <c r="Q11" s="35" t="str">
        <f>IF(INDEX(Labels!C:C, MATCH(Summary!$A11, Labels!$A:$A, 0)) = 0, "", INDEX(Labels!C:C, MATCH(Summary!$A11, Labels!$A:$A, 0)))</f>
        <v>{Cond 36x1.5in}</v>
      </c>
      <c r="R11" s="33" t="str">
        <f>IF(INDEX(Labels!D:D, MATCH(Summary!$A11, Labels!$A:$A, 0)) = 0, "", INDEX(Labels!D:D, MATCH(Summary!$A11, Labels!$A:$A, 0)))</f>
        <v/>
      </c>
      <c r="S11" s="35" t="str">
        <f>IF(INDEX(Labels!E:E, MATCH(Summary!$A11, Labels!$A:$A, 0)) = 0, "", INDEX(Labels!E:E, MATCH(Summary!$A11, Labels!$A:$A, 0)))</f>
        <v/>
      </c>
      <c r="T11" s="33" t="str">
        <f>IF(INDEX(Labels!F:F, MATCH(Summary!$A11, Labels!$A:$A, 0)) = 0, "", INDEX(Labels!F:F, MATCH(Summary!$A11, Labels!$A:$A, 0)))</f>
        <v/>
      </c>
      <c r="U11" s="35" t="str">
        <f>IF(INDEX(Labels!G:G, MATCH(Summary!$A11, Labels!$A:$A, 0)) = 0, "", INDEX(Labels!G:G, MATCH(Summary!$A11, Labels!$A:$A, 0)))</f>
        <v/>
      </c>
      <c r="V11" s="62" t="str">
        <f>IF(INDEX(Labels!H:H, MATCH(Summary!$A11, Labels!$A:$A, 0)) = 0, "", INDEX(Labels!H:H, MATCH(Summary!$A11, Labels!$A:$A, 0)))</f>
        <v/>
      </c>
      <c r="W11" t="str">
        <f>IF(INDEX(Labels!I:I, MATCH(Summary!$A11, Labels!$A:$A, 0)) = 0, "", INDEX(Labels!I:I, MATCH(Summary!$A11, Labels!$A:$A, 0)))</f>
        <v/>
      </c>
      <c r="X11" t="str">
        <f>IF(INDEX(Labels!J:J, MATCH(Summary!$A11, Labels!$A:$A, 0)) = 0, "", INDEX(Labels!J:J, MATCH(Summary!$A11, Labels!$A:$A, 0)))</f>
        <v/>
      </c>
    </row>
    <row r="12" spans="1:24" x14ac:dyDescent="0.2">
      <c r="A12" s="33">
        <f>Labels!A13</f>
        <v>6</v>
      </c>
      <c r="B12" s="34">
        <f>INDEX(EchoData!B:B, MATCH(Summary!$A12, EchoData!$A:$A, 0))</f>
        <v>6</v>
      </c>
      <c r="C12" s="35">
        <f>INDEX(EchoData!C:C, MATCH(Summary!$A12, EchoData!$A:$A, 0))</f>
        <v>7</v>
      </c>
      <c r="D12" s="42">
        <f>INDEX(Displacements!B:B, MATCH(Summary!$B12, Displacements!$A:$A, 0))</f>
        <v>-47.5</v>
      </c>
      <c r="E12" s="43">
        <f>INDEX(Displacements!C:C, MATCH(Summary!$B12, Displacements!$A:$A, 0))</f>
        <v>0</v>
      </c>
      <c r="F12" s="44">
        <f>INDEX(Displacements!D:D, MATCH(Summary!$B12, Displacements!$A:$A, 0))</f>
        <v>0</v>
      </c>
      <c r="G12" s="42">
        <f>INDEX(Displacements!B:B, MATCH(Summary!$C12, Displacements!$A:$A, 0))</f>
        <v>-47</v>
      </c>
      <c r="H12" s="43">
        <f>INDEX(Displacements!C:C, MATCH(Summary!$C12, Displacements!$A:$A, 0))</f>
        <v>0</v>
      </c>
      <c r="I12" s="44">
        <f>INDEX(Displacements!D:D, MATCH(Summary!$C12, Displacements!$A:$A, 0))</f>
        <v>0</v>
      </c>
      <c r="J12" s="42">
        <f t="shared" si="0"/>
        <v>0.5</v>
      </c>
      <c r="K12" s="49">
        <f t="shared" si="1"/>
        <v>1</v>
      </c>
      <c r="L12" s="54">
        <f>INDEX('Forces+Stresses'!C:C, MATCH(Summary!$A12, 'Forces+Stresses'!$A:$A, 0))</f>
        <v>-2031</v>
      </c>
      <c r="M12" s="55">
        <f>INDEX('Forces+Stresses'!D:D, MATCH(Summary!$A12, 'Forces+Stresses'!$A:$A, 0))</f>
        <v>-2031</v>
      </c>
      <c r="N12" s="55">
        <f>IFERROR(INDEX('Forces+Stresses'!Q:Q, MATCH(Summary!$A12, 'Forces+Stresses'!$A:$A, 0)), INDEX(Flexjoints!D:D, MATCH(Summary!$A12, Flexjoints!$A:$A, 0)))</f>
        <v>6.1270000000000012E-11</v>
      </c>
      <c r="O12" s="56">
        <f>IFERROR(INDEX('Forces+Stresses'!R:R, MATCH(Summary!$A12, 'Forces+Stresses'!$A:$A, 0)), INDEX(Flexjoints!E:E, MATCH(Summary!$A12, Flexjoints!$A:$A, 0)))</f>
        <v>2.3829999999999997E-9</v>
      </c>
      <c r="P12" s="33" t="str">
        <f>IF(INDEX(Labels!B:B, MATCH(Summary!$A12, Labels!$A:$A, 0)) = 0, "", INDEX(Labels!B:B, MATCH(Summary!$A12, Labels!$A:$A, 0)))</f>
        <v>{Conductor Soil String}</v>
      </c>
      <c r="Q12" s="35" t="str">
        <f>IF(INDEX(Labels!C:C, MATCH(Summary!$A12, Labels!$A:$A, 0)) = 0, "", INDEX(Labels!C:C, MATCH(Summary!$A12, Labels!$A:$A, 0)))</f>
        <v>{Cond 36x1.5in}</v>
      </c>
      <c r="R12" s="33" t="str">
        <f>IF(INDEX(Labels!D:D, MATCH(Summary!$A12, Labels!$A:$A, 0)) = 0, "", INDEX(Labels!D:D, MATCH(Summary!$A12, Labels!$A:$A, 0)))</f>
        <v/>
      </c>
      <c r="S12" s="35" t="str">
        <f>IF(INDEX(Labels!E:E, MATCH(Summary!$A12, Labels!$A:$A, 0)) = 0, "", INDEX(Labels!E:E, MATCH(Summary!$A12, Labels!$A:$A, 0)))</f>
        <v/>
      </c>
      <c r="T12" s="33" t="str">
        <f>IF(INDEX(Labels!F:F, MATCH(Summary!$A12, Labels!$A:$A, 0)) = 0, "", INDEX(Labels!F:F, MATCH(Summary!$A12, Labels!$A:$A, 0)))</f>
        <v/>
      </c>
      <c r="U12" s="35" t="str">
        <f>IF(INDEX(Labels!G:G, MATCH(Summary!$A12, Labels!$A:$A, 0)) = 0, "", INDEX(Labels!G:G, MATCH(Summary!$A12, Labels!$A:$A, 0)))</f>
        <v/>
      </c>
      <c r="V12" s="62" t="str">
        <f>IF(INDEX(Labels!H:H, MATCH(Summary!$A12, Labels!$A:$A, 0)) = 0, "", INDEX(Labels!H:H, MATCH(Summary!$A12, Labels!$A:$A, 0)))</f>
        <v/>
      </c>
      <c r="W12" t="str">
        <f>IF(INDEX(Labels!I:I, MATCH(Summary!$A12, Labels!$A:$A, 0)) = 0, "", INDEX(Labels!I:I, MATCH(Summary!$A12, Labels!$A:$A, 0)))</f>
        <v/>
      </c>
      <c r="X12" t="str">
        <f>IF(INDEX(Labels!J:J, MATCH(Summary!$A12, Labels!$A:$A, 0)) = 0, "", INDEX(Labels!J:J, MATCH(Summary!$A12, Labels!$A:$A, 0)))</f>
        <v/>
      </c>
    </row>
    <row r="13" spans="1:24" x14ac:dyDescent="0.2">
      <c r="A13" s="33">
        <f>Labels!A14</f>
        <v>7</v>
      </c>
      <c r="B13" s="34">
        <f>INDEX(EchoData!B:B, MATCH(Summary!$A13, EchoData!$A:$A, 0))</f>
        <v>7</v>
      </c>
      <c r="C13" s="35">
        <f>INDEX(EchoData!C:C, MATCH(Summary!$A13, EchoData!$A:$A, 0))</f>
        <v>8</v>
      </c>
      <c r="D13" s="42">
        <f>INDEX(Displacements!B:B, MATCH(Summary!$B13, Displacements!$A:$A, 0))</f>
        <v>-47</v>
      </c>
      <c r="E13" s="43">
        <f>INDEX(Displacements!C:C, MATCH(Summary!$B13, Displacements!$A:$A, 0))</f>
        <v>0</v>
      </c>
      <c r="F13" s="44">
        <f>INDEX(Displacements!D:D, MATCH(Summary!$B13, Displacements!$A:$A, 0))</f>
        <v>0</v>
      </c>
      <c r="G13" s="42">
        <f>INDEX(Displacements!B:B, MATCH(Summary!$C13, Displacements!$A:$A, 0))</f>
        <v>-46.5</v>
      </c>
      <c r="H13" s="43">
        <f>INDEX(Displacements!C:C, MATCH(Summary!$C13, Displacements!$A:$A, 0))</f>
        <v>0</v>
      </c>
      <c r="I13" s="44">
        <f>INDEX(Displacements!D:D, MATCH(Summary!$C13, Displacements!$A:$A, 0))</f>
        <v>0</v>
      </c>
      <c r="J13" s="42">
        <f t="shared" si="0"/>
        <v>0.5</v>
      </c>
      <c r="K13" s="49">
        <f t="shared" si="1"/>
        <v>1</v>
      </c>
      <c r="L13" s="54">
        <f>INDEX('Forces+Stresses'!C:C, MATCH(Summary!$A13, 'Forces+Stresses'!$A:$A, 0))</f>
        <v>-2027</v>
      </c>
      <c r="M13" s="55">
        <f>INDEX('Forces+Stresses'!D:D, MATCH(Summary!$A13, 'Forces+Stresses'!$A:$A, 0))</f>
        <v>-2027</v>
      </c>
      <c r="N13" s="55">
        <f>IFERROR(INDEX('Forces+Stresses'!Q:Q, MATCH(Summary!$A13, 'Forces+Stresses'!$A:$A, 0)), INDEX(Flexjoints!D:D, MATCH(Summary!$A13, Flexjoints!$A:$A, 0)))</f>
        <v>6.8470000000000002E-12</v>
      </c>
      <c r="O13" s="56">
        <f>IFERROR(INDEX('Forces+Stresses'!R:R, MATCH(Summary!$A13, 'Forces+Stresses'!$A:$A, 0)), INDEX(Flexjoints!E:E, MATCH(Summary!$A13, Flexjoints!$A:$A, 0)))</f>
        <v>4.3860000000000002E-10</v>
      </c>
      <c r="P13" s="33" t="str">
        <f>IF(INDEX(Labels!B:B, MATCH(Summary!$A13, Labels!$A:$A, 0)) = 0, "", INDEX(Labels!B:B, MATCH(Summary!$A13, Labels!$A:$A, 0)))</f>
        <v>{Conductor Soil String}</v>
      </c>
      <c r="Q13" s="35" t="str">
        <f>IF(INDEX(Labels!C:C, MATCH(Summary!$A13, Labels!$A:$A, 0)) = 0, "", INDEX(Labels!C:C, MATCH(Summary!$A13, Labels!$A:$A, 0)))</f>
        <v>{Cond 36x1.5in}</v>
      </c>
      <c r="R13" s="33" t="str">
        <f>IF(INDEX(Labels!D:D, MATCH(Summary!$A13, Labels!$A:$A, 0)) = 0, "", INDEX(Labels!D:D, MATCH(Summary!$A13, Labels!$A:$A, 0)))</f>
        <v/>
      </c>
      <c r="S13" s="35" t="str">
        <f>IF(INDEX(Labels!E:E, MATCH(Summary!$A13, Labels!$A:$A, 0)) = 0, "", INDEX(Labels!E:E, MATCH(Summary!$A13, Labels!$A:$A, 0)))</f>
        <v/>
      </c>
      <c r="T13" s="33" t="str">
        <f>IF(INDEX(Labels!F:F, MATCH(Summary!$A13, Labels!$A:$A, 0)) = 0, "", INDEX(Labels!F:F, MATCH(Summary!$A13, Labels!$A:$A, 0)))</f>
        <v/>
      </c>
      <c r="U13" s="35" t="str">
        <f>IF(INDEX(Labels!G:G, MATCH(Summary!$A13, Labels!$A:$A, 0)) = 0, "", INDEX(Labels!G:G, MATCH(Summary!$A13, Labels!$A:$A, 0)))</f>
        <v/>
      </c>
      <c r="V13" s="62" t="str">
        <f>IF(INDEX(Labels!H:H, MATCH(Summary!$A13, Labels!$A:$A, 0)) = 0, "", INDEX(Labels!H:H, MATCH(Summary!$A13, Labels!$A:$A, 0)))</f>
        <v/>
      </c>
      <c r="W13" t="str">
        <f>IF(INDEX(Labels!I:I, MATCH(Summary!$A13, Labels!$A:$A, 0)) = 0, "", INDEX(Labels!I:I, MATCH(Summary!$A13, Labels!$A:$A, 0)))</f>
        <v/>
      </c>
      <c r="X13" t="str">
        <f>IF(INDEX(Labels!J:J, MATCH(Summary!$A13, Labels!$A:$A, 0)) = 0, "", INDEX(Labels!J:J, MATCH(Summary!$A13, Labels!$A:$A, 0)))</f>
        <v/>
      </c>
    </row>
    <row r="14" spans="1:24" x14ac:dyDescent="0.2">
      <c r="A14" s="33">
        <f>Labels!A15</f>
        <v>8</v>
      </c>
      <c r="B14" s="34">
        <f>INDEX(EchoData!B:B, MATCH(Summary!$A14, EchoData!$A:$A, 0))</f>
        <v>8</v>
      </c>
      <c r="C14" s="35">
        <f>INDEX(EchoData!C:C, MATCH(Summary!$A14, EchoData!$A:$A, 0))</f>
        <v>9</v>
      </c>
      <c r="D14" s="42">
        <f>INDEX(Displacements!B:B, MATCH(Summary!$B14, Displacements!$A:$A, 0))</f>
        <v>-46.5</v>
      </c>
      <c r="E14" s="43">
        <f>INDEX(Displacements!C:C, MATCH(Summary!$B14, Displacements!$A:$A, 0))</f>
        <v>0</v>
      </c>
      <c r="F14" s="44">
        <f>INDEX(Displacements!D:D, MATCH(Summary!$B14, Displacements!$A:$A, 0))</f>
        <v>0</v>
      </c>
      <c r="G14" s="42">
        <f>INDEX(Displacements!B:B, MATCH(Summary!$C14, Displacements!$A:$A, 0))</f>
        <v>-46</v>
      </c>
      <c r="H14" s="43">
        <f>INDEX(Displacements!C:C, MATCH(Summary!$C14, Displacements!$A:$A, 0))</f>
        <v>0</v>
      </c>
      <c r="I14" s="44">
        <f>INDEX(Displacements!D:D, MATCH(Summary!$C14, Displacements!$A:$A, 0))</f>
        <v>0</v>
      </c>
      <c r="J14" s="42">
        <f t="shared" si="0"/>
        <v>0.5</v>
      </c>
      <c r="K14" s="49">
        <f t="shared" si="1"/>
        <v>1</v>
      </c>
      <c r="L14" s="54">
        <f>INDEX('Forces+Stresses'!C:C, MATCH(Summary!$A14, 'Forces+Stresses'!$A:$A, 0))</f>
        <v>-2024</v>
      </c>
      <c r="M14" s="55">
        <f>INDEX('Forces+Stresses'!D:D, MATCH(Summary!$A14, 'Forces+Stresses'!$A:$A, 0))</f>
        <v>-2024</v>
      </c>
      <c r="N14" s="55">
        <f>IFERROR(INDEX('Forces+Stresses'!Q:Q, MATCH(Summary!$A14, 'Forces+Stresses'!$A:$A, 0)), INDEX(Flexjoints!D:D, MATCH(Summary!$A14, Flexjoints!$A:$A, 0)))</f>
        <v>5.4079999999999996E-11</v>
      </c>
      <c r="O14" s="56">
        <f>IFERROR(INDEX('Forces+Stresses'!R:R, MATCH(Summary!$A14, 'Forces+Stresses'!$A:$A, 0)), INDEX(Flexjoints!E:E, MATCH(Summary!$A14, Flexjoints!$A:$A, 0)))</f>
        <v>1.5980000000000001E-9</v>
      </c>
      <c r="P14" s="33" t="str">
        <f>IF(INDEX(Labels!B:B, MATCH(Summary!$A14, Labels!$A:$A, 0)) = 0, "", INDEX(Labels!B:B, MATCH(Summary!$A14, Labels!$A:$A, 0)))</f>
        <v>{Conductor Soil String}</v>
      </c>
      <c r="Q14" s="35" t="str">
        <f>IF(INDEX(Labels!C:C, MATCH(Summary!$A14, Labels!$A:$A, 0)) = 0, "", INDEX(Labels!C:C, MATCH(Summary!$A14, Labels!$A:$A, 0)))</f>
        <v>{Cond 36x1.5in}</v>
      </c>
      <c r="R14" s="33" t="str">
        <f>IF(INDEX(Labels!D:D, MATCH(Summary!$A14, Labels!$A:$A, 0)) = 0, "", INDEX(Labels!D:D, MATCH(Summary!$A14, Labels!$A:$A, 0)))</f>
        <v/>
      </c>
      <c r="S14" s="35" t="str">
        <f>IF(INDEX(Labels!E:E, MATCH(Summary!$A14, Labels!$A:$A, 0)) = 0, "", INDEX(Labels!E:E, MATCH(Summary!$A14, Labels!$A:$A, 0)))</f>
        <v/>
      </c>
      <c r="T14" s="33" t="str">
        <f>IF(INDEX(Labels!F:F, MATCH(Summary!$A14, Labels!$A:$A, 0)) = 0, "", INDEX(Labels!F:F, MATCH(Summary!$A14, Labels!$A:$A, 0)))</f>
        <v/>
      </c>
      <c r="U14" s="35" t="str">
        <f>IF(INDEX(Labels!G:G, MATCH(Summary!$A14, Labels!$A:$A, 0)) = 0, "", INDEX(Labels!G:G, MATCH(Summary!$A14, Labels!$A:$A, 0)))</f>
        <v/>
      </c>
      <c r="V14" s="62" t="str">
        <f>IF(INDEX(Labels!H:H, MATCH(Summary!$A14, Labels!$A:$A, 0)) = 0, "", INDEX(Labels!H:H, MATCH(Summary!$A14, Labels!$A:$A, 0)))</f>
        <v/>
      </c>
      <c r="W14" t="str">
        <f>IF(INDEX(Labels!I:I, MATCH(Summary!$A14, Labels!$A:$A, 0)) = 0, "", INDEX(Labels!I:I, MATCH(Summary!$A14, Labels!$A:$A, 0)))</f>
        <v/>
      </c>
      <c r="X14" t="str">
        <f>IF(INDEX(Labels!J:J, MATCH(Summary!$A14, Labels!$A:$A, 0)) = 0, "", INDEX(Labels!J:J, MATCH(Summary!$A14, Labels!$A:$A, 0)))</f>
        <v/>
      </c>
    </row>
    <row r="15" spans="1:24" x14ac:dyDescent="0.2">
      <c r="A15" s="33">
        <f>Labels!A16</f>
        <v>9</v>
      </c>
      <c r="B15" s="34">
        <f>INDEX(EchoData!B:B, MATCH(Summary!$A15, EchoData!$A:$A, 0))</f>
        <v>9</v>
      </c>
      <c r="C15" s="35">
        <f>INDEX(EchoData!C:C, MATCH(Summary!$A15, EchoData!$A:$A, 0))</f>
        <v>10</v>
      </c>
      <c r="D15" s="42">
        <f>INDEX(Displacements!B:B, MATCH(Summary!$B15, Displacements!$A:$A, 0))</f>
        <v>-46</v>
      </c>
      <c r="E15" s="43">
        <f>INDEX(Displacements!C:C, MATCH(Summary!$B15, Displacements!$A:$A, 0))</f>
        <v>0</v>
      </c>
      <c r="F15" s="44">
        <f>INDEX(Displacements!D:D, MATCH(Summary!$B15, Displacements!$A:$A, 0))</f>
        <v>0</v>
      </c>
      <c r="G15" s="42">
        <f>INDEX(Displacements!B:B, MATCH(Summary!$C15, Displacements!$A:$A, 0))</f>
        <v>-45.5</v>
      </c>
      <c r="H15" s="43">
        <f>INDEX(Displacements!C:C, MATCH(Summary!$C15, Displacements!$A:$A, 0))</f>
        <v>0</v>
      </c>
      <c r="I15" s="44">
        <f>INDEX(Displacements!D:D, MATCH(Summary!$C15, Displacements!$A:$A, 0))</f>
        <v>0</v>
      </c>
      <c r="J15" s="42">
        <f t="shared" si="0"/>
        <v>0.5</v>
      </c>
      <c r="K15" s="49">
        <f t="shared" si="1"/>
        <v>1</v>
      </c>
      <c r="L15" s="54">
        <f>INDEX('Forces+Stresses'!C:C, MATCH(Summary!$A15, 'Forces+Stresses'!$A:$A, 0))</f>
        <v>-2020</v>
      </c>
      <c r="M15" s="55">
        <f>INDEX('Forces+Stresses'!D:D, MATCH(Summary!$A15, 'Forces+Stresses'!$A:$A, 0))</f>
        <v>-2020</v>
      </c>
      <c r="N15" s="55">
        <f>IFERROR(INDEX('Forces+Stresses'!Q:Q, MATCH(Summary!$A15, 'Forces+Stresses'!$A:$A, 0)), INDEX(Flexjoints!D:D, MATCH(Summary!$A15, Flexjoints!$A:$A, 0)))</f>
        <v>1.159E-10</v>
      </c>
      <c r="O15" s="56">
        <f>IFERROR(INDEX('Forces+Stresses'!R:R, MATCH(Summary!$A15, 'Forces+Stresses'!$A:$A, 0)), INDEX(Flexjoints!E:E, MATCH(Summary!$A15, Flexjoints!$A:$A, 0)))</f>
        <v>3.7490000000000002E-9</v>
      </c>
      <c r="P15" s="33" t="str">
        <f>IF(INDEX(Labels!B:B, MATCH(Summary!$A15, Labels!$A:$A, 0)) = 0, "", INDEX(Labels!B:B, MATCH(Summary!$A15, Labels!$A:$A, 0)))</f>
        <v>{Conductor Soil String}</v>
      </c>
      <c r="Q15" s="35" t="str">
        <f>IF(INDEX(Labels!C:C, MATCH(Summary!$A15, Labels!$A:$A, 0)) = 0, "", INDEX(Labels!C:C, MATCH(Summary!$A15, Labels!$A:$A, 0)))</f>
        <v>{Cond 36x1.5in}</v>
      </c>
      <c r="R15" s="33" t="str">
        <f>IF(INDEX(Labels!D:D, MATCH(Summary!$A15, Labels!$A:$A, 0)) = 0, "", INDEX(Labels!D:D, MATCH(Summary!$A15, Labels!$A:$A, 0)))</f>
        <v/>
      </c>
      <c r="S15" s="35" t="str">
        <f>IF(INDEX(Labels!E:E, MATCH(Summary!$A15, Labels!$A:$A, 0)) = 0, "", INDEX(Labels!E:E, MATCH(Summary!$A15, Labels!$A:$A, 0)))</f>
        <v/>
      </c>
      <c r="T15" s="33" t="str">
        <f>IF(INDEX(Labels!F:F, MATCH(Summary!$A15, Labels!$A:$A, 0)) = 0, "", INDEX(Labels!F:F, MATCH(Summary!$A15, Labels!$A:$A, 0)))</f>
        <v/>
      </c>
      <c r="U15" s="35" t="str">
        <f>IF(INDEX(Labels!G:G, MATCH(Summary!$A15, Labels!$A:$A, 0)) = 0, "", INDEX(Labels!G:G, MATCH(Summary!$A15, Labels!$A:$A, 0)))</f>
        <v/>
      </c>
      <c r="V15" s="62" t="str">
        <f>IF(INDEX(Labels!H:H, MATCH(Summary!$A15, Labels!$A:$A, 0)) = 0, "", INDEX(Labels!H:H, MATCH(Summary!$A15, Labels!$A:$A, 0)))</f>
        <v/>
      </c>
      <c r="W15" t="str">
        <f>IF(INDEX(Labels!I:I, MATCH(Summary!$A15, Labels!$A:$A, 0)) = 0, "", INDEX(Labels!I:I, MATCH(Summary!$A15, Labels!$A:$A, 0)))</f>
        <v/>
      </c>
      <c r="X15" t="str">
        <f>IF(INDEX(Labels!J:J, MATCH(Summary!$A15, Labels!$A:$A, 0)) = 0, "", INDEX(Labels!J:J, MATCH(Summary!$A15, Labels!$A:$A, 0)))</f>
        <v/>
      </c>
    </row>
    <row r="16" spans="1:24" x14ac:dyDescent="0.2">
      <c r="A16" s="33">
        <f>Labels!A17</f>
        <v>10</v>
      </c>
      <c r="B16" s="34">
        <f>INDEX(EchoData!B:B, MATCH(Summary!$A16, EchoData!$A:$A, 0))</f>
        <v>10</v>
      </c>
      <c r="C16" s="35">
        <f>INDEX(EchoData!C:C, MATCH(Summary!$A16, EchoData!$A:$A, 0))</f>
        <v>11</v>
      </c>
      <c r="D16" s="42">
        <f>INDEX(Displacements!B:B, MATCH(Summary!$B16, Displacements!$A:$A, 0))</f>
        <v>-45.5</v>
      </c>
      <c r="E16" s="43">
        <f>INDEX(Displacements!C:C, MATCH(Summary!$B16, Displacements!$A:$A, 0))</f>
        <v>0</v>
      </c>
      <c r="F16" s="44">
        <f>INDEX(Displacements!D:D, MATCH(Summary!$B16, Displacements!$A:$A, 0))</f>
        <v>0</v>
      </c>
      <c r="G16" s="42">
        <f>INDEX(Displacements!B:B, MATCH(Summary!$C16, Displacements!$A:$A, 0))</f>
        <v>-45</v>
      </c>
      <c r="H16" s="43">
        <f>INDEX(Displacements!C:C, MATCH(Summary!$C16, Displacements!$A:$A, 0))</f>
        <v>0</v>
      </c>
      <c r="I16" s="44">
        <f>INDEX(Displacements!D:D, MATCH(Summary!$C16, Displacements!$A:$A, 0))</f>
        <v>0</v>
      </c>
      <c r="J16" s="42">
        <f t="shared" si="0"/>
        <v>0.5</v>
      </c>
      <c r="K16" s="49">
        <f t="shared" si="1"/>
        <v>1</v>
      </c>
      <c r="L16" s="54">
        <f>INDEX('Forces+Stresses'!C:C, MATCH(Summary!$A16, 'Forces+Stresses'!$A:$A, 0))</f>
        <v>-2017</v>
      </c>
      <c r="M16" s="55">
        <f>INDEX('Forces+Stresses'!D:D, MATCH(Summary!$A16, 'Forces+Stresses'!$A:$A, 0))</f>
        <v>-2017</v>
      </c>
      <c r="N16" s="55">
        <f>IFERROR(INDEX('Forces+Stresses'!Q:Q, MATCH(Summary!$A16, 'Forces+Stresses'!$A:$A, 0)), INDEX(Flexjoints!D:D, MATCH(Summary!$A16, Flexjoints!$A:$A, 0)))</f>
        <v>1.8160000000000002E-10</v>
      </c>
      <c r="O16" s="56">
        <f>IFERROR(INDEX('Forces+Stresses'!R:R, MATCH(Summary!$A16, 'Forces+Stresses'!$A:$A, 0)), INDEX(Flexjoints!E:E, MATCH(Summary!$A16, Flexjoints!$A:$A, 0)))</f>
        <v>6.0360000000000002E-9</v>
      </c>
      <c r="P16" s="33" t="str">
        <f>IF(INDEX(Labels!B:B, MATCH(Summary!$A16, Labels!$A:$A, 0)) = 0, "", INDEX(Labels!B:B, MATCH(Summary!$A16, Labels!$A:$A, 0)))</f>
        <v>{Conductor Soil String}</v>
      </c>
      <c r="Q16" s="35" t="str">
        <f>IF(INDEX(Labels!C:C, MATCH(Summary!$A16, Labels!$A:$A, 0)) = 0, "", INDEX(Labels!C:C, MATCH(Summary!$A16, Labels!$A:$A, 0)))</f>
        <v>{Cond 36x1.5in}</v>
      </c>
      <c r="R16" s="33" t="str">
        <f>IF(INDEX(Labels!D:D, MATCH(Summary!$A16, Labels!$A:$A, 0)) = 0, "", INDEX(Labels!D:D, MATCH(Summary!$A16, Labels!$A:$A, 0)))</f>
        <v/>
      </c>
      <c r="S16" s="35" t="str">
        <f>IF(INDEX(Labels!E:E, MATCH(Summary!$A16, Labels!$A:$A, 0)) = 0, "", INDEX(Labels!E:E, MATCH(Summary!$A16, Labels!$A:$A, 0)))</f>
        <v/>
      </c>
      <c r="T16" s="33" t="str">
        <f>IF(INDEX(Labels!F:F, MATCH(Summary!$A16, Labels!$A:$A, 0)) = 0, "", INDEX(Labels!F:F, MATCH(Summary!$A16, Labels!$A:$A, 0)))</f>
        <v/>
      </c>
      <c r="U16" s="35" t="str">
        <f>IF(INDEX(Labels!G:G, MATCH(Summary!$A16, Labels!$A:$A, 0)) = 0, "", INDEX(Labels!G:G, MATCH(Summary!$A16, Labels!$A:$A, 0)))</f>
        <v/>
      </c>
      <c r="V16" s="62" t="str">
        <f>IF(INDEX(Labels!H:H, MATCH(Summary!$A16, Labels!$A:$A, 0)) = 0, "", INDEX(Labels!H:H, MATCH(Summary!$A16, Labels!$A:$A, 0)))</f>
        <v/>
      </c>
      <c r="W16" t="str">
        <f>IF(INDEX(Labels!I:I, MATCH(Summary!$A16, Labels!$A:$A, 0)) = 0, "", INDEX(Labels!I:I, MATCH(Summary!$A16, Labels!$A:$A, 0)))</f>
        <v/>
      </c>
      <c r="X16" t="str">
        <f>IF(INDEX(Labels!J:J, MATCH(Summary!$A16, Labels!$A:$A, 0)) = 0, "", INDEX(Labels!J:J, MATCH(Summary!$A16, Labels!$A:$A, 0)))</f>
        <v/>
      </c>
    </row>
    <row r="17" spans="1:24" x14ac:dyDescent="0.2">
      <c r="A17" s="33">
        <f>Labels!A18</f>
        <v>11</v>
      </c>
      <c r="B17" s="34">
        <f>INDEX(EchoData!B:B, MATCH(Summary!$A17, EchoData!$A:$A, 0))</f>
        <v>11</v>
      </c>
      <c r="C17" s="35">
        <f>INDEX(EchoData!C:C, MATCH(Summary!$A17, EchoData!$A:$A, 0))</f>
        <v>12</v>
      </c>
      <c r="D17" s="42">
        <f>INDEX(Displacements!B:B, MATCH(Summary!$B17, Displacements!$A:$A, 0))</f>
        <v>-45</v>
      </c>
      <c r="E17" s="43">
        <f>INDEX(Displacements!C:C, MATCH(Summary!$B17, Displacements!$A:$A, 0))</f>
        <v>0</v>
      </c>
      <c r="F17" s="44">
        <f>INDEX(Displacements!D:D, MATCH(Summary!$B17, Displacements!$A:$A, 0))</f>
        <v>0</v>
      </c>
      <c r="G17" s="42">
        <f>INDEX(Displacements!B:B, MATCH(Summary!$C17, Displacements!$A:$A, 0))</f>
        <v>-44.5</v>
      </c>
      <c r="H17" s="43">
        <f>INDEX(Displacements!C:C, MATCH(Summary!$C17, Displacements!$A:$A, 0))</f>
        <v>0</v>
      </c>
      <c r="I17" s="44">
        <f>INDEX(Displacements!D:D, MATCH(Summary!$C17, Displacements!$A:$A, 0))</f>
        <v>0</v>
      </c>
      <c r="J17" s="42">
        <f t="shared" si="0"/>
        <v>0.5</v>
      </c>
      <c r="K17" s="49">
        <f t="shared" si="1"/>
        <v>1</v>
      </c>
      <c r="L17" s="54">
        <f>INDEX('Forces+Stresses'!C:C, MATCH(Summary!$A17, 'Forces+Stresses'!$A:$A, 0))</f>
        <v>-2013</v>
      </c>
      <c r="M17" s="55">
        <f>INDEX('Forces+Stresses'!D:D, MATCH(Summary!$A17, 'Forces+Stresses'!$A:$A, 0))</f>
        <v>-2013</v>
      </c>
      <c r="N17" s="55">
        <f>IFERROR(INDEX('Forces+Stresses'!Q:Q, MATCH(Summary!$A17, 'Forces+Stresses'!$A:$A, 0)), INDEX(Flexjoints!D:D, MATCH(Summary!$A17, Flexjoints!$A:$A, 0)))</f>
        <v>2.5150000000000001E-10</v>
      </c>
      <c r="O17" s="56">
        <f>IFERROR(INDEX('Forces+Stresses'!R:R, MATCH(Summary!$A17, 'Forces+Stresses'!$A:$A, 0)), INDEX(Flexjoints!E:E, MATCH(Summary!$A17, Flexjoints!$A:$A, 0)))</f>
        <v>8.4770000000000004E-9</v>
      </c>
      <c r="P17" s="33" t="str">
        <f>IF(INDEX(Labels!B:B, MATCH(Summary!$A17, Labels!$A:$A, 0)) = 0, "", INDEX(Labels!B:B, MATCH(Summary!$A17, Labels!$A:$A, 0)))</f>
        <v>{Conductor Soil String}</v>
      </c>
      <c r="Q17" s="35" t="str">
        <f>IF(INDEX(Labels!C:C, MATCH(Summary!$A17, Labels!$A:$A, 0)) = 0, "", INDEX(Labels!C:C, MATCH(Summary!$A17, Labels!$A:$A, 0)))</f>
        <v>{Cond 36x1.5in}</v>
      </c>
      <c r="R17" s="33" t="str">
        <f>IF(INDEX(Labels!D:D, MATCH(Summary!$A17, Labels!$A:$A, 0)) = 0, "", INDEX(Labels!D:D, MATCH(Summary!$A17, Labels!$A:$A, 0)))</f>
        <v/>
      </c>
      <c r="S17" s="35" t="str">
        <f>IF(INDEX(Labels!E:E, MATCH(Summary!$A17, Labels!$A:$A, 0)) = 0, "", INDEX(Labels!E:E, MATCH(Summary!$A17, Labels!$A:$A, 0)))</f>
        <v/>
      </c>
      <c r="T17" s="33" t="str">
        <f>IF(INDEX(Labels!F:F, MATCH(Summary!$A17, Labels!$A:$A, 0)) = 0, "", INDEX(Labels!F:F, MATCH(Summary!$A17, Labels!$A:$A, 0)))</f>
        <v/>
      </c>
      <c r="U17" s="35" t="str">
        <f>IF(INDEX(Labels!G:G, MATCH(Summary!$A17, Labels!$A:$A, 0)) = 0, "", INDEX(Labels!G:G, MATCH(Summary!$A17, Labels!$A:$A, 0)))</f>
        <v/>
      </c>
      <c r="V17" s="62" t="str">
        <f>IF(INDEX(Labels!H:H, MATCH(Summary!$A17, Labels!$A:$A, 0)) = 0, "", INDEX(Labels!H:H, MATCH(Summary!$A17, Labels!$A:$A, 0)))</f>
        <v/>
      </c>
      <c r="W17" t="str">
        <f>IF(INDEX(Labels!I:I, MATCH(Summary!$A17, Labels!$A:$A, 0)) = 0, "", INDEX(Labels!I:I, MATCH(Summary!$A17, Labels!$A:$A, 0)))</f>
        <v/>
      </c>
      <c r="X17" t="str">
        <f>IF(INDEX(Labels!J:J, MATCH(Summary!$A17, Labels!$A:$A, 0)) = 0, "", INDEX(Labels!J:J, MATCH(Summary!$A17, Labels!$A:$A, 0)))</f>
        <v/>
      </c>
    </row>
    <row r="18" spans="1:24" x14ac:dyDescent="0.2">
      <c r="A18" s="33">
        <f>Labels!A19</f>
        <v>12</v>
      </c>
      <c r="B18" s="34">
        <f>INDEX(EchoData!B:B, MATCH(Summary!$A18, EchoData!$A:$A, 0))</f>
        <v>12</v>
      </c>
      <c r="C18" s="35">
        <f>INDEX(EchoData!C:C, MATCH(Summary!$A18, EchoData!$A:$A, 0))</f>
        <v>13</v>
      </c>
      <c r="D18" s="42">
        <f>INDEX(Displacements!B:B, MATCH(Summary!$B18, Displacements!$A:$A, 0))</f>
        <v>-44.5</v>
      </c>
      <c r="E18" s="43">
        <f>INDEX(Displacements!C:C, MATCH(Summary!$B18, Displacements!$A:$A, 0))</f>
        <v>0</v>
      </c>
      <c r="F18" s="44">
        <f>INDEX(Displacements!D:D, MATCH(Summary!$B18, Displacements!$A:$A, 0))</f>
        <v>0</v>
      </c>
      <c r="G18" s="42">
        <f>INDEX(Displacements!B:B, MATCH(Summary!$C18, Displacements!$A:$A, 0))</f>
        <v>-44</v>
      </c>
      <c r="H18" s="43">
        <f>INDEX(Displacements!C:C, MATCH(Summary!$C18, Displacements!$A:$A, 0))</f>
        <v>0</v>
      </c>
      <c r="I18" s="44">
        <f>INDEX(Displacements!D:D, MATCH(Summary!$C18, Displacements!$A:$A, 0))</f>
        <v>0</v>
      </c>
      <c r="J18" s="42">
        <f t="shared" si="0"/>
        <v>0.5</v>
      </c>
      <c r="K18" s="49">
        <f t="shared" si="1"/>
        <v>1</v>
      </c>
      <c r="L18" s="54">
        <f>INDEX('Forces+Stresses'!C:C, MATCH(Summary!$A18, 'Forces+Stresses'!$A:$A, 0))</f>
        <v>-2010</v>
      </c>
      <c r="M18" s="55">
        <f>INDEX('Forces+Stresses'!D:D, MATCH(Summary!$A18, 'Forces+Stresses'!$A:$A, 0))</f>
        <v>-2010</v>
      </c>
      <c r="N18" s="55">
        <f>IFERROR(INDEX('Forces+Stresses'!Q:Q, MATCH(Summary!$A18, 'Forces+Stresses'!$A:$A, 0)), INDEX(Flexjoints!D:D, MATCH(Summary!$A18, Flexjoints!$A:$A, 0)))</f>
        <v>3.2620000000000002E-10</v>
      </c>
      <c r="O18" s="56">
        <f>IFERROR(INDEX('Forces+Stresses'!R:R, MATCH(Summary!$A18, 'Forces+Stresses'!$A:$A, 0)), INDEX(Flexjoints!E:E, MATCH(Summary!$A18, Flexjoints!$A:$A, 0)))</f>
        <v>1.109E-8</v>
      </c>
      <c r="P18" s="33" t="str">
        <f>IF(INDEX(Labels!B:B, MATCH(Summary!$A18, Labels!$A:$A, 0)) = 0, "", INDEX(Labels!B:B, MATCH(Summary!$A18, Labels!$A:$A, 0)))</f>
        <v>{Conductor Soil String}</v>
      </c>
      <c r="Q18" s="35" t="str">
        <f>IF(INDEX(Labels!C:C, MATCH(Summary!$A18, Labels!$A:$A, 0)) = 0, "", INDEX(Labels!C:C, MATCH(Summary!$A18, Labels!$A:$A, 0)))</f>
        <v>{Cond 36x1.5in}</v>
      </c>
      <c r="R18" s="33" t="str">
        <f>IF(INDEX(Labels!D:D, MATCH(Summary!$A18, Labels!$A:$A, 0)) = 0, "", INDEX(Labels!D:D, MATCH(Summary!$A18, Labels!$A:$A, 0)))</f>
        <v/>
      </c>
      <c r="S18" s="35" t="str">
        <f>IF(INDEX(Labels!E:E, MATCH(Summary!$A18, Labels!$A:$A, 0)) = 0, "", INDEX(Labels!E:E, MATCH(Summary!$A18, Labels!$A:$A, 0)))</f>
        <v/>
      </c>
      <c r="T18" s="33" t="str">
        <f>IF(INDEX(Labels!F:F, MATCH(Summary!$A18, Labels!$A:$A, 0)) = 0, "", INDEX(Labels!F:F, MATCH(Summary!$A18, Labels!$A:$A, 0)))</f>
        <v/>
      </c>
      <c r="U18" s="35" t="str">
        <f>IF(INDEX(Labels!G:G, MATCH(Summary!$A18, Labels!$A:$A, 0)) = 0, "", INDEX(Labels!G:G, MATCH(Summary!$A18, Labels!$A:$A, 0)))</f>
        <v/>
      </c>
      <c r="V18" s="62" t="str">
        <f>IF(INDEX(Labels!H:H, MATCH(Summary!$A18, Labels!$A:$A, 0)) = 0, "", INDEX(Labels!H:H, MATCH(Summary!$A18, Labels!$A:$A, 0)))</f>
        <v/>
      </c>
      <c r="W18" t="str">
        <f>IF(INDEX(Labels!I:I, MATCH(Summary!$A18, Labels!$A:$A, 0)) = 0, "", INDEX(Labels!I:I, MATCH(Summary!$A18, Labels!$A:$A, 0)))</f>
        <v/>
      </c>
      <c r="X18" t="str">
        <f>IF(INDEX(Labels!J:J, MATCH(Summary!$A18, Labels!$A:$A, 0)) = 0, "", INDEX(Labels!J:J, MATCH(Summary!$A18, Labels!$A:$A, 0)))</f>
        <v/>
      </c>
    </row>
    <row r="19" spans="1:24" x14ac:dyDescent="0.2">
      <c r="A19" s="33">
        <f>Labels!A20</f>
        <v>13</v>
      </c>
      <c r="B19" s="34">
        <f>INDEX(EchoData!B:B, MATCH(Summary!$A19, EchoData!$A:$A, 0))</f>
        <v>13</v>
      </c>
      <c r="C19" s="35">
        <f>INDEX(EchoData!C:C, MATCH(Summary!$A19, EchoData!$A:$A, 0))</f>
        <v>14</v>
      </c>
      <c r="D19" s="42">
        <f>INDEX(Displacements!B:B, MATCH(Summary!$B19, Displacements!$A:$A, 0))</f>
        <v>-44</v>
      </c>
      <c r="E19" s="43">
        <f>INDEX(Displacements!C:C, MATCH(Summary!$B19, Displacements!$A:$A, 0))</f>
        <v>0</v>
      </c>
      <c r="F19" s="44">
        <f>INDEX(Displacements!D:D, MATCH(Summary!$B19, Displacements!$A:$A, 0))</f>
        <v>0</v>
      </c>
      <c r="G19" s="42">
        <f>INDEX(Displacements!B:B, MATCH(Summary!$C19, Displacements!$A:$A, 0))</f>
        <v>-43.5</v>
      </c>
      <c r="H19" s="43">
        <f>INDEX(Displacements!C:C, MATCH(Summary!$C19, Displacements!$A:$A, 0))</f>
        <v>0</v>
      </c>
      <c r="I19" s="44">
        <f>INDEX(Displacements!D:D, MATCH(Summary!$C19, Displacements!$A:$A, 0))</f>
        <v>0</v>
      </c>
      <c r="J19" s="42">
        <f t="shared" si="0"/>
        <v>0.5</v>
      </c>
      <c r="K19" s="49">
        <f t="shared" si="1"/>
        <v>1</v>
      </c>
      <c r="L19" s="54">
        <f>INDEX('Forces+Stresses'!C:C, MATCH(Summary!$A19, 'Forces+Stresses'!$A:$A, 0))</f>
        <v>-2006</v>
      </c>
      <c r="M19" s="55">
        <f>INDEX('Forces+Stresses'!D:D, MATCH(Summary!$A19, 'Forces+Stresses'!$A:$A, 0))</f>
        <v>-2006</v>
      </c>
      <c r="N19" s="55">
        <f>IFERROR(INDEX('Forces+Stresses'!Q:Q, MATCH(Summary!$A19, 'Forces+Stresses'!$A:$A, 0)), INDEX(Flexjoints!D:D, MATCH(Summary!$A19, Flexjoints!$A:$A, 0)))</f>
        <v>4.0570000000000001E-10</v>
      </c>
      <c r="O19" s="56">
        <f>IFERROR(INDEX('Forces+Stresses'!R:R, MATCH(Summary!$A19, 'Forces+Stresses'!$A:$A, 0)), INDEX(Flexjoints!E:E, MATCH(Summary!$A19, Flexjoints!$A:$A, 0)))</f>
        <v>1.3879999999999999E-8</v>
      </c>
      <c r="P19" s="33" t="str">
        <f>IF(INDEX(Labels!B:B, MATCH(Summary!$A19, Labels!$A:$A, 0)) = 0, "", INDEX(Labels!B:B, MATCH(Summary!$A19, Labels!$A:$A, 0)))</f>
        <v>{Conductor Soil String}</v>
      </c>
      <c r="Q19" s="35" t="str">
        <f>IF(INDEX(Labels!C:C, MATCH(Summary!$A19, Labels!$A:$A, 0)) = 0, "", INDEX(Labels!C:C, MATCH(Summary!$A19, Labels!$A:$A, 0)))</f>
        <v>{Cond 36x1.5in}</v>
      </c>
      <c r="R19" s="33" t="str">
        <f>IF(INDEX(Labels!D:D, MATCH(Summary!$A19, Labels!$A:$A, 0)) = 0, "", INDEX(Labels!D:D, MATCH(Summary!$A19, Labels!$A:$A, 0)))</f>
        <v/>
      </c>
      <c r="S19" s="35" t="str">
        <f>IF(INDEX(Labels!E:E, MATCH(Summary!$A19, Labels!$A:$A, 0)) = 0, "", INDEX(Labels!E:E, MATCH(Summary!$A19, Labels!$A:$A, 0)))</f>
        <v/>
      </c>
      <c r="T19" s="33" t="str">
        <f>IF(INDEX(Labels!F:F, MATCH(Summary!$A19, Labels!$A:$A, 0)) = 0, "", INDEX(Labels!F:F, MATCH(Summary!$A19, Labels!$A:$A, 0)))</f>
        <v/>
      </c>
      <c r="U19" s="35" t="str">
        <f>IF(INDEX(Labels!G:G, MATCH(Summary!$A19, Labels!$A:$A, 0)) = 0, "", INDEX(Labels!G:G, MATCH(Summary!$A19, Labels!$A:$A, 0)))</f>
        <v/>
      </c>
      <c r="V19" s="62" t="str">
        <f>IF(INDEX(Labels!H:H, MATCH(Summary!$A19, Labels!$A:$A, 0)) = 0, "", INDEX(Labels!H:H, MATCH(Summary!$A19, Labels!$A:$A, 0)))</f>
        <v/>
      </c>
      <c r="W19" t="str">
        <f>IF(INDEX(Labels!I:I, MATCH(Summary!$A19, Labels!$A:$A, 0)) = 0, "", INDEX(Labels!I:I, MATCH(Summary!$A19, Labels!$A:$A, 0)))</f>
        <v/>
      </c>
      <c r="X19" t="str">
        <f>IF(INDEX(Labels!J:J, MATCH(Summary!$A19, Labels!$A:$A, 0)) = 0, "", INDEX(Labels!J:J, MATCH(Summary!$A19, Labels!$A:$A, 0)))</f>
        <v/>
      </c>
    </row>
    <row r="20" spans="1:24" x14ac:dyDescent="0.2">
      <c r="A20" s="33">
        <f>Labels!A21</f>
        <v>14</v>
      </c>
      <c r="B20" s="34">
        <f>INDEX(EchoData!B:B, MATCH(Summary!$A20, EchoData!$A:$A, 0))</f>
        <v>14</v>
      </c>
      <c r="C20" s="35">
        <f>INDEX(EchoData!C:C, MATCH(Summary!$A20, EchoData!$A:$A, 0))</f>
        <v>15</v>
      </c>
      <c r="D20" s="42">
        <f>INDEX(Displacements!B:B, MATCH(Summary!$B20, Displacements!$A:$A, 0))</f>
        <v>-43.5</v>
      </c>
      <c r="E20" s="43">
        <f>INDEX(Displacements!C:C, MATCH(Summary!$B20, Displacements!$A:$A, 0))</f>
        <v>0</v>
      </c>
      <c r="F20" s="44">
        <f>INDEX(Displacements!D:D, MATCH(Summary!$B20, Displacements!$A:$A, 0))</f>
        <v>0</v>
      </c>
      <c r="G20" s="42">
        <f>INDEX(Displacements!B:B, MATCH(Summary!$C20, Displacements!$A:$A, 0))</f>
        <v>-43</v>
      </c>
      <c r="H20" s="43">
        <f>INDEX(Displacements!C:C, MATCH(Summary!$C20, Displacements!$A:$A, 0))</f>
        <v>0</v>
      </c>
      <c r="I20" s="44">
        <f>INDEX(Displacements!D:D, MATCH(Summary!$C20, Displacements!$A:$A, 0))</f>
        <v>0</v>
      </c>
      <c r="J20" s="42">
        <f t="shared" si="0"/>
        <v>0.5</v>
      </c>
      <c r="K20" s="49">
        <f t="shared" si="1"/>
        <v>1</v>
      </c>
      <c r="L20" s="54">
        <f>INDEX('Forces+Stresses'!C:C, MATCH(Summary!$A20, 'Forces+Stresses'!$A:$A, 0))</f>
        <v>-2003</v>
      </c>
      <c r="M20" s="55">
        <f>INDEX('Forces+Stresses'!D:D, MATCH(Summary!$A20, 'Forces+Stresses'!$A:$A, 0))</f>
        <v>-2003</v>
      </c>
      <c r="N20" s="55">
        <f>IFERROR(INDEX('Forces+Stresses'!Q:Q, MATCH(Summary!$A20, 'Forces+Stresses'!$A:$A, 0)), INDEX(Flexjoints!D:D, MATCH(Summary!$A20, Flexjoints!$A:$A, 0)))</f>
        <v>4.8999999999999996E-10</v>
      </c>
      <c r="O20" s="56">
        <f>IFERROR(INDEX('Forces+Stresses'!R:R, MATCH(Summary!$A20, 'Forces+Stresses'!$A:$A, 0)), INDEX(Flexjoints!E:E, MATCH(Summary!$A20, Flexjoints!$A:$A, 0)))</f>
        <v>1.6849999999999999E-8</v>
      </c>
      <c r="P20" s="33" t="str">
        <f>IF(INDEX(Labels!B:B, MATCH(Summary!$A20, Labels!$A:$A, 0)) = 0, "", INDEX(Labels!B:B, MATCH(Summary!$A20, Labels!$A:$A, 0)))</f>
        <v>{Conductor Soil String}</v>
      </c>
      <c r="Q20" s="35" t="str">
        <f>IF(INDEX(Labels!C:C, MATCH(Summary!$A20, Labels!$A:$A, 0)) = 0, "", INDEX(Labels!C:C, MATCH(Summary!$A20, Labels!$A:$A, 0)))</f>
        <v>{Cond 36x1.5in}</v>
      </c>
      <c r="R20" s="33" t="str">
        <f>IF(INDEX(Labels!D:D, MATCH(Summary!$A20, Labels!$A:$A, 0)) = 0, "", INDEX(Labels!D:D, MATCH(Summary!$A20, Labels!$A:$A, 0)))</f>
        <v/>
      </c>
      <c r="S20" s="35" t="str">
        <f>IF(INDEX(Labels!E:E, MATCH(Summary!$A20, Labels!$A:$A, 0)) = 0, "", INDEX(Labels!E:E, MATCH(Summary!$A20, Labels!$A:$A, 0)))</f>
        <v/>
      </c>
      <c r="T20" s="33" t="str">
        <f>IF(INDEX(Labels!F:F, MATCH(Summary!$A20, Labels!$A:$A, 0)) = 0, "", INDEX(Labels!F:F, MATCH(Summary!$A20, Labels!$A:$A, 0)))</f>
        <v/>
      </c>
      <c r="U20" s="35" t="str">
        <f>IF(INDEX(Labels!G:G, MATCH(Summary!$A20, Labels!$A:$A, 0)) = 0, "", INDEX(Labels!G:G, MATCH(Summary!$A20, Labels!$A:$A, 0)))</f>
        <v/>
      </c>
      <c r="V20" s="62" t="str">
        <f>IF(INDEX(Labels!H:H, MATCH(Summary!$A20, Labels!$A:$A, 0)) = 0, "", INDEX(Labels!H:H, MATCH(Summary!$A20, Labels!$A:$A, 0)))</f>
        <v/>
      </c>
      <c r="W20" t="str">
        <f>IF(INDEX(Labels!I:I, MATCH(Summary!$A20, Labels!$A:$A, 0)) = 0, "", INDEX(Labels!I:I, MATCH(Summary!$A20, Labels!$A:$A, 0)))</f>
        <v/>
      </c>
      <c r="X20" t="str">
        <f>IF(INDEX(Labels!J:J, MATCH(Summary!$A20, Labels!$A:$A, 0)) = 0, "", INDEX(Labels!J:J, MATCH(Summary!$A20, Labels!$A:$A, 0)))</f>
        <v/>
      </c>
    </row>
    <row r="21" spans="1:24" x14ac:dyDescent="0.2">
      <c r="A21" s="33">
        <f>Labels!A22</f>
        <v>15</v>
      </c>
      <c r="B21" s="34">
        <f>INDEX(EchoData!B:B, MATCH(Summary!$A21, EchoData!$A:$A, 0))</f>
        <v>15</v>
      </c>
      <c r="C21" s="35">
        <f>INDEX(EchoData!C:C, MATCH(Summary!$A21, EchoData!$A:$A, 0))</f>
        <v>16</v>
      </c>
      <c r="D21" s="42">
        <f>INDEX(Displacements!B:B, MATCH(Summary!$B21, Displacements!$A:$A, 0))</f>
        <v>-43</v>
      </c>
      <c r="E21" s="43">
        <f>INDEX(Displacements!C:C, MATCH(Summary!$B21, Displacements!$A:$A, 0))</f>
        <v>0</v>
      </c>
      <c r="F21" s="44">
        <f>INDEX(Displacements!D:D, MATCH(Summary!$B21, Displacements!$A:$A, 0))</f>
        <v>0</v>
      </c>
      <c r="G21" s="42">
        <f>INDEX(Displacements!B:B, MATCH(Summary!$C21, Displacements!$A:$A, 0))</f>
        <v>-42.5</v>
      </c>
      <c r="H21" s="43">
        <f>INDEX(Displacements!C:C, MATCH(Summary!$C21, Displacements!$A:$A, 0))</f>
        <v>0</v>
      </c>
      <c r="I21" s="44">
        <f>INDEX(Displacements!D:D, MATCH(Summary!$C21, Displacements!$A:$A, 0))</f>
        <v>0</v>
      </c>
      <c r="J21" s="42">
        <f t="shared" si="0"/>
        <v>0.5</v>
      </c>
      <c r="K21" s="49">
        <f t="shared" si="1"/>
        <v>1</v>
      </c>
      <c r="L21" s="54">
        <f>INDEX('Forces+Stresses'!C:C, MATCH(Summary!$A21, 'Forces+Stresses'!$A:$A, 0))</f>
        <v>-1999</v>
      </c>
      <c r="M21" s="55">
        <f>INDEX('Forces+Stresses'!D:D, MATCH(Summary!$A21, 'Forces+Stresses'!$A:$A, 0))</f>
        <v>-1999</v>
      </c>
      <c r="N21" s="55">
        <f>IFERROR(INDEX('Forces+Stresses'!Q:Q, MATCH(Summary!$A21, 'Forces+Stresses'!$A:$A, 0)), INDEX(Flexjoints!D:D, MATCH(Summary!$A21, Flexjoints!$A:$A, 0)))</f>
        <v>5.791E-10</v>
      </c>
      <c r="O21" s="56">
        <f>IFERROR(INDEX('Forces+Stresses'!R:R, MATCH(Summary!$A21, 'Forces+Stresses'!$A:$A, 0)), INDEX(Flexjoints!E:E, MATCH(Summary!$A21, Flexjoints!$A:$A, 0)))</f>
        <v>2E-8</v>
      </c>
      <c r="P21" s="33" t="str">
        <f>IF(INDEX(Labels!B:B, MATCH(Summary!$A21, Labels!$A:$A, 0)) = 0, "", INDEX(Labels!B:B, MATCH(Summary!$A21, Labels!$A:$A, 0)))</f>
        <v>{Conductor Soil String}</v>
      </c>
      <c r="Q21" s="35" t="str">
        <f>IF(INDEX(Labels!C:C, MATCH(Summary!$A21, Labels!$A:$A, 0)) = 0, "", INDEX(Labels!C:C, MATCH(Summary!$A21, Labels!$A:$A, 0)))</f>
        <v>{Cond 36x1.5in}</v>
      </c>
      <c r="R21" s="33" t="str">
        <f>IF(INDEX(Labels!D:D, MATCH(Summary!$A21, Labels!$A:$A, 0)) = 0, "", INDEX(Labels!D:D, MATCH(Summary!$A21, Labels!$A:$A, 0)))</f>
        <v/>
      </c>
      <c r="S21" s="35" t="str">
        <f>IF(INDEX(Labels!E:E, MATCH(Summary!$A21, Labels!$A:$A, 0)) = 0, "", INDEX(Labels!E:E, MATCH(Summary!$A21, Labels!$A:$A, 0)))</f>
        <v/>
      </c>
      <c r="T21" s="33" t="str">
        <f>IF(INDEX(Labels!F:F, MATCH(Summary!$A21, Labels!$A:$A, 0)) = 0, "", INDEX(Labels!F:F, MATCH(Summary!$A21, Labels!$A:$A, 0)))</f>
        <v/>
      </c>
      <c r="U21" s="35" t="str">
        <f>IF(INDEX(Labels!G:G, MATCH(Summary!$A21, Labels!$A:$A, 0)) = 0, "", INDEX(Labels!G:G, MATCH(Summary!$A21, Labels!$A:$A, 0)))</f>
        <v/>
      </c>
      <c r="V21" s="62" t="str">
        <f>IF(INDEX(Labels!H:H, MATCH(Summary!$A21, Labels!$A:$A, 0)) = 0, "", INDEX(Labels!H:H, MATCH(Summary!$A21, Labels!$A:$A, 0)))</f>
        <v/>
      </c>
      <c r="W21" t="str">
        <f>IF(INDEX(Labels!I:I, MATCH(Summary!$A21, Labels!$A:$A, 0)) = 0, "", INDEX(Labels!I:I, MATCH(Summary!$A21, Labels!$A:$A, 0)))</f>
        <v/>
      </c>
      <c r="X21" t="str">
        <f>IF(INDEX(Labels!J:J, MATCH(Summary!$A21, Labels!$A:$A, 0)) = 0, "", INDEX(Labels!J:J, MATCH(Summary!$A21, Labels!$A:$A, 0)))</f>
        <v/>
      </c>
    </row>
    <row r="22" spans="1:24" x14ac:dyDescent="0.2">
      <c r="A22" s="33">
        <f>Labels!A23</f>
        <v>16</v>
      </c>
      <c r="B22" s="34">
        <f>INDEX(EchoData!B:B, MATCH(Summary!$A22, EchoData!$A:$A, 0))</f>
        <v>16</v>
      </c>
      <c r="C22" s="35">
        <f>INDEX(EchoData!C:C, MATCH(Summary!$A22, EchoData!$A:$A, 0))</f>
        <v>17</v>
      </c>
      <c r="D22" s="42">
        <f>INDEX(Displacements!B:B, MATCH(Summary!$B22, Displacements!$A:$A, 0))</f>
        <v>-42.5</v>
      </c>
      <c r="E22" s="43">
        <f>INDEX(Displacements!C:C, MATCH(Summary!$B22, Displacements!$A:$A, 0))</f>
        <v>0</v>
      </c>
      <c r="F22" s="44">
        <f>INDEX(Displacements!D:D, MATCH(Summary!$B22, Displacements!$A:$A, 0))</f>
        <v>0</v>
      </c>
      <c r="G22" s="42">
        <f>INDEX(Displacements!B:B, MATCH(Summary!$C22, Displacements!$A:$A, 0))</f>
        <v>-42</v>
      </c>
      <c r="H22" s="43">
        <f>INDEX(Displacements!C:C, MATCH(Summary!$C22, Displacements!$A:$A, 0))</f>
        <v>0</v>
      </c>
      <c r="I22" s="44">
        <f>INDEX(Displacements!D:D, MATCH(Summary!$C22, Displacements!$A:$A, 0))</f>
        <v>0</v>
      </c>
      <c r="J22" s="42">
        <f t="shared" si="0"/>
        <v>0.5</v>
      </c>
      <c r="K22" s="49">
        <f t="shared" si="1"/>
        <v>1</v>
      </c>
      <c r="L22" s="54">
        <f>INDEX('Forces+Stresses'!C:C, MATCH(Summary!$A22, 'Forces+Stresses'!$A:$A, 0))</f>
        <v>-1996</v>
      </c>
      <c r="M22" s="55">
        <f>INDEX('Forces+Stresses'!D:D, MATCH(Summary!$A22, 'Forces+Stresses'!$A:$A, 0))</f>
        <v>-1996</v>
      </c>
      <c r="N22" s="55">
        <f>IFERROR(INDEX('Forces+Stresses'!Q:Q, MATCH(Summary!$A22, 'Forces+Stresses'!$A:$A, 0)), INDEX(Flexjoints!D:D, MATCH(Summary!$A22, Flexjoints!$A:$A, 0)))</f>
        <v>6.7220000000000002E-10</v>
      </c>
      <c r="O22" s="56">
        <f>IFERROR(INDEX('Forces+Stresses'!R:R, MATCH(Summary!$A22, 'Forces+Stresses'!$A:$A, 0)), INDEX(Flexjoints!E:E, MATCH(Summary!$A22, Flexjoints!$A:$A, 0)))</f>
        <v>2.33E-8</v>
      </c>
      <c r="P22" s="33" t="str">
        <f>IF(INDEX(Labels!B:B, MATCH(Summary!$A22, Labels!$A:$A, 0)) = 0, "", INDEX(Labels!B:B, MATCH(Summary!$A22, Labels!$A:$A, 0)))</f>
        <v>{Conductor Soil String}</v>
      </c>
      <c r="Q22" s="35" t="str">
        <f>IF(INDEX(Labels!C:C, MATCH(Summary!$A22, Labels!$A:$A, 0)) = 0, "", INDEX(Labels!C:C, MATCH(Summary!$A22, Labels!$A:$A, 0)))</f>
        <v>{Cond 36x1.5in}</v>
      </c>
      <c r="R22" s="33" t="str">
        <f>IF(INDEX(Labels!D:D, MATCH(Summary!$A22, Labels!$A:$A, 0)) = 0, "", INDEX(Labels!D:D, MATCH(Summary!$A22, Labels!$A:$A, 0)))</f>
        <v/>
      </c>
      <c r="S22" s="35" t="str">
        <f>IF(INDEX(Labels!E:E, MATCH(Summary!$A22, Labels!$A:$A, 0)) = 0, "", INDEX(Labels!E:E, MATCH(Summary!$A22, Labels!$A:$A, 0)))</f>
        <v/>
      </c>
      <c r="T22" s="33" t="str">
        <f>IF(INDEX(Labels!F:F, MATCH(Summary!$A22, Labels!$A:$A, 0)) = 0, "", INDEX(Labels!F:F, MATCH(Summary!$A22, Labels!$A:$A, 0)))</f>
        <v/>
      </c>
      <c r="U22" s="35" t="str">
        <f>IF(INDEX(Labels!G:G, MATCH(Summary!$A22, Labels!$A:$A, 0)) = 0, "", INDEX(Labels!G:G, MATCH(Summary!$A22, Labels!$A:$A, 0)))</f>
        <v/>
      </c>
      <c r="V22" s="62" t="str">
        <f>IF(INDEX(Labels!H:H, MATCH(Summary!$A22, Labels!$A:$A, 0)) = 0, "", INDEX(Labels!H:H, MATCH(Summary!$A22, Labels!$A:$A, 0)))</f>
        <v/>
      </c>
      <c r="W22" t="str">
        <f>IF(INDEX(Labels!I:I, MATCH(Summary!$A22, Labels!$A:$A, 0)) = 0, "", INDEX(Labels!I:I, MATCH(Summary!$A22, Labels!$A:$A, 0)))</f>
        <v/>
      </c>
      <c r="X22" t="str">
        <f>IF(INDEX(Labels!J:J, MATCH(Summary!$A22, Labels!$A:$A, 0)) = 0, "", INDEX(Labels!J:J, MATCH(Summary!$A22, Labels!$A:$A, 0)))</f>
        <v/>
      </c>
    </row>
    <row r="23" spans="1:24" x14ac:dyDescent="0.2">
      <c r="A23" s="33">
        <f>Labels!A24</f>
        <v>17</v>
      </c>
      <c r="B23" s="34">
        <f>INDEX(EchoData!B:B, MATCH(Summary!$A23, EchoData!$A:$A, 0))</f>
        <v>17</v>
      </c>
      <c r="C23" s="35">
        <f>INDEX(EchoData!C:C, MATCH(Summary!$A23, EchoData!$A:$A, 0))</f>
        <v>18</v>
      </c>
      <c r="D23" s="42">
        <f>INDEX(Displacements!B:B, MATCH(Summary!$B23, Displacements!$A:$A, 0))</f>
        <v>-42</v>
      </c>
      <c r="E23" s="43">
        <f>INDEX(Displacements!C:C, MATCH(Summary!$B23, Displacements!$A:$A, 0))</f>
        <v>0</v>
      </c>
      <c r="F23" s="44">
        <f>INDEX(Displacements!D:D, MATCH(Summary!$B23, Displacements!$A:$A, 0))</f>
        <v>0</v>
      </c>
      <c r="G23" s="42">
        <f>INDEX(Displacements!B:B, MATCH(Summary!$C23, Displacements!$A:$A, 0))</f>
        <v>-41.5</v>
      </c>
      <c r="H23" s="43">
        <f>INDEX(Displacements!C:C, MATCH(Summary!$C23, Displacements!$A:$A, 0))</f>
        <v>0</v>
      </c>
      <c r="I23" s="44">
        <f>INDEX(Displacements!D:D, MATCH(Summary!$C23, Displacements!$A:$A, 0))</f>
        <v>0</v>
      </c>
      <c r="J23" s="42">
        <f t="shared" si="0"/>
        <v>0.5</v>
      </c>
      <c r="K23" s="49">
        <f t="shared" si="1"/>
        <v>1</v>
      </c>
      <c r="L23" s="54">
        <f>INDEX('Forces+Stresses'!C:C, MATCH(Summary!$A23, 'Forces+Stresses'!$A:$A, 0))</f>
        <v>-1992</v>
      </c>
      <c r="M23" s="55">
        <f>INDEX('Forces+Stresses'!D:D, MATCH(Summary!$A23, 'Forces+Stresses'!$A:$A, 0))</f>
        <v>-1992</v>
      </c>
      <c r="N23" s="55">
        <f>IFERROR(INDEX('Forces+Stresses'!Q:Q, MATCH(Summary!$A23, 'Forces+Stresses'!$A:$A, 0)), INDEX(Flexjoints!D:D, MATCH(Summary!$A23, Flexjoints!$A:$A, 0)))</f>
        <v>7.6840000000000006E-10</v>
      </c>
      <c r="O23" s="56">
        <f>IFERROR(INDEX('Forces+Stresses'!R:R, MATCH(Summary!$A23, 'Forces+Stresses'!$A:$A, 0)), INDEX(Flexjoints!E:E, MATCH(Summary!$A23, Flexjoints!$A:$A, 0)))</f>
        <v>2.6729999999999998E-8</v>
      </c>
      <c r="P23" s="33" t="str">
        <f>IF(INDEX(Labels!B:B, MATCH(Summary!$A23, Labels!$A:$A, 0)) = 0, "", INDEX(Labels!B:B, MATCH(Summary!$A23, Labels!$A:$A, 0)))</f>
        <v>{Conductor Soil String}</v>
      </c>
      <c r="Q23" s="35" t="str">
        <f>IF(INDEX(Labels!C:C, MATCH(Summary!$A23, Labels!$A:$A, 0)) = 0, "", INDEX(Labels!C:C, MATCH(Summary!$A23, Labels!$A:$A, 0)))</f>
        <v>{Cond 36x1.5in}</v>
      </c>
      <c r="R23" s="33" t="str">
        <f>IF(INDEX(Labels!D:D, MATCH(Summary!$A23, Labels!$A:$A, 0)) = 0, "", INDEX(Labels!D:D, MATCH(Summary!$A23, Labels!$A:$A, 0)))</f>
        <v/>
      </c>
      <c r="S23" s="35" t="str">
        <f>IF(INDEX(Labels!E:E, MATCH(Summary!$A23, Labels!$A:$A, 0)) = 0, "", INDEX(Labels!E:E, MATCH(Summary!$A23, Labels!$A:$A, 0)))</f>
        <v/>
      </c>
      <c r="T23" s="33" t="str">
        <f>IF(INDEX(Labels!F:F, MATCH(Summary!$A23, Labels!$A:$A, 0)) = 0, "", INDEX(Labels!F:F, MATCH(Summary!$A23, Labels!$A:$A, 0)))</f>
        <v/>
      </c>
      <c r="U23" s="35" t="str">
        <f>IF(INDEX(Labels!G:G, MATCH(Summary!$A23, Labels!$A:$A, 0)) = 0, "", INDEX(Labels!G:G, MATCH(Summary!$A23, Labels!$A:$A, 0)))</f>
        <v/>
      </c>
      <c r="V23" s="62" t="str">
        <f>IF(INDEX(Labels!H:H, MATCH(Summary!$A23, Labels!$A:$A, 0)) = 0, "", INDEX(Labels!H:H, MATCH(Summary!$A23, Labels!$A:$A, 0)))</f>
        <v/>
      </c>
      <c r="W23" t="str">
        <f>IF(INDEX(Labels!I:I, MATCH(Summary!$A23, Labels!$A:$A, 0)) = 0, "", INDEX(Labels!I:I, MATCH(Summary!$A23, Labels!$A:$A, 0)))</f>
        <v/>
      </c>
      <c r="X23" t="str">
        <f>IF(INDEX(Labels!J:J, MATCH(Summary!$A23, Labels!$A:$A, 0)) = 0, "", INDEX(Labels!J:J, MATCH(Summary!$A23, Labels!$A:$A, 0)))</f>
        <v/>
      </c>
    </row>
    <row r="24" spans="1:24" x14ac:dyDescent="0.2">
      <c r="A24" s="33">
        <f>Labels!A25</f>
        <v>18</v>
      </c>
      <c r="B24" s="34">
        <f>INDEX(EchoData!B:B, MATCH(Summary!$A24, EchoData!$A:$A, 0))</f>
        <v>18</v>
      </c>
      <c r="C24" s="35">
        <f>INDEX(EchoData!C:C, MATCH(Summary!$A24, EchoData!$A:$A, 0))</f>
        <v>19</v>
      </c>
      <c r="D24" s="42">
        <f>INDEX(Displacements!B:B, MATCH(Summary!$B24, Displacements!$A:$A, 0))</f>
        <v>-41.5</v>
      </c>
      <c r="E24" s="43">
        <f>INDEX(Displacements!C:C, MATCH(Summary!$B24, Displacements!$A:$A, 0))</f>
        <v>0</v>
      </c>
      <c r="F24" s="44">
        <f>INDEX(Displacements!D:D, MATCH(Summary!$B24, Displacements!$A:$A, 0))</f>
        <v>0</v>
      </c>
      <c r="G24" s="42">
        <f>INDEX(Displacements!B:B, MATCH(Summary!$C24, Displacements!$A:$A, 0))</f>
        <v>-41</v>
      </c>
      <c r="H24" s="43">
        <f>INDEX(Displacements!C:C, MATCH(Summary!$C24, Displacements!$A:$A, 0))</f>
        <v>0</v>
      </c>
      <c r="I24" s="44">
        <f>INDEX(Displacements!D:D, MATCH(Summary!$C24, Displacements!$A:$A, 0))</f>
        <v>0</v>
      </c>
      <c r="J24" s="42">
        <f t="shared" si="0"/>
        <v>0.5</v>
      </c>
      <c r="K24" s="49">
        <f t="shared" si="1"/>
        <v>1</v>
      </c>
      <c r="L24" s="54">
        <f>INDEX('Forces+Stresses'!C:C, MATCH(Summary!$A24, 'Forces+Stresses'!$A:$A, 0))</f>
        <v>-1988</v>
      </c>
      <c r="M24" s="55">
        <f>INDEX('Forces+Stresses'!D:D, MATCH(Summary!$A24, 'Forces+Stresses'!$A:$A, 0))</f>
        <v>-1988</v>
      </c>
      <c r="N24" s="55">
        <f>IFERROR(INDEX('Forces+Stresses'!Q:Q, MATCH(Summary!$A24, 'Forces+Stresses'!$A:$A, 0)), INDEX(Flexjoints!D:D, MATCH(Summary!$A24, Flexjoints!$A:$A, 0)))</f>
        <v>8.6640000000000003E-10</v>
      </c>
      <c r="O24" s="56">
        <f>IFERROR(INDEX('Forces+Stresses'!R:R, MATCH(Summary!$A24, 'Forces+Stresses'!$A:$A, 0)), INDEX(Flexjoints!E:E, MATCH(Summary!$A24, Flexjoints!$A:$A, 0)))</f>
        <v>3.0239999999999998E-8</v>
      </c>
      <c r="P24" s="33" t="str">
        <f>IF(INDEX(Labels!B:B, MATCH(Summary!$A24, Labels!$A:$A, 0)) = 0, "", INDEX(Labels!B:B, MATCH(Summary!$A24, Labels!$A:$A, 0)))</f>
        <v>{Conductor Soil String}</v>
      </c>
      <c r="Q24" s="35" t="str">
        <f>IF(INDEX(Labels!C:C, MATCH(Summary!$A24, Labels!$A:$A, 0)) = 0, "", INDEX(Labels!C:C, MATCH(Summary!$A24, Labels!$A:$A, 0)))</f>
        <v>{Cond 36x1.5in}</v>
      </c>
      <c r="R24" s="33" t="str">
        <f>IF(INDEX(Labels!D:D, MATCH(Summary!$A24, Labels!$A:$A, 0)) = 0, "", INDEX(Labels!D:D, MATCH(Summary!$A24, Labels!$A:$A, 0)))</f>
        <v/>
      </c>
      <c r="S24" s="35" t="str">
        <f>IF(INDEX(Labels!E:E, MATCH(Summary!$A24, Labels!$A:$A, 0)) = 0, "", INDEX(Labels!E:E, MATCH(Summary!$A24, Labels!$A:$A, 0)))</f>
        <v/>
      </c>
      <c r="T24" s="33" t="str">
        <f>IF(INDEX(Labels!F:F, MATCH(Summary!$A24, Labels!$A:$A, 0)) = 0, "", INDEX(Labels!F:F, MATCH(Summary!$A24, Labels!$A:$A, 0)))</f>
        <v/>
      </c>
      <c r="U24" s="35" t="str">
        <f>IF(INDEX(Labels!G:G, MATCH(Summary!$A24, Labels!$A:$A, 0)) = 0, "", INDEX(Labels!G:G, MATCH(Summary!$A24, Labels!$A:$A, 0)))</f>
        <v/>
      </c>
      <c r="V24" s="62" t="str">
        <f>IF(INDEX(Labels!H:H, MATCH(Summary!$A24, Labels!$A:$A, 0)) = 0, "", INDEX(Labels!H:H, MATCH(Summary!$A24, Labels!$A:$A, 0)))</f>
        <v/>
      </c>
      <c r="W24" t="str">
        <f>IF(INDEX(Labels!I:I, MATCH(Summary!$A24, Labels!$A:$A, 0)) = 0, "", INDEX(Labels!I:I, MATCH(Summary!$A24, Labels!$A:$A, 0)))</f>
        <v/>
      </c>
      <c r="X24" t="str">
        <f>IF(INDEX(Labels!J:J, MATCH(Summary!$A24, Labels!$A:$A, 0)) = 0, "", INDEX(Labels!J:J, MATCH(Summary!$A24, Labels!$A:$A, 0)))</f>
        <v/>
      </c>
    </row>
    <row r="25" spans="1:24" x14ac:dyDescent="0.2">
      <c r="A25" s="33">
        <f>Labels!A26</f>
        <v>19</v>
      </c>
      <c r="B25" s="34">
        <f>INDEX(EchoData!B:B, MATCH(Summary!$A25, EchoData!$A:$A, 0))</f>
        <v>19</v>
      </c>
      <c r="C25" s="35">
        <f>INDEX(EchoData!C:C, MATCH(Summary!$A25, EchoData!$A:$A, 0))</f>
        <v>20</v>
      </c>
      <c r="D25" s="42">
        <f>INDEX(Displacements!B:B, MATCH(Summary!$B25, Displacements!$A:$A, 0))</f>
        <v>-41</v>
      </c>
      <c r="E25" s="43">
        <f>INDEX(Displacements!C:C, MATCH(Summary!$B25, Displacements!$A:$A, 0))</f>
        <v>0</v>
      </c>
      <c r="F25" s="44">
        <f>INDEX(Displacements!D:D, MATCH(Summary!$B25, Displacements!$A:$A, 0))</f>
        <v>0</v>
      </c>
      <c r="G25" s="42">
        <f>INDEX(Displacements!B:B, MATCH(Summary!$C25, Displacements!$A:$A, 0))</f>
        <v>-40.5</v>
      </c>
      <c r="H25" s="43">
        <f>INDEX(Displacements!C:C, MATCH(Summary!$C25, Displacements!$A:$A, 0))</f>
        <v>0</v>
      </c>
      <c r="I25" s="44">
        <f>INDEX(Displacements!D:D, MATCH(Summary!$C25, Displacements!$A:$A, 0))</f>
        <v>0</v>
      </c>
      <c r="J25" s="42">
        <f t="shared" si="0"/>
        <v>0.5</v>
      </c>
      <c r="K25" s="49">
        <f t="shared" si="1"/>
        <v>1</v>
      </c>
      <c r="L25" s="54">
        <f>INDEX('Forces+Stresses'!C:C, MATCH(Summary!$A25, 'Forces+Stresses'!$A:$A, 0))</f>
        <v>-1985</v>
      </c>
      <c r="M25" s="55">
        <f>INDEX('Forces+Stresses'!D:D, MATCH(Summary!$A25, 'Forces+Stresses'!$A:$A, 0))</f>
        <v>-1985</v>
      </c>
      <c r="N25" s="55">
        <f>IFERROR(INDEX('Forces+Stresses'!Q:Q, MATCH(Summary!$A25, 'Forces+Stresses'!$A:$A, 0)), INDEX(Flexjoints!D:D, MATCH(Summary!$A25, Flexjoints!$A:$A, 0)))</f>
        <v>9.644000000000001E-10</v>
      </c>
      <c r="O25" s="56">
        <f>IFERROR(INDEX('Forces+Stresses'!R:R, MATCH(Summary!$A25, 'Forces+Stresses'!$A:$A, 0)), INDEX(Flexjoints!E:E, MATCH(Summary!$A25, Flexjoints!$A:$A, 0)))</f>
        <v>3.3769999999999997E-8</v>
      </c>
      <c r="P25" s="33" t="str">
        <f>IF(INDEX(Labels!B:B, MATCH(Summary!$A25, Labels!$A:$A, 0)) = 0, "", INDEX(Labels!B:B, MATCH(Summary!$A25, Labels!$A:$A, 0)))</f>
        <v>{Conductor Soil String}</v>
      </c>
      <c r="Q25" s="35" t="str">
        <f>IF(INDEX(Labels!C:C, MATCH(Summary!$A25, Labels!$A:$A, 0)) = 0, "", INDEX(Labels!C:C, MATCH(Summary!$A25, Labels!$A:$A, 0)))</f>
        <v>{Cond 36x1.5in}</v>
      </c>
      <c r="R25" s="33" t="str">
        <f>IF(INDEX(Labels!D:D, MATCH(Summary!$A25, Labels!$A:$A, 0)) = 0, "", INDEX(Labels!D:D, MATCH(Summary!$A25, Labels!$A:$A, 0)))</f>
        <v/>
      </c>
      <c r="S25" s="35" t="str">
        <f>IF(INDEX(Labels!E:E, MATCH(Summary!$A25, Labels!$A:$A, 0)) = 0, "", INDEX(Labels!E:E, MATCH(Summary!$A25, Labels!$A:$A, 0)))</f>
        <v/>
      </c>
      <c r="T25" s="33" t="str">
        <f>IF(INDEX(Labels!F:F, MATCH(Summary!$A25, Labels!$A:$A, 0)) = 0, "", INDEX(Labels!F:F, MATCH(Summary!$A25, Labels!$A:$A, 0)))</f>
        <v/>
      </c>
      <c r="U25" s="35" t="str">
        <f>IF(INDEX(Labels!G:G, MATCH(Summary!$A25, Labels!$A:$A, 0)) = 0, "", INDEX(Labels!G:G, MATCH(Summary!$A25, Labels!$A:$A, 0)))</f>
        <v/>
      </c>
      <c r="V25" s="62" t="str">
        <f>IF(INDEX(Labels!H:H, MATCH(Summary!$A25, Labels!$A:$A, 0)) = 0, "", INDEX(Labels!H:H, MATCH(Summary!$A25, Labels!$A:$A, 0)))</f>
        <v/>
      </c>
      <c r="W25" t="str">
        <f>IF(INDEX(Labels!I:I, MATCH(Summary!$A25, Labels!$A:$A, 0)) = 0, "", INDEX(Labels!I:I, MATCH(Summary!$A25, Labels!$A:$A, 0)))</f>
        <v/>
      </c>
      <c r="X25" t="str">
        <f>IF(INDEX(Labels!J:J, MATCH(Summary!$A25, Labels!$A:$A, 0)) = 0, "", INDEX(Labels!J:J, MATCH(Summary!$A25, Labels!$A:$A, 0)))</f>
        <v/>
      </c>
    </row>
    <row r="26" spans="1:24" x14ac:dyDescent="0.2">
      <c r="A26" s="33">
        <f>Labels!A27</f>
        <v>20</v>
      </c>
      <c r="B26" s="34">
        <f>INDEX(EchoData!B:B, MATCH(Summary!$A26, EchoData!$A:$A, 0))</f>
        <v>20</v>
      </c>
      <c r="C26" s="35">
        <f>INDEX(EchoData!C:C, MATCH(Summary!$A26, EchoData!$A:$A, 0))</f>
        <v>21</v>
      </c>
      <c r="D26" s="42">
        <f>INDEX(Displacements!B:B, MATCH(Summary!$B26, Displacements!$A:$A, 0))</f>
        <v>-40.5</v>
      </c>
      <c r="E26" s="43">
        <f>INDEX(Displacements!C:C, MATCH(Summary!$B26, Displacements!$A:$A, 0))</f>
        <v>0</v>
      </c>
      <c r="F26" s="44">
        <f>INDEX(Displacements!D:D, MATCH(Summary!$B26, Displacements!$A:$A, 0))</f>
        <v>0</v>
      </c>
      <c r="G26" s="42">
        <f>INDEX(Displacements!B:B, MATCH(Summary!$C26, Displacements!$A:$A, 0))</f>
        <v>-40</v>
      </c>
      <c r="H26" s="43">
        <f>INDEX(Displacements!C:C, MATCH(Summary!$C26, Displacements!$A:$A, 0))</f>
        <v>0</v>
      </c>
      <c r="I26" s="44">
        <f>INDEX(Displacements!D:D, MATCH(Summary!$C26, Displacements!$A:$A, 0))</f>
        <v>0</v>
      </c>
      <c r="J26" s="42">
        <f t="shared" si="0"/>
        <v>0.5</v>
      </c>
      <c r="K26" s="49">
        <f t="shared" si="1"/>
        <v>1</v>
      </c>
      <c r="L26" s="54">
        <f>INDEX('Forces+Stresses'!C:C, MATCH(Summary!$A26, 'Forces+Stresses'!$A:$A, 0))</f>
        <v>-1981</v>
      </c>
      <c r="M26" s="55">
        <f>INDEX('Forces+Stresses'!D:D, MATCH(Summary!$A26, 'Forces+Stresses'!$A:$A, 0))</f>
        <v>-1981</v>
      </c>
      <c r="N26" s="55">
        <f>IFERROR(INDEX('Forces+Stresses'!Q:Q, MATCH(Summary!$A26, 'Forces+Stresses'!$A:$A, 0)), INDEX(Flexjoints!D:D, MATCH(Summary!$A26, Flexjoints!$A:$A, 0)))</f>
        <v>1.0600000000000001E-9</v>
      </c>
      <c r="O26" s="56">
        <f>IFERROR(INDEX('Forces+Stresses'!R:R, MATCH(Summary!$A26, 'Forces+Stresses'!$A:$A, 0)), INDEX(Flexjoints!E:E, MATCH(Summary!$A26, Flexjoints!$A:$A, 0)))</f>
        <v>3.7240000000000001E-8</v>
      </c>
      <c r="P26" s="33" t="str">
        <f>IF(INDEX(Labels!B:B, MATCH(Summary!$A26, Labels!$A:$A, 0)) = 0, "", INDEX(Labels!B:B, MATCH(Summary!$A26, Labels!$A:$A, 0)))</f>
        <v>{Conductor Soil String}</v>
      </c>
      <c r="Q26" s="35" t="str">
        <f>IF(INDEX(Labels!C:C, MATCH(Summary!$A26, Labels!$A:$A, 0)) = 0, "", INDEX(Labels!C:C, MATCH(Summary!$A26, Labels!$A:$A, 0)))</f>
        <v>{Cond 36x1.5in}</v>
      </c>
      <c r="R26" s="33" t="str">
        <f>IF(INDEX(Labels!D:D, MATCH(Summary!$A26, Labels!$A:$A, 0)) = 0, "", INDEX(Labels!D:D, MATCH(Summary!$A26, Labels!$A:$A, 0)))</f>
        <v/>
      </c>
      <c r="S26" s="35" t="str">
        <f>IF(INDEX(Labels!E:E, MATCH(Summary!$A26, Labels!$A:$A, 0)) = 0, "", INDEX(Labels!E:E, MATCH(Summary!$A26, Labels!$A:$A, 0)))</f>
        <v/>
      </c>
      <c r="T26" s="33" t="str">
        <f>IF(INDEX(Labels!F:F, MATCH(Summary!$A26, Labels!$A:$A, 0)) = 0, "", INDEX(Labels!F:F, MATCH(Summary!$A26, Labels!$A:$A, 0)))</f>
        <v/>
      </c>
      <c r="U26" s="35" t="str">
        <f>IF(INDEX(Labels!G:G, MATCH(Summary!$A26, Labels!$A:$A, 0)) = 0, "", INDEX(Labels!G:G, MATCH(Summary!$A26, Labels!$A:$A, 0)))</f>
        <v/>
      </c>
      <c r="V26" s="62" t="str">
        <f>IF(INDEX(Labels!H:H, MATCH(Summary!$A26, Labels!$A:$A, 0)) = 0, "", INDEX(Labels!H:H, MATCH(Summary!$A26, Labels!$A:$A, 0)))</f>
        <v/>
      </c>
      <c r="W26" t="str">
        <f>IF(INDEX(Labels!I:I, MATCH(Summary!$A26, Labels!$A:$A, 0)) = 0, "", INDEX(Labels!I:I, MATCH(Summary!$A26, Labels!$A:$A, 0)))</f>
        <v/>
      </c>
      <c r="X26" t="str">
        <f>IF(INDEX(Labels!J:J, MATCH(Summary!$A26, Labels!$A:$A, 0)) = 0, "", INDEX(Labels!J:J, MATCH(Summary!$A26, Labels!$A:$A, 0)))</f>
        <v/>
      </c>
    </row>
    <row r="27" spans="1:24" x14ac:dyDescent="0.2">
      <c r="A27" s="33">
        <f>Labels!A28</f>
        <v>21</v>
      </c>
      <c r="B27" s="34">
        <f>INDEX(EchoData!B:B, MATCH(Summary!$A27, EchoData!$A:$A, 0))</f>
        <v>21</v>
      </c>
      <c r="C27" s="35">
        <f>INDEX(EchoData!C:C, MATCH(Summary!$A27, EchoData!$A:$A, 0))</f>
        <v>22</v>
      </c>
      <c r="D27" s="42">
        <f>INDEX(Displacements!B:B, MATCH(Summary!$B27, Displacements!$A:$A, 0))</f>
        <v>-40</v>
      </c>
      <c r="E27" s="43">
        <f>INDEX(Displacements!C:C, MATCH(Summary!$B27, Displacements!$A:$A, 0))</f>
        <v>0</v>
      </c>
      <c r="F27" s="44">
        <f>INDEX(Displacements!D:D, MATCH(Summary!$B27, Displacements!$A:$A, 0))</f>
        <v>0</v>
      </c>
      <c r="G27" s="42">
        <f>INDEX(Displacements!B:B, MATCH(Summary!$C27, Displacements!$A:$A, 0))</f>
        <v>-39.5</v>
      </c>
      <c r="H27" s="43">
        <f>INDEX(Displacements!C:C, MATCH(Summary!$C27, Displacements!$A:$A, 0))</f>
        <v>0</v>
      </c>
      <c r="I27" s="44">
        <f>INDEX(Displacements!D:D, MATCH(Summary!$C27, Displacements!$A:$A, 0))</f>
        <v>0</v>
      </c>
      <c r="J27" s="42">
        <f t="shared" si="0"/>
        <v>0.5</v>
      </c>
      <c r="K27" s="49">
        <f t="shared" si="1"/>
        <v>1</v>
      </c>
      <c r="L27" s="54">
        <f>INDEX('Forces+Stresses'!C:C, MATCH(Summary!$A27, 'Forces+Stresses'!$A:$A, 0))</f>
        <v>-1978</v>
      </c>
      <c r="M27" s="55">
        <f>INDEX('Forces+Stresses'!D:D, MATCH(Summary!$A27, 'Forces+Stresses'!$A:$A, 0))</f>
        <v>-1978</v>
      </c>
      <c r="N27" s="55">
        <f>IFERROR(INDEX('Forces+Stresses'!Q:Q, MATCH(Summary!$A27, 'Forces+Stresses'!$A:$A, 0)), INDEX(Flexjoints!D:D, MATCH(Summary!$A27, Flexjoints!$A:$A, 0)))</f>
        <v>1.15E-9</v>
      </c>
      <c r="O27" s="56">
        <f>IFERROR(INDEX('Forces+Stresses'!R:R, MATCH(Summary!$A27, 'Forces+Stresses'!$A:$A, 0)), INDEX(Flexjoints!E:E, MATCH(Summary!$A27, Flexjoints!$A:$A, 0)))</f>
        <v>4.0550000000000002E-8</v>
      </c>
      <c r="P27" s="33" t="str">
        <f>IF(INDEX(Labels!B:B, MATCH(Summary!$A27, Labels!$A:$A, 0)) = 0, "", INDEX(Labels!B:B, MATCH(Summary!$A27, Labels!$A:$A, 0)))</f>
        <v>{Conductor Soil String}</v>
      </c>
      <c r="Q27" s="35" t="str">
        <f>IF(INDEX(Labels!C:C, MATCH(Summary!$A27, Labels!$A:$A, 0)) = 0, "", INDEX(Labels!C:C, MATCH(Summary!$A27, Labels!$A:$A, 0)))</f>
        <v>{Cond 36x1.5in}</v>
      </c>
      <c r="R27" s="33" t="str">
        <f>IF(INDEX(Labels!D:D, MATCH(Summary!$A27, Labels!$A:$A, 0)) = 0, "", INDEX(Labels!D:D, MATCH(Summary!$A27, Labels!$A:$A, 0)))</f>
        <v/>
      </c>
      <c r="S27" s="35" t="str">
        <f>IF(INDEX(Labels!E:E, MATCH(Summary!$A27, Labels!$A:$A, 0)) = 0, "", INDEX(Labels!E:E, MATCH(Summary!$A27, Labels!$A:$A, 0)))</f>
        <v/>
      </c>
      <c r="T27" s="33" t="str">
        <f>IF(INDEX(Labels!F:F, MATCH(Summary!$A27, Labels!$A:$A, 0)) = 0, "", INDEX(Labels!F:F, MATCH(Summary!$A27, Labels!$A:$A, 0)))</f>
        <v/>
      </c>
      <c r="U27" s="35" t="str">
        <f>IF(INDEX(Labels!G:G, MATCH(Summary!$A27, Labels!$A:$A, 0)) = 0, "", INDEX(Labels!G:G, MATCH(Summary!$A27, Labels!$A:$A, 0)))</f>
        <v/>
      </c>
      <c r="V27" s="62" t="str">
        <f>IF(INDEX(Labels!H:H, MATCH(Summary!$A27, Labels!$A:$A, 0)) = 0, "", INDEX(Labels!H:H, MATCH(Summary!$A27, Labels!$A:$A, 0)))</f>
        <v/>
      </c>
      <c r="W27" t="str">
        <f>IF(INDEX(Labels!I:I, MATCH(Summary!$A27, Labels!$A:$A, 0)) = 0, "", INDEX(Labels!I:I, MATCH(Summary!$A27, Labels!$A:$A, 0)))</f>
        <v/>
      </c>
      <c r="X27" t="str">
        <f>IF(INDEX(Labels!J:J, MATCH(Summary!$A27, Labels!$A:$A, 0)) = 0, "", INDEX(Labels!J:J, MATCH(Summary!$A27, Labels!$A:$A, 0)))</f>
        <v/>
      </c>
    </row>
    <row r="28" spans="1:24" x14ac:dyDescent="0.2">
      <c r="A28" s="33">
        <f>Labels!A29</f>
        <v>22</v>
      </c>
      <c r="B28" s="34">
        <f>INDEX(EchoData!B:B, MATCH(Summary!$A28, EchoData!$A:$A, 0))</f>
        <v>22</v>
      </c>
      <c r="C28" s="35">
        <f>INDEX(EchoData!C:C, MATCH(Summary!$A28, EchoData!$A:$A, 0))</f>
        <v>23</v>
      </c>
      <c r="D28" s="42">
        <f>INDEX(Displacements!B:B, MATCH(Summary!$B28, Displacements!$A:$A, 0))</f>
        <v>-39.5</v>
      </c>
      <c r="E28" s="43">
        <f>INDEX(Displacements!C:C, MATCH(Summary!$B28, Displacements!$A:$A, 0))</f>
        <v>0</v>
      </c>
      <c r="F28" s="44">
        <f>INDEX(Displacements!D:D, MATCH(Summary!$B28, Displacements!$A:$A, 0))</f>
        <v>0</v>
      </c>
      <c r="G28" s="42">
        <f>INDEX(Displacements!B:B, MATCH(Summary!$C28, Displacements!$A:$A, 0))</f>
        <v>-39</v>
      </c>
      <c r="H28" s="43">
        <f>INDEX(Displacements!C:C, MATCH(Summary!$C28, Displacements!$A:$A, 0))</f>
        <v>0</v>
      </c>
      <c r="I28" s="44">
        <f>INDEX(Displacements!D:D, MATCH(Summary!$C28, Displacements!$A:$A, 0))</f>
        <v>0</v>
      </c>
      <c r="J28" s="42">
        <f t="shared" si="0"/>
        <v>0.5</v>
      </c>
      <c r="K28" s="49">
        <f t="shared" si="1"/>
        <v>1</v>
      </c>
      <c r="L28" s="54">
        <f>INDEX('Forces+Stresses'!C:C, MATCH(Summary!$A28, 'Forces+Stresses'!$A:$A, 0))</f>
        <v>-1974</v>
      </c>
      <c r="M28" s="55">
        <f>INDEX('Forces+Stresses'!D:D, MATCH(Summary!$A28, 'Forces+Stresses'!$A:$A, 0))</f>
        <v>-1974</v>
      </c>
      <c r="N28" s="55">
        <f>IFERROR(INDEX('Forces+Stresses'!Q:Q, MATCH(Summary!$A28, 'Forces+Stresses'!$A:$A, 0)), INDEX(Flexjoints!D:D, MATCH(Summary!$A28, Flexjoints!$A:$A, 0)))</f>
        <v>1.2320000000000001E-9</v>
      </c>
      <c r="O28" s="56">
        <f>IFERROR(INDEX('Forces+Stresses'!R:R, MATCH(Summary!$A28, 'Forces+Stresses'!$A:$A, 0)), INDEX(Flexjoints!E:E, MATCH(Summary!$A28, Flexjoints!$A:$A, 0)))</f>
        <v>4.3569999999999999E-8</v>
      </c>
      <c r="P28" s="33" t="str">
        <f>IF(INDEX(Labels!B:B, MATCH(Summary!$A28, Labels!$A:$A, 0)) = 0, "", INDEX(Labels!B:B, MATCH(Summary!$A28, Labels!$A:$A, 0)))</f>
        <v>{Conductor Soil String}</v>
      </c>
      <c r="Q28" s="35" t="str">
        <f>IF(INDEX(Labels!C:C, MATCH(Summary!$A28, Labels!$A:$A, 0)) = 0, "", INDEX(Labels!C:C, MATCH(Summary!$A28, Labels!$A:$A, 0)))</f>
        <v>{Cond 36x1.5in}</v>
      </c>
      <c r="R28" s="33" t="str">
        <f>IF(INDEX(Labels!D:D, MATCH(Summary!$A28, Labels!$A:$A, 0)) = 0, "", INDEX(Labels!D:D, MATCH(Summary!$A28, Labels!$A:$A, 0)))</f>
        <v/>
      </c>
      <c r="S28" s="35" t="str">
        <f>IF(INDEX(Labels!E:E, MATCH(Summary!$A28, Labels!$A:$A, 0)) = 0, "", INDEX(Labels!E:E, MATCH(Summary!$A28, Labels!$A:$A, 0)))</f>
        <v/>
      </c>
      <c r="T28" s="33" t="str">
        <f>IF(INDEX(Labels!F:F, MATCH(Summary!$A28, Labels!$A:$A, 0)) = 0, "", INDEX(Labels!F:F, MATCH(Summary!$A28, Labels!$A:$A, 0)))</f>
        <v/>
      </c>
      <c r="U28" s="35" t="str">
        <f>IF(INDEX(Labels!G:G, MATCH(Summary!$A28, Labels!$A:$A, 0)) = 0, "", INDEX(Labels!G:G, MATCH(Summary!$A28, Labels!$A:$A, 0)))</f>
        <v/>
      </c>
      <c r="V28" s="62" t="str">
        <f>IF(INDEX(Labels!H:H, MATCH(Summary!$A28, Labels!$A:$A, 0)) = 0, "", INDEX(Labels!H:H, MATCH(Summary!$A28, Labels!$A:$A, 0)))</f>
        <v/>
      </c>
      <c r="W28" t="str">
        <f>IF(INDEX(Labels!I:I, MATCH(Summary!$A28, Labels!$A:$A, 0)) = 0, "", INDEX(Labels!I:I, MATCH(Summary!$A28, Labels!$A:$A, 0)))</f>
        <v/>
      </c>
      <c r="X28" t="str">
        <f>IF(INDEX(Labels!J:J, MATCH(Summary!$A28, Labels!$A:$A, 0)) = 0, "", INDEX(Labels!J:J, MATCH(Summary!$A28, Labels!$A:$A, 0)))</f>
        <v/>
      </c>
    </row>
    <row r="29" spans="1:24" x14ac:dyDescent="0.2">
      <c r="A29" s="33">
        <f>Labels!A30</f>
        <v>23</v>
      </c>
      <c r="B29" s="34">
        <f>INDEX(EchoData!B:B, MATCH(Summary!$A29, EchoData!$A:$A, 0))</f>
        <v>23</v>
      </c>
      <c r="C29" s="35">
        <f>INDEX(EchoData!C:C, MATCH(Summary!$A29, EchoData!$A:$A, 0))</f>
        <v>24</v>
      </c>
      <c r="D29" s="42">
        <f>INDEX(Displacements!B:B, MATCH(Summary!$B29, Displacements!$A:$A, 0))</f>
        <v>-39</v>
      </c>
      <c r="E29" s="43">
        <f>INDEX(Displacements!C:C, MATCH(Summary!$B29, Displacements!$A:$A, 0))</f>
        <v>0</v>
      </c>
      <c r="F29" s="44">
        <f>INDEX(Displacements!D:D, MATCH(Summary!$B29, Displacements!$A:$A, 0))</f>
        <v>0</v>
      </c>
      <c r="G29" s="42">
        <f>INDEX(Displacements!B:B, MATCH(Summary!$C29, Displacements!$A:$A, 0))</f>
        <v>-38.5</v>
      </c>
      <c r="H29" s="43">
        <f>INDEX(Displacements!C:C, MATCH(Summary!$C29, Displacements!$A:$A, 0))</f>
        <v>0</v>
      </c>
      <c r="I29" s="44">
        <f>INDEX(Displacements!D:D, MATCH(Summary!$C29, Displacements!$A:$A, 0))</f>
        <v>0</v>
      </c>
      <c r="J29" s="42">
        <f t="shared" si="0"/>
        <v>0.5</v>
      </c>
      <c r="K29" s="49">
        <f t="shared" si="1"/>
        <v>1</v>
      </c>
      <c r="L29" s="54">
        <f>INDEX('Forces+Stresses'!C:C, MATCH(Summary!$A29, 'Forces+Stresses'!$A:$A, 0))</f>
        <v>-1971</v>
      </c>
      <c r="M29" s="55">
        <f>INDEX('Forces+Stresses'!D:D, MATCH(Summary!$A29, 'Forces+Stresses'!$A:$A, 0))</f>
        <v>-1971</v>
      </c>
      <c r="N29" s="55">
        <f>IFERROR(INDEX('Forces+Stresses'!Q:Q, MATCH(Summary!$A29, 'Forces+Stresses'!$A:$A, 0)), INDEX(Flexjoints!D:D, MATCH(Summary!$A29, Flexjoints!$A:$A, 0)))</f>
        <v>1.3000000000000001E-9</v>
      </c>
      <c r="O29" s="56">
        <f>IFERROR(INDEX('Forces+Stresses'!R:R, MATCH(Summary!$A29, 'Forces+Stresses'!$A:$A, 0)), INDEX(Flexjoints!E:E, MATCH(Summary!$A29, Flexjoints!$A:$A, 0)))</f>
        <v>4.6170000000000002E-8</v>
      </c>
      <c r="P29" s="33" t="str">
        <f>IF(INDEX(Labels!B:B, MATCH(Summary!$A29, Labels!$A:$A, 0)) = 0, "", INDEX(Labels!B:B, MATCH(Summary!$A29, Labels!$A:$A, 0)))</f>
        <v>{Conductor Soil String}</v>
      </c>
      <c r="Q29" s="35" t="str">
        <f>IF(INDEX(Labels!C:C, MATCH(Summary!$A29, Labels!$A:$A, 0)) = 0, "", INDEX(Labels!C:C, MATCH(Summary!$A29, Labels!$A:$A, 0)))</f>
        <v>{Cond 36x1.5in}</v>
      </c>
      <c r="R29" s="33" t="str">
        <f>IF(INDEX(Labels!D:D, MATCH(Summary!$A29, Labels!$A:$A, 0)) = 0, "", INDEX(Labels!D:D, MATCH(Summary!$A29, Labels!$A:$A, 0)))</f>
        <v/>
      </c>
      <c r="S29" s="35" t="str">
        <f>IF(INDEX(Labels!E:E, MATCH(Summary!$A29, Labels!$A:$A, 0)) = 0, "", INDEX(Labels!E:E, MATCH(Summary!$A29, Labels!$A:$A, 0)))</f>
        <v/>
      </c>
      <c r="T29" s="33" t="str">
        <f>IF(INDEX(Labels!F:F, MATCH(Summary!$A29, Labels!$A:$A, 0)) = 0, "", INDEX(Labels!F:F, MATCH(Summary!$A29, Labels!$A:$A, 0)))</f>
        <v/>
      </c>
      <c r="U29" s="35" t="str">
        <f>IF(INDEX(Labels!G:G, MATCH(Summary!$A29, Labels!$A:$A, 0)) = 0, "", INDEX(Labels!G:G, MATCH(Summary!$A29, Labels!$A:$A, 0)))</f>
        <v/>
      </c>
      <c r="V29" s="62" t="str">
        <f>IF(INDEX(Labels!H:H, MATCH(Summary!$A29, Labels!$A:$A, 0)) = 0, "", INDEX(Labels!H:H, MATCH(Summary!$A29, Labels!$A:$A, 0)))</f>
        <v/>
      </c>
      <c r="W29" t="str">
        <f>IF(INDEX(Labels!I:I, MATCH(Summary!$A29, Labels!$A:$A, 0)) = 0, "", INDEX(Labels!I:I, MATCH(Summary!$A29, Labels!$A:$A, 0)))</f>
        <v/>
      </c>
      <c r="X29" t="str">
        <f>IF(INDEX(Labels!J:J, MATCH(Summary!$A29, Labels!$A:$A, 0)) = 0, "", INDEX(Labels!J:J, MATCH(Summary!$A29, Labels!$A:$A, 0)))</f>
        <v/>
      </c>
    </row>
    <row r="30" spans="1:24" x14ac:dyDescent="0.2">
      <c r="A30" s="33">
        <f>Labels!A31</f>
        <v>24</v>
      </c>
      <c r="B30" s="34">
        <f>INDEX(EchoData!B:B, MATCH(Summary!$A30, EchoData!$A:$A, 0))</f>
        <v>24</v>
      </c>
      <c r="C30" s="35">
        <f>INDEX(EchoData!C:C, MATCH(Summary!$A30, EchoData!$A:$A, 0))</f>
        <v>25</v>
      </c>
      <c r="D30" s="42">
        <f>INDEX(Displacements!B:B, MATCH(Summary!$B30, Displacements!$A:$A, 0))</f>
        <v>-38.5</v>
      </c>
      <c r="E30" s="43">
        <f>INDEX(Displacements!C:C, MATCH(Summary!$B30, Displacements!$A:$A, 0))</f>
        <v>0</v>
      </c>
      <c r="F30" s="44">
        <f>INDEX(Displacements!D:D, MATCH(Summary!$B30, Displacements!$A:$A, 0))</f>
        <v>0</v>
      </c>
      <c r="G30" s="42">
        <f>INDEX(Displacements!B:B, MATCH(Summary!$C30, Displacements!$A:$A, 0))</f>
        <v>-38</v>
      </c>
      <c r="H30" s="43">
        <f>INDEX(Displacements!C:C, MATCH(Summary!$C30, Displacements!$A:$A, 0))</f>
        <v>0</v>
      </c>
      <c r="I30" s="44">
        <f>INDEX(Displacements!D:D, MATCH(Summary!$C30, Displacements!$A:$A, 0))</f>
        <v>0</v>
      </c>
      <c r="J30" s="42">
        <f t="shared" si="0"/>
        <v>0.5</v>
      </c>
      <c r="K30" s="49">
        <f t="shared" si="1"/>
        <v>1</v>
      </c>
      <c r="L30" s="54">
        <f>INDEX('Forces+Stresses'!C:C, MATCH(Summary!$A30, 'Forces+Stresses'!$A:$A, 0))</f>
        <v>-1967</v>
      </c>
      <c r="M30" s="55">
        <f>INDEX('Forces+Stresses'!D:D, MATCH(Summary!$A30, 'Forces+Stresses'!$A:$A, 0))</f>
        <v>-1967</v>
      </c>
      <c r="N30" s="55">
        <f>IFERROR(INDEX('Forces+Stresses'!Q:Q, MATCH(Summary!$A30, 'Forces+Stresses'!$A:$A, 0)), INDEX(Flexjoints!D:D, MATCH(Summary!$A30, Flexjoints!$A:$A, 0)))</f>
        <v>1.3500000000000001E-9</v>
      </c>
      <c r="O30" s="56">
        <f>IFERROR(INDEX('Forces+Stresses'!R:R, MATCH(Summary!$A30, 'Forces+Stresses'!$A:$A, 0)), INDEX(Flexjoints!E:E, MATCH(Summary!$A30, Flexjoints!$A:$A, 0)))</f>
        <v>4.8149999999999998E-8</v>
      </c>
      <c r="P30" s="33" t="str">
        <f>IF(INDEX(Labels!B:B, MATCH(Summary!$A30, Labels!$A:$A, 0)) = 0, "", INDEX(Labels!B:B, MATCH(Summary!$A30, Labels!$A:$A, 0)))</f>
        <v>{Conductor Soil String}</v>
      </c>
      <c r="Q30" s="35" t="str">
        <f>IF(INDEX(Labels!C:C, MATCH(Summary!$A30, Labels!$A:$A, 0)) = 0, "", INDEX(Labels!C:C, MATCH(Summary!$A30, Labels!$A:$A, 0)))</f>
        <v>{Cond 36x1.5in}</v>
      </c>
      <c r="R30" s="33" t="str">
        <f>IF(INDEX(Labels!D:D, MATCH(Summary!$A30, Labels!$A:$A, 0)) = 0, "", INDEX(Labels!D:D, MATCH(Summary!$A30, Labels!$A:$A, 0)))</f>
        <v/>
      </c>
      <c r="S30" s="35" t="str">
        <f>IF(INDEX(Labels!E:E, MATCH(Summary!$A30, Labels!$A:$A, 0)) = 0, "", INDEX(Labels!E:E, MATCH(Summary!$A30, Labels!$A:$A, 0)))</f>
        <v/>
      </c>
      <c r="T30" s="33" t="str">
        <f>IF(INDEX(Labels!F:F, MATCH(Summary!$A30, Labels!$A:$A, 0)) = 0, "", INDEX(Labels!F:F, MATCH(Summary!$A30, Labels!$A:$A, 0)))</f>
        <v/>
      </c>
      <c r="U30" s="35" t="str">
        <f>IF(INDEX(Labels!G:G, MATCH(Summary!$A30, Labels!$A:$A, 0)) = 0, "", INDEX(Labels!G:G, MATCH(Summary!$A30, Labels!$A:$A, 0)))</f>
        <v/>
      </c>
      <c r="V30" s="62" t="str">
        <f>IF(INDEX(Labels!H:H, MATCH(Summary!$A30, Labels!$A:$A, 0)) = 0, "", INDEX(Labels!H:H, MATCH(Summary!$A30, Labels!$A:$A, 0)))</f>
        <v/>
      </c>
      <c r="W30" t="str">
        <f>IF(INDEX(Labels!I:I, MATCH(Summary!$A30, Labels!$A:$A, 0)) = 0, "", INDEX(Labels!I:I, MATCH(Summary!$A30, Labels!$A:$A, 0)))</f>
        <v/>
      </c>
      <c r="X30" t="str">
        <f>IF(INDEX(Labels!J:J, MATCH(Summary!$A30, Labels!$A:$A, 0)) = 0, "", INDEX(Labels!J:J, MATCH(Summary!$A30, Labels!$A:$A, 0)))</f>
        <v/>
      </c>
    </row>
    <row r="31" spans="1:24" x14ac:dyDescent="0.2">
      <c r="A31" s="33">
        <f>Labels!A32</f>
        <v>25</v>
      </c>
      <c r="B31" s="34">
        <f>INDEX(EchoData!B:B, MATCH(Summary!$A31, EchoData!$A:$A, 0))</f>
        <v>25</v>
      </c>
      <c r="C31" s="35">
        <f>INDEX(EchoData!C:C, MATCH(Summary!$A31, EchoData!$A:$A, 0))</f>
        <v>26</v>
      </c>
      <c r="D31" s="42">
        <f>INDEX(Displacements!B:B, MATCH(Summary!$B31, Displacements!$A:$A, 0))</f>
        <v>-38</v>
      </c>
      <c r="E31" s="43">
        <f>INDEX(Displacements!C:C, MATCH(Summary!$B31, Displacements!$A:$A, 0))</f>
        <v>0</v>
      </c>
      <c r="F31" s="44">
        <f>INDEX(Displacements!D:D, MATCH(Summary!$B31, Displacements!$A:$A, 0))</f>
        <v>0</v>
      </c>
      <c r="G31" s="42">
        <f>INDEX(Displacements!B:B, MATCH(Summary!$C31, Displacements!$A:$A, 0))</f>
        <v>-37.5</v>
      </c>
      <c r="H31" s="43">
        <f>INDEX(Displacements!C:C, MATCH(Summary!$C31, Displacements!$A:$A, 0))</f>
        <v>0</v>
      </c>
      <c r="I31" s="44">
        <f>INDEX(Displacements!D:D, MATCH(Summary!$C31, Displacements!$A:$A, 0))</f>
        <v>0</v>
      </c>
      <c r="J31" s="42">
        <f t="shared" si="0"/>
        <v>0.5</v>
      </c>
      <c r="K31" s="49">
        <f t="shared" si="1"/>
        <v>1</v>
      </c>
      <c r="L31" s="54">
        <f>INDEX('Forces+Stresses'!C:C, MATCH(Summary!$A31, 'Forces+Stresses'!$A:$A, 0))</f>
        <v>-1964</v>
      </c>
      <c r="M31" s="55">
        <f>INDEX('Forces+Stresses'!D:D, MATCH(Summary!$A31, 'Forces+Stresses'!$A:$A, 0))</f>
        <v>-1964</v>
      </c>
      <c r="N31" s="55">
        <f>IFERROR(INDEX('Forces+Stresses'!Q:Q, MATCH(Summary!$A31, 'Forces+Stresses'!$A:$A, 0)), INDEX(Flexjoints!D:D, MATCH(Summary!$A31, Flexjoints!$A:$A, 0)))</f>
        <v>1.3749999999999999E-9</v>
      </c>
      <c r="O31" s="56">
        <f>IFERROR(INDEX('Forces+Stresses'!R:R, MATCH(Summary!$A31, 'Forces+Stresses'!$A:$A, 0)), INDEX(Flexjoints!E:E, MATCH(Summary!$A31, Flexjoints!$A:$A, 0)))</f>
        <v>4.9329999999999999E-8</v>
      </c>
      <c r="P31" s="33" t="str">
        <f>IF(INDEX(Labels!B:B, MATCH(Summary!$A31, Labels!$A:$A, 0)) = 0, "", INDEX(Labels!B:B, MATCH(Summary!$A31, Labels!$A:$A, 0)))</f>
        <v>{Conductor Soil String}</v>
      </c>
      <c r="Q31" s="35" t="str">
        <f>IF(INDEX(Labels!C:C, MATCH(Summary!$A31, Labels!$A:$A, 0)) = 0, "", INDEX(Labels!C:C, MATCH(Summary!$A31, Labels!$A:$A, 0)))</f>
        <v>{Cond 36x1.5in}</v>
      </c>
      <c r="R31" s="33" t="str">
        <f>IF(INDEX(Labels!D:D, MATCH(Summary!$A31, Labels!$A:$A, 0)) = 0, "", INDEX(Labels!D:D, MATCH(Summary!$A31, Labels!$A:$A, 0)))</f>
        <v/>
      </c>
      <c r="S31" s="35" t="str">
        <f>IF(INDEX(Labels!E:E, MATCH(Summary!$A31, Labels!$A:$A, 0)) = 0, "", INDEX(Labels!E:E, MATCH(Summary!$A31, Labels!$A:$A, 0)))</f>
        <v/>
      </c>
      <c r="T31" s="33" t="str">
        <f>IF(INDEX(Labels!F:F, MATCH(Summary!$A31, Labels!$A:$A, 0)) = 0, "", INDEX(Labels!F:F, MATCH(Summary!$A31, Labels!$A:$A, 0)))</f>
        <v/>
      </c>
      <c r="U31" s="35" t="str">
        <f>IF(INDEX(Labels!G:G, MATCH(Summary!$A31, Labels!$A:$A, 0)) = 0, "", INDEX(Labels!G:G, MATCH(Summary!$A31, Labels!$A:$A, 0)))</f>
        <v/>
      </c>
      <c r="V31" s="62" t="str">
        <f>IF(INDEX(Labels!H:H, MATCH(Summary!$A31, Labels!$A:$A, 0)) = 0, "", INDEX(Labels!H:H, MATCH(Summary!$A31, Labels!$A:$A, 0)))</f>
        <v/>
      </c>
      <c r="W31" t="str">
        <f>IF(INDEX(Labels!I:I, MATCH(Summary!$A31, Labels!$A:$A, 0)) = 0, "", INDEX(Labels!I:I, MATCH(Summary!$A31, Labels!$A:$A, 0)))</f>
        <v/>
      </c>
      <c r="X31" t="str">
        <f>IF(INDEX(Labels!J:J, MATCH(Summary!$A31, Labels!$A:$A, 0)) = 0, "", INDEX(Labels!J:J, MATCH(Summary!$A31, Labels!$A:$A, 0)))</f>
        <v/>
      </c>
    </row>
    <row r="32" spans="1:24" x14ac:dyDescent="0.2">
      <c r="A32" s="33">
        <f>Labels!A33</f>
        <v>26</v>
      </c>
      <c r="B32" s="34">
        <f>INDEX(EchoData!B:B, MATCH(Summary!$A32, EchoData!$A:$A, 0))</f>
        <v>26</v>
      </c>
      <c r="C32" s="35">
        <f>INDEX(EchoData!C:C, MATCH(Summary!$A32, EchoData!$A:$A, 0))</f>
        <v>27</v>
      </c>
      <c r="D32" s="42">
        <f>INDEX(Displacements!B:B, MATCH(Summary!$B32, Displacements!$A:$A, 0))</f>
        <v>-37.5</v>
      </c>
      <c r="E32" s="43">
        <f>INDEX(Displacements!C:C, MATCH(Summary!$B32, Displacements!$A:$A, 0))</f>
        <v>0</v>
      </c>
      <c r="F32" s="44">
        <f>INDEX(Displacements!D:D, MATCH(Summary!$B32, Displacements!$A:$A, 0))</f>
        <v>0</v>
      </c>
      <c r="G32" s="42">
        <f>INDEX(Displacements!B:B, MATCH(Summary!$C32, Displacements!$A:$A, 0))</f>
        <v>-37</v>
      </c>
      <c r="H32" s="43">
        <f>INDEX(Displacements!C:C, MATCH(Summary!$C32, Displacements!$A:$A, 0))</f>
        <v>0</v>
      </c>
      <c r="I32" s="44">
        <f>INDEX(Displacements!D:D, MATCH(Summary!$C32, Displacements!$A:$A, 0))</f>
        <v>0</v>
      </c>
      <c r="J32" s="42">
        <f t="shared" si="0"/>
        <v>0.5</v>
      </c>
      <c r="K32" s="49">
        <f t="shared" si="1"/>
        <v>1</v>
      </c>
      <c r="L32" s="54">
        <f>INDEX('Forces+Stresses'!C:C, MATCH(Summary!$A32, 'Forces+Stresses'!$A:$A, 0))</f>
        <v>-1960</v>
      </c>
      <c r="M32" s="55">
        <f>INDEX('Forces+Stresses'!D:D, MATCH(Summary!$A32, 'Forces+Stresses'!$A:$A, 0))</f>
        <v>-1960</v>
      </c>
      <c r="N32" s="55">
        <f>IFERROR(INDEX('Forces+Stresses'!Q:Q, MATCH(Summary!$A32, 'Forces+Stresses'!$A:$A, 0)), INDEX(Flexjoints!D:D, MATCH(Summary!$A32, Flexjoints!$A:$A, 0)))</f>
        <v>1.3710000000000001E-9</v>
      </c>
      <c r="O32" s="56">
        <f>IFERROR(INDEX('Forces+Stresses'!R:R, MATCH(Summary!$A32, 'Forces+Stresses'!$A:$A, 0)), INDEX(Flexjoints!E:E, MATCH(Summary!$A32, Flexjoints!$A:$A, 0)))</f>
        <v>4.9469999999999999E-8</v>
      </c>
      <c r="P32" s="33" t="str">
        <f>IF(INDEX(Labels!B:B, MATCH(Summary!$A32, Labels!$A:$A, 0)) = 0, "", INDEX(Labels!B:B, MATCH(Summary!$A32, Labels!$A:$A, 0)))</f>
        <v>{Conductor Soil String}</v>
      </c>
      <c r="Q32" s="35" t="str">
        <f>IF(INDEX(Labels!C:C, MATCH(Summary!$A32, Labels!$A:$A, 0)) = 0, "", INDEX(Labels!C:C, MATCH(Summary!$A32, Labels!$A:$A, 0)))</f>
        <v>{Cond 36x1.5in}</v>
      </c>
      <c r="R32" s="33" t="str">
        <f>IF(INDEX(Labels!D:D, MATCH(Summary!$A32, Labels!$A:$A, 0)) = 0, "", INDEX(Labels!D:D, MATCH(Summary!$A32, Labels!$A:$A, 0)))</f>
        <v/>
      </c>
      <c r="S32" s="35" t="str">
        <f>IF(INDEX(Labels!E:E, MATCH(Summary!$A32, Labels!$A:$A, 0)) = 0, "", INDEX(Labels!E:E, MATCH(Summary!$A32, Labels!$A:$A, 0)))</f>
        <v/>
      </c>
      <c r="T32" s="33" t="str">
        <f>IF(INDEX(Labels!F:F, MATCH(Summary!$A32, Labels!$A:$A, 0)) = 0, "", INDEX(Labels!F:F, MATCH(Summary!$A32, Labels!$A:$A, 0)))</f>
        <v/>
      </c>
      <c r="U32" s="35" t="str">
        <f>IF(INDEX(Labels!G:G, MATCH(Summary!$A32, Labels!$A:$A, 0)) = 0, "", INDEX(Labels!G:G, MATCH(Summary!$A32, Labels!$A:$A, 0)))</f>
        <v/>
      </c>
      <c r="V32" s="62" t="str">
        <f>IF(INDEX(Labels!H:H, MATCH(Summary!$A32, Labels!$A:$A, 0)) = 0, "", INDEX(Labels!H:H, MATCH(Summary!$A32, Labels!$A:$A, 0)))</f>
        <v/>
      </c>
      <c r="W32" t="str">
        <f>IF(INDEX(Labels!I:I, MATCH(Summary!$A32, Labels!$A:$A, 0)) = 0, "", INDEX(Labels!I:I, MATCH(Summary!$A32, Labels!$A:$A, 0)))</f>
        <v/>
      </c>
      <c r="X32" t="str">
        <f>IF(INDEX(Labels!J:J, MATCH(Summary!$A32, Labels!$A:$A, 0)) = 0, "", INDEX(Labels!J:J, MATCH(Summary!$A32, Labels!$A:$A, 0)))</f>
        <v/>
      </c>
    </row>
    <row r="33" spans="1:24" x14ac:dyDescent="0.2">
      <c r="A33" s="33">
        <f>Labels!A34</f>
        <v>27</v>
      </c>
      <c r="B33" s="34">
        <f>INDEX(EchoData!B:B, MATCH(Summary!$A33, EchoData!$A:$A, 0))</f>
        <v>27</v>
      </c>
      <c r="C33" s="35">
        <f>INDEX(EchoData!C:C, MATCH(Summary!$A33, EchoData!$A:$A, 0))</f>
        <v>28</v>
      </c>
      <c r="D33" s="42">
        <f>INDEX(Displacements!B:B, MATCH(Summary!$B33, Displacements!$A:$A, 0))</f>
        <v>-37</v>
      </c>
      <c r="E33" s="43">
        <f>INDEX(Displacements!C:C, MATCH(Summary!$B33, Displacements!$A:$A, 0))</f>
        <v>0</v>
      </c>
      <c r="F33" s="44">
        <f>INDEX(Displacements!D:D, MATCH(Summary!$B33, Displacements!$A:$A, 0))</f>
        <v>0</v>
      </c>
      <c r="G33" s="42">
        <f>INDEX(Displacements!B:B, MATCH(Summary!$C33, Displacements!$A:$A, 0))</f>
        <v>-36.5</v>
      </c>
      <c r="H33" s="43">
        <f>INDEX(Displacements!C:C, MATCH(Summary!$C33, Displacements!$A:$A, 0))</f>
        <v>0</v>
      </c>
      <c r="I33" s="44">
        <f>INDEX(Displacements!D:D, MATCH(Summary!$C33, Displacements!$A:$A, 0))</f>
        <v>0</v>
      </c>
      <c r="J33" s="42">
        <f t="shared" si="0"/>
        <v>0.5</v>
      </c>
      <c r="K33" s="49">
        <f t="shared" si="1"/>
        <v>1</v>
      </c>
      <c r="L33" s="54">
        <f>INDEX('Forces+Stresses'!C:C, MATCH(Summary!$A33, 'Forces+Stresses'!$A:$A, 0))</f>
        <v>-1957</v>
      </c>
      <c r="M33" s="55">
        <f>INDEX('Forces+Stresses'!D:D, MATCH(Summary!$A33, 'Forces+Stresses'!$A:$A, 0))</f>
        <v>-1957</v>
      </c>
      <c r="N33" s="55">
        <f>IFERROR(INDEX('Forces+Stresses'!Q:Q, MATCH(Summary!$A33, 'Forces+Stresses'!$A:$A, 0)), INDEX(Flexjoints!D:D, MATCH(Summary!$A33, Flexjoints!$A:$A, 0)))</f>
        <v>1.328E-9</v>
      </c>
      <c r="O33" s="56">
        <f>IFERROR(INDEX('Forces+Stresses'!R:R, MATCH(Summary!$A33, 'Forces+Stresses'!$A:$A, 0)), INDEX(Flexjoints!E:E, MATCH(Summary!$A33, Flexjoints!$A:$A, 0)))</f>
        <v>4.8319999999999999E-8</v>
      </c>
      <c r="P33" s="33" t="str">
        <f>IF(INDEX(Labels!B:B, MATCH(Summary!$A33, Labels!$A:$A, 0)) = 0, "", INDEX(Labels!B:B, MATCH(Summary!$A33, Labels!$A:$A, 0)))</f>
        <v>{Conductor Soil String}</v>
      </c>
      <c r="Q33" s="35" t="str">
        <f>IF(INDEX(Labels!C:C, MATCH(Summary!$A33, Labels!$A:$A, 0)) = 0, "", INDEX(Labels!C:C, MATCH(Summary!$A33, Labels!$A:$A, 0)))</f>
        <v>{Cond 36x1.5in}</v>
      </c>
      <c r="R33" s="33" t="str">
        <f>IF(INDEX(Labels!D:D, MATCH(Summary!$A33, Labels!$A:$A, 0)) = 0, "", INDEX(Labels!D:D, MATCH(Summary!$A33, Labels!$A:$A, 0)))</f>
        <v/>
      </c>
      <c r="S33" s="35" t="str">
        <f>IF(INDEX(Labels!E:E, MATCH(Summary!$A33, Labels!$A:$A, 0)) = 0, "", INDEX(Labels!E:E, MATCH(Summary!$A33, Labels!$A:$A, 0)))</f>
        <v/>
      </c>
      <c r="T33" s="33" t="str">
        <f>IF(INDEX(Labels!F:F, MATCH(Summary!$A33, Labels!$A:$A, 0)) = 0, "", INDEX(Labels!F:F, MATCH(Summary!$A33, Labels!$A:$A, 0)))</f>
        <v/>
      </c>
      <c r="U33" s="35" t="str">
        <f>IF(INDEX(Labels!G:G, MATCH(Summary!$A33, Labels!$A:$A, 0)) = 0, "", INDEX(Labels!G:G, MATCH(Summary!$A33, Labels!$A:$A, 0)))</f>
        <v/>
      </c>
      <c r="V33" s="62" t="str">
        <f>IF(INDEX(Labels!H:H, MATCH(Summary!$A33, Labels!$A:$A, 0)) = 0, "", INDEX(Labels!H:H, MATCH(Summary!$A33, Labels!$A:$A, 0)))</f>
        <v/>
      </c>
      <c r="W33" t="str">
        <f>IF(INDEX(Labels!I:I, MATCH(Summary!$A33, Labels!$A:$A, 0)) = 0, "", INDEX(Labels!I:I, MATCH(Summary!$A33, Labels!$A:$A, 0)))</f>
        <v/>
      </c>
      <c r="X33" t="str">
        <f>IF(INDEX(Labels!J:J, MATCH(Summary!$A33, Labels!$A:$A, 0)) = 0, "", INDEX(Labels!J:J, MATCH(Summary!$A33, Labels!$A:$A, 0)))</f>
        <v/>
      </c>
    </row>
    <row r="34" spans="1:24" x14ac:dyDescent="0.2">
      <c r="A34" s="33">
        <f>Labels!A35</f>
        <v>28</v>
      </c>
      <c r="B34" s="34">
        <f>INDEX(EchoData!B:B, MATCH(Summary!$A34, EchoData!$A:$A, 0))</f>
        <v>28</v>
      </c>
      <c r="C34" s="35">
        <f>INDEX(EchoData!C:C, MATCH(Summary!$A34, EchoData!$A:$A, 0))</f>
        <v>29</v>
      </c>
      <c r="D34" s="42">
        <f>INDEX(Displacements!B:B, MATCH(Summary!$B34, Displacements!$A:$A, 0))</f>
        <v>-36.5</v>
      </c>
      <c r="E34" s="43">
        <f>INDEX(Displacements!C:C, MATCH(Summary!$B34, Displacements!$A:$A, 0))</f>
        <v>0</v>
      </c>
      <c r="F34" s="44">
        <f>INDEX(Displacements!D:D, MATCH(Summary!$B34, Displacements!$A:$A, 0))</f>
        <v>0</v>
      </c>
      <c r="G34" s="42">
        <f>INDEX(Displacements!B:B, MATCH(Summary!$C34, Displacements!$A:$A, 0))</f>
        <v>-36</v>
      </c>
      <c r="H34" s="43">
        <f>INDEX(Displacements!C:C, MATCH(Summary!$C34, Displacements!$A:$A, 0))</f>
        <v>0</v>
      </c>
      <c r="I34" s="44">
        <f>INDEX(Displacements!D:D, MATCH(Summary!$C34, Displacements!$A:$A, 0))</f>
        <v>0</v>
      </c>
      <c r="J34" s="42">
        <f t="shared" si="0"/>
        <v>0.5</v>
      </c>
      <c r="K34" s="49">
        <f t="shared" si="1"/>
        <v>1</v>
      </c>
      <c r="L34" s="54">
        <f>INDEX('Forces+Stresses'!C:C, MATCH(Summary!$A34, 'Forces+Stresses'!$A:$A, 0))</f>
        <v>-1953</v>
      </c>
      <c r="M34" s="55">
        <f>INDEX('Forces+Stresses'!D:D, MATCH(Summary!$A34, 'Forces+Stresses'!$A:$A, 0))</f>
        <v>-1953</v>
      </c>
      <c r="N34" s="55">
        <f>IFERROR(INDEX('Forces+Stresses'!Q:Q, MATCH(Summary!$A34, 'Forces+Stresses'!$A:$A, 0)), INDEX(Flexjoints!D:D, MATCH(Summary!$A34, Flexjoints!$A:$A, 0)))</f>
        <v>1.2400000000000001E-9</v>
      </c>
      <c r="O34" s="56">
        <f>IFERROR(INDEX('Forces+Stresses'!R:R, MATCH(Summary!$A34, 'Forces+Stresses'!$A:$A, 0)), INDEX(Flexjoints!E:E, MATCH(Summary!$A34, Flexjoints!$A:$A, 0)))</f>
        <v>4.559E-8</v>
      </c>
      <c r="P34" s="33" t="str">
        <f>IF(INDEX(Labels!B:B, MATCH(Summary!$A34, Labels!$A:$A, 0)) = 0, "", INDEX(Labels!B:B, MATCH(Summary!$A34, Labels!$A:$A, 0)))</f>
        <v>{Conductor Soil String}</v>
      </c>
      <c r="Q34" s="35" t="str">
        <f>IF(INDEX(Labels!C:C, MATCH(Summary!$A34, Labels!$A:$A, 0)) = 0, "", INDEX(Labels!C:C, MATCH(Summary!$A34, Labels!$A:$A, 0)))</f>
        <v>{Cond 36x1.5in}</v>
      </c>
      <c r="R34" s="33" t="str">
        <f>IF(INDEX(Labels!D:D, MATCH(Summary!$A34, Labels!$A:$A, 0)) = 0, "", INDEX(Labels!D:D, MATCH(Summary!$A34, Labels!$A:$A, 0)))</f>
        <v/>
      </c>
      <c r="S34" s="35" t="str">
        <f>IF(INDEX(Labels!E:E, MATCH(Summary!$A34, Labels!$A:$A, 0)) = 0, "", INDEX(Labels!E:E, MATCH(Summary!$A34, Labels!$A:$A, 0)))</f>
        <v/>
      </c>
      <c r="T34" s="33" t="str">
        <f>IF(INDEX(Labels!F:F, MATCH(Summary!$A34, Labels!$A:$A, 0)) = 0, "", INDEX(Labels!F:F, MATCH(Summary!$A34, Labels!$A:$A, 0)))</f>
        <v/>
      </c>
      <c r="U34" s="35" t="str">
        <f>IF(INDEX(Labels!G:G, MATCH(Summary!$A34, Labels!$A:$A, 0)) = 0, "", INDEX(Labels!G:G, MATCH(Summary!$A34, Labels!$A:$A, 0)))</f>
        <v/>
      </c>
      <c r="V34" s="62" t="str">
        <f>IF(INDEX(Labels!H:H, MATCH(Summary!$A34, Labels!$A:$A, 0)) = 0, "", INDEX(Labels!H:H, MATCH(Summary!$A34, Labels!$A:$A, 0)))</f>
        <v/>
      </c>
      <c r="W34" t="str">
        <f>IF(INDEX(Labels!I:I, MATCH(Summary!$A34, Labels!$A:$A, 0)) = 0, "", INDEX(Labels!I:I, MATCH(Summary!$A34, Labels!$A:$A, 0)))</f>
        <v/>
      </c>
      <c r="X34" t="str">
        <f>IF(INDEX(Labels!J:J, MATCH(Summary!$A34, Labels!$A:$A, 0)) = 0, "", INDEX(Labels!J:J, MATCH(Summary!$A34, Labels!$A:$A, 0)))</f>
        <v/>
      </c>
    </row>
    <row r="35" spans="1:24" x14ac:dyDescent="0.2">
      <c r="A35" s="33">
        <f>Labels!A36</f>
        <v>29</v>
      </c>
      <c r="B35" s="34">
        <f>INDEX(EchoData!B:B, MATCH(Summary!$A35, EchoData!$A:$A, 0))</f>
        <v>29</v>
      </c>
      <c r="C35" s="35">
        <f>INDEX(EchoData!C:C, MATCH(Summary!$A35, EchoData!$A:$A, 0))</f>
        <v>30</v>
      </c>
      <c r="D35" s="42">
        <f>INDEX(Displacements!B:B, MATCH(Summary!$B35, Displacements!$A:$A, 0))</f>
        <v>-36</v>
      </c>
      <c r="E35" s="43">
        <f>INDEX(Displacements!C:C, MATCH(Summary!$B35, Displacements!$A:$A, 0))</f>
        <v>0</v>
      </c>
      <c r="F35" s="44">
        <f>INDEX(Displacements!D:D, MATCH(Summary!$B35, Displacements!$A:$A, 0))</f>
        <v>0</v>
      </c>
      <c r="G35" s="42">
        <f>INDEX(Displacements!B:B, MATCH(Summary!$C35, Displacements!$A:$A, 0))</f>
        <v>-35.5</v>
      </c>
      <c r="H35" s="43">
        <f>INDEX(Displacements!C:C, MATCH(Summary!$C35, Displacements!$A:$A, 0))</f>
        <v>0</v>
      </c>
      <c r="I35" s="44">
        <f>INDEX(Displacements!D:D, MATCH(Summary!$C35, Displacements!$A:$A, 0))</f>
        <v>0</v>
      </c>
      <c r="J35" s="42">
        <f t="shared" si="0"/>
        <v>0.5</v>
      </c>
      <c r="K35" s="49">
        <f t="shared" si="1"/>
        <v>1</v>
      </c>
      <c r="L35" s="54">
        <f>INDEX('Forces+Stresses'!C:C, MATCH(Summary!$A35, 'Forces+Stresses'!$A:$A, 0))</f>
        <v>-1950</v>
      </c>
      <c r="M35" s="55">
        <f>INDEX('Forces+Stresses'!D:D, MATCH(Summary!$A35, 'Forces+Stresses'!$A:$A, 0))</f>
        <v>-1950</v>
      </c>
      <c r="N35" s="55">
        <f>IFERROR(INDEX('Forces+Stresses'!Q:Q, MATCH(Summary!$A35, 'Forces+Stresses'!$A:$A, 0)), INDEX(Flexjoints!D:D, MATCH(Summary!$A35, Flexjoints!$A:$A, 0)))</f>
        <v>1.0959999999999999E-9</v>
      </c>
      <c r="O35" s="56">
        <f>IFERROR(INDEX('Forces+Stresses'!R:R, MATCH(Summary!$A35, 'Forces+Stresses'!$A:$A, 0)), INDEX(Flexjoints!E:E, MATCH(Summary!$A35, Flexjoints!$A:$A, 0)))</f>
        <v>4.0970000000000002E-8</v>
      </c>
      <c r="P35" s="33" t="str">
        <f>IF(INDEX(Labels!B:B, MATCH(Summary!$A35, Labels!$A:$A, 0)) = 0, "", INDEX(Labels!B:B, MATCH(Summary!$A35, Labels!$A:$A, 0)))</f>
        <v>{Conductor Soil String}</v>
      </c>
      <c r="Q35" s="35" t="str">
        <f>IF(INDEX(Labels!C:C, MATCH(Summary!$A35, Labels!$A:$A, 0)) = 0, "", INDEX(Labels!C:C, MATCH(Summary!$A35, Labels!$A:$A, 0)))</f>
        <v>{Cond 36x1.5in}</v>
      </c>
      <c r="R35" s="33" t="str">
        <f>IF(INDEX(Labels!D:D, MATCH(Summary!$A35, Labels!$A:$A, 0)) = 0, "", INDEX(Labels!D:D, MATCH(Summary!$A35, Labels!$A:$A, 0)))</f>
        <v/>
      </c>
      <c r="S35" s="35" t="str">
        <f>IF(INDEX(Labels!E:E, MATCH(Summary!$A35, Labels!$A:$A, 0)) = 0, "", INDEX(Labels!E:E, MATCH(Summary!$A35, Labels!$A:$A, 0)))</f>
        <v/>
      </c>
      <c r="T35" s="33" t="str">
        <f>IF(INDEX(Labels!F:F, MATCH(Summary!$A35, Labels!$A:$A, 0)) = 0, "", INDEX(Labels!F:F, MATCH(Summary!$A35, Labels!$A:$A, 0)))</f>
        <v/>
      </c>
      <c r="U35" s="35" t="str">
        <f>IF(INDEX(Labels!G:G, MATCH(Summary!$A35, Labels!$A:$A, 0)) = 0, "", INDEX(Labels!G:G, MATCH(Summary!$A35, Labels!$A:$A, 0)))</f>
        <v/>
      </c>
      <c r="V35" s="62" t="str">
        <f>IF(INDEX(Labels!H:H, MATCH(Summary!$A35, Labels!$A:$A, 0)) = 0, "", INDEX(Labels!H:H, MATCH(Summary!$A35, Labels!$A:$A, 0)))</f>
        <v/>
      </c>
      <c r="W35" t="str">
        <f>IF(INDEX(Labels!I:I, MATCH(Summary!$A35, Labels!$A:$A, 0)) = 0, "", INDEX(Labels!I:I, MATCH(Summary!$A35, Labels!$A:$A, 0)))</f>
        <v/>
      </c>
      <c r="X35" t="str">
        <f>IF(INDEX(Labels!J:J, MATCH(Summary!$A35, Labels!$A:$A, 0)) = 0, "", INDEX(Labels!J:J, MATCH(Summary!$A35, Labels!$A:$A, 0)))</f>
        <v/>
      </c>
    </row>
    <row r="36" spans="1:24" x14ac:dyDescent="0.2">
      <c r="A36" s="33">
        <f>Labels!A37</f>
        <v>30</v>
      </c>
      <c r="B36" s="34">
        <f>INDEX(EchoData!B:B, MATCH(Summary!$A36, EchoData!$A:$A, 0))</f>
        <v>30</v>
      </c>
      <c r="C36" s="35">
        <f>INDEX(EchoData!C:C, MATCH(Summary!$A36, EchoData!$A:$A, 0))</f>
        <v>31</v>
      </c>
      <c r="D36" s="42">
        <f>INDEX(Displacements!B:B, MATCH(Summary!$B36, Displacements!$A:$A, 0))</f>
        <v>-35.5</v>
      </c>
      <c r="E36" s="43">
        <f>INDEX(Displacements!C:C, MATCH(Summary!$B36, Displacements!$A:$A, 0))</f>
        <v>0</v>
      </c>
      <c r="F36" s="44">
        <f>INDEX(Displacements!D:D, MATCH(Summary!$B36, Displacements!$A:$A, 0))</f>
        <v>0</v>
      </c>
      <c r="G36" s="42">
        <f>INDEX(Displacements!B:B, MATCH(Summary!$C36, Displacements!$A:$A, 0))</f>
        <v>-35</v>
      </c>
      <c r="H36" s="43">
        <f>INDEX(Displacements!C:C, MATCH(Summary!$C36, Displacements!$A:$A, 0))</f>
        <v>0</v>
      </c>
      <c r="I36" s="44">
        <f>INDEX(Displacements!D:D, MATCH(Summary!$C36, Displacements!$A:$A, 0))</f>
        <v>0</v>
      </c>
      <c r="J36" s="42">
        <f t="shared" si="0"/>
        <v>0.5</v>
      </c>
      <c r="K36" s="49">
        <f t="shared" si="1"/>
        <v>1</v>
      </c>
      <c r="L36" s="54">
        <f>INDEX('Forces+Stresses'!C:C, MATCH(Summary!$A36, 'Forces+Stresses'!$A:$A, 0))</f>
        <v>-1946</v>
      </c>
      <c r="M36" s="55">
        <f>INDEX('Forces+Stresses'!D:D, MATCH(Summary!$A36, 'Forces+Stresses'!$A:$A, 0))</f>
        <v>-1946</v>
      </c>
      <c r="N36" s="55">
        <f>IFERROR(INDEX('Forces+Stresses'!Q:Q, MATCH(Summary!$A36, 'Forces+Stresses'!$A:$A, 0)), INDEX(Flexjoints!D:D, MATCH(Summary!$A36, Flexjoints!$A:$A, 0)))</f>
        <v>8.8859999999999991E-10</v>
      </c>
      <c r="O36" s="56">
        <f>IFERROR(INDEX('Forces+Stresses'!R:R, MATCH(Summary!$A36, 'Forces+Stresses'!$A:$A, 0)), INDEX(Flexjoints!E:E, MATCH(Summary!$A36, Flexjoints!$A:$A, 0)))</f>
        <v>3.4109999999999999E-8</v>
      </c>
      <c r="P36" s="33" t="str">
        <f>IF(INDEX(Labels!B:B, MATCH(Summary!$A36, Labels!$A:$A, 0)) = 0, "", INDEX(Labels!B:B, MATCH(Summary!$A36, Labels!$A:$A, 0)))</f>
        <v>{Conductor Soil String}</v>
      </c>
      <c r="Q36" s="35" t="str">
        <f>IF(INDEX(Labels!C:C, MATCH(Summary!$A36, Labels!$A:$A, 0)) = 0, "", INDEX(Labels!C:C, MATCH(Summary!$A36, Labels!$A:$A, 0)))</f>
        <v>{Cond 36x1.5in}</v>
      </c>
      <c r="R36" s="33" t="str">
        <f>IF(INDEX(Labels!D:D, MATCH(Summary!$A36, Labels!$A:$A, 0)) = 0, "", INDEX(Labels!D:D, MATCH(Summary!$A36, Labels!$A:$A, 0)))</f>
        <v/>
      </c>
      <c r="S36" s="35" t="str">
        <f>IF(INDEX(Labels!E:E, MATCH(Summary!$A36, Labels!$A:$A, 0)) = 0, "", INDEX(Labels!E:E, MATCH(Summary!$A36, Labels!$A:$A, 0)))</f>
        <v/>
      </c>
      <c r="T36" s="33" t="str">
        <f>IF(INDEX(Labels!F:F, MATCH(Summary!$A36, Labels!$A:$A, 0)) = 0, "", INDEX(Labels!F:F, MATCH(Summary!$A36, Labels!$A:$A, 0)))</f>
        <v/>
      </c>
      <c r="U36" s="35" t="str">
        <f>IF(INDEX(Labels!G:G, MATCH(Summary!$A36, Labels!$A:$A, 0)) = 0, "", INDEX(Labels!G:G, MATCH(Summary!$A36, Labels!$A:$A, 0)))</f>
        <v/>
      </c>
      <c r="V36" s="62" t="str">
        <f>IF(INDEX(Labels!H:H, MATCH(Summary!$A36, Labels!$A:$A, 0)) = 0, "", INDEX(Labels!H:H, MATCH(Summary!$A36, Labels!$A:$A, 0)))</f>
        <v/>
      </c>
      <c r="W36" t="str">
        <f>IF(INDEX(Labels!I:I, MATCH(Summary!$A36, Labels!$A:$A, 0)) = 0, "", INDEX(Labels!I:I, MATCH(Summary!$A36, Labels!$A:$A, 0)))</f>
        <v/>
      </c>
      <c r="X36" t="str">
        <f>IF(INDEX(Labels!J:J, MATCH(Summary!$A36, Labels!$A:$A, 0)) = 0, "", INDEX(Labels!J:J, MATCH(Summary!$A36, Labels!$A:$A, 0)))</f>
        <v/>
      </c>
    </row>
    <row r="37" spans="1:24" x14ac:dyDescent="0.2">
      <c r="A37" s="33">
        <f>Labels!A38</f>
        <v>31</v>
      </c>
      <c r="B37" s="34">
        <f>INDEX(EchoData!B:B, MATCH(Summary!$A37, EchoData!$A:$A, 0))</f>
        <v>31</v>
      </c>
      <c r="C37" s="35">
        <f>INDEX(EchoData!C:C, MATCH(Summary!$A37, EchoData!$A:$A, 0))</f>
        <v>32</v>
      </c>
      <c r="D37" s="42">
        <f>INDEX(Displacements!B:B, MATCH(Summary!$B37, Displacements!$A:$A, 0))</f>
        <v>-35</v>
      </c>
      <c r="E37" s="43">
        <f>INDEX(Displacements!C:C, MATCH(Summary!$B37, Displacements!$A:$A, 0))</f>
        <v>0</v>
      </c>
      <c r="F37" s="44">
        <f>INDEX(Displacements!D:D, MATCH(Summary!$B37, Displacements!$A:$A, 0))</f>
        <v>0</v>
      </c>
      <c r="G37" s="42">
        <f>INDEX(Displacements!B:B, MATCH(Summary!$C37, Displacements!$A:$A, 0))</f>
        <v>-34.5</v>
      </c>
      <c r="H37" s="43">
        <f>INDEX(Displacements!C:C, MATCH(Summary!$C37, Displacements!$A:$A, 0))</f>
        <v>0</v>
      </c>
      <c r="I37" s="44">
        <f>INDEX(Displacements!D:D, MATCH(Summary!$C37, Displacements!$A:$A, 0))</f>
        <v>0</v>
      </c>
      <c r="J37" s="42">
        <f t="shared" si="0"/>
        <v>0.5</v>
      </c>
      <c r="K37" s="49">
        <f t="shared" si="1"/>
        <v>1</v>
      </c>
      <c r="L37" s="54">
        <f>INDEX('Forces+Stresses'!C:C, MATCH(Summary!$A37, 'Forces+Stresses'!$A:$A, 0))</f>
        <v>-1943</v>
      </c>
      <c r="M37" s="55">
        <f>INDEX('Forces+Stresses'!D:D, MATCH(Summary!$A37, 'Forces+Stresses'!$A:$A, 0))</f>
        <v>-1943</v>
      </c>
      <c r="N37" s="55">
        <f>IFERROR(INDEX('Forces+Stresses'!Q:Q, MATCH(Summary!$A37, 'Forces+Stresses'!$A:$A, 0)), INDEX(Flexjoints!D:D, MATCH(Summary!$A37, Flexjoints!$A:$A, 0)))</f>
        <v>6.0720000000000003E-10</v>
      </c>
      <c r="O37" s="56">
        <f>IFERROR(INDEX('Forces+Stresses'!R:R, MATCH(Summary!$A37, 'Forces+Stresses'!$A:$A, 0)), INDEX(Flexjoints!E:E, MATCH(Summary!$A37, Flexjoints!$A:$A, 0)))</f>
        <v>2.4649999999999999E-8</v>
      </c>
      <c r="P37" s="33" t="str">
        <f>IF(INDEX(Labels!B:B, MATCH(Summary!$A37, Labels!$A:$A, 0)) = 0, "", INDEX(Labels!B:B, MATCH(Summary!$A37, Labels!$A:$A, 0)))</f>
        <v>{Conductor Soil String}</v>
      </c>
      <c r="Q37" s="35" t="str">
        <f>IF(INDEX(Labels!C:C, MATCH(Summary!$A37, Labels!$A:$A, 0)) = 0, "", INDEX(Labels!C:C, MATCH(Summary!$A37, Labels!$A:$A, 0)))</f>
        <v>{Cond 36x1.5in}</v>
      </c>
      <c r="R37" s="33" t="str">
        <f>IF(INDEX(Labels!D:D, MATCH(Summary!$A37, Labels!$A:$A, 0)) = 0, "", INDEX(Labels!D:D, MATCH(Summary!$A37, Labels!$A:$A, 0)))</f>
        <v/>
      </c>
      <c r="S37" s="35" t="str">
        <f>IF(INDEX(Labels!E:E, MATCH(Summary!$A37, Labels!$A:$A, 0)) = 0, "", INDEX(Labels!E:E, MATCH(Summary!$A37, Labels!$A:$A, 0)))</f>
        <v/>
      </c>
      <c r="T37" s="33" t="str">
        <f>IF(INDEX(Labels!F:F, MATCH(Summary!$A37, Labels!$A:$A, 0)) = 0, "", INDEX(Labels!F:F, MATCH(Summary!$A37, Labels!$A:$A, 0)))</f>
        <v/>
      </c>
      <c r="U37" s="35" t="str">
        <f>IF(INDEX(Labels!G:G, MATCH(Summary!$A37, Labels!$A:$A, 0)) = 0, "", INDEX(Labels!G:G, MATCH(Summary!$A37, Labels!$A:$A, 0)))</f>
        <v/>
      </c>
      <c r="V37" s="62" t="str">
        <f>IF(INDEX(Labels!H:H, MATCH(Summary!$A37, Labels!$A:$A, 0)) = 0, "", INDEX(Labels!H:H, MATCH(Summary!$A37, Labels!$A:$A, 0)))</f>
        <v/>
      </c>
      <c r="W37" t="str">
        <f>IF(INDEX(Labels!I:I, MATCH(Summary!$A37, Labels!$A:$A, 0)) = 0, "", INDEX(Labels!I:I, MATCH(Summary!$A37, Labels!$A:$A, 0)))</f>
        <v/>
      </c>
      <c r="X37" t="str">
        <f>IF(INDEX(Labels!J:J, MATCH(Summary!$A37, Labels!$A:$A, 0)) = 0, "", INDEX(Labels!J:J, MATCH(Summary!$A37, Labels!$A:$A, 0)))</f>
        <v/>
      </c>
    </row>
    <row r="38" spans="1:24" x14ac:dyDescent="0.2">
      <c r="A38" s="33">
        <f>Labels!A39</f>
        <v>32</v>
      </c>
      <c r="B38" s="34">
        <f>INDEX(EchoData!B:B, MATCH(Summary!$A38, EchoData!$A:$A, 0))</f>
        <v>32</v>
      </c>
      <c r="C38" s="35">
        <f>INDEX(EchoData!C:C, MATCH(Summary!$A38, EchoData!$A:$A, 0))</f>
        <v>33</v>
      </c>
      <c r="D38" s="42">
        <f>INDEX(Displacements!B:B, MATCH(Summary!$B38, Displacements!$A:$A, 0))</f>
        <v>-34.5</v>
      </c>
      <c r="E38" s="43">
        <f>INDEX(Displacements!C:C, MATCH(Summary!$B38, Displacements!$A:$A, 0))</f>
        <v>0</v>
      </c>
      <c r="F38" s="44">
        <f>INDEX(Displacements!D:D, MATCH(Summary!$B38, Displacements!$A:$A, 0))</f>
        <v>0</v>
      </c>
      <c r="G38" s="42">
        <f>INDEX(Displacements!B:B, MATCH(Summary!$C38, Displacements!$A:$A, 0))</f>
        <v>-34</v>
      </c>
      <c r="H38" s="43">
        <f>INDEX(Displacements!C:C, MATCH(Summary!$C38, Displacements!$A:$A, 0))</f>
        <v>0</v>
      </c>
      <c r="I38" s="44">
        <f>INDEX(Displacements!D:D, MATCH(Summary!$C38, Displacements!$A:$A, 0))</f>
        <v>0</v>
      </c>
      <c r="J38" s="42">
        <f t="shared" si="0"/>
        <v>0.5</v>
      </c>
      <c r="K38" s="49">
        <f t="shared" si="1"/>
        <v>1</v>
      </c>
      <c r="L38" s="54">
        <f>INDEX('Forces+Stresses'!C:C, MATCH(Summary!$A38, 'Forces+Stresses'!$A:$A, 0))</f>
        <v>-1939</v>
      </c>
      <c r="M38" s="55">
        <f>INDEX('Forces+Stresses'!D:D, MATCH(Summary!$A38, 'Forces+Stresses'!$A:$A, 0))</f>
        <v>-1939</v>
      </c>
      <c r="N38" s="55">
        <f>IFERROR(INDEX('Forces+Stresses'!Q:Q, MATCH(Summary!$A38, 'Forces+Stresses'!$A:$A, 0)), INDEX(Flexjoints!D:D, MATCH(Summary!$A38, Flexjoints!$A:$A, 0)))</f>
        <v>2.4600000000000003E-10</v>
      </c>
      <c r="O38" s="56">
        <f>IFERROR(INDEX('Forces+Stresses'!R:R, MATCH(Summary!$A38, 'Forces+Stresses'!$A:$A, 0)), INDEX(Flexjoints!E:E, MATCH(Summary!$A38, Flexjoints!$A:$A, 0)))</f>
        <v>1.2229999999999999E-8</v>
      </c>
      <c r="P38" s="33" t="str">
        <f>IF(INDEX(Labels!B:B, MATCH(Summary!$A38, Labels!$A:$A, 0)) = 0, "", INDEX(Labels!B:B, MATCH(Summary!$A38, Labels!$A:$A, 0)))</f>
        <v>{Conductor Soil String}</v>
      </c>
      <c r="Q38" s="35" t="str">
        <f>IF(INDEX(Labels!C:C, MATCH(Summary!$A38, Labels!$A:$A, 0)) = 0, "", INDEX(Labels!C:C, MATCH(Summary!$A38, Labels!$A:$A, 0)))</f>
        <v>{Cond 36x1.5in}</v>
      </c>
      <c r="R38" s="33" t="str">
        <f>IF(INDEX(Labels!D:D, MATCH(Summary!$A38, Labels!$A:$A, 0)) = 0, "", INDEX(Labels!D:D, MATCH(Summary!$A38, Labels!$A:$A, 0)))</f>
        <v/>
      </c>
      <c r="S38" s="35" t="str">
        <f>IF(INDEX(Labels!E:E, MATCH(Summary!$A38, Labels!$A:$A, 0)) = 0, "", INDEX(Labels!E:E, MATCH(Summary!$A38, Labels!$A:$A, 0)))</f>
        <v/>
      </c>
      <c r="T38" s="33" t="str">
        <f>IF(INDEX(Labels!F:F, MATCH(Summary!$A38, Labels!$A:$A, 0)) = 0, "", INDEX(Labels!F:F, MATCH(Summary!$A38, Labels!$A:$A, 0)))</f>
        <v/>
      </c>
      <c r="U38" s="35" t="str">
        <f>IF(INDEX(Labels!G:G, MATCH(Summary!$A38, Labels!$A:$A, 0)) = 0, "", INDEX(Labels!G:G, MATCH(Summary!$A38, Labels!$A:$A, 0)))</f>
        <v/>
      </c>
      <c r="V38" s="62" t="str">
        <f>IF(INDEX(Labels!H:H, MATCH(Summary!$A38, Labels!$A:$A, 0)) = 0, "", INDEX(Labels!H:H, MATCH(Summary!$A38, Labels!$A:$A, 0)))</f>
        <v/>
      </c>
      <c r="W38" t="str">
        <f>IF(INDEX(Labels!I:I, MATCH(Summary!$A38, Labels!$A:$A, 0)) = 0, "", INDEX(Labels!I:I, MATCH(Summary!$A38, Labels!$A:$A, 0)))</f>
        <v/>
      </c>
      <c r="X38" t="str">
        <f>IF(INDEX(Labels!J:J, MATCH(Summary!$A38, Labels!$A:$A, 0)) = 0, "", INDEX(Labels!J:J, MATCH(Summary!$A38, Labels!$A:$A, 0)))</f>
        <v/>
      </c>
    </row>
    <row r="39" spans="1:24" x14ac:dyDescent="0.2">
      <c r="A39" s="33">
        <f>Labels!A40</f>
        <v>33</v>
      </c>
      <c r="B39" s="34">
        <f>INDEX(EchoData!B:B, MATCH(Summary!$A39, EchoData!$A:$A, 0))</f>
        <v>33</v>
      </c>
      <c r="C39" s="35">
        <f>INDEX(EchoData!C:C, MATCH(Summary!$A39, EchoData!$A:$A, 0))</f>
        <v>34</v>
      </c>
      <c r="D39" s="42">
        <f>INDEX(Displacements!B:B, MATCH(Summary!$B39, Displacements!$A:$A, 0))</f>
        <v>-34</v>
      </c>
      <c r="E39" s="43">
        <f>INDEX(Displacements!C:C, MATCH(Summary!$B39, Displacements!$A:$A, 0))</f>
        <v>0</v>
      </c>
      <c r="F39" s="44">
        <f>INDEX(Displacements!D:D, MATCH(Summary!$B39, Displacements!$A:$A, 0))</f>
        <v>0</v>
      </c>
      <c r="G39" s="42">
        <f>INDEX(Displacements!B:B, MATCH(Summary!$C39, Displacements!$A:$A, 0))</f>
        <v>-33.5</v>
      </c>
      <c r="H39" s="43">
        <f>INDEX(Displacements!C:C, MATCH(Summary!$C39, Displacements!$A:$A, 0))</f>
        <v>0</v>
      </c>
      <c r="I39" s="44">
        <f>INDEX(Displacements!D:D, MATCH(Summary!$C39, Displacements!$A:$A, 0))</f>
        <v>0</v>
      </c>
      <c r="J39" s="42">
        <f t="shared" si="0"/>
        <v>0.5</v>
      </c>
      <c r="K39" s="49">
        <f t="shared" si="1"/>
        <v>1</v>
      </c>
      <c r="L39" s="54">
        <f>INDEX('Forces+Stresses'!C:C, MATCH(Summary!$A39, 'Forces+Stresses'!$A:$A, 0))</f>
        <v>-1936</v>
      </c>
      <c r="M39" s="55">
        <f>INDEX('Forces+Stresses'!D:D, MATCH(Summary!$A39, 'Forces+Stresses'!$A:$A, 0))</f>
        <v>-1936</v>
      </c>
      <c r="N39" s="55">
        <f>IFERROR(INDEX('Forces+Stresses'!Q:Q, MATCH(Summary!$A39, 'Forces+Stresses'!$A:$A, 0)), INDEX(Flexjoints!D:D, MATCH(Summary!$A39, Flexjoints!$A:$A, 0)))</f>
        <v>1.1750000000000001E-10</v>
      </c>
      <c r="O39" s="56">
        <f>IFERROR(INDEX('Forces+Stresses'!R:R, MATCH(Summary!$A39, 'Forces+Stresses'!$A:$A, 0)), INDEX(Flexjoints!E:E, MATCH(Summary!$A39, Flexjoints!$A:$A, 0)))</f>
        <v>3.6629999999999999E-9</v>
      </c>
      <c r="P39" s="33" t="str">
        <f>IF(INDEX(Labels!B:B, MATCH(Summary!$A39, Labels!$A:$A, 0)) = 0, "", INDEX(Labels!B:B, MATCH(Summary!$A39, Labels!$A:$A, 0)))</f>
        <v>{Conductor Soil String}</v>
      </c>
      <c r="Q39" s="35" t="str">
        <f>IF(INDEX(Labels!C:C, MATCH(Summary!$A39, Labels!$A:$A, 0)) = 0, "", INDEX(Labels!C:C, MATCH(Summary!$A39, Labels!$A:$A, 0)))</f>
        <v>{Cond 36x1.5in}</v>
      </c>
      <c r="R39" s="33" t="str">
        <f>IF(INDEX(Labels!D:D, MATCH(Summary!$A39, Labels!$A:$A, 0)) = 0, "", INDEX(Labels!D:D, MATCH(Summary!$A39, Labels!$A:$A, 0)))</f>
        <v/>
      </c>
      <c r="S39" s="35" t="str">
        <f>IF(INDEX(Labels!E:E, MATCH(Summary!$A39, Labels!$A:$A, 0)) = 0, "", INDEX(Labels!E:E, MATCH(Summary!$A39, Labels!$A:$A, 0)))</f>
        <v/>
      </c>
      <c r="T39" s="33" t="str">
        <f>IF(INDEX(Labels!F:F, MATCH(Summary!$A39, Labels!$A:$A, 0)) = 0, "", INDEX(Labels!F:F, MATCH(Summary!$A39, Labels!$A:$A, 0)))</f>
        <v/>
      </c>
      <c r="U39" s="35" t="str">
        <f>IF(INDEX(Labels!G:G, MATCH(Summary!$A39, Labels!$A:$A, 0)) = 0, "", INDEX(Labels!G:G, MATCH(Summary!$A39, Labels!$A:$A, 0)))</f>
        <v/>
      </c>
      <c r="V39" s="62" t="str">
        <f>IF(INDEX(Labels!H:H, MATCH(Summary!$A39, Labels!$A:$A, 0)) = 0, "", INDEX(Labels!H:H, MATCH(Summary!$A39, Labels!$A:$A, 0)))</f>
        <v/>
      </c>
      <c r="W39" t="str">
        <f>IF(INDEX(Labels!I:I, MATCH(Summary!$A39, Labels!$A:$A, 0)) = 0, "", INDEX(Labels!I:I, MATCH(Summary!$A39, Labels!$A:$A, 0)))</f>
        <v/>
      </c>
      <c r="X39" t="str">
        <f>IF(INDEX(Labels!J:J, MATCH(Summary!$A39, Labels!$A:$A, 0)) = 0, "", INDEX(Labels!J:J, MATCH(Summary!$A39, Labels!$A:$A, 0)))</f>
        <v/>
      </c>
    </row>
    <row r="40" spans="1:24" x14ac:dyDescent="0.2">
      <c r="A40" s="33">
        <f>Labels!A41</f>
        <v>34</v>
      </c>
      <c r="B40" s="34">
        <f>INDEX(EchoData!B:B, MATCH(Summary!$A40, EchoData!$A:$A, 0))</f>
        <v>34</v>
      </c>
      <c r="C40" s="35">
        <f>INDEX(EchoData!C:C, MATCH(Summary!$A40, EchoData!$A:$A, 0))</f>
        <v>35</v>
      </c>
      <c r="D40" s="42">
        <f>INDEX(Displacements!B:B, MATCH(Summary!$B40, Displacements!$A:$A, 0))</f>
        <v>-33.5</v>
      </c>
      <c r="E40" s="43">
        <f>INDEX(Displacements!C:C, MATCH(Summary!$B40, Displacements!$A:$A, 0))</f>
        <v>0</v>
      </c>
      <c r="F40" s="44">
        <f>INDEX(Displacements!D:D, MATCH(Summary!$B40, Displacements!$A:$A, 0))</f>
        <v>0</v>
      </c>
      <c r="G40" s="42">
        <f>INDEX(Displacements!B:B, MATCH(Summary!$C40, Displacements!$A:$A, 0))</f>
        <v>-33</v>
      </c>
      <c r="H40" s="43">
        <f>INDEX(Displacements!C:C, MATCH(Summary!$C40, Displacements!$A:$A, 0))</f>
        <v>0</v>
      </c>
      <c r="I40" s="44">
        <f>INDEX(Displacements!D:D, MATCH(Summary!$C40, Displacements!$A:$A, 0))</f>
        <v>0</v>
      </c>
      <c r="J40" s="42">
        <f t="shared" si="0"/>
        <v>0.5</v>
      </c>
      <c r="K40" s="49">
        <f t="shared" si="1"/>
        <v>1</v>
      </c>
      <c r="L40" s="54">
        <f>INDEX('Forces+Stresses'!C:C, MATCH(Summary!$A40, 'Forces+Stresses'!$A:$A, 0))</f>
        <v>-1932</v>
      </c>
      <c r="M40" s="55">
        <f>INDEX('Forces+Stresses'!D:D, MATCH(Summary!$A40, 'Forces+Stresses'!$A:$A, 0))</f>
        <v>-1932</v>
      </c>
      <c r="N40" s="55">
        <f>IFERROR(INDEX('Forces+Stresses'!Q:Q, MATCH(Summary!$A40, 'Forces+Stresses'!$A:$A, 0)), INDEX(Flexjoints!D:D, MATCH(Summary!$A40, Flexjoints!$A:$A, 0)))</f>
        <v>8.0549999999999996E-10</v>
      </c>
      <c r="O40" s="56">
        <f>IFERROR(INDEX('Forces+Stresses'!R:R, MATCH(Summary!$A40, 'Forces+Stresses'!$A:$A, 0)), INDEX(Flexjoints!E:E, MATCH(Summary!$A40, Flexjoints!$A:$A, 0)))</f>
        <v>2.3119999999999998E-8</v>
      </c>
      <c r="P40" s="33" t="str">
        <f>IF(INDEX(Labels!B:B, MATCH(Summary!$A40, Labels!$A:$A, 0)) = 0, "", INDEX(Labels!B:B, MATCH(Summary!$A40, Labels!$A:$A, 0)))</f>
        <v>{Conductor Soil String}</v>
      </c>
      <c r="Q40" s="35" t="str">
        <f>IF(INDEX(Labels!C:C, MATCH(Summary!$A40, Labels!$A:$A, 0)) = 0, "", INDEX(Labels!C:C, MATCH(Summary!$A40, Labels!$A:$A, 0)))</f>
        <v>{Cond 36x1.5in}</v>
      </c>
      <c r="R40" s="33" t="str">
        <f>IF(INDEX(Labels!D:D, MATCH(Summary!$A40, Labels!$A:$A, 0)) = 0, "", INDEX(Labels!D:D, MATCH(Summary!$A40, Labels!$A:$A, 0)))</f>
        <v/>
      </c>
      <c r="S40" s="35" t="str">
        <f>IF(INDEX(Labels!E:E, MATCH(Summary!$A40, Labels!$A:$A, 0)) = 0, "", INDEX(Labels!E:E, MATCH(Summary!$A40, Labels!$A:$A, 0)))</f>
        <v/>
      </c>
      <c r="T40" s="33" t="str">
        <f>IF(INDEX(Labels!F:F, MATCH(Summary!$A40, Labels!$A:$A, 0)) = 0, "", INDEX(Labels!F:F, MATCH(Summary!$A40, Labels!$A:$A, 0)))</f>
        <v/>
      </c>
      <c r="U40" s="35" t="str">
        <f>IF(INDEX(Labels!G:G, MATCH(Summary!$A40, Labels!$A:$A, 0)) = 0, "", INDEX(Labels!G:G, MATCH(Summary!$A40, Labels!$A:$A, 0)))</f>
        <v/>
      </c>
      <c r="V40" s="62" t="str">
        <f>IF(INDEX(Labels!H:H, MATCH(Summary!$A40, Labels!$A:$A, 0)) = 0, "", INDEX(Labels!H:H, MATCH(Summary!$A40, Labels!$A:$A, 0)))</f>
        <v/>
      </c>
      <c r="W40" t="str">
        <f>IF(INDEX(Labels!I:I, MATCH(Summary!$A40, Labels!$A:$A, 0)) = 0, "", INDEX(Labels!I:I, MATCH(Summary!$A40, Labels!$A:$A, 0)))</f>
        <v/>
      </c>
      <c r="X40" t="str">
        <f>IF(INDEX(Labels!J:J, MATCH(Summary!$A40, Labels!$A:$A, 0)) = 0, "", INDEX(Labels!J:J, MATCH(Summary!$A40, Labels!$A:$A, 0)))</f>
        <v/>
      </c>
    </row>
    <row r="41" spans="1:24" x14ac:dyDescent="0.2">
      <c r="A41" s="33">
        <f>Labels!A42</f>
        <v>35</v>
      </c>
      <c r="B41" s="34">
        <f>INDEX(EchoData!B:B, MATCH(Summary!$A41, EchoData!$A:$A, 0))</f>
        <v>35</v>
      </c>
      <c r="C41" s="35">
        <f>INDEX(EchoData!C:C, MATCH(Summary!$A41, EchoData!$A:$A, 0))</f>
        <v>36</v>
      </c>
      <c r="D41" s="42">
        <f>INDEX(Displacements!B:B, MATCH(Summary!$B41, Displacements!$A:$A, 0))</f>
        <v>-33</v>
      </c>
      <c r="E41" s="43">
        <f>INDEX(Displacements!C:C, MATCH(Summary!$B41, Displacements!$A:$A, 0))</f>
        <v>0</v>
      </c>
      <c r="F41" s="44">
        <f>INDEX(Displacements!D:D, MATCH(Summary!$B41, Displacements!$A:$A, 0))</f>
        <v>0</v>
      </c>
      <c r="G41" s="42">
        <f>INDEX(Displacements!B:B, MATCH(Summary!$C41, Displacements!$A:$A, 0))</f>
        <v>-32.5</v>
      </c>
      <c r="H41" s="43">
        <f>INDEX(Displacements!C:C, MATCH(Summary!$C41, Displacements!$A:$A, 0))</f>
        <v>0</v>
      </c>
      <c r="I41" s="44">
        <f>INDEX(Displacements!D:D, MATCH(Summary!$C41, Displacements!$A:$A, 0))</f>
        <v>0</v>
      </c>
      <c r="J41" s="42">
        <f t="shared" si="0"/>
        <v>0.5</v>
      </c>
      <c r="K41" s="49">
        <f t="shared" si="1"/>
        <v>1</v>
      </c>
      <c r="L41" s="54">
        <f>INDEX('Forces+Stresses'!C:C, MATCH(Summary!$A41, 'Forces+Stresses'!$A:$A, 0))</f>
        <v>-1929</v>
      </c>
      <c r="M41" s="55">
        <f>INDEX('Forces+Stresses'!D:D, MATCH(Summary!$A41, 'Forces+Stresses'!$A:$A, 0))</f>
        <v>-1929</v>
      </c>
      <c r="N41" s="55">
        <f>IFERROR(INDEX('Forces+Stresses'!Q:Q, MATCH(Summary!$A41, 'Forces+Stresses'!$A:$A, 0)), INDEX(Flexjoints!D:D, MATCH(Summary!$A41, Flexjoints!$A:$A, 0)))</f>
        <v>1.4929999999999999E-9</v>
      </c>
      <c r="O41" s="56">
        <f>IFERROR(INDEX('Forces+Stresses'!R:R, MATCH(Summary!$A41, 'Forces+Stresses'!$A:$A, 0)), INDEX(Flexjoints!E:E, MATCH(Summary!$A41, Flexjoints!$A:$A, 0)))</f>
        <v>4.681E-8</v>
      </c>
      <c r="P41" s="33" t="str">
        <f>IF(INDEX(Labels!B:B, MATCH(Summary!$A41, Labels!$A:$A, 0)) = 0, "", INDEX(Labels!B:B, MATCH(Summary!$A41, Labels!$A:$A, 0)))</f>
        <v>{Conductor Soil String}</v>
      </c>
      <c r="Q41" s="35" t="str">
        <f>IF(INDEX(Labels!C:C, MATCH(Summary!$A41, Labels!$A:$A, 0)) = 0, "", INDEX(Labels!C:C, MATCH(Summary!$A41, Labels!$A:$A, 0)))</f>
        <v>{Cond 36x1.5in}</v>
      </c>
      <c r="R41" s="33" t="str">
        <f>IF(INDEX(Labels!D:D, MATCH(Summary!$A41, Labels!$A:$A, 0)) = 0, "", INDEX(Labels!D:D, MATCH(Summary!$A41, Labels!$A:$A, 0)))</f>
        <v/>
      </c>
      <c r="S41" s="35" t="str">
        <f>IF(INDEX(Labels!E:E, MATCH(Summary!$A41, Labels!$A:$A, 0)) = 0, "", INDEX(Labels!E:E, MATCH(Summary!$A41, Labels!$A:$A, 0)))</f>
        <v/>
      </c>
      <c r="T41" s="33" t="str">
        <f>IF(INDEX(Labels!F:F, MATCH(Summary!$A41, Labels!$A:$A, 0)) = 0, "", INDEX(Labels!F:F, MATCH(Summary!$A41, Labels!$A:$A, 0)))</f>
        <v/>
      </c>
      <c r="U41" s="35" t="str">
        <f>IF(INDEX(Labels!G:G, MATCH(Summary!$A41, Labels!$A:$A, 0)) = 0, "", INDEX(Labels!G:G, MATCH(Summary!$A41, Labels!$A:$A, 0)))</f>
        <v/>
      </c>
      <c r="V41" s="62" t="str">
        <f>IF(INDEX(Labels!H:H, MATCH(Summary!$A41, Labels!$A:$A, 0)) = 0, "", INDEX(Labels!H:H, MATCH(Summary!$A41, Labels!$A:$A, 0)))</f>
        <v/>
      </c>
      <c r="W41" t="str">
        <f>IF(INDEX(Labels!I:I, MATCH(Summary!$A41, Labels!$A:$A, 0)) = 0, "", INDEX(Labels!I:I, MATCH(Summary!$A41, Labels!$A:$A, 0)))</f>
        <v/>
      </c>
      <c r="X41" t="str">
        <f>IF(INDEX(Labels!J:J, MATCH(Summary!$A41, Labels!$A:$A, 0)) = 0, "", INDEX(Labels!J:J, MATCH(Summary!$A41, Labels!$A:$A, 0)))</f>
        <v/>
      </c>
    </row>
    <row r="42" spans="1:24" x14ac:dyDescent="0.2">
      <c r="A42" s="33">
        <f>Labels!A43</f>
        <v>36</v>
      </c>
      <c r="B42" s="34">
        <f>INDEX(EchoData!B:B, MATCH(Summary!$A42, EchoData!$A:$A, 0))</f>
        <v>36</v>
      </c>
      <c r="C42" s="35">
        <f>INDEX(EchoData!C:C, MATCH(Summary!$A42, EchoData!$A:$A, 0))</f>
        <v>37</v>
      </c>
      <c r="D42" s="42">
        <f>INDEX(Displacements!B:B, MATCH(Summary!$B42, Displacements!$A:$A, 0))</f>
        <v>-32.5</v>
      </c>
      <c r="E42" s="43">
        <f>INDEX(Displacements!C:C, MATCH(Summary!$B42, Displacements!$A:$A, 0))</f>
        <v>0</v>
      </c>
      <c r="F42" s="44">
        <f>INDEX(Displacements!D:D, MATCH(Summary!$B42, Displacements!$A:$A, 0))</f>
        <v>0</v>
      </c>
      <c r="G42" s="42">
        <f>INDEX(Displacements!B:B, MATCH(Summary!$C42, Displacements!$A:$A, 0))</f>
        <v>-32</v>
      </c>
      <c r="H42" s="43">
        <f>INDEX(Displacements!C:C, MATCH(Summary!$C42, Displacements!$A:$A, 0))</f>
        <v>0</v>
      </c>
      <c r="I42" s="44">
        <f>INDEX(Displacements!D:D, MATCH(Summary!$C42, Displacements!$A:$A, 0))</f>
        <v>0</v>
      </c>
      <c r="J42" s="42">
        <f t="shared" si="0"/>
        <v>0.5</v>
      </c>
      <c r="K42" s="49">
        <f t="shared" si="1"/>
        <v>1</v>
      </c>
      <c r="L42" s="54">
        <f>INDEX('Forces+Stresses'!C:C, MATCH(Summary!$A42, 'Forces+Stresses'!$A:$A, 0))</f>
        <v>-1925</v>
      </c>
      <c r="M42" s="55">
        <f>INDEX('Forces+Stresses'!D:D, MATCH(Summary!$A42, 'Forces+Stresses'!$A:$A, 0))</f>
        <v>-1925</v>
      </c>
      <c r="N42" s="55">
        <f>IFERROR(INDEX('Forces+Stresses'!Q:Q, MATCH(Summary!$A42, 'Forces+Stresses'!$A:$A, 0)), INDEX(Flexjoints!D:D, MATCH(Summary!$A42, Flexjoints!$A:$A, 0)))</f>
        <v>2.3100000000000001E-9</v>
      </c>
      <c r="O42" s="56">
        <f>IFERROR(INDEX('Forces+Stresses'!R:R, MATCH(Summary!$A42, 'Forces+Stresses'!$A:$A, 0)), INDEX(Flexjoints!E:E, MATCH(Summary!$A42, Flexjoints!$A:$A, 0)))</f>
        <v>7.5030000000000004E-8</v>
      </c>
      <c r="P42" s="33" t="str">
        <f>IF(INDEX(Labels!B:B, MATCH(Summary!$A42, Labels!$A:$A, 0)) = 0, "", INDEX(Labels!B:B, MATCH(Summary!$A42, Labels!$A:$A, 0)))</f>
        <v>{Conductor Soil String}</v>
      </c>
      <c r="Q42" s="35" t="str">
        <f>IF(INDEX(Labels!C:C, MATCH(Summary!$A42, Labels!$A:$A, 0)) = 0, "", INDEX(Labels!C:C, MATCH(Summary!$A42, Labels!$A:$A, 0)))</f>
        <v>{Cond 36x1.5in}</v>
      </c>
      <c r="R42" s="33" t="str">
        <f>IF(INDEX(Labels!D:D, MATCH(Summary!$A42, Labels!$A:$A, 0)) = 0, "", INDEX(Labels!D:D, MATCH(Summary!$A42, Labels!$A:$A, 0)))</f>
        <v/>
      </c>
      <c r="S42" s="35" t="str">
        <f>IF(INDEX(Labels!E:E, MATCH(Summary!$A42, Labels!$A:$A, 0)) = 0, "", INDEX(Labels!E:E, MATCH(Summary!$A42, Labels!$A:$A, 0)))</f>
        <v/>
      </c>
      <c r="T42" s="33" t="str">
        <f>IF(INDEX(Labels!F:F, MATCH(Summary!$A42, Labels!$A:$A, 0)) = 0, "", INDEX(Labels!F:F, MATCH(Summary!$A42, Labels!$A:$A, 0)))</f>
        <v/>
      </c>
      <c r="U42" s="35" t="str">
        <f>IF(INDEX(Labels!G:G, MATCH(Summary!$A42, Labels!$A:$A, 0)) = 0, "", INDEX(Labels!G:G, MATCH(Summary!$A42, Labels!$A:$A, 0)))</f>
        <v/>
      </c>
      <c r="V42" s="62" t="str">
        <f>IF(INDEX(Labels!H:H, MATCH(Summary!$A42, Labels!$A:$A, 0)) = 0, "", INDEX(Labels!H:H, MATCH(Summary!$A42, Labels!$A:$A, 0)))</f>
        <v/>
      </c>
      <c r="W42" t="str">
        <f>IF(INDEX(Labels!I:I, MATCH(Summary!$A42, Labels!$A:$A, 0)) = 0, "", INDEX(Labels!I:I, MATCH(Summary!$A42, Labels!$A:$A, 0)))</f>
        <v/>
      </c>
      <c r="X42" t="str">
        <f>IF(INDEX(Labels!J:J, MATCH(Summary!$A42, Labels!$A:$A, 0)) = 0, "", INDEX(Labels!J:J, MATCH(Summary!$A42, Labels!$A:$A, 0)))</f>
        <v/>
      </c>
    </row>
    <row r="43" spans="1:24" x14ac:dyDescent="0.2">
      <c r="A43" s="33">
        <f>Labels!A44</f>
        <v>37</v>
      </c>
      <c r="B43" s="34">
        <f>INDEX(EchoData!B:B, MATCH(Summary!$A43, EchoData!$A:$A, 0))</f>
        <v>37</v>
      </c>
      <c r="C43" s="35">
        <f>INDEX(EchoData!C:C, MATCH(Summary!$A43, EchoData!$A:$A, 0))</f>
        <v>38</v>
      </c>
      <c r="D43" s="42">
        <f>INDEX(Displacements!B:B, MATCH(Summary!$B43, Displacements!$A:$A, 0))</f>
        <v>-32</v>
      </c>
      <c r="E43" s="43">
        <f>INDEX(Displacements!C:C, MATCH(Summary!$B43, Displacements!$A:$A, 0))</f>
        <v>0</v>
      </c>
      <c r="F43" s="44">
        <f>INDEX(Displacements!D:D, MATCH(Summary!$B43, Displacements!$A:$A, 0))</f>
        <v>0</v>
      </c>
      <c r="G43" s="42">
        <f>INDEX(Displacements!B:B, MATCH(Summary!$C43, Displacements!$A:$A, 0))</f>
        <v>-31.5</v>
      </c>
      <c r="H43" s="43">
        <f>INDEX(Displacements!C:C, MATCH(Summary!$C43, Displacements!$A:$A, 0))</f>
        <v>0</v>
      </c>
      <c r="I43" s="44">
        <f>INDEX(Displacements!D:D, MATCH(Summary!$C43, Displacements!$A:$A, 0))</f>
        <v>0</v>
      </c>
      <c r="J43" s="42">
        <f t="shared" si="0"/>
        <v>0.5</v>
      </c>
      <c r="K43" s="49">
        <f t="shared" si="1"/>
        <v>1</v>
      </c>
      <c r="L43" s="54">
        <f>INDEX('Forces+Stresses'!C:C, MATCH(Summary!$A43, 'Forces+Stresses'!$A:$A, 0))</f>
        <v>-1922</v>
      </c>
      <c r="M43" s="55">
        <f>INDEX('Forces+Stresses'!D:D, MATCH(Summary!$A43, 'Forces+Stresses'!$A:$A, 0))</f>
        <v>-1922</v>
      </c>
      <c r="N43" s="55">
        <f>IFERROR(INDEX('Forces+Stresses'!Q:Q, MATCH(Summary!$A43, 'Forces+Stresses'!$A:$A, 0)), INDEX(Flexjoints!D:D, MATCH(Summary!$A43, Flexjoints!$A:$A, 0)))</f>
        <v>3.2639999999999999E-9</v>
      </c>
      <c r="O43" s="56">
        <f>IFERROR(INDEX('Forces+Stresses'!R:R, MATCH(Summary!$A43, 'Forces+Stresses'!$A:$A, 0)), INDEX(Flexjoints!E:E, MATCH(Summary!$A43, Flexjoints!$A:$A, 0)))</f>
        <v>1.081E-7</v>
      </c>
      <c r="P43" s="33" t="str">
        <f>IF(INDEX(Labels!B:B, MATCH(Summary!$A43, Labels!$A:$A, 0)) = 0, "", INDEX(Labels!B:B, MATCH(Summary!$A43, Labels!$A:$A, 0)))</f>
        <v>{Conductor Soil String}</v>
      </c>
      <c r="Q43" s="35" t="str">
        <f>IF(INDEX(Labels!C:C, MATCH(Summary!$A43, Labels!$A:$A, 0)) = 0, "", INDEX(Labels!C:C, MATCH(Summary!$A43, Labels!$A:$A, 0)))</f>
        <v>{Cond 36x1.5in}</v>
      </c>
      <c r="R43" s="33" t="str">
        <f>IF(INDEX(Labels!D:D, MATCH(Summary!$A43, Labels!$A:$A, 0)) = 0, "", INDEX(Labels!D:D, MATCH(Summary!$A43, Labels!$A:$A, 0)))</f>
        <v/>
      </c>
      <c r="S43" s="35" t="str">
        <f>IF(INDEX(Labels!E:E, MATCH(Summary!$A43, Labels!$A:$A, 0)) = 0, "", INDEX(Labels!E:E, MATCH(Summary!$A43, Labels!$A:$A, 0)))</f>
        <v/>
      </c>
      <c r="T43" s="33" t="str">
        <f>IF(INDEX(Labels!F:F, MATCH(Summary!$A43, Labels!$A:$A, 0)) = 0, "", INDEX(Labels!F:F, MATCH(Summary!$A43, Labels!$A:$A, 0)))</f>
        <v/>
      </c>
      <c r="U43" s="35" t="str">
        <f>IF(INDEX(Labels!G:G, MATCH(Summary!$A43, Labels!$A:$A, 0)) = 0, "", INDEX(Labels!G:G, MATCH(Summary!$A43, Labels!$A:$A, 0)))</f>
        <v/>
      </c>
      <c r="V43" s="62" t="str">
        <f>IF(INDEX(Labels!H:H, MATCH(Summary!$A43, Labels!$A:$A, 0)) = 0, "", INDEX(Labels!H:H, MATCH(Summary!$A43, Labels!$A:$A, 0)))</f>
        <v/>
      </c>
      <c r="W43" t="str">
        <f>IF(INDEX(Labels!I:I, MATCH(Summary!$A43, Labels!$A:$A, 0)) = 0, "", INDEX(Labels!I:I, MATCH(Summary!$A43, Labels!$A:$A, 0)))</f>
        <v/>
      </c>
      <c r="X43" t="str">
        <f>IF(INDEX(Labels!J:J, MATCH(Summary!$A43, Labels!$A:$A, 0)) = 0, "", INDEX(Labels!J:J, MATCH(Summary!$A43, Labels!$A:$A, 0)))</f>
        <v/>
      </c>
    </row>
    <row r="44" spans="1:24" x14ac:dyDescent="0.2">
      <c r="A44" s="33">
        <f>Labels!A45</f>
        <v>38</v>
      </c>
      <c r="B44" s="34">
        <f>INDEX(EchoData!B:B, MATCH(Summary!$A44, EchoData!$A:$A, 0))</f>
        <v>38</v>
      </c>
      <c r="C44" s="35">
        <f>INDEX(EchoData!C:C, MATCH(Summary!$A44, EchoData!$A:$A, 0))</f>
        <v>39</v>
      </c>
      <c r="D44" s="42">
        <f>INDEX(Displacements!B:B, MATCH(Summary!$B44, Displacements!$A:$A, 0))</f>
        <v>-31.5</v>
      </c>
      <c r="E44" s="43">
        <f>INDEX(Displacements!C:C, MATCH(Summary!$B44, Displacements!$A:$A, 0))</f>
        <v>0</v>
      </c>
      <c r="F44" s="44">
        <f>INDEX(Displacements!D:D, MATCH(Summary!$B44, Displacements!$A:$A, 0))</f>
        <v>0</v>
      </c>
      <c r="G44" s="42">
        <f>INDEX(Displacements!B:B, MATCH(Summary!$C44, Displacements!$A:$A, 0))</f>
        <v>-31</v>
      </c>
      <c r="H44" s="43">
        <f>INDEX(Displacements!C:C, MATCH(Summary!$C44, Displacements!$A:$A, 0))</f>
        <v>0</v>
      </c>
      <c r="I44" s="44">
        <f>INDEX(Displacements!D:D, MATCH(Summary!$C44, Displacements!$A:$A, 0))</f>
        <v>0</v>
      </c>
      <c r="J44" s="42">
        <f t="shared" si="0"/>
        <v>0.5</v>
      </c>
      <c r="K44" s="49">
        <f t="shared" si="1"/>
        <v>1</v>
      </c>
      <c r="L44" s="54">
        <f>INDEX('Forces+Stresses'!C:C, MATCH(Summary!$A44, 'Forces+Stresses'!$A:$A, 0))</f>
        <v>-1918</v>
      </c>
      <c r="M44" s="55">
        <f>INDEX('Forces+Stresses'!D:D, MATCH(Summary!$A44, 'Forces+Stresses'!$A:$A, 0))</f>
        <v>-1918</v>
      </c>
      <c r="N44" s="55">
        <f>IFERROR(INDEX('Forces+Stresses'!Q:Q, MATCH(Summary!$A44, 'Forces+Stresses'!$A:$A, 0)), INDEX(Flexjoints!D:D, MATCH(Summary!$A44, Flexjoints!$A:$A, 0)))</f>
        <v>4.3630000000000008E-9</v>
      </c>
      <c r="O44" s="56">
        <f>IFERROR(INDEX('Forces+Stresses'!R:R, MATCH(Summary!$A44, 'Forces+Stresses'!$A:$A, 0)), INDEX(Flexjoints!E:E, MATCH(Summary!$A44, Flexjoints!$A:$A, 0)))</f>
        <v>1.4630000000000001E-7</v>
      </c>
      <c r="P44" s="33" t="str">
        <f>IF(INDEX(Labels!B:B, MATCH(Summary!$A44, Labels!$A:$A, 0)) = 0, "", INDEX(Labels!B:B, MATCH(Summary!$A44, Labels!$A:$A, 0)))</f>
        <v>{Conductor Soil String}</v>
      </c>
      <c r="Q44" s="35" t="str">
        <f>IF(INDEX(Labels!C:C, MATCH(Summary!$A44, Labels!$A:$A, 0)) = 0, "", INDEX(Labels!C:C, MATCH(Summary!$A44, Labels!$A:$A, 0)))</f>
        <v>{Cond 36x1.5in}</v>
      </c>
      <c r="R44" s="33" t="str">
        <f>IF(INDEX(Labels!D:D, MATCH(Summary!$A44, Labels!$A:$A, 0)) = 0, "", INDEX(Labels!D:D, MATCH(Summary!$A44, Labels!$A:$A, 0)))</f>
        <v/>
      </c>
      <c r="S44" s="35" t="str">
        <f>IF(INDEX(Labels!E:E, MATCH(Summary!$A44, Labels!$A:$A, 0)) = 0, "", INDEX(Labels!E:E, MATCH(Summary!$A44, Labels!$A:$A, 0)))</f>
        <v/>
      </c>
      <c r="T44" s="33" t="str">
        <f>IF(INDEX(Labels!F:F, MATCH(Summary!$A44, Labels!$A:$A, 0)) = 0, "", INDEX(Labels!F:F, MATCH(Summary!$A44, Labels!$A:$A, 0)))</f>
        <v/>
      </c>
      <c r="U44" s="35" t="str">
        <f>IF(INDEX(Labels!G:G, MATCH(Summary!$A44, Labels!$A:$A, 0)) = 0, "", INDEX(Labels!G:G, MATCH(Summary!$A44, Labels!$A:$A, 0)))</f>
        <v/>
      </c>
      <c r="V44" s="62" t="str">
        <f>IF(INDEX(Labels!H:H, MATCH(Summary!$A44, Labels!$A:$A, 0)) = 0, "", INDEX(Labels!H:H, MATCH(Summary!$A44, Labels!$A:$A, 0)))</f>
        <v/>
      </c>
      <c r="W44" t="str">
        <f>IF(INDEX(Labels!I:I, MATCH(Summary!$A44, Labels!$A:$A, 0)) = 0, "", INDEX(Labels!I:I, MATCH(Summary!$A44, Labels!$A:$A, 0)))</f>
        <v/>
      </c>
      <c r="X44" t="str">
        <f>IF(INDEX(Labels!J:J, MATCH(Summary!$A44, Labels!$A:$A, 0)) = 0, "", INDEX(Labels!J:J, MATCH(Summary!$A44, Labels!$A:$A, 0)))</f>
        <v/>
      </c>
    </row>
    <row r="45" spans="1:24" x14ac:dyDescent="0.2">
      <c r="A45" s="33">
        <f>Labels!A46</f>
        <v>39</v>
      </c>
      <c r="B45" s="34">
        <f>INDEX(EchoData!B:B, MATCH(Summary!$A45, EchoData!$A:$A, 0))</f>
        <v>39</v>
      </c>
      <c r="C45" s="35">
        <f>INDEX(EchoData!C:C, MATCH(Summary!$A45, EchoData!$A:$A, 0))</f>
        <v>40</v>
      </c>
      <c r="D45" s="42">
        <f>INDEX(Displacements!B:B, MATCH(Summary!$B45, Displacements!$A:$A, 0))</f>
        <v>-31</v>
      </c>
      <c r="E45" s="43">
        <f>INDEX(Displacements!C:C, MATCH(Summary!$B45, Displacements!$A:$A, 0))</f>
        <v>0</v>
      </c>
      <c r="F45" s="44">
        <f>INDEX(Displacements!D:D, MATCH(Summary!$B45, Displacements!$A:$A, 0))</f>
        <v>0</v>
      </c>
      <c r="G45" s="42">
        <f>INDEX(Displacements!B:B, MATCH(Summary!$C45, Displacements!$A:$A, 0))</f>
        <v>-30.5</v>
      </c>
      <c r="H45" s="43">
        <f>INDEX(Displacements!C:C, MATCH(Summary!$C45, Displacements!$A:$A, 0))</f>
        <v>0</v>
      </c>
      <c r="I45" s="44">
        <f>INDEX(Displacements!D:D, MATCH(Summary!$C45, Displacements!$A:$A, 0))</f>
        <v>0</v>
      </c>
      <c r="J45" s="42">
        <f t="shared" si="0"/>
        <v>0.5</v>
      </c>
      <c r="K45" s="49">
        <f t="shared" si="1"/>
        <v>1</v>
      </c>
      <c r="L45" s="54">
        <f>INDEX('Forces+Stresses'!C:C, MATCH(Summary!$A45, 'Forces+Stresses'!$A:$A, 0))</f>
        <v>-1915</v>
      </c>
      <c r="M45" s="55">
        <f>INDEX('Forces+Stresses'!D:D, MATCH(Summary!$A45, 'Forces+Stresses'!$A:$A, 0))</f>
        <v>-1915</v>
      </c>
      <c r="N45" s="55">
        <f>IFERROR(INDEX('Forces+Stresses'!Q:Q, MATCH(Summary!$A45, 'Forces+Stresses'!$A:$A, 0)), INDEX(Flexjoints!D:D, MATCH(Summary!$A45, Flexjoints!$A:$A, 0)))</f>
        <v>5.6120000000000001E-9</v>
      </c>
      <c r="O45" s="56">
        <f>IFERROR(INDEX('Forces+Stresses'!R:R, MATCH(Summary!$A45, 'Forces+Stresses'!$A:$A, 0)), INDEX(Flexjoints!E:E, MATCH(Summary!$A45, Flexjoints!$A:$A, 0)))</f>
        <v>1.899E-7</v>
      </c>
      <c r="P45" s="33" t="str">
        <f>IF(INDEX(Labels!B:B, MATCH(Summary!$A45, Labels!$A:$A, 0)) = 0, "", INDEX(Labels!B:B, MATCH(Summary!$A45, Labels!$A:$A, 0)))</f>
        <v>{Conductor Soil String}</v>
      </c>
      <c r="Q45" s="35" t="str">
        <f>IF(INDEX(Labels!C:C, MATCH(Summary!$A45, Labels!$A:$A, 0)) = 0, "", INDEX(Labels!C:C, MATCH(Summary!$A45, Labels!$A:$A, 0)))</f>
        <v>{Cond 36x1.5in}</v>
      </c>
      <c r="R45" s="33" t="str">
        <f>IF(INDEX(Labels!D:D, MATCH(Summary!$A45, Labels!$A:$A, 0)) = 0, "", INDEX(Labels!D:D, MATCH(Summary!$A45, Labels!$A:$A, 0)))</f>
        <v/>
      </c>
      <c r="S45" s="35" t="str">
        <f>IF(INDEX(Labels!E:E, MATCH(Summary!$A45, Labels!$A:$A, 0)) = 0, "", INDEX(Labels!E:E, MATCH(Summary!$A45, Labels!$A:$A, 0)))</f>
        <v/>
      </c>
      <c r="T45" s="33" t="str">
        <f>IF(INDEX(Labels!F:F, MATCH(Summary!$A45, Labels!$A:$A, 0)) = 0, "", INDEX(Labels!F:F, MATCH(Summary!$A45, Labels!$A:$A, 0)))</f>
        <v/>
      </c>
      <c r="U45" s="35" t="str">
        <f>IF(INDEX(Labels!G:G, MATCH(Summary!$A45, Labels!$A:$A, 0)) = 0, "", INDEX(Labels!G:G, MATCH(Summary!$A45, Labels!$A:$A, 0)))</f>
        <v/>
      </c>
      <c r="V45" s="62" t="str">
        <f>IF(INDEX(Labels!H:H, MATCH(Summary!$A45, Labels!$A:$A, 0)) = 0, "", INDEX(Labels!H:H, MATCH(Summary!$A45, Labels!$A:$A, 0)))</f>
        <v/>
      </c>
      <c r="W45" t="str">
        <f>IF(INDEX(Labels!I:I, MATCH(Summary!$A45, Labels!$A:$A, 0)) = 0, "", INDEX(Labels!I:I, MATCH(Summary!$A45, Labels!$A:$A, 0)))</f>
        <v/>
      </c>
      <c r="X45" t="str">
        <f>IF(INDEX(Labels!J:J, MATCH(Summary!$A45, Labels!$A:$A, 0)) = 0, "", INDEX(Labels!J:J, MATCH(Summary!$A45, Labels!$A:$A, 0)))</f>
        <v/>
      </c>
    </row>
    <row r="46" spans="1:24" x14ac:dyDescent="0.2">
      <c r="A46" s="33">
        <f>Labels!A47</f>
        <v>40</v>
      </c>
      <c r="B46" s="34">
        <f>INDEX(EchoData!B:B, MATCH(Summary!$A46, EchoData!$A:$A, 0))</f>
        <v>40</v>
      </c>
      <c r="C46" s="35">
        <f>INDEX(EchoData!C:C, MATCH(Summary!$A46, EchoData!$A:$A, 0))</f>
        <v>41</v>
      </c>
      <c r="D46" s="42">
        <f>INDEX(Displacements!B:B, MATCH(Summary!$B46, Displacements!$A:$A, 0))</f>
        <v>-30.5</v>
      </c>
      <c r="E46" s="43">
        <f>INDEX(Displacements!C:C, MATCH(Summary!$B46, Displacements!$A:$A, 0))</f>
        <v>0</v>
      </c>
      <c r="F46" s="44">
        <f>INDEX(Displacements!D:D, MATCH(Summary!$B46, Displacements!$A:$A, 0))</f>
        <v>0</v>
      </c>
      <c r="G46" s="42">
        <f>INDEX(Displacements!B:B, MATCH(Summary!$C46, Displacements!$A:$A, 0))</f>
        <v>-30</v>
      </c>
      <c r="H46" s="43">
        <f>INDEX(Displacements!C:C, MATCH(Summary!$C46, Displacements!$A:$A, 0))</f>
        <v>0</v>
      </c>
      <c r="I46" s="44">
        <f>INDEX(Displacements!D:D, MATCH(Summary!$C46, Displacements!$A:$A, 0))</f>
        <v>0</v>
      </c>
      <c r="J46" s="42">
        <f t="shared" si="0"/>
        <v>0.5</v>
      </c>
      <c r="K46" s="49">
        <f t="shared" si="1"/>
        <v>1</v>
      </c>
      <c r="L46" s="54">
        <f>INDEX('Forces+Stresses'!C:C, MATCH(Summary!$A46, 'Forces+Stresses'!$A:$A, 0))</f>
        <v>-1911</v>
      </c>
      <c r="M46" s="55">
        <f>INDEX('Forces+Stresses'!D:D, MATCH(Summary!$A46, 'Forces+Stresses'!$A:$A, 0))</f>
        <v>-1911</v>
      </c>
      <c r="N46" s="55">
        <f>IFERROR(INDEX('Forces+Stresses'!Q:Q, MATCH(Summary!$A46, 'Forces+Stresses'!$A:$A, 0)), INDEX(Flexjoints!D:D, MATCH(Summary!$A46, Flexjoints!$A:$A, 0)))</f>
        <v>7.0149999999999995E-9</v>
      </c>
      <c r="O46" s="56">
        <f>IFERROR(INDEX('Forces+Stresses'!R:R, MATCH(Summary!$A46, 'Forces+Stresses'!$A:$A, 0)), INDEX(Flexjoints!E:E, MATCH(Summary!$A46, Flexjoints!$A:$A, 0)))</f>
        <v>2.3900000000000001E-7</v>
      </c>
      <c r="P46" s="33" t="str">
        <f>IF(INDEX(Labels!B:B, MATCH(Summary!$A46, Labels!$A:$A, 0)) = 0, "", INDEX(Labels!B:B, MATCH(Summary!$A46, Labels!$A:$A, 0)))</f>
        <v>{Conductor Soil String}</v>
      </c>
      <c r="Q46" s="35" t="str">
        <f>IF(INDEX(Labels!C:C, MATCH(Summary!$A46, Labels!$A:$A, 0)) = 0, "", INDEX(Labels!C:C, MATCH(Summary!$A46, Labels!$A:$A, 0)))</f>
        <v>{Cond 36x1.5in}</v>
      </c>
      <c r="R46" s="33" t="str">
        <f>IF(INDEX(Labels!D:D, MATCH(Summary!$A46, Labels!$A:$A, 0)) = 0, "", INDEX(Labels!D:D, MATCH(Summary!$A46, Labels!$A:$A, 0)))</f>
        <v/>
      </c>
      <c r="S46" s="35" t="str">
        <f>IF(INDEX(Labels!E:E, MATCH(Summary!$A46, Labels!$A:$A, 0)) = 0, "", INDEX(Labels!E:E, MATCH(Summary!$A46, Labels!$A:$A, 0)))</f>
        <v/>
      </c>
      <c r="T46" s="33" t="str">
        <f>IF(INDEX(Labels!F:F, MATCH(Summary!$A46, Labels!$A:$A, 0)) = 0, "", INDEX(Labels!F:F, MATCH(Summary!$A46, Labels!$A:$A, 0)))</f>
        <v/>
      </c>
      <c r="U46" s="35" t="str">
        <f>IF(INDEX(Labels!G:G, MATCH(Summary!$A46, Labels!$A:$A, 0)) = 0, "", INDEX(Labels!G:G, MATCH(Summary!$A46, Labels!$A:$A, 0)))</f>
        <v/>
      </c>
      <c r="V46" s="62" t="str">
        <f>IF(INDEX(Labels!H:H, MATCH(Summary!$A46, Labels!$A:$A, 0)) = 0, "", INDEX(Labels!H:H, MATCH(Summary!$A46, Labels!$A:$A, 0)))</f>
        <v/>
      </c>
      <c r="W46" t="str">
        <f>IF(INDEX(Labels!I:I, MATCH(Summary!$A46, Labels!$A:$A, 0)) = 0, "", INDEX(Labels!I:I, MATCH(Summary!$A46, Labels!$A:$A, 0)))</f>
        <v/>
      </c>
      <c r="X46" t="str">
        <f>IF(INDEX(Labels!J:J, MATCH(Summary!$A46, Labels!$A:$A, 0)) = 0, "", INDEX(Labels!J:J, MATCH(Summary!$A46, Labels!$A:$A, 0)))</f>
        <v/>
      </c>
    </row>
    <row r="47" spans="1:24" x14ac:dyDescent="0.2">
      <c r="A47" s="33">
        <f>Labels!A48</f>
        <v>41</v>
      </c>
      <c r="B47" s="34">
        <f>INDEX(EchoData!B:B, MATCH(Summary!$A47, EchoData!$A:$A, 0))</f>
        <v>41</v>
      </c>
      <c r="C47" s="35">
        <f>INDEX(EchoData!C:C, MATCH(Summary!$A47, EchoData!$A:$A, 0))</f>
        <v>42</v>
      </c>
      <c r="D47" s="42">
        <f>INDEX(Displacements!B:B, MATCH(Summary!$B47, Displacements!$A:$A, 0))</f>
        <v>-30</v>
      </c>
      <c r="E47" s="43">
        <f>INDEX(Displacements!C:C, MATCH(Summary!$B47, Displacements!$A:$A, 0))</f>
        <v>0</v>
      </c>
      <c r="F47" s="44">
        <f>INDEX(Displacements!D:D, MATCH(Summary!$B47, Displacements!$A:$A, 0))</f>
        <v>0</v>
      </c>
      <c r="G47" s="42">
        <f>INDEX(Displacements!B:B, MATCH(Summary!$C47, Displacements!$A:$A, 0))</f>
        <v>-29.5</v>
      </c>
      <c r="H47" s="43">
        <f>INDEX(Displacements!C:C, MATCH(Summary!$C47, Displacements!$A:$A, 0))</f>
        <v>0</v>
      </c>
      <c r="I47" s="44">
        <f>INDEX(Displacements!D:D, MATCH(Summary!$C47, Displacements!$A:$A, 0))</f>
        <v>0</v>
      </c>
      <c r="J47" s="42">
        <f t="shared" si="0"/>
        <v>0.5</v>
      </c>
      <c r="K47" s="49">
        <f t="shared" si="1"/>
        <v>1</v>
      </c>
      <c r="L47" s="54">
        <f>INDEX('Forces+Stresses'!C:C, MATCH(Summary!$A47, 'Forces+Stresses'!$A:$A, 0))</f>
        <v>-1908</v>
      </c>
      <c r="M47" s="55">
        <f>INDEX('Forces+Stresses'!D:D, MATCH(Summary!$A47, 'Forces+Stresses'!$A:$A, 0))</f>
        <v>-1908</v>
      </c>
      <c r="N47" s="55">
        <f>IFERROR(INDEX('Forces+Stresses'!Q:Q, MATCH(Summary!$A47, 'Forces+Stresses'!$A:$A, 0)), INDEX(Flexjoints!D:D, MATCH(Summary!$A47, Flexjoints!$A:$A, 0)))</f>
        <v>8.57E-9</v>
      </c>
      <c r="O47" s="56">
        <f>IFERROR(INDEX('Forces+Stresses'!R:R, MATCH(Summary!$A47, 'Forces+Stresses'!$A:$A, 0)), INDEX(Flexjoints!E:E, MATCH(Summary!$A47, Flexjoints!$A:$A, 0)))</f>
        <v>2.9359999999999998E-7</v>
      </c>
      <c r="P47" s="33" t="str">
        <f>IF(INDEX(Labels!B:B, MATCH(Summary!$A47, Labels!$A:$A, 0)) = 0, "", INDEX(Labels!B:B, MATCH(Summary!$A47, Labels!$A:$A, 0)))</f>
        <v>{Conductor Soil String}</v>
      </c>
      <c r="Q47" s="35" t="str">
        <f>IF(INDEX(Labels!C:C, MATCH(Summary!$A47, Labels!$A:$A, 0)) = 0, "", INDEX(Labels!C:C, MATCH(Summary!$A47, Labels!$A:$A, 0)))</f>
        <v>{Cond 36x1.5in}</v>
      </c>
      <c r="R47" s="33" t="str">
        <f>IF(INDEX(Labels!D:D, MATCH(Summary!$A47, Labels!$A:$A, 0)) = 0, "", INDEX(Labels!D:D, MATCH(Summary!$A47, Labels!$A:$A, 0)))</f>
        <v/>
      </c>
      <c r="S47" s="35" t="str">
        <f>IF(INDEX(Labels!E:E, MATCH(Summary!$A47, Labels!$A:$A, 0)) = 0, "", INDEX(Labels!E:E, MATCH(Summary!$A47, Labels!$A:$A, 0)))</f>
        <v/>
      </c>
      <c r="T47" s="33" t="str">
        <f>IF(INDEX(Labels!F:F, MATCH(Summary!$A47, Labels!$A:$A, 0)) = 0, "", INDEX(Labels!F:F, MATCH(Summary!$A47, Labels!$A:$A, 0)))</f>
        <v/>
      </c>
      <c r="U47" s="35" t="str">
        <f>IF(INDEX(Labels!G:G, MATCH(Summary!$A47, Labels!$A:$A, 0)) = 0, "", INDEX(Labels!G:G, MATCH(Summary!$A47, Labels!$A:$A, 0)))</f>
        <v/>
      </c>
      <c r="V47" s="62" t="str">
        <f>IF(INDEX(Labels!H:H, MATCH(Summary!$A47, Labels!$A:$A, 0)) = 0, "", INDEX(Labels!H:H, MATCH(Summary!$A47, Labels!$A:$A, 0)))</f>
        <v/>
      </c>
      <c r="W47" t="str">
        <f>IF(INDEX(Labels!I:I, MATCH(Summary!$A47, Labels!$A:$A, 0)) = 0, "", INDEX(Labels!I:I, MATCH(Summary!$A47, Labels!$A:$A, 0)))</f>
        <v/>
      </c>
      <c r="X47" t="str">
        <f>IF(INDEX(Labels!J:J, MATCH(Summary!$A47, Labels!$A:$A, 0)) = 0, "", INDEX(Labels!J:J, MATCH(Summary!$A47, Labels!$A:$A, 0)))</f>
        <v/>
      </c>
    </row>
    <row r="48" spans="1:24" x14ac:dyDescent="0.2">
      <c r="A48" s="33">
        <f>Labels!A49</f>
        <v>42</v>
      </c>
      <c r="B48" s="34">
        <f>INDEX(EchoData!B:B, MATCH(Summary!$A48, EchoData!$A:$A, 0))</f>
        <v>42</v>
      </c>
      <c r="C48" s="35">
        <f>INDEX(EchoData!C:C, MATCH(Summary!$A48, EchoData!$A:$A, 0))</f>
        <v>43</v>
      </c>
      <c r="D48" s="42">
        <f>INDEX(Displacements!B:B, MATCH(Summary!$B48, Displacements!$A:$A, 0))</f>
        <v>-29.5</v>
      </c>
      <c r="E48" s="43">
        <f>INDEX(Displacements!C:C, MATCH(Summary!$B48, Displacements!$A:$A, 0))</f>
        <v>0</v>
      </c>
      <c r="F48" s="44">
        <f>INDEX(Displacements!D:D, MATCH(Summary!$B48, Displacements!$A:$A, 0))</f>
        <v>0</v>
      </c>
      <c r="G48" s="42">
        <f>INDEX(Displacements!B:B, MATCH(Summary!$C48, Displacements!$A:$A, 0))</f>
        <v>-29</v>
      </c>
      <c r="H48" s="43">
        <f>INDEX(Displacements!C:C, MATCH(Summary!$C48, Displacements!$A:$A, 0))</f>
        <v>0</v>
      </c>
      <c r="I48" s="44">
        <f>INDEX(Displacements!D:D, MATCH(Summary!$C48, Displacements!$A:$A, 0))</f>
        <v>0</v>
      </c>
      <c r="J48" s="42">
        <f t="shared" si="0"/>
        <v>0.5</v>
      </c>
      <c r="K48" s="49">
        <f t="shared" si="1"/>
        <v>1</v>
      </c>
      <c r="L48" s="54">
        <f>INDEX('Forces+Stresses'!C:C, MATCH(Summary!$A48, 'Forces+Stresses'!$A:$A, 0))</f>
        <v>-1904</v>
      </c>
      <c r="M48" s="55">
        <f>INDEX('Forces+Stresses'!D:D, MATCH(Summary!$A48, 'Forces+Stresses'!$A:$A, 0))</f>
        <v>-1904</v>
      </c>
      <c r="N48" s="55">
        <f>IFERROR(INDEX('Forces+Stresses'!Q:Q, MATCH(Summary!$A48, 'Forces+Stresses'!$A:$A, 0)), INDEX(Flexjoints!D:D, MATCH(Summary!$A48, Flexjoints!$A:$A, 0)))</f>
        <v>1.027E-8</v>
      </c>
      <c r="O48" s="56">
        <f>IFERROR(INDEX('Forces+Stresses'!R:R, MATCH(Summary!$A48, 'Forces+Stresses'!$A:$A, 0)), INDEX(Flexjoints!E:E, MATCH(Summary!$A48, Flexjoints!$A:$A, 0)))</f>
        <v>3.5359999999999999E-7</v>
      </c>
      <c r="P48" s="33" t="str">
        <f>IF(INDEX(Labels!B:B, MATCH(Summary!$A48, Labels!$A:$A, 0)) = 0, "", INDEX(Labels!B:B, MATCH(Summary!$A48, Labels!$A:$A, 0)))</f>
        <v>{Conductor Soil String}</v>
      </c>
      <c r="Q48" s="35" t="str">
        <f>IF(INDEX(Labels!C:C, MATCH(Summary!$A48, Labels!$A:$A, 0)) = 0, "", INDEX(Labels!C:C, MATCH(Summary!$A48, Labels!$A:$A, 0)))</f>
        <v>{Cond 36x1.5in}</v>
      </c>
      <c r="R48" s="33" t="str">
        <f>IF(INDEX(Labels!D:D, MATCH(Summary!$A48, Labels!$A:$A, 0)) = 0, "", INDEX(Labels!D:D, MATCH(Summary!$A48, Labels!$A:$A, 0)))</f>
        <v/>
      </c>
      <c r="S48" s="35" t="str">
        <f>IF(INDEX(Labels!E:E, MATCH(Summary!$A48, Labels!$A:$A, 0)) = 0, "", INDEX(Labels!E:E, MATCH(Summary!$A48, Labels!$A:$A, 0)))</f>
        <v/>
      </c>
      <c r="T48" s="33" t="str">
        <f>IF(INDEX(Labels!F:F, MATCH(Summary!$A48, Labels!$A:$A, 0)) = 0, "", INDEX(Labels!F:F, MATCH(Summary!$A48, Labels!$A:$A, 0)))</f>
        <v/>
      </c>
      <c r="U48" s="35" t="str">
        <f>IF(INDEX(Labels!G:G, MATCH(Summary!$A48, Labels!$A:$A, 0)) = 0, "", INDEX(Labels!G:G, MATCH(Summary!$A48, Labels!$A:$A, 0)))</f>
        <v/>
      </c>
      <c r="V48" s="62" t="str">
        <f>IF(INDEX(Labels!H:H, MATCH(Summary!$A48, Labels!$A:$A, 0)) = 0, "", INDEX(Labels!H:H, MATCH(Summary!$A48, Labels!$A:$A, 0)))</f>
        <v/>
      </c>
      <c r="W48" t="str">
        <f>IF(INDEX(Labels!I:I, MATCH(Summary!$A48, Labels!$A:$A, 0)) = 0, "", INDEX(Labels!I:I, MATCH(Summary!$A48, Labels!$A:$A, 0)))</f>
        <v/>
      </c>
      <c r="X48" t="str">
        <f>IF(INDEX(Labels!J:J, MATCH(Summary!$A48, Labels!$A:$A, 0)) = 0, "", INDEX(Labels!J:J, MATCH(Summary!$A48, Labels!$A:$A, 0)))</f>
        <v/>
      </c>
    </row>
    <row r="49" spans="1:24" x14ac:dyDescent="0.2">
      <c r="A49" s="33">
        <f>Labels!A50</f>
        <v>43</v>
      </c>
      <c r="B49" s="34">
        <f>INDEX(EchoData!B:B, MATCH(Summary!$A49, EchoData!$A:$A, 0))</f>
        <v>43</v>
      </c>
      <c r="C49" s="35">
        <f>INDEX(EchoData!C:C, MATCH(Summary!$A49, EchoData!$A:$A, 0))</f>
        <v>44</v>
      </c>
      <c r="D49" s="42">
        <f>INDEX(Displacements!B:B, MATCH(Summary!$B49, Displacements!$A:$A, 0))</f>
        <v>-29</v>
      </c>
      <c r="E49" s="43">
        <f>INDEX(Displacements!C:C, MATCH(Summary!$B49, Displacements!$A:$A, 0))</f>
        <v>0</v>
      </c>
      <c r="F49" s="44">
        <f>INDEX(Displacements!D:D, MATCH(Summary!$B49, Displacements!$A:$A, 0))</f>
        <v>0</v>
      </c>
      <c r="G49" s="42">
        <f>INDEX(Displacements!B:B, MATCH(Summary!$C49, Displacements!$A:$A, 0))</f>
        <v>-28.5</v>
      </c>
      <c r="H49" s="43">
        <f>INDEX(Displacements!C:C, MATCH(Summary!$C49, Displacements!$A:$A, 0))</f>
        <v>0</v>
      </c>
      <c r="I49" s="44">
        <f>INDEX(Displacements!D:D, MATCH(Summary!$C49, Displacements!$A:$A, 0))</f>
        <v>0</v>
      </c>
      <c r="J49" s="42">
        <f t="shared" si="0"/>
        <v>0.5</v>
      </c>
      <c r="K49" s="49">
        <f t="shared" si="1"/>
        <v>1</v>
      </c>
      <c r="L49" s="54">
        <f>INDEX('Forces+Stresses'!C:C, MATCH(Summary!$A49, 'Forces+Stresses'!$A:$A, 0))</f>
        <v>-1901</v>
      </c>
      <c r="M49" s="55">
        <f>INDEX('Forces+Stresses'!D:D, MATCH(Summary!$A49, 'Forces+Stresses'!$A:$A, 0))</f>
        <v>-1901</v>
      </c>
      <c r="N49" s="55">
        <f>IFERROR(INDEX('Forces+Stresses'!Q:Q, MATCH(Summary!$A49, 'Forces+Stresses'!$A:$A, 0)), INDEX(Flexjoints!D:D, MATCH(Summary!$A49, Flexjoints!$A:$A, 0)))</f>
        <v>1.2119999999999999E-8</v>
      </c>
      <c r="O49" s="56">
        <f>IFERROR(INDEX('Forces+Stresses'!R:R, MATCH(Summary!$A49, 'Forces+Stresses'!$A:$A, 0)), INDEX(Flexjoints!E:E, MATCH(Summary!$A49, Flexjoints!$A:$A, 0)))</f>
        <v>4.1879999999999996E-7</v>
      </c>
      <c r="P49" s="33" t="str">
        <f>IF(INDEX(Labels!B:B, MATCH(Summary!$A49, Labels!$A:$A, 0)) = 0, "", INDEX(Labels!B:B, MATCH(Summary!$A49, Labels!$A:$A, 0)))</f>
        <v>{Conductor Soil String}</v>
      </c>
      <c r="Q49" s="35" t="str">
        <f>IF(INDEX(Labels!C:C, MATCH(Summary!$A49, Labels!$A:$A, 0)) = 0, "", INDEX(Labels!C:C, MATCH(Summary!$A49, Labels!$A:$A, 0)))</f>
        <v>{Cond 36x1.5in}</v>
      </c>
      <c r="R49" s="33" t="str">
        <f>IF(INDEX(Labels!D:D, MATCH(Summary!$A49, Labels!$A:$A, 0)) = 0, "", INDEX(Labels!D:D, MATCH(Summary!$A49, Labels!$A:$A, 0)))</f>
        <v/>
      </c>
      <c r="S49" s="35" t="str">
        <f>IF(INDEX(Labels!E:E, MATCH(Summary!$A49, Labels!$A:$A, 0)) = 0, "", INDEX(Labels!E:E, MATCH(Summary!$A49, Labels!$A:$A, 0)))</f>
        <v/>
      </c>
      <c r="T49" s="33" t="str">
        <f>IF(INDEX(Labels!F:F, MATCH(Summary!$A49, Labels!$A:$A, 0)) = 0, "", INDEX(Labels!F:F, MATCH(Summary!$A49, Labels!$A:$A, 0)))</f>
        <v/>
      </c>
      <c r="U49" s="35" t="str">
        <f>IF(INDEX(Labels!G:G, MATCH(Summary!$A49, Labels!$A:$A, 0)) = 0, "", INDEX(Labels!G:G, MATCH(Summary!$A49, Labels!$A:$A, 0)))</f>
        <v/>
      </c>
      <c r="V49" s="62" t="str">
        <f>IF(INDEX(Labels!H:H, MATCH(Summary!$A49, Labels!$A:$A, 0)) = 0, "", INDEX(Labels!H:H, MATCH(Summary!$A49, Labels!$A:$A, 0)))</f>
        <v/>
      </c>
      <c r="W49" t="str">
        <f>IF(INDEX(Labels!I:I, MATCH(Summary!$A49, Labels!$A:$A, 0)) = 0, "", INDEX(Labels!I:I, MATCH(Summary!$A49, Labels!$A:$A, 0)))</f>
        <v/>
      </c>
      <c r="X49" t="str">
        <f>IF(INDEX(Labels!J:J, MATCH(Summary!$A49, Labels!$A:$A, 0)) = 0, "", INDEX(Labels!J:J, MATCH(Summary!$A49, Labels!$A:$A, 0)))</f>
        <v/>
      </c>
    </row>
    <row r="50" spans="1:24" x14ac:dyDescent="0.2">
      <c r="A50" s="33">
        <f>Labels!A51</f>
        <v>44</v>
      </c>
      <c r="B50" s="34">
        <f>INDEX(EchoData!B:B, MATCH(Summary!$A50, EchoData!$A:$A, 0))</f>
        <v>44</v>
      </c>
      <c r="C50" s="35">
        <f>INDEX(EchoData!C:C, MATCH(Summary!$A50, EchoData!$A:$A, 0))</f>
        <v>45</v>
      </c>
      <c r="D50" s="42">
        <f>INDEX(Displacements!B:B, MATCH(Summary!$B50, Displacements!$A:$A, 0))</f>
        <v>-28.5</v>
      </c>
      <c r="E50" s="43">
        <f>INDEX(Displacements!C:C, MATCH(Summary!$B50, Displacements!$A:$A, 0))</f>
        <v>0</v>
      </c>
      <c r="F50" s="44">
        <f>INDEX(Displacements!D:D, MATCH(Summary!$B50, Displacements!$A:$A, 0))</f>
        <v>0</v>
      </c>
      <c r="G50" s="42">
        <f>INDEX(Displacements!B:B, MATCH(Summary!$C50, Displacements!$A:$A, 0))</f>
        <v>-28</v>
      </c>
      <c r="H50" s="43">
        <f>INDEX(Displacements!C:C, MATCH(Summary!$C50, Displacements!$A:$A, 0))</f>
        <v>0</v>
      </c>
      <c r="I50" s="44">
        <f>INDEX(Displacements!D:D, MATCH(Summary!$C50, Displacements!$A:$A, 0))</f>
        <v>0</v>
      </c>
      <c r="J50" s="42">
        <f t="shared" si="0"/>
        <v>0.5</v>
      </c>
      <c r="K50" s="49">
        <f t="shared" si="1"/>
        <v>1</v>
      </c>
      <c r="L50" s="54">
        <f>INDEX('Forces+Stresses'!C:C, MATCH(Summary!$A50, 'Forces+Stresses'!$A:$A, 0))</f>
        <v>-1897</v>
      </c>
      <c r="M50" s="55">
        <f>INDEX('Forces+Stresses'!D:D, MATCH(Summary!$A50, 'Forces+Stresses'!$A:$A, 0))</f>
        <v>-1897</v>
      </c>
      <c r="N50" s="55">
        <f>IFERROR(INDEX('Forces+Stresses'!Q:Q, MATCH(Summary!$A50, 'Forces+Stresses'!$A:$A, 0)), INDEX(Flexjoints!D:D, MATCH(Summary!$A50, Flexjoints!$A:$A, 0)))</f>
        <v>1.4080000000000001E-8</v>
      </c>
      <c r="O50" s="56">
        <f>IFERROR(INDEX('Forces+Stresses'!R:R, MATCH(Summary!$A50, 'Forces+Stresses'!$A:$A, 0)), INDEX(Flexjoints!E:E, MATCH(Summary!$A50, Flexjoints!$A:$A, 0)))</f>
        <v>4.8849999999999996E-7</v>
      </c>
      <c r="P50" s="33" t="str">
        <f>IF(INDEX(Labels!B:B, MATCH(Summary!$A50, Labels!$A:$A, 0)) = 0, "", INDEX(Labels!B:B, MATCH(Summary!$A50, Labels!$A:$A, 0)))</f>
        <v>{Conductor Soil String}</v>
      </c>
      <c r="Q50" s="35" t="str">
        <f>IF(INDEX(Labels!C:C, MATCH(Summary!$A50, Labels!$A:$A, 0)) = 0, "", INDEX(Labels!C:C, MATCH(Summary!$A50, Labels!$A:$A, 0)))</f>
        <v>{Cond 36x1.5in}</v>
      </c>
      <c r="R50" s="33" t="str">
        <f>IF(INDEX(Labels!D:D, MATCH(Summary!$A50, Labels!$A:$A, 0)) = 0, "", INDEX(Labels!D:D, MATCH(Summary!$A50, Labels!$A:$A, 0)))</f>
        <v/>
      </c>
      <c r="S50" s="35" t="str">
        <f>IF(INDEX(Labels!E:E, MATCH(Summary!$A50, Labels!$A:$A, 0)) = 0, "", INDEX(Labels!E:E, MATCH(Summary!$A50, Labels!$A:$A, 0)))</f>
        <v/>
      </c>
      <c r="T50" s="33" t="str">
        <f>IF(INDEX(Labels!F:F, MATCH(Summary!$A50, Labels!$A:$A, 0)) = 0, "", INDEX(Labels!F:F, MATCH(Summary!$A50, Labels!$A:$A, 0)))</f>
        <v/>
      </c>
      <c r="U50" s="35" t="str">
        <f>IF(INDEX(Labels!G:G, MATCH(Summary!$A50, Labels!$A:$A, 0)) = 0, "", INDEX(Labels!G:G, MATCH(Summary!$A50, Labels!$A:$A, 0)))</f>
        <v/>
      </c>
      <c r="V50" s="62" t="str">
        <f>IF(INDEX(Labels!H:H, MATCH(Summary!$A50, Labels!$A:$A, 0)) = 0, "", INDEX(Labels!H:H, MATCH(Summary!$A50, Labels!$A:$A, 0)))</f>
        <v/>
      </c>
      <c r="W50" t="str">
        <f>IF(INDEX(Labels!I:I, MATCH(Summary!$A50, Labels!$A:$A, 0)) = 0, "", INDEX(Labels!I:I, MATCH(Summary!$A50, Labels!$A:$A, 0)))</f>
        <v/>
      </c>
      <c r="X50" t="str">
        <f>IF(INDEX(Labels!J:J, MATCH(Summary!$A50, Labels!$A:$A, 0)) = 0, "", INDEX(Labels!J:J, MATCH(Summary!$A50, Labels!$A:$A, 0)))</f>
        <v/>
      </c>
    </row>
    <row r="51" spans="1:24" x14ac:dyDescent="0.2">
      <c r="A51" s="33">
        <f>Labels!A52</f>
        <v>45</v>
      </c>
      <c r="B51" s="34">
        <f>INDEX(EchoData!B:B, MATCH(Summary!$A51, EchoData!$A:$A, 0))</f>
        <v>45</v>
      </c>
      <c r="C51" s="35">
        <f>INDEX(EchoData!C:C, MATCH(Summary!$A51, EchoData!$A:$A, 0))</f>
        <v>46</v>
      </c>
      <c r="D51" s="42">
        <f>INDEX(Displacements!B:B, MATCH(Summary!$B51, Displacements!$A:$A, 0))</f>
        <v>-28</v>
      </c>
      <c r="E51" s="43">
        <f>INDEX(Displacements!C:C, MATCH(Summary!$B51, Displacements!$A:$A, 0))</f>
        <v>0</v>
      </c>
      <c r="F51" s="44">
        <f>INDEX(Displacements!D:D, MATCH(Summary!$B51, Displacements!$A:$A, 0))</f>
        <v>0</v>
      </c>
      <c r="G51" s="42">
        <f>INDEX(Displacements!B:B, MATCH(Summary!$C51, Displacements!$A:$A, 0))</f>
        <v>-27.5</v>
      </c>
      <c r="H51" s="43">
        <f>INDEX(Displacements!C:C, MATCH(Summary!$C51, Displacements!$A:$A, 0))</f>
        <v>0</v>
      </c>
      <c r="I51" s="44">
        <f>INDEX(Displacements!D:D, MATCH(Summary!$C51, Displacements!$A:$A, 0))</f>
        <v>0</v>
      </c>
      <c r="J51" s="42">
        <f t="shared" si="0"/>
        <v>0.5</v>
      </c>
      <c r="K51" s="49">
        <f t="shared" si="1"/>
        <v>1</v>
      </c>
      <c r="L51" s="54">
        <f>INDEX('Forces+Stresses'!C:C, MATCH(Summary!$A51, 'Forces+Stresses'!$A:$A, 0))</f>
        <v>-1894</v>
      </c>
      <c r="M51" s="55">
        <f>INDEX('Forces+Stresses'!D:D, MATCH(Summary!$A51, 'Forces+Stresses'!$A:$A, 0))</f>
        <v>-1894</v>
      </c>
      <c r="N51" s="55">
        <f>IFERROR(INDEX('Forces+Stresses'!Q:Q, MATCH(Summary!$A51, 'Forces+Stresses'!$A:$A, 0)), INDEX(Flexjoints!D:D, MATCH(Summary!$A51, Flexjoints!$A:$A, 0)))</f>
        <v>1.6149999999999999E-8</v>
      </c>
      <c r="O51" s="56">
        <f>IFERROR(INDEX('Forces+Stresses'!R:R, MATCH(Summary!$A51, 'Forces+Stresses'!$A:$A, 0)), INDEX(Flexjoints!E:E, MATCH(Summary!$A51, Flexjoints!$A:$A, 0)))</f>
        <v>5.6199999999999998E-7</v>
      </c>
      <c r="P51" s="33" t="str">
        <f>IF(INDEX(Labels!B:B, MATCH(Summary!$A51, Labels!$A:$A, 0)) = 0, "", INDEX(Labels!B:B, MATCH(Summary!$A51, Labels!$A:$A, 0)))</f>
        <v>{Conductor Soil String}</v>
      </c>
      <c r="Q51" s="35" t="str">
        <f>IF(INDEX(Labels!C:C, MATCH(Summary!$A51, Labels!$A:$A, 0)) = 0, "", INDEX(Labels!C:C, MATCH(Summary!$A51, Labels!$A:$A, 0)))</f>
        <v>{Cond 36x1.5in}</v>
      </c>
      <c r="R51" s="33" t="str">
        <f>IF(INDEX(Labels!D:D, MATCH(Summary!$A51, Labels!$A:$A, 0)) = 0, "", INDEX(Labels!D:D, MATCH(Summary!$A51, Labels!$A:$A, 0)))</f>
        <v/>
      </c>
      <c r="S51" s="35" t="str">
        <f>IF(INDEX(Labels!E:E, MATCH(Summary!$A51, Labels!$A:$A, 0)) = 0, "", INDEX(Labels!E:E, MATCH(Summary!$A51, Labels!$A:$A, 0)))</f>
        <v/>
      </c>
      <c r="T51" s="33" t="str">
        <f>IF(INDEX(Labels!F:F, MATCH(Summary!$A51, Labels!$A:$A, 0)) = 0, "", INDEX(Labels!F:F, MATCH(Summary!$A51, Labels!$A:$A, 0)))</f>
        <v/>
      </c>
      <c r="U51" s="35" t="str">
        <f>IF(INDEX(Labels!G:G, MATCH(Summary!$A51, Labels!$A:$A, 0)) = 0, "", INDEX(Labels!G:G, MATCH(Summary!$A51, Labels!$A:$A, 0)))</f>
        <v/>
      </c>
      <c r="V51" s="62" t="str">
        <f>IF(INDEX(Labels!H:H, MATCH(Summary!$A51, Labels!$A:$A, 0)) = 0, "", INDEX(Labels!H:H, MATCH(Summary!$A51, Labels!$A:$A, 0)))</f>
        <v/>
      </c>
      <c r="W51" t="str">
        <f>IF(INDEX(Labels!I:I, MATCH(Summary!$A51, Labels!$A:$A, 0)) = 0, "", INDEX(Labels!I:I, MATCH(Summary!$A51, Labels!$A:$A, 0)))</f>
        <v/>
      </c>
      <c r="X51" t="str">
        <f>IF(INDEX(Labels!J:J, MATCH(Summary!$A51, Labels!$A:$A, 0)) = 0, "", INDEX(Labels!J:J, MATCH(Summary!$A51, Labels!$A:$A, 0)))</f>
        <v/>
      </c>
    </row>
    <row r="52" spans="1:24" x14ac:dyDescent="0.2">
      <c r="A52" s="33">
        <f>Labels!A53</f>
        <v>46</v>
      </c>
      <c r="B52" s="34">
        <f>INDEX(EchoData!B:B, MATCH(Summary!$A52, EchoData!$A:$A, 0))</f>
        <v>46</v>
      </c>
      <c r="C52" s="35">
        <f>INDEX(EchoData!C:C, MATCH(Summary!$A52, EchoData!$A:$A, 0))</f>
        <v>47</v>
      </c>
      <c r="D52" s="42">
        <f>INDEX(Displacements!B:B, MATCH(Summary!$B52, Displacements!$A:$A, 0))</f>
        <v>-27.5</v>
      </c>
      <c r="E52" s="43">
        <f>INDEX(Displacements!C:C, MATCH(Summary!$B52, Displacements!$A:$A, 0))</f>
        <v>0</v>
      </c>
      <c r="F52" s="44">
        <f>INDEX(Displacements!D:D, MATCH(Summary!$B52, Displacements!$A:$A, 0))</f>
        <v>0</v>
      </c>
      <c r="G52" s="42">
        <f>INDEX(Displacements!B:B, MATCH(Summary!$C52, Displacements!$A:$A, 0))</f>
        <v>-27</v>
      </c>
      <c r="H52" s="43">
        <f>INDEX(Displacements!C:C, MATCH(Summary!$C52, Displacements!$A:$A, 0))</f>
        <v>0</v>
      </c>
      <c r="I52" s="44">
        <f>INDEX(Displacements!D:D, MATCH(Summary!$C52, Displacements!$A:$A, 0))</f>
        <v>0</v>
      </c>
      <c r="J52" s="42">
        <f t="shared" si="0"/>
        <v>0.5</v>
      </c>
      <c r="K52" s="49">
        <f t="shared" si="1"/>
        <v>1</v>
      </c>
      <c r="L52" s="54">
        <f>INDEX('Forces+Stresses'!C:C, MATCH(Summary!$A52, 'Forces+Stresses'!$A:$A, 0))</f>
        <v>-1890</v>
      </c>
      <c r="M52" s="55">
        <f>INDEX('Forces+Stresses'!D:D, MATCH(Summary!$A52, 'Forces+Stresses'!$A:$A, 0))</f>
        <v>-1890</v>
      </c>
      <c r="N52" s="55">
        <f>IFERROR(INDEX('Forces+Stresses'!Q:Q, MATCH(Summary!$A52, 'Forces+Stresses'!$A:$A, 0)), INDEX(Flexjoints!D:D, MATCH(Summary!$A52, Flexjoints!$A:$A, 0)))</f>
        <v>1.8280000000000002E-8</v>
      </c>
      <c r="O52" s="56">
        <f>IFERROR(INDEX('Forces+Stresses'!R:R, MATCH(Summary!$A52, 'Forces+Stresses'!$A:$A, 0)), INDEX(Flexjoints!E:E, MATCH(Summary!$A52, Flexjoints!$A:$A, 0)))</f>
        <v>6.384E-7</v>
      </c>
      <c r="P52" s="33" t="str">
        <f>IF(INDEX(Labels!B:B, MATCH(Summary!$A52, Labels!$A:$A, 0)) = 0, "", INDEX(Labels!B:B, MATCH(Summary!$A52, Labels!$A:$A, 0)))</f>
        <v>{Conductor Soil String}</v>
      </c>
      <c r="Q52" s="35" t="str">
        <f>IF(INDEX(Labels!C:C, MATCH(Summary!$A52, Labels!$A:$A, 0)) = 0, "", INDEX(Labels!C:C, MATCH(Summary!$A52, Labels!$A:$A, 0)))</f>
        <v>{Cond 36x1.5in}</v>
      </c>
      <c r="R52" s="33" t="str">
        <f>IF(INDEX(Labels!D:D, MATCH(Summary!$A52, Labels!$A:$A, 0)) = 0, "", INDEX(Labels!D:D, MATCH(Summary!$A52, Labels!$A:$A, 0)))</f>
        <v/>
      </c>
      <c r="S52" s="35" t="str">
        <f>IF(INDEX(Labels!E:E, MATCH(Summary!$A52, Labels!$A:$A, 0)) = 0, "", INDEX(Labels!E:E, MATCH(Summary!$A52, Labels!$A:$A, 0)))</f>
        <v/>
      </c>
      <c r="T52" s="33" t="str">
        <f>IF(INDEX(Labels!F:F, MATCH(Summary!$A52, Labels!$A:$A, 0)) = 0, "", INDEX(Labels!F:F, MATCH(Summary!$A52, Labels!$A:$A, 0)))</f>
        <v/>
      </c>
      <c r="U52" s="35" t="str">
        <f>IF(INDEX(Labels!G:G, MATCH(Summary!$A52, Labels!$A:$A, 0)) = 0, "", INDEX(Labels!G:G, MATCH(Summary!$A52, Labels!$A:$A, 0)))</f>
        <v/>
      </c>
      <c r="V52" s="62" t="str">
        <f>IF(INDEX(Labels!H:H, MATCH(Summary!$A52, Labels!$A:$A, 0)) = 0, "", INDEX(Labels!H:H, MATCH(Summary!$A52, Labels!$A:$A, 0)))</f>
        <v/>
      </c>
      <c r="W52" t="str">
        <f>IF(INDEX(Labels!I:I, MATCH(Summary!$A52, Labels!$A:$A, 0)) = 0, "", INDEX(Labels!I:I, MATCH(Summary!$A52, Labels!$A:$A, 0)))</f>
        <v/>
      </c>
      <c r="X52" t="str">
        <f>IF(INDEX(Labels!J:J, MATCH(Summary!$A52, Labels!$A:$A, 0)) = 0, "", INDEX(Labels!J:J, MATCH(Summary!$A52, Labels!$A:$A, 0)))</f>
        <v/>
      </c>
    </row>
    <row r="53" spans="1:24" x14ac:dyDescent="0.2">
      <c r="A53" s="33">
        <f>Labels!A54</f>
        <v>47</v>
      </c>
      <c r="B53" s="34">
        <f>INDEX(EchoData!B:B, MATCH(Summary!$A53, EchoData!$A:$A, 0))</f>
        <v>47</v>
      </c>
      <c r="C53" s="35">
        <f>INDEX(EchoData!C:C, MATCH(Summary!$A53, EchoData!$A:$A, 0))</f>
        <v>48</v>
      </c>
      <c r="D53" s="42">
        <f>INDEX(Displacements!B:B, MATCH(Summary!$B53, Displacements!$A:$A, 0))</f>
        <v>-27</v>
      </c>
      <c r="E53" s="43">
        <f>INDEX(Displacements!C:C, MATCH(Summary!$B53, Displacements!$A:$A, 0))</f>
        <v>0</v>
      </c>
      <c r="F53" s="44">
        <f>INDEX(Displacements!D:D, MATCH(Summary!$B53, Displacements!$A:$A, 0))</f>
        <v>0</v>
      </c>
      <c r="G53" s="42">
        <f>INDEX(Displacements!B:B, MATCH(Summary!$C53, Displacements!$A:$A, 0))</f>
        <v>-26.5</v>
      </c>
      <c r="H53" s="43">
        <f>INDEX(Displacements!C:C, MATCH(Summary!$C53, Displacements!$A:$A, 0))</f>
        <v>0</v>
      </c>
      <c r="I53" s="44">
        <f>INDEX(Displacements!D:D, MATCH(Summary!$C53, Displacements!$A:$A, 0))</f>
        <v>0</v>
      </c>
      <c r="J53" s="42">
        <f t="shared" si="0"/>
        <v>0.5</v>
      </c>
      <c r="K53" s="49">
        <f t="shared" si="1"/>
        <v>1</v>
      </c>
      <c r="L53" s="54">
        <f>INDEX('Forces+Stresses'!C:C, MATCH(Summary!$A53, 'Forces+Stresses'!$A:$A, 0))</f>
        <v>-1887</v>
      </c>
      <c r="M53" s="55">
        <f>INDEX('Forces+Stresses'!D:D, MATCH(Summary!$A53, 'Forces+Stresses'!$A:$A, 0))</f>
        <v>-1887</v>
      </c>
      <c r="N53" s="55">
        <f>IFERROR(INDEX('Forces+Stresses'!Q:Q, MATCH(Summary!$A53, 'Forces+Stresses'!$A:$A, 0)), INDEX(Flexjoints!D:D, MATCH(Summary!$A53, Flexjoints!$A:$A, 0)))</f>
        <v>2.0449999999999998E-8</v>
      </c>
      <c r="O53" s="56">
        <f>IFERROR(INDEX('Forces+Stresses'!R:R, MATCH(Summary!$A53, 'Forces+Stresses'!$A:$A, 0)), INDEX(Flexjoints!E:E, MATCH(Summary!$A53, Flexjoints!$A:$A, 0)))</f>
        <v>7.1630000000000003E-7</v>
      </c>
      <c r="P53" s="33" t="str">
        <f>IF(INDEX(Labels!B:B, MATCH(Summary!$A53, Labels!$A:$A, 0)) = 0, "", INDEX(Labels!B:B, MATCH(Summary!$A53, Labels!$A:$A, 0)))</f>
        <v>{Conductor Soil String}</v>
      </c>
      <c r="Q53" s="35" t="str">
        <f>IF(INDEX(Labels!C:C, MATCH(Summary!$A53, Labels!$A:$A, 0)) = 0, "", INDEX(Labels!C:C, MATCH(Summary!$A53, Labels!$A:$A, 0)))</f>
        <v>{Cond 36x1.5in}</v>
      </c>
      <c r="R53" s="33" t="str">
        <f>IF(INDEX(Labels!D:D, MATCH(Summary!$A53, Labels!$A:$A, 0)) = 0, "", INDEX(Labels!D:D, MATCH(Summary!$A53, Labels!$A:$A, 0)))</f>
        <v/>
      </c>
      <c r="S53" s="35" t="str">
        <f>IF(INDEX(Labels!E:E, MATCH(Summary!$A53, Labels!$A:$A, 0)) = 0, "", INDEX(Labels!E:E, MATCH(Summary!$A53, Labels!$A:$A, 0)))</f>
        <v/>
      </c>
      <c r="T53" s="33" t="str">
        <f>IF(INDEX(Labels!F:F, MATCH(Summary!$A53, Labels!$A:$A, 0)) = 0, "", INDEX(Labels!F:F, MATCH(Summary!$A53, Labels!$A:$A, 0)))</f>
        <v/>
      </c>
      <c r="U53" s="35" t="str">
        <f>IF(INDEX(Labels!G:G, MATCH(Summary!$A53, Labels!$A:$A, 0)) = 0, "", INDEX(Labels!G:G, MATCH(Summary!$A53, Labels!$A:$A, 0)))</f>
        <v/>
      </c>
      <c r="V53" s="62" t="str">
        <f>IF(INDEX(Labels!H:H, MATCH(Summary!$A53, Labels!$A:$A, 0)) = 0, "", INDEX(Labels!H:H, MATCH(Summary!$A53, Labels!$A:$A, 0)))</f>
        <v/>
      </c>
      <c r="W53" t="str">
        <f>IF(INDEX(Labels!I:I, MATCH(Summary!$A53, Labels!$A:$A, 0)) = 0, "", INDEX(Labels!I:I, MATCH(Summary!$A53, Labels!$A:$A, 0)))</f>
        <v/>
      </c>
      <c r="X53" t="str">
        <f>IF(INDEX(Labels!J:J, MATCH(Summary!$A53, Labels!$A:$A, 0)) = 0, "", INDEX(Labels!J:J, MATCH(Summary!$A53, Labels!$A:$A, 0)))</f>
        <v/>
      </c>
    </row>
    <row r="54" spans="1:24" x14ac:dyDescent="0.2">
      <c r="A54" s="33">
        <f>Labels!A55</f>
        <v>48</v>
      </c>
      <c r="B54" s="34">
        <f>INDEX(EchoData!B:B, MATCH(Summary!$A54, EchoData!$A:$A, 0))</f>
        <v>48</v>
      </c>
      <c r="C54" s="35">
        <f>INDEX(EchoData!C:C, MATCH(Summary!$A54, EchoData!$A:$A, 0))</f>
        <v>49</v>
      </c>
      <c r="D54" s="42">
        <f>INDEX(Displacements!B:B, MATCH(Summary!$B54, Displacements!$A:$A, 0))</f>
        <v>-26.5</v>
      </c>
      <c r="E54" s="43">
        <f>INDEX(Displacements!C:C, MATCH(Summary!$B54, Displacements!$A:$A, 0))</f>
        <v>0</v>
      </c>
      <c r="F54" s="44">
        <f>INDEX(Displacements!D:D, MATCH(Summary!$B54, Displacements!$A:$A, 0))</f>
        <v>0</v>
      </c>
      <c r="G54" s="42">
        <f>INDEX(Displacements!B:B, MATCH(Summary!$C54, Displacements!$A:$A, 0))</f>
        <v>-26</v>
      </c>
      <c r="H54" s="43">
        <f>INDEX(Displacements!C:C, MATCH(Summary!$C54, Displacements!$A:$A, 0))</f>
        <v>0</v>
      </c>
      <c r="I54" s="44">
        <f>INDEX(Displacements!D:D, MATCH(Summary!$C54, Displacements!$A:$A, 0))</f>
        <v>0</v>
      </c>
      <c r="J54" s="42">
        <f t="shared" si="0"/>
        <v>0.5</v>
      </c>
      <c r="K54" s="49">
        <f t="shared" si="1"/>
        <v>1</v>
      </c>
      <c r="L54" s="54">
        <f>INDEX('Forces+Stresses'!C:C, MATCH(Summary!$A54, 'Forces+Stresses'!$A:$A, 0))</f>
        <v>-1883</v>
      </c>
      <c r="M54" s="55">
        <f>INDEX('Forces+Stresses'!D:D, MATCH(Summary!$A54, 'Forces+Stresses'!$A:$A, 0))</f>
        <v>-1883</v>
      </c>
      <c r="N54" s="55">
        <f>IFERROR(INDEX('Forces+Stresses'!Q:Q, MATCH(Summary!$A54, 'Forces+Stresses'!$A:$A, 0)), INDEX(Flexjoints!D:D, MATCH(Summary!$A54, Flexjoints!$A:$A, 0)))</f>
        <v>2.2589999999999999E-8</v>
      </c>
      <c r="O54" s="56">
        <f>IFERROR(INDEX('Forces+Stresses'!R:R, MATCH(Summary!$A54, 'Forces+Stresses'!$A:$A, 0)), INDEX(Flexjoints!E:E, MATCH(Summary!$A54, Flexjoints!$A:$A, 0)))</f>
        <v>7.9400000000000004E-7</v>
      </c>
      <c r="P54" s="33" t="str">
        <f>IF(INDEX(Labels!B:B, MATCH(Summary!$A54, Labels!$A:$A, 0)) = 0, "", INDEX(Labels!B:B, MATCH(Summary!$A54, Labels!$A:$A, 0)))</f>
        <v>{Conductor Soil String}</v>
      </c>
      <c r="Q54" s="35" t="str">
        <f>IF(INDEX(Labels!C:C, MATCH(Summary!$A54, Labels!$A:$A, 0)) = 0, "", INDEX(Labels!C:C, MATCH(Summary!$A54, Labels!$A:$A, 0)))</f>
        <v>{Cond 36x1.5in}</v>
      </c>
      <c r="R54" s="33" t="str">
        <f>IF(INDEX(Labels!D:D, MATCH(Summary!$A54, Labels!$A:$A, 0)) = 0, "", INDEX(Labels!D:D, MATCH(Summary!$A54, Labels!$A:$A, 0)))</f>
        <v/>
      </c>
      <c r="S54" s="35" t="str">
        <f>IF(INDEX(Labels!E:E, MATCH(Summary!$A54, Labels!$A:$A, 0)) = 0, "", INDEX(Labels!E:E, MATCH(Summary!$A54, Labels!$A:$A, 0)))</f>
        <v/>
      </c>
      <c r="T54" s="33" t="str">
        <f>IF(INDEX(Labels!F:F, MATCH(Summary!$A54, Labels!$A:$A, 0)) = 0, "", INDEX(Labels!F:F, MATCH(Summary!$A54, Labels!$A:$A, 0)))</f>
        <v/>
      </c>
      <c r="U54" s="35" t="str">
        <f>IF(INDEX(Labels!G:G, MATCH(Summary!$A54, Labels!$A:$A, 0)) = 0, "", INDEX(Labels!G:G, MATCH(Summary!$A54, Labels!$A:$A, 0)))</f>
        <v/>
      </c>
      <c r="V54" s="62" t="str">
        <f>IF(INDEX(Labels!H:H, MATCH(Summary!$A54, Labels!$A:$A, 0)) = 0, "", INDEX(Labels!H:H, MATCH(Summary!$A54, Labels!$A:$A, 0)))</f>
        <v/>
      </c>
      <c r="W54" t="str">
        <f>IF(INDEX(Labels!I:I, MATCH(Summary!$A54, Labels!$A:$A, 0)) = 0, "", INDEX(Labels!I:I, MATCH(Summary!$A54, Labels!$A:$A, 0)))</f>
        <v/>
      </c>
      <c r="X54" t="str">
        <f>IF(INDEX(Labels!J:J, MATCH(Summary!$A54, Labels!$A:$A, 0)) = 0, "", INDEX(Labels!J:J, MATCH(Summary!$A54, Labels!$A:$A, 0)))</f>
        <v/>
      </c>
    </row>
    <row r="55" spans="1:24" x14ac:dyDescent="0.2">
      <c r="A55" s="33">
        <f>Labels!A56</f>
        <v>49</v>
      </c>
      <c r="B55" s="34">
        <f>INDEX(EchoData!B:B, MATCH(Summary!$A55, EchoData!$A:$A, 0))</f>
        <v>49</v>
      </c>
      <c r="C55" s="35">
        <f>INDEX(EchoData!C:C, MATCH(Summary!$A55, EchoData!$A:$A, 0))</f>
        <v>50</v>
      </c>
      <c r="D55" s="42">
        <f>INDEX(Displacements!B:B, MATCH(Summary!$B55, Displacements!$A:$A, 0))</f>
        <v>-26</v>
      </c>
      <c r="E55" s="43">
        <f>INDEX(Displacements!C:C, MATCH(Summary!$B55, Displacements!$A:$A, 0))</f>
        <v>0</v>
      </c>
      <c r="F55" s="44">
        <f>INDEX(Displacements!D:D, MATCH(Summary!$B55, Displacements!$A:$A, 0))</f>
        <v>0</v>
      </c>
      <c r="G55" s="42">
        <f>INDEX(Displacements!B:B, MATCH(Summary!$C55, Displacements!$A:$A, 0))</f>
        <v>-25.5</v>
      </c>
      <c r="H55" s="43">
        <f>INDEX(Displacements!C:C, MATCH(Summary!$C55, Displacements!$A:$A, 0))</f>
        <v>0</v>
      </c>
      <c r="I55" s="44">
        <f>INDEX(Displacements!D:D, MATCH(Summary!$C55, Displacements!$A:$A, 0))</f>
        <v>0</v>
      </c>
      <c r="J55" s="42">
        <f t="shared" si="0"/>
        <v>0.5</v>
      </c>
      <c r="K55" s="49">
        <f t="shared" si="1"/>
        <v>1</v>
      </c>
      <c r="L55" s="54">
        <f>INDEX('Forces+Stresses'!C:C, MATCH(Summary!$A55, 'Forces+Stresses'!$A:$A, 0))</f>
        <v>-1880</v>
      </c>
      <c r="M55" s="55">
        <f>INDEX('Forces+Stresses'!D:D, MATCH(Summary!$A55, 'Forces+Stresses'!$A:$A, 0))</f>
        <v>-1880</v>
      </c>
      <c r="N55" s="55">
        <f>IFERROR(INDEX('Forces+Stresses'!Q:Q, MATCH(Summary!$A55, 'Forces+Stresses'!$A:$A, 0)), INDEX(Flexjoints!D:D, MATCH(Summary!$A55, Flexjoints!$A:$A, 0)))</f>
        <v>2.466E-8</v>
      </c>
      <c r="O55" s="56">
        <f>IFERROR(INDEX('Forces+Stresses'!R:R, MATCH(Summary!$A55, 'Forces+Stresses'!$A:$A, 0)), INDEX(Flexjoints!E:E, MATCH(Summary!$A55, Flexjoints!$A:$A, 0)))</f>
        <v>8.6930000000000009E-7</v>
      </c>
      <c r="P55" s="33" t="str">
        <f>IF(INDEX(Labels!B:B, MATCH(Summary!$A55, Labels!$A:$A, 0)) = 0, "", INDEX(Labels!B:B, MATCH(Summary!$A55, Labels!$A:$A, 0)))</f>
        <v>{Conductor Soil String}</v>
      </c>
      <c r="Q55" s="35" t="str">
        <f>IF(INDEX(Labels!C:C, MATCH(Summary!$A55, Labels!$A:$A, 0)) = 0, "", INDEX(Labels!C:C, MATCH(Summary!$A55, Labels!$A:$A, 0)))</f>
        <v>{Cond 36x1.5in}</v>
      </c>
      <c r="R55" s="33" t="str">
        <f>IF(INDEX(Labels!D:D, MATCH(Summary!$A55, Labels!$A:$A, 0)) = 0, "", INDEX(Labels!D:D, MATCH(Summary!$A55, Labels!$A:$A, 0)))</f>
        <v/>
      </c>
      <c r="S55" s="35" t="str">
        <f>IF(INDEX(Labels!E:E, MATCH(Summary!$A55, Labels!$A:$A, 0)) = 0, "", INDEX(Labels!E:E, MATCH(Summary!$A55, Labels!$A:$A, 0)))</f>
        <v/>
      </c>
      <c r="T55" s="33" t="str">
        <f>IF(INDEX(Labels!F:F, MATCH(Summary!$A55, Labels!$A:$A, 0)) = 0, "", INDEX(Labels!F:F, MATCH(Summary!$A55, Labels!$A:$A, 0)))</f>
        <v/>
      </c>
      <c r="U55" s="35" t="str">
        <f>IF(INDEX(Labels!G:G, MATCH(Summary!$A55, Labels!$A:$A, 0)) = 0, "", INDEX(Labels!G:G, MATCH(Summary!$A55, Labels!$A:$A, 0)))</f>
        <v/>
      </c>
      <c r="V55" s="62" t="str">
        <f>IF(INDEX(Labels!H:H, MATCH(Summary!$A55, Labels!$A:$A, 0)) = 0, "", INDEX(Labels!H:H, MATCH(Summary!$A55, Labels!$A:$A, 0)))</f>
        <v/>
      </c>
      <c r="W55" t="str">
        <f>IF(INDEX(Labels!I:I, MATCH(Summary!$A55, Labels!$A:$A, 0)) = 0, "", INDEX(Labels!I:I, MATCH(Summary!$A55, Labels!$A:$A, 0)))</f>
        <v/>
      </c>
      <c r="X55" t="str">
        <f>IF(INDEX(Labels!J:J, MATCH(Summary!$A55, Labels!$A:$A, 0)) = 0, "", INDEX(Labels!J:J, MATCH(Summary!$A55, Labels!$A:$A, 0)))</f>
        <v/>
      </c>
    </row>
    <row r="56" spans="1:24" x14ac:dyDescent="0.2">
      <c r="A56" s="33">
        <f>Labels!A57</f>
        <v>50</v>
      </c>
      <c r="B56" s="34">
        <f>INDEX(EchoData!B:B, MATCH(Summary!$A56, EchoData!$A:$A, 0))</f>
        <v>50</v>
      </c>
      <c r="C56" s="35">
        <f>INDEX(EchoData!C:C, MATCH(Summary!$A56, EchoData!$A:$A, 0))</f>
        <v>51</v>
      </c>
      <c r="D56" s="42">
        <f>INDEX(Displacements!B:B, MATCH(Summary!$B56, Displacements!$A:$A, 0))</f>
        <v>-25.5</v>
      </c>
      <c r="E56" s="43">
        <f>INDEX(Displacements!C:C, MATCH(Summary!$B56, Displacements!$A:$A, 0))</f>
        <v>0</v>
      </c>
      <c r="F56" s="44">
        <f>INDEX(Displacements!D:D, MATCH(Summary!$B56, Displacements!$A:$A, 0))</f>
        <v>0</v>
      </c>
      <c r="G56" s="42">
        <f>INDEX(Displacements!B:B, MATCH(Summary!$C56, Displacements!$A:$A, 0))</f>
        <v>-25</v>
      </c>
      <c r="H56" s="43">
        <f>INDEX(Displacements!C:C, MATCH(Summary!$C56, Displacements!$A:$A, 0))</f>
        <v>0</v>
      </c>
      <c r="I56" s="44">
        <f>INDEX(Displacements!D:D, MATCH(Summary!$C56, Displacements!$A:$A, 0))</f>
        <v>0</v>
      </c>
      <c r="J56" s="42">
        <f t="shared" si="0"/>
        <v>0.5</v>
      </c>
      <c r="K56" s="49">
        <f t="shared" si="1"/>
        <v>1</v>
      </c>
      <c r="L56" s="54">
        <f>INDEX('Forces+Stresses'!C:C, MATCH(Summary!$A56, 'Forces+Stresses'!$A:$A, 0))</f>
        <v>-1876</v>
      </c>
      <c r="M56" s="55">
        <f>INDEX('Forces+Stresses'!D:D, MATCH(Summary!$A56, 'Forces+Stresses'!$A:$A, 0))</f>
        <v>-1876</v>
      </c>
      <c r="N56" s="55">
        <f>IFERROR(INDEX('Forces+Stresses'!Q:Q, MATCH(Summary!$A56, 'Forces+Stresses'!$A:$A, 0)), INDEX(Flexjoints!D:D, MATCH(Summary!$A56, Flexjoints!$A:$A, 0)))</f>
        <v>2.6570000000000002E-8</v>
      </c>
      <c r="O56" s="56">
        <f>IFERROR(INDEX('Forces+Stresses'!R:R, MATCH(Summary!$A56, 'Forces+Stresses'!$A:$A, 0)), INDEX(Flexjoints!E:E, MATCH(Summary!$A56, Flexjoints!$A:$A, 0)))</f>
        <v>9.3969999999999998E-7</v>
      </c>
      <c r="P56" s="33" t="str">
        <f>IF(INDEX(Labels!B:B, MATCH(Summary!$A56, Labels!$A:$A, 0)) = 0, "", INDEX(Labels!B:B, MATCH(Summary!$A56, Labels!$A:$A, 0)))</f>
        <v>{Conductor Soil String}</v>
      </c>
      <c r="Q56" s="35" t="str">
        <f>IF(INDEX(Labels!C:C, MATCH(Summary!$A56, Labels!$A:$A, 0)) = 0, "", INDEX(Labels!C:C, MATCH(Summary!$A56, Labels!$A:$A, 0)))</f>
        <v>{Cond 36x1.5in}</v>
      </c>
      <c r="R56" s="33" t="str">
        <f>IF(INDEX(Labels!D:D, MATCH(Summary!$A56, Labels!$A:$A, 0)) = 0, "", INDEX(Labels!D:D, MATCH(Summary!$A56, Labels!$A:$A, 0)))</f>
        <v/>
      </c>
      <c r="S56" s="35" t="str">
        <f>IF(INDEX(Labels!E:E, MATCH(Summary!$A56, Labels!$A:$A, 0)) = 0, "", INDEX(Labels!E:E, MATCH(Summary!$A56, Labels!$A:$A, 0)))</f>
        <v/>
      </c>
      <c r="T56" s="33" t="str">
        <f>IF(INDEX(Labels!F:F, MATCH(Summary!$A56, Labels!$A:$A, 0)) = 0, "", INDEX(Labels!F:F, MATCH(Summary!$A56, Labels!$A:$A, 0)))</f>
        <v/>
      </c>
      <c r="U56" s="35" t="str">
        <f>IF(INDEX(Labels!G:G, MATCH(Summary!$A56, Labels!$A:$A, 0)) = 0, "", INDEX(Labels!G:G, MATCH(Summary!$A56, Labels!$A:$A, 0)))</f>
        <v/>
      </c>
      <c r="V56" s="62" t="str">
        <f>IF(INDEX(Labels!H:H, MATCH(Summary!$A56, Labels!$A:$A, 0)) = 0, "", INDEX(Labels!H:H, MATCH(Summary!$A56, Labels!$A:$A, 0)))</f>
        <v/>
      </c>
      <c r="W56" t="str">
        <f>IF(INDEX(Labels!I:I, MATCH(Summary!$A56, Labels!$A:$A, 0)) = 0, "", INDEX(Labels!I:I, MATCH(Summary!$A56, Labels!$A:$A, 0)))</f>
        <v/>
      </c>
      <c r="X56" t="str">
        <f>IF(INDEX(Labels!J:J, MATCH(Summary!$A56, Labels!$A:$A, 0)) = 0, "", INDEX(Labels!J:J, MATCH(Summary!$A56, Labels!$A:$A, 0)))</f>
        <v/>
      </c>
    </row>
    <row r="57" spans="1:24" x14ac:dyDescent="0.2">
      <c r="A57" s="33">
        <f>Labels!A58</f>
        <v>51</v>
      </c>
      <c r="B57" s="34">
        <f>INDEX(EchoData!B:B, MATCH(Summary!$A57, EchoData!$A:$A, 0))</f>
        <v>51</v>
      </c>
      <c r="C57" s="35">
        <f>INDEX(EchoData!C:C, MATCH(Summary!$A57, EchoData!$A:$A, 0))</f>
        <v>52</v>
      </c>
      <c r="D57" s="42">
        <f>INDEX(Displacements!B:B, MATCH(Summary!$B57, Displacements!$A:$A, 0))</f>
        <v>-25</v>
      </c>
      <c r="E57" s="43">
        <f>INDEX(Displacements!C:C, MATCH(Summary!$B57, Displacements!$A:$A, 0))</f>
        <v>0</v>
      </c>
      <c r="F57" s="44">
        <f>INDEX(Displacements!D:D, MATCH(Summary!$B57, Displacements!$A:$A, 0))</f>
        <v>0</v>
      </c>
      <c r="G57" s="42">
        <f>INDEX(Displacements!B:B, MATCH(Summary!$C57, Displacements!$A:$A, 0))</f>
        <v>-24.5</v>
      </c>
      <c r="H57" s="43">
        <f>INDEX(Displacements!C:C, MATCH(Summary!$C57, Displacements!$A:$A, 0))</f>
        <v>0</v>
      </c>
      <c r="I57" s="44">
        <f>INDEX(Displacements!D:D, MATCH(Summary!$C57, Displacements!$A:$A, 0))</f>
        <v>0</v>
      </c>
      <c r="J57" s="42">
        <f t="shared" si="0"/>
        <v>0.5</v>
      </c>
      <c r="K57" s="49">
        <f t="shared" si="1"/>
        <v>1</v>
      </c>
      <c r="L57" s="54">
        <f>INDEX('Forces+Stresses'!C:C, MATCH(Summary!$A57, 'Forces+Stresses'!$A:$A, 0))</f>
        <v>-1873</v>
      </c>
      <c r="M57" s="55">
        <f>INDEX('Forces+Stresses'!D:D, MATCH(Summary!$A57, 'Forces+Stresses'!$A:$A, 0))</f>
        <v>-1873</v>
      </c>
      <c r="N57" s="55">
        <f>IFERROR(INDEX('Forces+Stresses'!Q:Q, MATCH(Summary!$A57, 'Forces+Stresses'!$A:$A, 0)), INDEX(Flexjoints!D:D, MATCH(Summary!$A57, Flexjoints!$A:$A, 0)))</f>
        <v>2.8229999999999999E-8</v>
      </c>
      <c r="O57" s="56">
        <f>IFERROR(INDEX('Forces+Stresses'!R:R, MATCH(Summary!$A57, 'Forces+Stresses'!$A:$A, 0)), INDEX(Flexjoints!E:E, MATCH(Summary!$A57, Flexjoints!$A:$A, 0)))</f>
        <v>1.0020000000000001E-6</v>
      </c>
      <c r="P57" s="33" t="str">
        <f>IF(INDEX(Labels!B:B, MATCH(Summary!$A57, Labels!$A:$A, 0)) = 0, "", INDEX(Labels!B:B, MATCH(Summary!$A57, Labels!$A:$A, 0)))</f>
        <v>{Conductor Soil String}</v>
      </c>
      <c r="Q57" s="35" t="str">
        <f>IF(INDEX(Labels!C:C, MATCH(Summary!$A57, Labels!$A:$A, 0)) = 0, "", INDEX(Labels!C:C, MATCH(Summary!$A57, Labels!$A:$A, 0)))</f>
        <v>{Cond 36x1.5in}</v>
      </c>
      <c r="R57" s="33" t="str">
        <f>IF(INDEX(Labels!D:D, MATCH(Summary!$A57, Labels!$A:$A, 0)) = 0, "", INDEX(Labels!D:D, MATCH(Summary!$A57, Labels!$A:$A, 0)))</f>
        <v/>
      </c>
      <c r="S57" s="35" t="str">
        <f>IF(INDEX(Labels!E:E, MATCH(Summary!$A57, Labels!$A:$A, 0)) = 0, "", INDEX(Labels!E:E, MATCH(Summary!$A57, Labels!$A:$A, 0)))</f>
        <v/>
      </c>
      <c r="T57" s="33" t="str">
        <f>IF(INDEX(Labels!F:F, MATCH(Summary!$A57, Labels!$A:$A, 0)) = 0, "", INDEX(Labels!F:F, MATCH(Summary!$A57, Labels!$A:$A, 0)))</f>
        <v/>
      </c>
      <c r="U57" s="35" t="str">
        <f>IF(INDEX(Labels!G:G, MATCH(Summary!$A57, Labels!$A:$A, 0)) = 0, "", INDEX(Labels!G:G, MATCH(Summary!$A57, Labels!$A:$A, 0)))</f>
        <v/>
      </c>
      <c r="V57" s="62" t="str">
        <f>IF(INDEX(Labels!H:H, MATCH(Summary!$A57, Labels!$A:$A, 0)) = 0, "", INDEX(Labels!H:H, MATCH(Summary!$A57, Labels!$A:$A, 0)))</f>
        <v/>
      </c>
      <c r="W57" t="str">
        <f>IF(INDEX(Labels!I:I, MATCH(Summary!$A57, Labels!$A:$A, 0)) = 0, "", INDEX(Labels!I:I, MATCH(Summary!$A57, Labels!$A:$A, 0)))</f>
        <v/>
      </c>
      <c r="X57" t="str">
        <f>IF(INDEX(Labels!J:J, MATCH(Summary!$A57, Labels!$A:$A, 0)) = 0, "", INDEX(Labels!J:J, MATCH(Summary!$A57, Labels!$A:$A, 0)))</f>
        <v/>
      </c>
    </row>
    <row r="58" spans="1:24" x14ac:dyDescent="0.2">
      <c r="A58" s="33">
        <f>Labels!A59</f>
        <v>52</v>
      </c>
      <c r="B58" s="34">
        <f>INDEX(EchoData!B:B, MATCH(Summary!$A58, EchoData!$A:$A, 0))</f>
        <v>52</v>
      </c>
      <c r="C58" s="35">
        <f>INDEX(EchoData!C:C, MATCH(Summary!$A58, EchoData!$A:$A, 0))</f>
        <v>53</v>
      </c>
      <c r="D58" s="42">
        <f>INDEX(Displacements!B:B, MATCH(Summary!$B58, Displacements!$A:$A, 0))</f>
        <v>-24.5</v>
      </c>
      <c r="E58" s="43">
        <f>INDEX(Displacements!C:C, MATCH(Summary!$B58, Displacements!$A:$A, 0))</f>
        <v>0</v>
      </c>
      <c r="F58" s="44">
        <f>INDEX(Displacements!D:D, MATCH(Summary!$B58, Displacements!$A:$A, 0))</f>
        <v>0</v>
      </c>
      <c r="G58" s="42">
        <f>INDEX(Displacements!B:B, MATCH(Summary!$C58, Displacements!$A:$A, 0))</f>
        <v>-24</v>
      </c>
      <c r="H58" s="43">
        <f>INDEX(Displacements!C:C, MATCH(Summary!$C58, Displacements!$A:$A, 0))</f>
        <v>0</v>
      </c>
      <c r="I58" s="44">
        <f>INDEX(Displacements!D:D, MATCH(Summary!$C58, Displacements!$A:$A, 0))</f>
        <v>0</v>
      </c>
      <c r="J58" s="42">
        <f t="shared" si="0"/>
        <v>0.5</v>
      </c>
      <c r="K58" s="49">
        <f t="shared" si="1"/>
        <v>1</v>
      </c>
      <c r="L58" s="54">
        <f>INDEX('Forces+Stresses'!C:C, MATCH(Summary!$A58, 'Forces+Stresses'!$A:$A, 0))</f>
        <v>-1869</v>
      </c>
      <c r="M58" s="55">
        <f>INDEX('Forces+Stresses'!D:D, MATCH(Summary!$A58, 'Forces+Stresses'!$A:$A, 0))</f>
        <v>-1869</v>
      </c>
      <c r="N58" s="55">
        <f>IFERROR(INDEX('Forces+Stresses'!Q:Q, MATCH(Summary!$A58, 'Forces+Stresses'!$A:$A, 0)), INDEX(Flexjoints!D:D, MATCH(Summary!$A58, Flexjoints!$A:$A, 0)))</f>
        <v>2.955E-8</v>
      </c>
      <c r="O58" s="56">
        <f>IFERROR(INDEX('Forces+Stresses'!R:R, MATCH(Summary!$A58, 'Forces+Stresses'!$A:$A, 0)), INDEX(Flexjoints!E:E, MATCH(Summary!$A58, Flexjoints!$A:$A, 0)))</f>
        <v>1.0529999999999999E-6</v>
      </c>
      <c r="P58" s="33" t="str">
        <f>IF(INDEX(Labels!B:B, MATCH(Summary!$A58, Labels!$A:$A, 0)) = 0, "", INDEX(Labels!B:B, MATCH(Summary!$A58, Labels!$A:$A, 0)))</f>
        <v>{Conductor Soil String}</v>
      </c>
      <c r="Q58" s="35" t="str">
        <f>IF(INDEX(Labels!C:C, MATCH(Summary!$A58, Labels!$A:$A, 0)) = 0, "", INDEX(Labels!C:C, MATCH(Summary!$A58, Labels!$A:$A, 0)))</f>
        <v>{Cond 36x1.5in}</v>
      </c>
      <c r="R58" s="33" t="str">
        <f>IF(INDEX(Labels!D:D, MATCH(Summary!$A58, Labels!$A:$A, 0)) = 0, "", INDEX(Labels!D:D, MATCH(Summary!$A58, Labels!$A:$A, 0)))</f>
        <v/>
      </c>
      <c r="S58" s="35" t="str">
        <f>IF(INDEX(Labels!E:E, MATCH(Summary!$A58, Labels!$A:$A, 0)) = 0, "", INDEX(Labels!E:E, MATCH(Summary!$A58, Labels!$A:$A, 0)))</f>
        <v/>
      </c>
      <c r="T58" s="33" t="str">
        <f>IF(INDEX(Labels!F:F, MATCH(Summary!$A58, Labels!$A:$A, 0)) = 0, "", INDEX(Labels!F:F, MATCH(Summary!$A58, Labels!$A:$A, 0)))</f>
        <v/>
      </c>
      <c r="U58" s="35" t="str">
        <f>IF(INDEX(Labels!G:G, MATCH(Summary!$A58, Labels!$A:$A, 0)) = 0, "", INDEX(Labels!G:G, MATCH(Summary!$A58, Labels!$A:$A, 0)))</f>
        <v/>
      </c>
      <c r="V58" s="62" t="str">
        <f>IF(INDEX(Labels!H:H, MATCH(Summary!$A58, Labels!$A:$A, 0)) = 0, "", INDEX(Labels!H:H, MATCH(Summary!$A58, Labels!$A:$A, 0)))</f>
        <v/>
      </c>
      <c r="W58" t="str">
        <f>IF(INDEX(Labels!I:I, MATCH(Summary!$A58, Labels!$A:$A, 0)) = 0, "", INDEX(Labels!I:I, MATCH(Summary!$A58, Labels!$A:$A, 0)))</f>
        <v/>
      </c>
      <c r="X58" t="str">
        <f>IF(INDEX(Labels!J:J, MATCH(Summary!$A58, Labels!$A:$A, 0)) = 0, "", INDEX(Labels!J:J, MATCH(Summary!$A58, Labels!$A:$A, 0)))</f>
        <v/>
      </c>
    </row>
    <row r="59" spans="1:24" x14ac:dyDescent="0.2">
      <c r="A59" s="33">
        <f>Labels!A60</f>
        <v>53</v>
      </c>
      <c r="B59" s="34">
        <f>INDEX(EchoData!B:B, MATCH(Summary!$A59, EchoData!$A:$A, 0))</f>
        <v>53</v>
      </c>
      <c r="C59" s="35">
        <f>INDEX(EchoData!C:C, MATCH(Summary!$A59, EchoData!$A:$A, 0))</f>
        <v>54</v>
      </c>
      <c r="D59" s="42">
        <f>INDEX(Displacements!B:B, MATCH(Summary!$B59, Displacements!$A:$A, 0))</f>
        <v>-24</v>
      </c>
      <c r="E59" s="43">
        <f>INDEX(Displacements!C:C, MATCH(Summary!$B59, Displacements!$A:$A, 0))</f>
        <v>0</v>
      </c>
      <c r="F59" s="44">
        <f>INDEX(Displacements!D:D, MATCH(Summary!$B59, Displacements!$A:$A, 0))</f>
        <v>0</v>
      </c>
      <c r="G59" s="42">
        <f>INDEX(Displacements!B:B, MATCH(Summary!$C59, Displacements!$A:$A, 0))</f>
        <v>-23.5</v>
      </c>
      <c r="H59" s="43">
        <f>INDEX(Displacements!C:C, MATCH(Summary!$C59, Displacements!$A:$A, 0))</f>
        <v>0</v>
      </c>
      <c r="I59" s="44">
        <f>INDEX(Displacements!D:D, MATCH(Summary!$C59, Displacements!$A:$A, 0))</f>
        <v>0</v>
      </c>
      <c r="J59" s="42">
        <f t="shared" si="0"/>
        <v>0.5</v>
      </c>
      <c r="K59" s="49">
        <f t="shared" si="1"/>
        <v>1</v>
      </c>
      <c r="L59" s="54">
        <f>INDEX('Forces+Stresses'!C:C, MATCH(Summary!$A59, 'Forces+Stresses'!$A:$A, 0))</f>
        <v>-1866</v>
      </c>
      <c r="M59" s="55">
        <f>INDEX('Forces+Stresses'!D:D, MATCH(Summary!$A59, 'Forces+Stresses'!$A:$A, 0))</f>
        <v>-1866</v>
      </c>
      <c r="N59" s="55">
        <f>IFERROR(INDEX('Forces+Stresses'!Q:Q, MATCH(Summary!$A59, 'Forces+Stresses'!$A:$A, 0)), INDEX(Flexjoints!D:D, MATCH(Summary!$A59, Flexjoints!$A:$A, 0)))</f>
        <v>3.0549999999999999E-8</v>
      </c>
      <c r="O59" s="56">
        <f>IFERROR(INDEX('Forces+Stresses'!R:R, MATCH(Summary!$A59, 'Forces+Stresses'!$A:$A, 0)), INDEX(Flexjoints!E:E, MATCH(Summary!$A59, Flexjoints!$A:$A, 0)))</f>
        <v>1.0939999999999998E-6</v>
      </c>
      <c r="P59" s="33" t="str">
        <f>IF(INDEX(Labels!B:B, MATCH(Summary!$A59, Labels!$A:$A, 0)) = 0, "", INDEX(Labels!B:B, MATCH(Summary!$A59, Labels!$A:$A, 0)))</f>
        <v>{Conductor Soil String}</v>
      </c>
      <c r="Q59" s="35" t="str">
        <f>IF(INDEX(Labels!C:C, MATCH(Summary!$A59, Labels!$A:$A, 0)) = 0, "", INDEX(Labels!C:C, MATCH(Summary!$A59, Labels!$A:$A, 0)))</f>
        <v>{Cond 36x1.5in}</v>
      </c>
      <c r="R59" s="33" t="str">
        <f>IF(INDEX(Labels!D:D, MATCH(Summary!$A59, Labels!$A:$A, 0)) = 0, "", INDEX(Labels!D:D, MATCH(Summary!$A59, Labels!$A:$A, 0)))</f>
        <v/>
      </c>
      <c r="S59" s="35" t="str">
        <f>IF(INDEX(Labels!E:E, MATCH(Summary!$A59, Labels!$A:$A, 0)) = 0, "", INDEX(Labels!E:E, MATCH(Summary!$A59, Labels!$A:$A, 0)))</f>
        <v/>
      </c>
      <c r="T59" s="33" t="str">
        <f>IF(INDEX(Labels!F:F, MATCH(Summary!$A59, Labels!$A:$A, 0)) = 0, "", INDEX(Labels!F:F, MATCH(Summary!$A59, Labels!$A:$A, 0)))</f>
        <v/>
      </c>
      <c r="U59" s="35" t="str">
        <f>IF(INDEX(Labels!G:G, MATCH(Summary!$A59, Labels!$A:$A, 0)) = 0, "", INDEX(Labels!G:G, MATCH(Summary!$A59, Labels!$A:$A, 0)))</f>
        <v/>
      </c>
      <c r="V59" s="62" t="str">
        <f>IF(INDEX(Labels!H:H, MATCH(Summary!$A59, Labels!$A:$A, 0)) = 0, "", INDEX(Labels!H:H, MATCH(Summary!$A59, Labels!$A:$A, 0)))</f>
        <v>{Cond_Conn_2_Weld_Base_Before}</v>
      </c>
      <c r="W59" t="str">
        <f>IF(INDEX(Labels!I:I, MATCH(Summary!$A59, Labels!$A:$A, 0)) = 0, "", INDEX(Labels!I:I, MATCH(Summary!$A59, Labels!$A:$A, 0)))</f>
        <v/>
      </c>
      <c r="X59" t="str">
        <f>IF(INDEX(Labels!J:J, MATCH(Summary!$A59, Labels!$A:$A, 0)) = 0, "", INDEX(Labels!J:J, MATCH(Summary!$A59, Labels!$A:$A, 0)))</f>
        <v/>
      </c>
    </row>
    <row r="60" spans="1:24" x14ac:dyDescent="0.2">
      <c r="A60" s="33">
        <f>Labels!A61</f>
        <v>54</v>
      </c>
      <c r="B60" s="34">
        <f>INDEX(EchoData!B:B, MATCH(Summary!$A60, EchoData!$A:$A, 0))</f>
        <v>54</v>
      </c>
      <c r="C60" s="35">
        <f>INDEX(EchoData!C:C, MATCH(Summary!$A60, EchoData!$A:$A, 0))</f>
        <v>55</v>
      </c>
      <c r="D60" s="42">
        <f>INDEX(Displacements!B:B, MATCH(Summary!$B60, Displacements!$A:$A, 0))</f>
        <v>-23.5</v>
      </c>
      <c r="E60" s="43">
        <f>INDEX(Displacements!C:C, MATCH(Summary!$B60, Displacements!$A:$A, 0))</f>
        <v>0</v>
      </c>
      <c r="F60" s="44">
        <f>INDEX(Displacements!D:D, MATCH(Summary!$B60, Displacements!$A:$A, 0))</f>
        <v>0</v>
      </c>
      <c r="G60" s="42">
        <f>INDEX(Displacements!B:B, MATCH(Summary!$C60, Displacements!$A:$A, 0))</f>
        <v>-23.297999999999998</v>
      </c>
      <c r="H60" s="43">
        <f>INDEX(Displacements!C:C, MATCH(Summary!$C60, Displacements!$A:$A, 0))</f>
        <v>0</v>
      </c>
      <c r="I60" s="44">
        <f>INDEX(Displacements!D:D, MATCH(Summary!$C60, Displacements!$A:$A, 0))</f>
        <v>0</v>
      </c>
      <c r="J60" s="42">
        <f t="shared" si="0"/>
        <v>0.20200000000000173</v>
      </c>
      <c r="K60" s="49">
        <f t="shared" si="1"/>
        <v>0.40400000000000347</v>
      </c>
      <c r="L60" s="54">
        <f>INDEX('Forces+Stresses'!C:C, MATCH(Summary!$A60, 'Forces+Stresses'!$A:$A, 0))</f>
        <v>-1862</v>
      </c>
      <c r="M60" s="55">
        <f>INDEX('Forces+Stresses'!D:D, MATCH(Summary!$A60, 'Forces+Stresses'!$A:$A, 0))</f>
        <v>-1862</v>
      </c>
      <c r="N60" s="55">
        <f>IFERROR(INDEX('Forces+Stresses'!Q:Q, MATCH(Summary!$A60, 'Forces+Stresses'!$A:$A, 0)), INDEX(Flexjoints!D:D, MATCH(Summary!$A60, Flexjoints!$A:$A, 0)))</f>
        <v>3.1350000000000006E-8</v>
      </c>
      <c r="O60" s="56">
        <f>IFERROR(INDEX('Forces+Stresses'!R:R, MATCH(Summary!$A60, 'Forces+Stresses'!$A:$A, 0)), INDEX(Flexjoints!E:E, MATCH(Summary!$A60, Flexjoints!$A:$A, 0)))</f>
        <v>1.127E-6</v>
      </c>
      <c r="P60" s="33" t="str">
        <f>IF(INDEX(Labels!B:B, MATCH(Summary!$A60, Labels!$A:$A, 0)) = 0, "", INDEX(Labels!B:B, MATCH(Summary!$A60, Labels!$A:$A, 0)))</f>
        <v>{Conductor Soil String}</v>
      </c>
      <c r="Q60" s="35" t="str">
        <f>IF(INDEX(Labels!C:C, MATCH(Summary!$A60, Labels!$A:$A, 0)) = 0, "", INDEX(Labels!C:C, MATCH(Summary!$A60, Labels!$A:$A, 0)))</f>
        <v>{Cond 36x1.5in}</v>
      </c>
      <c r="R60" s="33" t="str">
        <f>IF(INDEX(Labels!D:D, MATCH(Summary!$A60, Labels!$A:$A, 0)) = 0, "", INDEX(Labels!D:D, MATCH(Summary!$A60, Labels!$A:$A, 0)))</f>
        <v/>
      </c>
      <c r="S60" s="35" t="str">
        <f>IF(INDEX(Labels!E:E, MATCH(Summary!$A60, Labels!$A:$A, 0)) = 0, "", INDEX(Labels!E:E, MATCH(Summary!$A60, Labels!$A:$A, 0)))</f>
        <v/>
      </c>
      <c r="T60" s="33" t="str">
        <f>IF(INDEX(Labels!F:F, MATCH(Summary!$A60, Labels!$A:$A, 0)) = 0, "", INDEX(Labels!F:F, MATCH(Summary!$A60, Labels!$A:$A, 0)))</f>
        <v/>
      </c>
      <c r="U60" s="35" t="str">
        <f>IF(INDEX(Labels!G:G, MATCH(Summary!$A60, Labels!$A:$A, 0)) = 0, "", INDEX(Labels!G:G, MATCH(Summary!$A60, Labels!$A:$A, 0)))</f>
        <v/>
      </c>
      <c r="V60" s="62" t="str">
        <f>IF(INDEX(Labels!H:H, MATCH(Summary!$A60, Labels!$A:$A, 0)) = 0, "", INDEX(Labels!H:H, MATCH(Summary!$A60, Labels!$A:$A, 0)))</f>
        <v>{Cond_Conn_2_Weld_Base_After}</v>
      </c>
      <c r="W60" t="str">
        <f>IF(INDEX(Labels!I:I, MATCH(Summary!$A60, Labels!$A:$A, 0)) = 0, "", INDEX(Labels!I:I, MATCH(Summary!$A60, Labels!$A:$A, 0)))</f>
        <v>{Cond_Conn_2_Body_Before}</v>
      </c>
      <c r="X60" t="str">
        <f>IF(INDEX(Labels!J:J, MATCH(Summary!$A60, Labels!$A:$A, 0)) = 0, "", INDEX(Labels!J:J, MATCH(Summary!$A60, Labels!$A:$A, 0)))</f>
        <v/>
      </c>
    </row>
    <row r="61" spans="1:24" x14ac:dyDescent="0.2">
      <c r="A61" s="33">
        <f>Labels!A62</f>
        <v>55</v>
      </c>
      <c r="B61" s="34">
        <f>INDEX(EchoData!B:B, MATCH(Summary!$A61, EchoData!$A:$A, 0))</f>
        <v>55</v>
      </c>
      <c r="C61" s="35">
        <f>INDEX(EchoData!C:C, MATCH(Summary!$A61, EchoData!$A:$A, 0))</f>
        <v>56</v>
      </c>
      <c r="D61" s="42">
        <f>INDEX(Displacements!B:B, MATCH(Summary!$B61, Displacements!$A:$A, 0))</f>
        <v>-23.297999999999998</v>
      </c>
      <c r="E61" s="43">
        <f>INDEX(Displacements!C:C, MATCH(Summary!$B61, Displacements!$A:$A, 0))</f>
        <v>0</v>
      </c>
      <c r="F61" s="44">
        <f>INDEX(Displacements!D:D, MATCH(Summary!$B61, Displacements!$A:$A, 0))</f>
        <v>0</v>
      </c>
      <c r="G61" s="42">
        <f>INDEX(Displacements!B:B, MATCH(Summary!$C61, Displacements!$A:$A, 0))</f>
        <v>-23.097999999999999</v>
      </c>
      <c r="H61" s="43">
        <f>INDEX(Displacements!C:C, MATCH(Summary!$C61, Displacements!$A:$A, 0))</f>
        <v>0</v>
      </c>
      <c r="I61" s="44">
        <f>INDEX(Displacements!D:D, MATCH(Summary!$C61, Displacements!$A:$A, 0))</f>
        <v>0</v>
      </c>
      <c r="J61" s="42">
        <f t="shared" si="0"/>
        <v>0.19999999999999929</v>
      </c>
      <c r="K61" s="49">
        <f t="shared" si="1"/>
        <v>0.9900990099009781</v>
      </c>
      <c r="L61" s="54">
        <f>INDEX('Forces+Stresses'!C:C, MATCH(Summary!$A61, 'Forces+Stresses'!$A:$A, 0))</f>
        <v>-1861</v>
      </c>
      <c r="M61" s="55">
        <f>INDEX('Forces+Stresses'!D:D, MATCH(Summary!$A61, 'Forces+Stresses'!$A:$A, 0))</f>
        <v>-1861</v>
      </c>
      <c r="N61" s="55">
        <f>IFERROR(INDEX('Forces+Stresses'!Q:Q, MATCH(Summary!$A61, 'Forces+Stresses'!$A:$A, 0)), INDEX(Flexjoints!D:D, MATCH(Summary!$A61, Flexjoints!$A:$A, 0)))</f>
        <v>3.1600000000000005E-8</v>
      </c>
      <c r="O61" s="56">
        <f>IFERROR(INDEX('Forces+Stresses'!R:R, MATCH(Summary!$A61, 'Forces+Stresses'!$A:$A, 0)), INDEX(Flexjoints!E:E, MATCH(Summary!$A61, Flexjoints!$A:$A, 0)))</f>
        <v>1.1379999999999999E-6</v>
      </c>
      <c r="P61" s="33" t="str">
        <f>IF(INDEX(Labels!B:B, MATCH(Summary!$A61, Labels!$A:$A, 0)) = 0, "", INDEX(Labels!B:B, MATCH(Summary!$A61, Labels!$A:$A, 0)))</f>
        <v>{Conductor Soil String}</v>
      </c>
      <c r="Q61" s="35" t="str">
        <f>IF(INDEX(Labels!C:C, MATCH(Summary!$A61, Labels!$A:$A, 0)) = 0, "", INDEX(Labels!C:C, MATCH(Summary!$A61, Labels!$A:$A, 0)))</f>
        <v>{Cond 36x1.5in}</v>
      </c>
      <c r="R61" s="33" t="str">
        <f>IF(INDEX(Labels!D:D, MATCH(Summary!$A61, Labels!$A:$A, 0)) = 0, "", INDEX(Labels!D:D, MATCH(Summary!$A61, Labels!$A:$A, 0)))</f>
        <v/>
      </c>
      <c r="S61" s="35" t="str">
        <f>IF(INDEX(Labels!E:E, MATCH(Summary!$A61, Labels!$A:$A, 0)) = 0, "", INDEX(Labels!E:E, MATCH(Summary!$A61, Labels!$A:$A, 0)))</f>
        <v/>
      </c>
      <c r="T61" s="33" t="str">
        <f>IF(INDEX(Labels!F:F, MATCH(Summary!$A61, Labels!$A:$A, 0)) = 0, "", INDEX(Labels!F:F, MATCH(Summary!$A61, Labels!$A:$A, 0)))</f>
        <v/>
      </c>
      <c r="U61" s="35" t="str">
        <f>IF(INDEX(Labels!G:G, MATCH(Summary!$A61, Labels!$A:$A, 0)) = 0, "", INDEX(Labels!G:G, MATCH(Summary!$A61, Labels!$A:$A, 0)))</f>
        <v/>
      </c>
      <c r="V61" s="62" t="str">
        <f>IF(INDEX(Labels!H:H, MATCH(Summary!$A61, Labels!$A:$A, 0)) = 0, "", INDEX(Labels!H:H, MATCH(Summary!$A61, Labels!$A:$A, 0)))</f>
        <v>{Cond_Conn_2_Weld_Top_Before}</v>
      </c>
      <c r="W61" t="str">
        <f>IF(INDEX(Labels!I:I, MATCH(Summary!$A61, Labels!$A:$A, 0)) = 0, "", INDEX(Labels!I:I, MATCH(Summary!$A61, Labels!$A:$A, 0)))</f>
        <v>{Cond_Conn_2_Body_After}</v>
      </c>
      <c r="X61" t="str">
        <f>IF(INDEX(Labels!J:J, MATCH(Summary!$A61, Labels!$A:$A, 0)) = 0, "", INDEX(Labels!J:J, MATCH(Summary!$A61, Labels!$A:$A, 0)))</f>
        <v/>
      </c>
    </row>
    <row r="62" spans="1:24" x14ac:dyDescent="0.2">
      <c r="A62" s="33">
        <f>Labels!A63</f>
        <v>56</v>
      </c>
      <c r="B62" s="34">
        <f>INDEX(EchoData!B:B, MATCH(Summary!$A62, EchoData!$A:$A, 0))</f>
        <v>56</v>
      </c>
      <c r="C62" s="35">
        <f>INDEX(EchoData!C:C, MATCH(Summary!$A62, EchoData!$A:$A, 0))</f>
        <v>57</v>
      </c>
      <c r="D62" s="42">
        <f>INDEX(Displacements!B:B, MATCH(Summary!$B62, Displacements!$A:$A, 0))</f>
        <v>-23.097999999999999</v>
      </c>
      <c r="E62" s="43">
        <f>INDEX(Displacements!C:C, MATCH(Summary!$B62, Displacements!$A:$A, 0))</f>
        <v>0</v>
      </c>
      <c r="F62" s="44">
        <f>INDEX(Displacements!D:D, MATCH(Summary!$B62, Displacements!$A:$A, 0))</f>
        <v>0</v>
      </c>
      <c r="G62" s="42">
        <f>INDEX(Displacements!B:B, MATCH(Summary!$C62, Displacements!$A:$A, 0))</f>
        <v>-23</v>
      </c>
      <c r="H62" s="43">
        <f>INDEX(Displacements!C:C, MATCH(Summary!$C62, Displacements!$A:$A, 0))</f>
        <v>0</v>
      </c>
      <c r="I62" s="44">
        <f>INDEX(Displacements!D:D, MATCH(Summary!$C62, Displacements!$A:$A, 0))</f>
        <v>0</v>
      </c>
      <c r="J62" s="42">
        <f t="shared" si="0"/>
        <v>9.7999999999998977E-2</v>
      </c>
      <c r="K62" s="49">
        <f t="shared" si="1"/>
        <v>0.4899999999999966</v>
      </c>
      <c r="L62" s="54">
        <f>INDEX('Forces+Stresses'!C:C, MATCH(Summary!$A62, 'Forces+Stresses'!$A:$A, 0))</f>
        <v>-1859</v>
      </c>
      <c r="M62" s="55">
        <f>INDEX('Forces+Stresses'!D:D, MATCH(Summary!$A62, 'Forces+Stresses'!$A:$A, 0))</f>
        <v>-1859</v>
      </c>
      <c r="N62" s="55">
        <f>IFERROR(INDEX('Forces+Stresses'!Q:Q, MATCH(Summary!$A62, 'Forces+Stresses'!$A:$A, 0)), INDEX(Flexjoints!D:D, MATCH(Summary!$A62, Flexjoints!$A:$A, 0)))</f>
        <v>3.1810000000000005E-8</v>
      </c>
      <c r="O62" s="56">
        <f>IFERROR(INDEX('Forces+Stresses'!R:R, MATCH(Summary!$A62, 'Forces+Stresses'!$A:$A, 0)), INDEX(Flexjoints!E:E, MATCH(Summary!$A62, Flexjoints!$A:$A, 0)))</f>
        <v>1.1479999999999999E-6</v>
      </c>
      <c r="P62" s="33" t="str">
        <f>IF(INDEX(Labels!B:B, MATCH(Summary!$A62, Labels!$A:$A, 0)) = 0, "", INDEX(Labels!B:B, MATCH(Summary!$A62, Labels!$A:$A, 0)))</f>
        <v>{Conductor Soil String}</v>
      </c>
      <c r="Q62" s="35" t="str">
        <f>IF(INDEX(Labels!C:C, MATCH(Summary!$A62, Labels!$A:$A, 0)) = 0, "", INDEX(Labels!C:C, MATCH(Summary!$A62, Labels!$A:$A, 0)))</f>
        <v>{Cond 36x1.5in}</v>
      </c>
      <c r="R62" s="33" t="str">
        <f>IF(INDEX(Labels!D:D, MATCH(Summary!$A62, Labels!$A:$A, 0)) = 0, "", INDEX(Labels!D:D, MATCH(Summary!$A62, Labels!$A:$A, 0)))</f>
        <v/>
      </c>
      <c r="S62" s="35" t="str">
        <f>IF(INDEX(Labels!E:E, MATCH(Summary!$A62, Labels!$A:$A, 0)) = 0, "", INDEX(Labels!E:E, MATCH(Summary!$A62, Labels!$A:$A, 0)))</f>
        <v/>
      </c>
      <c r="T62" s="33" t="str">
        <f>IF(INDEX(Labels!F:F, MATCH(Summary!$A62, Labels!$A:$A, 0)) = 0, "", INDEX(Labels!F:F, MATCH(Summary!$A62, Labels!$A:$A, 0)))</f>
        <v/>
      </c>
      <c r="U62" s="35" t="str">
        <f>IF(INDEX(Labels!G:G, MATCH(Summary!$A62, Labels!$A:$A, 0)) = 0, "", INDEX(Labels!G:G, MATCH(Summary!$A62, Labels!$A:$A, 0)))</f>
        <v/>
      </c>
      <c r="V62" s="62" t="str">
        <f>IF(INDEX(Labels!H:H, MATCH(Summary!$A62, Labels!$A:$A, 0)) = 0, "", INDEX(Labels!H:H, MATCH(Summary!$A62, Labels!$A:$A, 0)))</f>
        <v>{Cond_Conn_2_Weld_Top_After}</v>
      </c>
      <c r="W62" t="str">
        <f>IF(INDEX(Labels!I:I, MATCH(Summary!$A62, Labels!$A:$A, 0)) = 0, "", INDEX(Labels!I:I, MATCH(Summary!$A62, Labels!$A:$A, 0)))</f>
        <v/>
      </c>
      <c r="X62" t="str">
        <f>IF(INDEX(Labels!J:J, MATCH(Summary!$A62, Labels!$A:$A, 0)) = 0, "", INDEX(Labels!J:J, MATCH(Summary!$A62, Labels!$A:$A, 0)))</f>
        <v/>
      </c>
    </row>
    <row r="63" spans="1:24" x14ac:dyDescent="0.2">
      <c r="A63" s="33">
        <f>Labels!A64</f>
        <v>57</v>
      </c>
      <c r="B63" s="34">
        <f>INDEX(EchoData!B:B, MATCH(Summary!$A63, EchoData!$A:$A, 0))</f>
        <v>57</v>
      </c>
      <c r="C63" s="35">
        <f>INDEX(EchoData!C:C, MATCH(Summary!$A63, EchoData!$A:$A, 0))</f>
        <v>58</v>
      </c>
      <c r="D63" s="42">
        <f>INDEX(Displacements!B:B, MATCH(Summary!$B63, Displacements!$A:$A, 0))</f>
        <v>-23</v>
      </c>
      <c r="E63" s="43">
        <f>INDEX(Displacements!C:C, MATCH(Summary!$B63, Displacements!$A:$A, 0))</f>
        <v>0</v>
      </c>
      <c r="F63" s="44">
        <f>INDEX(Displacements!D:D, MATCH(Summary!$B63, Displacements!$A:$A, 0))</f>
        <v>0</v>
      </c>
      <c r="G63" s="42">
        <f>INDEX(Displacements!B:B, MATCH(Summary!$C63, Displacements!$A:$A, 0))</f>
        <v>-22.5</v>
      </c>
      <c r="H63" s="43">
        <f>INDEX(Displacements!C:C, MATCH(Summary!$C63, Displacements!$A:$A, 0))</f>
        <v>0</v>
      </c>
      <c r="I63" s="44">
        <f>INDEX(Displacements!D:D, MATCH(Summary!$C63, Displacements!$A:$A, 0))</f>
        <v>0</v>
      </c>
      <c r="J63" s="42">
        <f t="shared" si="0"/>
        <v>0.5</v>
      </c>
      <c r="K63" s="49">
        <f t="shared" si="1"/>
        <v>5.1020408163265838</v>
      </c>
      <c r="L63" s="54">
        <f>INDEX('Forces+Stresses'!C:C, MATCH(Summary!$A63, 'Forces+Stresses'!$A:$A, 0))</f>
        <v>-1859</v>
      </c>
      <c r="M63" s="55">
        <f>INDEX('Forces+Stresses'!D:D, MATCH(Summary!$A63, 'Forces+Stresses'!$A:$A, 0))</f>
        <v>-1859</v>
      </c>
      <c r="N63" s="55">
        <f>IFERROR(INDEX('Forces+Stresses'!Q:Q, MATCH(Summary!$A63, 'Forces+Stresses'!$A:$A, 0)), INDEX(Flexjoints!D:D, MATCH(Summary!$A63, Flexjoints!$A:$A, 0)))</f>
        <v>3.1890000000000003E-8</v>
      </c>
      <c r="O63" s="56">
        <f>IFERROR(INDEX('Forces+Stresses'!R:R, MATCH(Summary!$A63, 'Forces+Stresses'!$A:$A, 0)), INDEX(Flexjoints!E:E, MATCH(Summary!$A63, Flexjoints!$A:$A, 0)))</f>
        <v>1.1519999999999999E-6</v>
      </c>
      <c r="P63" s="33" t="str">
        <f>IF(INDEX(Labels!B:B, MATCH(Summary!$A63, Labels!$A:$A, 0)) = 0, "", INDEX(Labels!B:B, MATCH(Summary!$A63, Labels!$A:$A, 0)))</f>
        <v>{Conductor Soil String}</v>
      </c>
      <c r="Q63" s="35" t="str">
        <f>IF(INDEX(Labels!C:C, MATCH(Summary!$A63, Labels!$A:$A, 0)) = 0, "", INDEX(Labels!C:C, MATCH(Summary!$A63, Labels!$A:$A, 0)))</f>
        <v>{Cond 36x1.5in}</v>
      </c>
      <c r="R63" s="33" t="str">
        <f>IF(INDEX(Labels!D:D, MATCH(Summary!$A63, Labels!$A:$A, 0)) = 0, "", INDEX(Labels!D:D, MATCH(Summary!$A63, Labels!$A:$A, 0)))</f>
        <v/>
      </c>
      <c r="S63" s="35" t="str">
        <f>IF(INDEX(Labels!E:E, MATCH(Summary!$A63, Labels!$A:$A, 0)) = 0, "", INDEX(Labels!E:E, MATCH(Summary!$A63, Labels!$A:$A, 0)))</f>
        <v/>
      </c>
      <c r="T63" s="33" t="str">
        <f>IF(INDEX(Labels!F:F, MATCH(Summary!$A63, Labels!$A:$A, 0)) = 0, "", INDEX(Labels!F:F, MATCH(Summary!$A63, Labels!$A:$A, 0)))</f>
        <v/>
      </c>
      <c r="U63" s="35" t="str">
        <f>IF(INDEX(Labels!G:G, MATCH(Summary!$A63, Labels!$A:$A, 0)) = 0, "", INDEX(Labels!G:G, MATCH(Summary!$A63, Labels!$A:$A, 0)))</f>
        <v/>
      </c>
      <c r="V63" s="62" t="str">
        <f>IF(INDEX(Labels!H:H, MATCH(Summary!$A63, Labels!$A:$A, 0)) = 0, "", INDEX(Labels!H:H, MATCH(Summary!$A63, Labels!$A:$A, 0)))</f>
        <v/>
      </c>
      <c r="W63" t="str">
        <f>IF(INDEX(Labels!I:I, MATCH(Summary!$A63, Labels!$A:$A, 0)) = 0, "", INDEX(Labels!I:I, MATCH(Summary!$A63, Labels!$A:$A, 0)))</f>
        <v/>
      </c>
      <c r="X63" t="str">
        <f>IF(INDEX(Labels!J:J, MATCH(Summary!$A63, Labels!$A:$A, 0)) = 0, "", INDEX(Labels!J:J, MATCH(Summary!$A63, Labels!$A:$A, 0)))</f>
        <v/>
      </c>
    </row>
    <row r="64" spans="1:24" x14ac:dyDescent="0.2">
      <c r="A64" s="33">
        <f>Labels!A65</f>
        <v>58</v>
      </c>
      <c r="B64" s="34">
        <f>INDEX(EchoData!B:B, MATCH(Summary!$A64, EchoData!$A:$A, 0))</f>
        <v>58</v>
      </c>
      <c r="C64" s="35">
        <f>INDEX(EchoData!C:C, MATCH(Summary!$A64, EchoData!$A:$A, 0))</f>
        <v>59</v>
      </c>
      <c r="D64" s="42">
        <f>INDEX(Displacements!B:B, MATCH(Summary!$B64, Displacements!$A:$A, 0))</f>
        <v>-22.5</v>
      </c>
      <c r="E64" s="43">
        <f>INDEX(Displacements!C:C, MATCH(Summary!$B64, Displacements!$A:$A, 0))</f>
        <v>0</v>
      </c>
      <c r="F64" s="44">
        <f>INDEX(Displacements!D:D, MATCH(Summary!$B64, Displacements!$A:$A, 0))</f>
        <v>0</v>
      </c>
      <c r="G64" s="42">
        <f>INDEX(Displacements!B:B, MATCH(Summary!$C64, Displacements!$A:$A, 0))</f>
        <v>-22</v>
      </c>
      <c r="H64" s="43">
        <f>INDEX(Displacements!C:C, MATCH(Summary!$C64, Displacements!$A:$A, 0))</f>
        <v>0</v>
      </c>
      <c r="I64" s="44">
        <f>INDEX(Displacements!D:D, MATCH(Summary!$C64, Displacements!$A:$A, 0))</f>
        <v>0</v>
      </c>
      <c r="J64" s="42">
        <f t="shared" si="0"/>
        <v>0.5</v>
      </c>
      <c r="K64" s="49">
        <f t="shared" si="1"/>
        <v>1</v>
      </c>
      <c r="L64" s="54">
        <f>INDEX('Forces+Stresses'!C:C, MATCH(Summary!$A64, 'Forces+Stresses'!$A:$A, 0))</f>
        <v>-1855</v>
      </c>
      <c r="M64" s="55">
        <f>INDEX('Forces+Stresses'!D:D, MATCH(Summary!$A64, 'Forces+Stresses'!$A:$A, 0))</f>
        <v>-1855</v>
      </c>
      <c r="N64" s="55">
        <f>IFERROR(INDEX('Forces+Stresses'!Q:Q, MATCH(Summary!$A64, 'Forces+Stresses'!$A:$A, 0)), INDEX(Flexjoints!D:D, MATCH(Summary!$A64, Flexjoints!$A:$A, 0)))</f>
        <v>3.215E-8</v>
      </c>
      <c r="O64" s="56">
        <f>IFERROR(INDEX('Forces+Stresses'!R:R, MATCH(Summary!$A64, 'Forces+Stresses'!$A:$A, 0)), INDEX(Flexjoints!E:E, MATCH(Summary!$A64, Flexjoints!$A:$A, 0)))</f>
        <v>1.167E-6</v>
      </c>
      <c r="P64" s="33" t="str">
        <f>IF(INDEX(Labels!B:B, MATCH(Summary!$A64, Labels!$A:$A, 0)) = 0, "", INDEX(Labels!B:B, MATCH(Summary!$A64, Labels!$A:$A, 0)))</f>
        <v>{Conductor Soil String}</v>
      </c>
      <c r="Q64" s="35" t="str">
        <f>IF(INDEX(Labels!C:C, MATCH(Summary!$A64, Labels!$A:$A, 0)) = 0, "", INDEX(Labels!C:C, MATCH(Summary!$A64, Labels!$A:$A, 0)))</f>
        <v>{Cond 36x1.5in}</v>
      </c>
      <c r="R64" s="33" t="str">
        <f>IF(INDEX(Labels!D:D, MATCH(Summary!$A64, Labels!$A:$A, 0)) = 0, "", INDEX(Labels!D:D, MATCH(Summary!$A64, Labels!$A:$A, 0)))</f>
        <v/>
      </c>
      <c r="S64" s="35" t="str">
        <f>IF(INDEX(Labels!E:E, MATCH(Summary!$A64, Labels!$A:$A, 0)) = 0, "", INDEX(Labels!E:E, MATCH(Summary!$A64, Labels!$A:$A, 0)))</f>
        <v/>
      </c>
      <c r="T64" s="33" t="str">
        <f>IF(INDEX(Labels!F:F, MATCH(Summary!$A64, Labels!$A:$A, 0)) = 0, "", INDEX(Labels!F:F, MATCH(Summary!$A64, Labels!$A:$A, 0)))</f>
        <v/>
      </c>
      <c r="U64" s="35" t="str">
        <f>IF(INDEX(Labels!G:G, MATCH(Summary!$A64, Labels!$A:$A, 0)) = 0, "", INDEX(Labels!G:G, MATCH(Summary!$A64, Labels!$A:$A, 0)))</f>
        <v/>
      </c>
      <c r="V64" s="62" t="str">
        <f>IF(INDEX(Labels!H:H, MATCH(Summary!$A64, Labels!$A:$A, 0)) = 0, "", INDEX(Labels!H:H, MATCH(Summary!$A64, Labels!$A:$A, 0)))</f>
        <v/>
      </c>
      <c r="W64" t="str">
        <f>IF(INDEX(Labels!I:I, MATCH(Summary!$A64, Labels!$A:$A, 0)) = 0, "", INDEX(Labels!I:I, MATCH(Summary!$A64, Labels!$A:$A, 0)))</f>
        <v/>
      </c>
      <c r="X64" t="str">
        <f>IF(INDEX(Labels!J:J, MATCH(Summary!$A64, Labels!$A:$A, 0)) = 0, "", INDEX(Labels!J:J, MATCH(Summary!$A64, Labels!$A:$A, 0)))</f>
        <v/>
      </c>
    </row>
    <row r="65" spans="1:24" x14ac:dyDescent="0.2">
      <c r="A65" s="33">
        <f>Labels!A66</f>
        <v>59</v>
      </c>
      <c r="B65" s="34">
        <f>INDEX(EchoData!B:B, MATCH(Summary!$A65, EchoData!$A:$A, 0))</f>
        <v>59</v>
      </c>
      <c r="C65" s="35">
        <f>INDEX(EchoData!C:C, MATCH(Summary!$A65, EchoData!$A:$A, 0))</f>
        <v>60</v>
      </c>
      <c r="D65" s="42">
        <f>INDEX(Displacements!B:B, MATCH(Summary!$B65, Displacements!$A:$A, 0))</f>
        <v>-22</v>
      </c>
      <c r="E65" s="43">
        <f>INDEX(Displacements!C:C, MATCH(Summary!$B65, Displacements!$A:$A, 0))</f>
        <v>0</v>
      </c>
      <c r="F65" s="44">
        <f>INDEX(Displacements!D:D, MATCH(Summary!$B65, Displacements!$A:$A, 0))</f>
        <v>0</v>
      </c>
      <c r="G65" s="42">
        <f>INDEX(Displacements!B:B, MATCH(Summary!$C65, Displacements!$A:$A, 0))</f>
        <v>-21.5</v>
      </c>
      <c r="H65" s="43">
        <f>INDEX(Displacements!C:C, MATCH(Summary!$C65, Displacements!$A:$A, 0))</f>
        <v>0</v>
      </c>
      <c r="I65" s="44">
        <f>INDEX(Displacements!D:D, MATCH(Summary!$C65, Displacements!$A:$A, 0))</f>
        <v>0</v>
      </c>
      <c r="J65" s="42">
        <f t="shared" si="0"/>
        <v>0.5</v>
      </c>
      <c r="K65" s="49">
        <f t="shared" si="1"/>
        <v>1</v>
      </c>
      <c r="L65" s="54">
        <f>INDEX('Forces+Stresses'!C:C, MATCH(Summary!$A65, 'Forces+Stresses'!$A:$A, 0))</f>
        <v>-1852</v>
      </c>
      <c r="M65" s="55">
        <f>INDEX('Forces+Stresses'!D:D, MATCH(Summary!$A65, 'Forces+Stresses'!$A:$A, 0))</f>
        <v>-1852</v>
      </c>
      <c r="N65" s="55">
        <f>IFERROR(INDEX('Forces+Stresses'!Q:Q, MATCH(Summary!$A65, 'Forces+Stresses'!$A:$A, 0)), INDEX(Flexjoints!D:D, MATCH(Summary!$A65, Flexjoints!$A:$A, 0)))</f>
        <v>3.2089999999999998E-8</v>
      </c>
      <c r="O65" s="56">
        <f>IFERROR(INDEX('Forces+Stresses'!R:R, MATCH(Summary!$A65, 'Forces+Stresses'!$A:$A, 0)), INDEX(Flexjoints!E:E, MATCH(Summary!$A65, Flexjoints!$A:$A, 0)))</f>
        <v>1.1709999999999999E-6</v>
      </c>
      <c r="P65" s="33" t="str">
        <f>IF(INDEX(Labels!B:B, MATCH(Summary!$A65, Labels!$A:$A, 0)) = 0, "", INDEX(Labels!B:B, MATCH(Summary!$A65, Labels!$A:$A, 0)))</f>
        <v>{Conductor Soil String}</v>
      </c>
      <c r="Q65" s="35" t="str">
        <f>IF(INDEX(Labels!C:C, MATCH(Summary!$A65, Labels!$A:$A, 0)) = 0, "", INDEX(Labels!C:C, MATCH(Summary!$A65, Labels!$A:$A, 0)))</f>
        <v>{Cond 36x1.5in}</v>
      </c>
      <c r="R65" s="33" t="str">
        <f>IF(INDEX(Labels!D:D, MATCH(Summary!$A65, Labels!$A:$A, 0)) = 0, "", INDEX(Labels!D:D, MATCH(Summary!$A65, Labels!$A:$A, 0)))</f>
        <v/>
      </c>
      <c r="S65" s="35" t="str">
        <f>IF(INDEX(Labels!E:E, MATCH(Summary!$A65, Labels!$A:$A, 0)) = 0, "", INDEX(Labels!E:E, MATCH(Summary!$A65, Labels!$A:$A, 0)))</f>
        <v/>
      </c>
      <c r="T65" s="33" t="str">
        <f>IF(INDEX(Labels!F:F, MATCH(Summary!$A65, Labels!$A:$A, 0)) = 0, "", INDEX(Labels!F:F, MATCH(Summary!$A65, Labels!$A:$A, 0)))</f>
        <v/>
      </c>
      <c r="U65" s="35" t="str">
        <f>IF(INDEX(Labels!G:G, MATCH(Summary!$A65, Labels!$A:$A, 0)) = 0, "", INDEX(Labels!G:G, MATCH(Summary!$A65, Labels!$A:$A, 0)))</f>
        <v/>
      </c>
      <c r="V65" s="62" t="str">
        <f>IF(INDEX(Labels!H:H, MATCH(Summary!$A65, Labels!$A:$A, 0)) = 0, "", INDEX(Labels!H:H, MATCH(Summary!$A65, Labels!$A:$A, 0)))</f>
        <v/>
      </c>
      <c r="W65" t="str">
        <f>IF(INDEX(Labels!I:I, MATCH(Summary!$A65, Labels!$A:$A, 0)) = 0, "", INDEX(Labels!I:I, MATCH(Summary!$A65, Labels!$A:$A, 0)))</f>
        <v/>
      </c>
      <c r="X65" t="str">
        <f>IF(INDEX(Labels!J:J, MATCH(Summary!$A65, Labels!$A:$A, 0)) = 0, "", INDEX(Labels!J:J, MATCH(Summary!$A65, Labels!$A:$A, 0)))</f>
        <v/>
      </c>
    </row>
    <row r="66" spans="1:24" x14ac:dyDescent="0.2">
      <c r="A66" s="33">
        <f>Labels!A67</f>
        <v>60</v>
      </c>
      <c r="B66" s="34">
        <f>INDEX(EchoData!B:B, MATCH(Summary!$A66, EchoData!$A:$A, 0))</f>
        <v>60</v>
      </c>
      <c r="C66" s="35">
        <f>INDEX(EchoData!C:C, MATCH(Summary!$A66, EchoData!$A:$A, 0))</f>
        <v>61</v>
      </c>
      <c r="D66" s="42">
        <f>INDEX(Displacements!B:B, MATCH(Summary!$B66, Displacements!$A:$A, 0))</f>
        <v>-21.5</v>
      </c>
      <c r="E66" s="43">
        <f>INDEX(Displacements!C:C, MATCH(Summary!$B66, Displacements!$A:$A, 0))</f>
        <v>0</v>
      </c>
      <c r="F66" s="44">
        <f>INDEX(Displacements!D:D, MATCH(Summary!$B66, Displacements!$A:$A, 0))</f>
        <v>0</v>
      </c>
      <c r="G66" s="42">
        <f>INDEX(Displacements!B:B, MATCH(Summary!$C66, Displacements!$A:$A, 0))</f>
        <v>-21</v>
      </c>
      <c r="H66" s="43">
        <f>INDEX(Displacements!C:C, MATCH(Summary!$C66, Displacements!$A:$A, 0))</f>
        <v>0</v>
      </c>
      <c r="I66" s="44">
        <f>INDEX(Displacements!D:D, MATCH(Summary!$C66, Displacements!$A:$A, 0))</f>
        <v>0</v>
      </c>
      <c r="J66" s="42">
        <f t="shared" si="0"/>
        <v>0.5</v>
      </c>
      <c r="K66" s="49">
        <f t="shared" si="1"/>
        <v>1</v>
      </c>
      <c r="L66" s="54">
        <f>INDEX('Forces+Stresses'!C:C, MATCH(Summary!$A66, 'Forces+Stresses'!$A:$A, 0))</f>
        <v>-1848</v>
      </c>
      <c r="M66" s="55">
        <f>INDEX('Forces+Stresses'!D:D, MATCH(Summary!$A66, 'Forces+Stresses'!$A:$A, 0))</f>
        <v>-1848</v>
      </c>
      <c r="N66" s="55">
        <f>IFERROR(INDEX('Forces+Stresses'!Q:Q, MATCH(Summary!$A66, 'Forces+Stresses'!$A:$A, 0)), INDEX(Flexjoints!D:D, MATCH(Summary!$A66, Flexjoints!$A:$A, 0)))</f>
        <v>3.166E-8</v>
      </c>
      <c r="O66" s="56">
        <f>IFERROR(INDEX('Forces+Stresses'!R:R, MATCH(Summary!$A66, 'Forces+Stresses'!$A:$A, 0)), INDEX(Flexjoints!E:E, MATCH(Summary!$A66, Flexjoints!$A:$A, 0)))</f>
        <v>1.1620000000000001E-6</v>
      </c>
      <c r="P66" s="33" t="str">
        <f>IF(INDEX(Labels!B:B, MATCH(Summary!$A66, Labels!$A:$A, 0)) = 0, "", INDEX(Labels!B:B, MATCH(Summary!$A66, Labels!$A:$A, 0)))</f>
        <v>{Conductor Soil String}</v>
      </c>
      <c r="Q66" s="35" t="str">
        <f>IF(INDEX(Labels!C:C, MATCH(Summary!$A66, Labels!$A:$A, 0)) = 0, "", INDEX(Labels!C:C, MATCH(Summary!$A66, Labels!$A:$A, 0)))</f>
        <v>{Cond 36x1.5in}</v>
      </c>
      <c r="R66" s="33" t="str">
        <f>IF(INDEX(Labels!D:D, MATCH(Summary!$A66, Labels!$A:$A, 0)) = 0, "", INDEX(Labels!D:D, MATCH(Summary!$A66, Labels!$A:$A, 0)))</f>
        <v/>
      </c>
      <c r="S66" s="35" t="str">
        <f>IF(INDEX(Labels!E:E, MATCH(Summary!$A66, Labels!$A:$A, 0)) = 0, "", INDEX(Labels!E:E, MATCH(Summary!$A66, Labels!$A:$A, 0)))</f>
        <v/>
      </c>
      <c r="T66" s="33" t="str">
        <f>IF(INDEX(Labels!F:F, MATCH(Summary!$A66, Labels!$A:$A, 0)) = 0, "", INDEX(Labels!F:F, MATCH(Summary!$A66, Labels!$A:$A, 0)))</f>
        <v/>
      </c>
      <c r="U66" s="35" t="str">
        <f>IF(INDEX(Labels!G:G, MATCH(Summary!$A66, Labels!$A:$A, 0)) = 0, "", INDEX(Labels!G:G, MATCH(Summary!$A66, Labels!$A:$A, 0)))</f>
        <v/>
      </c>
      <c r="V66" s="62" t="str">
        <f>IF(INDEX(Labels!H:H, MATCH(Summary!$A66, Labels!$A:$A, 0)) = 0, "", INDEX(Labels!H:H, MATCH(Summary!$A66, Labels!$A:$A, 0)))</f>
        <v/>
      </c>
      <c r="W66" t="str">
        <f>IF(INDEX(Labels!I:I, MATCH(Summary!$A66, Labels!$A:$A, 0)) = 0, "", INDEX(Labels!I:I, MATCH(Summary!$A66, Labels!$A:$A, 0)))</f>
        <v/>
      </c>
      <c r="X66" t="str">
        <f>IF(INDEX(Labels!J:J, MATCH(Summary!$A66, Labels!$A:$A, 0)) = 0, "", INDEX(Labels!J:J, MATCH(Summary!$A66, Labels!$A:$A, 0)))</f>
        <v/>
      </c>
    </row>
    <row r="67" spans="1:24" x14ac:dyDescent="0.2">
      <c r="A67" s="33">
        <f>Labels!A68</f>
        <v>61</v>
      </c>
      <c r="B67" s="34">
        <f>INDEX(EchoData!B:B, MATCH(Summary!$A67, EchoData!$A:$A, 0))</f>
        <v>61</v>
      </c>
      <c r="C67" s="35">
        <f>INDEX(EchoData!C:C, MATCH(Summary!$A67, EchoData!$A:$A, 0))</f>
        <v>62</v>
      </c>
      <c r="D67" s="42">
        <f>INDEX(Displacements!B:B, MATCH(Summary!$B67, Displacements!$A:$A, 0))</f>
        <v>-21</v>
      </c>
      <c r="E67" s="43">
        <f>INDEX(Displacements!C:C, MATCH(Summary!$B67, Displacements!$A:$A, 0))</f>
        <v>0</v>
      </c>
      <c r="F67" s="44">
        <f>INDEX(Displacements!D:D, MATCH(Summary!$B67, Displacements!$A:$A, 0))</f>
        <v>0</v>
      </c>
      <c r="G67" s="42">
        <f>INDEX(Displacements!B:B, MATCH(Summary!$C67, Displacements!$A:$A, 0))</f>
        <v>-20.5</v>
      </c>
      <c r="H67" s="43">
        <f>INDEX(Displacements!C:C, MATCH(Summary!$C67, Displacements!$A:$A, 0))</f>
        <v>0</v>
      </c>
      <c r="I67" s="44">
        <f>INDEX(Displacements!D:D, MATCH(Summary!$C67, Displacements!$A:$A, 0))</f>
        <v>0</v>
      </c>
      <c r="J67" s="42">
        <f t="shared" si="0"/>
        <v>0.5</v>
      </c>
      <c r="K67" s="49">
        <f t="shared" si="1"/>
        <v>1</v>
      </c>
      <c r="L67" s="54">
        <f>INDEX('Forces+Stresses'!C:C, MATCH(Summary!$A67, 'Forces+Stresses'!$A:$A, 0))</f>
        <v>-1845</v>
      </c>
      <c r="M67" s="55">
        <f>INDEX('Forces+Stresses'!D:D, MATCH(Summary!$A67, 'Forces+Stresses'!$A:$A, 0))</f>
        <v>-1845</v>
      </c>
      <c r="N67" s="55">
        <f>IFERROR(INDEX('Forces+Stresses'!Q:Q, MATCH(Summary!$A67, 'Forces+Stresses'!$A:$A, 0)), INDEX(Flexjoints!D:D, MATCH(Summary!$A67, Flexjoints!$A:$A, 0)))</f>
        <v>3.0820000000000001E-8</v>
      </c>
      <c r="O67" s="56">
        <f>IFERROR(INDEX('Forces+Stresses'!R:R, MATCH(Summary!$A67, 'Forces+Stresses'!$A:$A, 0)), INDEX(Flexjoints!E:E, MATCH(Summary!$A67, Flexjoints!$A:$A, 0)))</f>
        <v>1.1379999999999999E-6</v>
      </c>
      <c r="P67" s="33" t="str">
        <f>IF(INDEX(Labels!B:B, MATCH(Summary!$A67, Labels!$A:$A, 0)) = 0, "", INDEX(Labels!B:B, MATCH(Summary!$A67, Labels!$A:$A, 0)))</f>
        <v>{Conductor Soil String}</v>
      </c>
      <c r="Q67" s="35" t="str">
        <f>IF(INDEX(Labels!C:C, MATCH(Summary!$A67, Labels!$A:$A, 0)) = 0, "", INDEX(Labels!C:C, MATCH(Summary!$A67, Labels!$A:$A, 0)))</f>
        <v>{Cond 36x1.5in}</v>
      </c>
      <c r="R67" s="33" t="str">
        <f>IF(INDEX(Labels!D:D, MATCH(Summary!$A67, Labels!$A:$A, 0)) = 0, "", INDEX(Labels!D:D, MATCH(Summary!$A67, Labels!$A:$A, 0)))</f>
        <v/>
      </c>
      <c r="S67" s="35" t="str">
        <f>IF(INDEX(Labels!E:E, MATCH(Summary!$A67, Labels!$A:$A, 0)) = 0, "", INDEX(Labels!E:E, MATCH(Summary!$A67, Labels!$A:$A, 0)))</f>
        <v/>
      </c>
      <c r="T67" s="33" t="str">
        <f>IF(INDEX(Labels!F:F, MATCH(Summary!$A67, Labels!$A:$A, 0)) = 0, "", INDEX(Labels!F:F, MATCH(Summary!$A67, Labels!$A:$A, 0)))</f>
        <v/>
      </c>
      <c r="U67" s="35" t="str">
        <f>IF(INDEX(Labels!G:G, MATCH(Summary!$A67, Labels!$A:$A, 0)) = 0, "", INDEX(Labels!G:G, MATCH(Summary!$A67, Labels!$A:$A, 0)))</f>
        <v/>
      </c>
      <c r="V67" s="62" t="str">
        <f>IF(INDEX(Labels!H:H, MATCH(Summary!$A67, Labels!$A:$A, 0)) = 0, "", INDEX(Labels!H:H, MATCH(Summary!$A67, Labels!$A:$A, 0)))</f>
        <v/>
      </c>
      <c r="W67" t="str">
        <f>IF(INDEX(Labels!I:I, MATCH(Summary!$A67, Labels!$A:$A, 0)) = 0, "", INDEX(Labels!I:I, MATCH(Summary!$A67, Labels!$A:$A, 0)))</f>
        <v/>
      </c>
      <c r="X67" t="str">
        <f>IF(INDEX(Labels!J:J, MATCH(Summary!$A67, Labels!$A:$A, 0)) = 0, "", INDEX(Labels!J:J, MATCH(Summary!$A67, Labels!$A:$A, 0)))</f>
        <v/>
      </c>
    </row>
    <row r="68" spans="1:24" x14ac:dyDescent="0.2">
      <c r="A68" s="33">
        <f>Labels!A69</f>
        <v>62</v>
      </c>
      <c r="B68" s="34">
        <f>INDEX(EchoData!B:B, MATCH(Summary!$A68, EchoData!$A:$A, 0))</f>
        <v>62</v>
      </c>
      <c r="C68" s="35">
        <f>INDEX(EchoData!C:C, MATCH(Summary!$A68, EchoData!$A:$A, 0))</f>
        <v>63</v>
      </c>
      <c r="D68" s="42">
        <f>INDEX(Displacements!B:B, MATCH(Summary!$B68, Displacements!$A:$A, 0))</f>
        <v>-20.5</v>
      </c>
      <c r="E68" s="43">
        <f>INDEX(Displacements!C:C, MATCH(Summary!$B68, Displacements!$A:$A, 0))</f>
        <v>0</v>
      </c>
      <c r="F68" s="44">
        <f>INDEX(Displacements!D:D, MATCH(Summary!$B68, Displacements!$A:$A, 0))</f>
        <v>0</v>
      </c>
      <c r="G68" s="42">
        <f>INDEX(Displacements!B:B, MATCH(Summary!$C68, Displacements!$A:$A, 0))</f>
        <v>-20</v>
      </c>
      <c r="H68" s="43">
        <f>INDEX(Displacements!C:C, MATCH(Summary!$C68, Displacements!$A:$A, 0))</f>
        <v>0</v>
      </c>
      <c r="I68" s="44">
        <f>INDEX(Displacements!D:D, MATCH(Summary!$C68, Displacements!$A:$A, 0))</f>
        <v>0</v>
      </c>
      <c r="J68" s="42">
        <f t="shared" si="0"/>
        <v>0.5</v>
      </c>
      <c r="K68" s="49">
        <f t="shared" si="1"/>
        <v>1</v>
      </c>
      <c r="L68" s="54">
        <f>INDEX('Forces+Stresses'!C:C, MATCH(Summary!$A68, 'Forces+Stresses'!$A:$A, 0))</f>
        <v>-1841</v>
      </c>
      <c r="M68" s="55">
        <f>INDEX('Forces+Stresses'!D:D, MATCH(Summary!$A68, 'Forces+Stresses'!$A:$A, 0))</f>
        <v>-1841</v>
      </c>
      <c r="N68" s="55">
        <f>IFERROR(INDEX('Forces+Stresses'!Q:Q, MATCH(Summary!$A68, 'Forces+Stresses'!$A:$A, 0)), INDEX(Flexjoints!D:D, MATCH(Summary!$A68, Flexjoints!$A:$A, 0)))</f>
        <v>2.953E-8</v>
      </c>
      <c r="O68" s="56">
        <f>IFERROR(INDEX('Forces+Stresses'!R:R, MATCH(Summary!$A68, 'Forces+Stresses'!$A:$A, 0)), INDEX(Flexjoints!E:E, MATCH(Summary!$A68, Flexjoints!$A:$A, 0)))</f>
        <v>1.099E-6</v>
      </c>
      <c r="P68" s="33" t="str">
        <f>IF(INDEX(Labels!B:B, MATCH(Summary!$A68, Labels!$A:$A, 0)) = 0, "", INDEX(Labels!B:B, MATCH(Summary!$A68, Labels!$A:$A, 0)))</f>
        <v>{Conductor Soil String}</v>
      </c>
      <c r="Q68" s="35" t="str">
        <f>IF(INDEX(Labels!C:C, MATCH(Summary!$A68, Labels!$A:$A, 0)) = 0, "", INDEX(Labels!C:C, MATCH(Summary!$A68, Labels!$A:$A, 0)))</f>
        <v>{Cond 36x1.5in}</v>
      </c>
      <c r="R68" s="33" t="str">
        <f>IF(INDEX(Labels!D:D, MATCH(Summary!$A68, Labels!$A:$A, 0)) = 0, "", INDEX(Labels!D:D, MATCH(Summary!$A68, Labels!$A:$A, 0)))</f>
        <v/>
      </c>
      <c r="S68" s="35" t="str">
        <f>IF(INDEX(Labels!E:E, MATCH(Summary!$A68, Labels!$A:$A, 0)) = 0, "", INDEX(Labels!E:E, MATCH(Summary!$A68, Labels!$A:$A, 0)))</f>
        <v/>
      </c>
      <c r="T68" s="33" t="str">
        <f>IF(INDEX(Labels!F:F, MATCH(Summary!$A68, Labels!$A:$A, 0)) = 0, "", INDEX(Labels!F:F, MATCH(Summary!$A68, Labels!$A:$A, 0)))</f>
        <v/>
      </c>
      <c r="U68" s="35" t="str">
        <f>IF(INDEX(Labels!G:G, MATCH(Summary!$A68, Labels!$A:$A, 0)) = 0, "", INDEX(Labels!G:G, MATCH(Summary!$A68, Labels!$A:$A, 0)))</f>
        <v/>
      </c>
      <c r="V68" s="62" t="str">
        <f>IF(INDEX(Labels!H:H, MATCH(Summary!$A68, Labels!$A:$A, 0)) = 0, "", INDEX(Labels!H:H, MATCH(Summary!$A68, Labels!$A:$A, 0)))</f>
        <v/>
      </c>
      <c r="W68" t="str">
        <f>IF(INDEX(Labels!I:I, MATCH(Summary!$A68, Labels!$A:$A, 0)) = 0, "", INDEX(Labels!I:I, MATCH(Summary!$A68, Labels!$A:$A, 0)))</f>
        <v/>
      </c>
      <c r="X68" t="str">
        <f>IF(INDEX(Labels!J:J, MATCH(Summary!$A68, Labels!$A:$A, 0)) = 0, "", INDEX(Labels!J:J, MATCH(Summary!$A68, Labels!$A:$A, 0)))</f>
        <v/>
      </c>
    </row>
    <row r="69" spans="1:24" x14ac:dyDescent="0.2">
      <c r="A69" s="33">
        <f>Labels!A70</f>
        <v>63</v>
      </c>
      <c r="B69" s="34">
        <f>INDEX(EchoData!B:B, MATCH(Summary!$A69, EchoData!$A:$A, 0))</f>
        <v>63</v>
      </c>
      <c r="C69" s="35">
        <f>INDEX(EchoData!C:C, MATCH(Summary!$A69, EchoData!$A:$A, 0))</f>
        <v>64</v>
      </c>
      <c r="D69" s="42">
        <f>INDEX(Displacements!B:B, MATCH(Summary!$B69, Displacements!$A:$A, 0))</f>
        <v>-20</v>
      </c>
      <c r="E69" s="43">
        <f>INDEX(Displacements!C:C, MATCH(Summary!$B69, Displacements!$A:$A, 0))</f>
        <v>0</v>
      </c>
      <c r="F69" s="44">
        <f>INDEX(Displacements!D:D, MATCH(Summary!$B69, Displacements!$A:$A, 0))</f>
        <v>0</v>
      </c>
      <c r="G69" s="42">
        <f>INDEX(Displacements!B:B, MATCH(Summary!$C69, Displacements!$A:$A, 0))</f>
        <v>-19.5</v>
      </c>
      <c r="H69" s="43">
        <f>INDEX(Displacements!C:C, MATCH(Summary!$C69, Displacements!$A:$A, 0))</f>
        <v>0</v>
      </c>
      <c r="I69" s="44">
        <f>INDEX(Displacements!D:D, MATCH(Summary!$C69, Displacements!$A:$A, 0))</f>
        <v>0</v>
      </c>
      <c r="J69" s="42">
        <f t="shared" si="0"/>
        <v>0.5</v>
      </c>
      <c r="K69" s="49">
        <f t="shared" si="1"/>
        <v>1</v>
      </c>
      <c r="L69" s="54">
        <f>INDEX('Forces+Stresses'!C:C, MATCH(Summary!$A69, 'Forces+Stresses'!$A:$A, 0))</f>
        <v>-1838</v>
      </c>
      <c r="M69" s="55">
        <f>INDEX('Forces+Stresses'!D:D, MATCH(Summary!$A69, 'Forces+Stresses'!$A:$A, 0))</f>
        <v>-1838</v>
      </c>
      <c r="N69" s="55">
        <f>IFERROR(INDEX('Forces+Stresses'!Q:Q, MATCH(Summary!$A69, 'Forces+Stresses'!$A:$A, 0)), INDEX(Flexjoints!D:D, MATCH(Summary!$A69, Flexjoints!$A:$A, 0)))</f>
        <v>2.777E-8</v>
      </c>
      <c r="O69" s="56">
        <f>IFERROR(INDEX('Forces+Stresses'!R:R, MATCH(Summary!$A69, 'Forces+Stresses'!$A:$A, 0)), INDEX(Flexjoints!E:E, MATCH(Summary!$A69, Flexjoints!$A:$A, 0)))</f>
        <v>1.043E-6</v>
      </c>
      <c r="P69" s="33" t="str">
        <f>IF(INDEX(Labels!B:B, MATCH(Summary!$A69, Labels!$A:$A, 0)) = 0, "", INDEX(Labels!B:B, MATCH(Summary!$A69, Labels!$A:$A, 0)))</f>
        <v>{Conductor Soil String}</v>
      </c>
      <c r="Q69" s="35" t="str">
        <f>IF(INDEX(Labels!C:C, MATCH(Summary!$A69, Labels!$A:$A, 0)) = 0, "", INDEX(Labels!C:C, MATCH(Summary!$A69, Labels!$A:$A, 0)))</f>
        <v>{Cond 36x1.5in}</v>
      </c>
      <c r="R69" s="33" t="str">
        <f>IF(INDEX(Labels!D:D, MATCH(Summary!$A69, Labels!$A:$A, 0)) = 0, "", INDEX(Labels!D:D, MATCH(Summary!$A69, Labels!$A:$A, 0)))</f>
        <v/>
      </c>
      <c r="S69" s="35" t="str">
        <f>IF(INDEX(Labels!E:E, MATCH(Summary!$A69, Labels!$A:$A, 0)) = 0, "", INDEX(Labels!E:E, MATCH(Summary!$A69, Labels!$A:$A, 0)))</f>
        <v/>
      </c>
      <c r="T69" s="33" t="str">
        <f>IF(INDEX(Labels!F:F, MATCH(Summary!$A69, Labels!$A:$A, 0)) = 0, "", INDEX(Labels!F:F, MATCH(Summary!$A69, Labels!$A:$A, 0)))</f>
        <v/>
      </c>
      <c r="U69" s="35" t="str">
        <f>IF(INDEX(Labels!G:G, MATCH(Summary!$A69, Labels!$A:$A, 0)) = 0, "", INDEX(Labels!G:G, MATCH(Summary!$A69, Labels!$A:$A, 0)))</f>
        <v/>
      </c>
      <c r="V69" s="62" t="str">
        <f>IF(INDEX(Labels!H:H, MATCH(Summary!$A69, Labels!$A:$A, 0)) = 0, "", INDEX(Labels!H:H, MATCH(Summary!$A69, Labels!$A:$A, 0)))</f>
        <v/>
      </c>
      <c r="W69" t="str">
        <f>IF(INDEX(Labels!I:I, MATCH(Summary!$A69, Labels!$A:$A, 0)) = 0, "", INDEX(Labels!I:I, MATCH(Summary!$A69, Labels!$A:$A, 0)))</f>
        <v/>
      </c>
      <c r="X69" t="str">
        <f>IF(INDEX(Labels!J:J, MATCH(Summary!$A69, Labels!$A:$A, 0)) = 0, "", INDEX(Labels!J:J, MATCH(Summary!$A69, Labels!$A:$A, 0)))</f>
        <v/>
      </c>
    </row>
    <row r="70" spans="1:24" x14ac:dyDescent="0.2">
      <c r="A70" s="33">
        <f>Labels!A71</f>
        <v>64</v>
      </c>
      <c r="B70" s="34">
        <f>INDEX(EchoData!B:B, MATCH(Summary!$A70, EchoData!$A:$A, 0))</f>
        <v>64</v>
      </c>
      <c r="C70" s="35">
        <f>INDEX(EchoData!C:C, MATCH(Summary!$A70, EchoData!$A:$A, 0))</f>
        <v>65</v>
      </c>
      <c r="D70" s="42">
        <f>INDEX(Displacements!B:B, MATCH(Summary!$B70, Displacements!$A:$A, 0))</f>
        <v>-19.5</v>
      </c>
      <c r="E70" s="43">
        <f>INDEX(Displacements!C:C, MATCH(Summary!$B70, Displacements!$A:$A, 0))</f>
        <v>0</v>
      </c>
      <c r="F70" s="44">
        <f>INDEX(Displacements!D:D, MATCH(Summary!$B70, Displacements!$A:$A, 0))</f>
        <v>0</v>
      </c>
      <c r="G70" s="42">
        <f>INDEX(Displacements!B:B, MATCH(Summary!$C70, Displacements!$A:$A, 0))</f>
        <v>-19</v>
      </c>
      <c r="H70" s="43">
        <f>INDEX(Displacements!C:C, MATCH(Summary!$C70, Displacements!$A:$A, 0))</f>
        <v>0</v>
      </c>
      <c r="I70" s="44">
        <f>INDEX(Displacements!D:D, MATCH(Summary!$C70, Displacements!$A:$A, 0))</f>
        <v>0</v>
      </c>
      <c r="J70" s="42">
        <f t="shared" si="0"/>
        <v>0.5</v>
      </c>
      <c r="K70" s="49">
        <f t="shared" si="1"/>
        <v>1</v>
      </c>
      <c r="L70" s="54">
        <f>INDEX('Forces+Stresses'!C:C, MATCH(Summary!$A70, 'Forces+Stresses'!$A:$A, 0))</f>
        <v>-1834</v>
      </c>
      <c r="M70" s="55">
        <f>INDEX('Forces+Stresses'!D:D, MATCH(Summary!$A70, 'Forces+Stresses'!$A:$A, 0))</f>
        <v>-1834</v>
      </c>
      <c r="N70" s="55">
        <f>IFERROR(INDEX('Forces+Stresses'!Q:Q, MATCH(Summary!$A70, 'Forces+Stresses'!$A:$A, 0)), INDEX(Flexjoints!D:D, MATCH(Summary!$A70, Flexjoints!$A:$A, 0)))</f>
        <v>2.5480000000000001E-8</v>
      </c>
      <c r="O70" s="56">
        <f>IFERROR(INDEX('Forces+Stresses'!R:R, MATCH(Summary!$A70, 'Forces+Stresses'!$A:$A, 0)), INDEX(Flexjoints!E:E, MATCH(Summary!$A70, Flexjoints!$A:$A, 0)))</f>
        <v>9.6929999999999998E-7</v>
      </c>
      <c r="P70" s="33" t="str">
        <f>IF(INDEX(Labels!B:B, MATCH(Summary!$A70, Labels!$A:$A, 0)) = 0, "", INDEX(Labels!B:B, MATCH(Summary!$A70, Labels!$A:$A, 0)))</f>
        <v>{Conductor Soil String}</v>
      </c>
      <c r="Q70" s="35" t="str">
        <f>IF(INDEX(Labels!C:C, MATCH(Summary!$A70, Labels!$A:$A, 0)) = 0, "", INDEX(Labels!C:C, MATCH(Summary!$A70, Labels!$A:$A, 0)))</f>
        <v>{Cond 36x1.5in}</v>
      </c>
      <c r="R70" s="33" t="str">
        <f>IF(INDEX(Labels!D:D, MATCH(Summary!$A70, Labels!$A:$A, 0)) = 0, "", INDEX(Labels!D:D, MATCH(Summary!$A70, Labels!$A:$A, 0)))</f>
        <v/>
      </c>
      <c r="S70" s="35" t="str">
        <f>IF(INDEX(Labels!E:E, MATCH(Summary!$A70, Labels!$A:$A, 0)) = 0, "", INDEX(Labels!E:E, MATCH(Summary!$A70, Labels!$A:$A, 0)))</f>
        <v/>
      </c>
      <c r="T70" s="33" t="str">
        <f>IF(INDEX(Labels!F:F, MATCH(Summary!$A70, Labels!$A:$A, 0)) = 0, "", INDEX(Labels!F:F, MATCH(Summary!$A70, Labels!$A:$A, 0)))</f>
        <v/>
      </c>
      <c r="U70" s="35" t="str">
        <f>IF(INDEX(Labels!G:G, MATCH(Summary!$A70, Labels!$A:$A, 0)) = 0, "", INDEX(Labels!G:G, MATCH(Summary!$A70, Labels!$A:$A, 0)))</f>
        <v/>
      </c>
      <c r="V70" s="62" t="str">
        <f>IF(INDEX(Labels!H:H, MATCH(Summary!$A70, Labels!$A:$A, 0)) = 0, "", INDEX(Labels!H:H, MATCH(Summary!$A70, Labels!$A:$A, 0)))</f>
        <v/>
      </c>
      <c r="W70" t="str">
        <f>IF(INDEX(Labels!I:I, MATCH(Summary!$A70, Labels!$A:$A, 0)) = 0, "", INDEX(Labels!I:I, MATCH(Summary!$A70, Labels!$A:$A, 0)))</f>
        <v/>
      </c>
      <c r="X70" t="str">
        <f>IF(INDEX(Labels!J:J, MATCH(Summary!$A70, Labels!$A:$A, 0)) = 0, "", INDEX(Labels!J:J, MATCH(Summary!$A70, Labels!$A:$A, 0)))</f>
        <v/>
      </c>
    </row>
    <row r="71" spans="1:24" x14ac:dyDescent="0.2">
      <c r="A71" s="33">
        <f>Labels!A72</f>
        <v>65</v>
      </c>
      <c r="B71" s="34">
        <f>INDEX(EchoData!B:B, MATCH(Summary!$A71, EchoData!$A:$A, 0))</f>
        <v>65</v>
      </c>
      <c r="C71" s="35">
        <f>INDEX(EchoData!C:C, MATCH(Summary!$A71, EchoData!$A:$A, 0))</f>
        <v>66</v>
      </c>
      <c r="D71" s="42">
        <f>INDEX(Displacements!B:B, MATCH(Summary!$B71, Displacements!$A:$A, 0))</f>
        <v>-19</v>
      </c>
      <c r="E71" s="43">
        <f>INDEX(Displacements!C:C, MATCH(Summary!$B71, Displacements!$A:$A, 0))</f>
        <v>0</v>
      </c>
      <c r="F71" s="44">
        <f>INDEX(Displacements!D:D, MATCH(Summary!$B71, Displacements!$A:$A, 0))</f>
        <v>0</v>
      </c>
      <c r="G71" s="42">
        <f>INDEX(Displacements!B:B, MATCH(Summary!$C71, Displacements!$A:$A, 0))</f>
        <v>-18.5</v>
      </c>
      <c r="H71" s="43">
        <f>INDEX(Displacements!C:C, MATCH(Summary!$C71, Displacements!$A:$A, 0))</f>
        <v>0</v>
      </c>
      <c r="I71" s="44">
        <f>INDEX(Displacements!D:D, MATCH(Summary!$C71, Displacements!$A:$A, 0))</f>
        <v>0</v>
      </c>
      <c r="J71" s="42">
        <f t="shared" ref="J71:J134" si="2">SQRT((G71 - D71)^2 + (H71 - E71)^2 + (I71 - F71)^2)</f>
        <v>0.5</v>
      </c>
      <c r="K71" s="49">
        <f t="shared" ref="K71:K134" si="3">IF(P71 = P70, J71/J70, "N/A")</f>
        <v>1</v>
      </c>
      <c r="L71" s="54">
        <f>INDEX('Forces+Stresses'!C:C, MATCH(Summary!$A71, 'Forces+Stresses'!$A:$A, 0))</f>
        <v>-1830</v>
      </c>
      <c r="M71" s="55">
        <f>INDEX('Forces+Stresses'!D:D, MATCH(Summary!$A71, 'Forces+Stresses'!$A:$A, 0))</f>
        <v>-1830</v>
      </c>
      <c r="N71" s="55">
        <f>IFERROR(INDEX('Forces+Stresses'!Q:Q, MATCH(Summary!$A71, 'Forces+Stresses'!$A:$A, 0)), INDEX(Flexjoints!D:D, MATCH(Summary!$A71, Flexjoints!$A:$A, 0)))</f>
        <v>2.264E-8</v>
      </c>
      <c r="O71" s="56">
        <f>IFERROR(INDEX('Forces+Stresses'!R:R, MATCH(Summary!$A71, 'Forces+Stresses'!$A:$A, 0)), INDEX(Flexjoints!E:E, MATCH(Summary!$A71, Flexjoints!$A:$A, 0)))</f>
        <v>8.7540000000000002E-7</v>
      </c>
      <c r="P71" s="33" t="str">
        <f>IF(INDEX(Labels!B:B, MATCH(Summary!$A71, Labels!$A:$A, 0)) = 0, "", INDEX(Labels!B:B, MATCH(Summary!$A71, Labels!$A:$A, 0)))</f>
        <v>{Conductor Soil String}</v>
      </c>
      <c r="Q71" s="35" t="str">
        <f>IF(INDEX(Labels!C:C, MATCH(Summary!$A71, Labels!$A:$A, 0)) = 0, "", INDEX(Labels!C:C, MATCH(Summary!$A71, Labels!$A:$A, 0)))</f>
        <v>{Cond 36x1.5in}</v>
      </c>
      <c r="R71" s="33" t="str">
        <f>IF(INDEX(Labels!D:D, MATCH(Summary!$A71, Labels!$A:$A, 0)) = 0, "", INDEX(Labels!D:D, MATCH(Summary!$A71, Labels!$A:$A, 0)))</f>
        <v/>
      </c>
      <c r="S71" s="35" t="str">
        <f>IF(INDEX(Labels!E:E, MATCH(Summary!$A71, Labels!$A:$A, 0)) = 0, "", INDEX(Labels!E:E, MATCH(Summary!$A71, Labels!$A:$A, 0)))</f>
        <v/>
      </c>
      <c r="T71" s="33" t="str">
        <f>IF(INDEX(Labels!F:F, MATCH(Summary!$A71, Labels!$A:$A, 0)) = 0, "", INDEX(Labels!F:F, MATCH(Summary!$A71, Labels!$A:$A, 0)))</f>
        <v/>
      </c>
      <c r="U71" s="35" t="str">
        <f>IF(INDEX(Labels!G:G, MATCH(Summary!$A71, Labels!$A:$A, 0)) = 0, "", INDEX(Labels!G:G, MATCH(Summary!$A71, Labels!$A:$A, 0)))</f>
        <v/>
      </c>
      <c r="V71" s="62" t="str">
        <f>IF(INDEX(Labels!H:H, MATCH(Summary!$A71, Labels!$A:$A, 0)) = 0, "", INDEX(Labels!H:H, MATCH(Summary!$A71, Labels!$A:$A, 0)))</f>
        <v/>
      </c>
      <c r="W71" t="str">
        <f>IF(INDEX(Labels!I:I, MATCH(Summary!$A71, Labels!$A:$A, 0)) = 0, "", INDEX(Labels!I:I, MATCH(Summary!$A71, Labels!$A:$A, 0)))</f>
        <v/>
      </c>
      <c r="X71" t="str">
        <f>IF(INDEX(Labels!J:J, MATCH(Summary!$A71, Labels!$A:$A, 0)) = 0, "", INDEX(Labels!J:J, MATCH(Summary!$A71, Labels!$A:$A, 0)))</f>
        <v/>
      </c>
    </row>
    <row r="72" spans="1:24" x14ac:dyDescent="0.2">
      <c r="A72" s="33">
        <f>Labels!A73</f>
        <v>66</v>
      </c>
      <c r="B72" s="34">
        <f>INDEX(EchoData!B:B, MATCH(Summary!$A72, EchoData!$A:$A, 0))</f>
        <v>66</v>
      </c>
      <c r="C72" s="35">
        <f>INDEX(EchoData!C:C, MATCH(Summary!$A72, EchoData!$A:$A, 0))</f>
        <v>67</v>
      </c>
      <c r="D72" s="42">
        <f>INDEX(Displacements!B:B, MATCH(Summary!$B72, Displacements!$A:$A, 0))</f>
        <v>-18.5</v>
      </c>
      <c r="E72" s="43">
        <f>INDEX(Displacements!C:C, MATCH(Summary!$B72, Displacements!$A:$A, 0))</f>
        <v>0</v>
      </c>
      <c r="F72" s="44">
        <f>INDEX(Displacements!D:D, MATCH(Summary!$B72, Displacements!$A:$A, 0))</f>
        <v>0</v>
      </c>
      <c r="G72" s="42">
        <f>INDEX(Displacements!B:B, MATCH(Summary!$C72, Displacements!$A:$A, 0))</f>
        <v>-18</v>
      </c>
      <c r="H72" s="43">
        <f>INDEX(Displacements!C:C, MATCH(Summary!$C72, Displacements!$A:$A, 0))</f>
        <v>0</v>
      </c>
      <c r="I72" s="44">
        <f>INDEX(Displacements!D:D, MATCH(Summary!$C72, Displacements!$A:$A, 0))</f>
        <v>0</v>
      </c>
      <c r="J72" s="42">
        <f t="shared" si="2"/>
        <v>0.5</v>
      </c>
      <c r="K72" s="49">
        <f t="shared" si="3"/>
        <v>1</v>
      </c>
      <c r="L72" s="54">
        <f>INDEX('Forces+Stresses'!C:C, MATCH(Summary!$A72, 'Forces+Stresses'!$A:$A, 0))</f>
        <v>-1827</v>
      </c>
      <c r="M72" s="55">
        <f>INDEX('Forces+Stresses'!D:D, MATCH(Summary!$A72, 'Forces+Stresses'!$A:$A, 0))</f>
        <v>-1827</v>
      </c>
      <c r="N72" s="55">
        <f>IFERROR(INDEX('Forces+Stresses'!Q:Q, MATCH(Summary!$A72, 'Forces+Stresses'!$A:$A, 0)), INDEX(Flexjoints!D:D, MATCH(Summary!$A72, Flexjoints!$A:$A, 0)))</f>
        <v>1.9219999999999999E-8</v>
      </c>
      <c r="O72" s="56">
        <f>IFERROR(INDEX('Forces+Stresses'!R:R, MATCH(Summary!$A72, 'Forces+Stresses'!$A:$A, 0)), INDEX(Flexjoints!E:E, MATCH(Summary!$A72, Flexjoints!$A:$A, 0)))</f>
        <v>7.6059999999999997E-7</v>
      </c>
      <c r="P72" s="33" t="str">
        <f>IF(INDEX(Labels!B:B, MATCH(Summary!$A72, Labels!$A:$A, 0)) = 0, "", INDEX(Labels!B:B, MATCH(Summary!$A72, Labels!$A:$A, 0)))</f>
        <v>{Conductor Soil String}</v>
      </c>
      <c r="Q72" s="35" t="str">
        <f>IF(INDEX(Labels!C:C, MATCH(Summary!$A72, Labels!$A:$A, 0)) = 0, "", INDEX(Labels!C:C, MATCH(Summary!$A72, Labels!$A:$A, 0)))</f>
        <v>{Cond 36x1.5in}</v>
      </c>
      <c r="R72" s="33" t="str">
        <f>IF(INDEX(Labels!D:D, MATCH(Summary!$A72, Labels!$A:$A, 0)) = 0, "", INDEX(Labels!D:D, MATCH(Summary!$A72, Labels!$A:$A, 0)))</f>
        <v/>
      </c>
      <c r="S72" s="35" t="str">
        <f>IF(INDEX(Labels!E:E, MATCH(Summary!$A72, Labels!$A:$A, 0)) = 0, "", INDEX(Labels!E:E, MATCH(Summary!$A72, Labels!$A:$A, 0)))</f>
        <v/>
      </c>
      <c r="T72" s="33" t="str">
        <f>IF(INDEX(Labels!F:F, MATCH(Summary!$A72, Labels!$A:$A, 0)) = 0, "", INDEX(Labels!F:F, MATCH(Summary!$A72, Labels!$A:$A, 0)))</f>
        <v/>
      </c>
      <c r="U72" s="35" t="str">
        <f>IF(INDEX(Labels!G:G, MATCH(Summary!$A72, Labels!$A:$A, 0)) = 0, "", INDEX(Labels!G:G, MATCH(Summary!$A72, Labels!$A:$A, 0)))</f>
        <v/>
      </c>
      <c r="V72" s="62" t="str">
        <f>IF(INDEX(Labels!H:H, MATCH(Summary!$A72, Labels!$A:$A, 0)) = 0, "", INDEX(Labels!H:H, MATCH(Summary!$A72, Labels!$A:$A, 0)))</f>
        <v/>
      </c>
      <c r="W72" t="str">
        <f>IF(INDEX(Labels!I:I, MATCH(Summary!$A72, Labels!$A:$A, 0)) = 0, "", INDEX(Labels!I:I, MATCH(Summary!$A72, Labels!$A:$A, 0)))</f>
        <v/>
      </c>
      <c r="X72" t="str">
        <f>IF(INDEX(Labels!J:J, MATCH(Summary!$A72, Labels!$A:$A, 0)) = 0, "", INDEX(Labels!J:J, MATCH(Summary!$A72, Labels!$A:$A, 0)))</f>
        <v/>
      </c>
    </row>
    <row r="73" spans="1:24" x14ac:dyDescent="0.2">
      <c r="A73" s="33">
        <f>Labels!A74</f>
        <v>67</v>
      </c>
      <c r="B73" s="34">
        <f>INDEX(EchoData!B:B, MATCH(Summary!$A73, EchoData!$A:$A, 0))</f>
        <v>67</v>
      </c>
      <c r="C73" s="35">
        <f>INDEX(EchoData!C:C, MATCH(Summary!$A73, EchoData!$A:$A, 0))</f>
        <v>68</v>
      </c>
      <c r="D73" s="42">
        <f>INDEX(Displacements!B:B, MATCH(Summary!$B73, Displacements!$A:$A, 0))</f>
        <v>-18</v>
      </c>
      <c r="E73" s="43">
        <f>INDEX(Displacements!C:C, MATCH(Summary!$B73, Displacements!$A:$A, 0))</f>
        <v>0</v>
      </c>
      <c r="F73" s="44">
        <f>INDEX(Displacements!D:D, MATCH(Summary!$B73, Displacements!$A:$A, 0))</f>
        <v>0</v>
      </c>
      <c r="G73" s="42">
        <f>INDEX(Displacements!B:B, MATCH(Summary!$C73, Displacements!$A:$A, 0))</f>
        <v>-17.5</v>
      </c>
      <c r="H73" s="43">
        <f>INDEX(Displacements!C:C, MATCH(Summary!$C73, Displacements!$A:$A, 0))</f>
        <v>0</v>
      </c>
      <c r="I73" s="44">
        <f>INDEX(Displacements!D:D, MATCH(Summary!$C73, Displacements!$A:$A, 0))</f>
        <v>0</v>
      </c>
      <c r="J73" s="42">
        <f t="shared" si="2"/>
        <v>0.5</v>
      </c>
      <c r="K73" s="49">
        <f t="shared" si="3"/>
        <v>1</v>
      </c>
      <c r="L73" s="54">
        <f>INDEX('Forces+Stresses'!C:C, MATCH(Summary!$A73, 'Forces+Stresses'!$A:$A, 0))</f>
        <v>-1823</v>
      </c>
      <c r="M73" s="55">
        <f>INDEX('Forces+Stresses'!D:D, MATCH(Summary!$A73, 'Forces+Stresses'!$A:$A, 0))</f>
        <v>-1823</v>
      </c>
      <c r="N73" s="55">
        <f>IFERROR(INDEX('Forces+Stresses'!Q:Q, MATCH(Summary!$A73, 'Forces+Stresses'!$A:$A, 0)), INDEX(Flexjoints!D:D, MATCH(Summary!$A73, Flexjoints!$A:$A, 0)))</f>
        <v>1.5189999999999999E-8</v>
      </c>
      <c r="O73" s="56">
        <f>IFERROR(INDEX('Forces+Stresses'!R:R, MATCH(Summary!$A73, 'Forces+Stresses'!$A:$A, 0)), INDEX(Flexjoints!E:E, MATCH(Summary!$A73, Flexjoints!$A:$A, 0)))</f>
        <v>6.2390000000000007E-7</v>
      </c>
      <c r="P73" s="33" t="str">
        <f>IF(INDEX(Labels!B:B, MATCH(Summary!$A73, Labels!$A:$A, 0)) = 0, "", INDEX(Labels!B:B, MATCH(Summary!$A73, Labels!$A:$A, 0)))</f>
        <v>{Conductor Soil String}</v>
      </c>
      <c r="Q73" s="35" t="str">
        <f>IF(INDEX(Labels!C:C, MATCH(Summary!$A73, Labels!$A:$A, 0)) = 0, "", INDEX(Labels!C:C, MATCH(Summary!$A73, Labels!$A:$A, 0)))</f>
        <v>{Cond 36x1.5in}</v>
      </c>
      <c r="R73" s="33" t="str">
        <f>IF(INDEX(Labels!D:D, MATCH(Summary!$A73, Labels!$A:$A, 0)) = 0, "", INDEX(Labels!D:D, MATCH(Summary!$A73, Labels!$A:$A, 0)))</f>
        <v/>
      </c>
      <c r="S73" s="35" t="str">
        <f>IF(INDEX(Labels!E:E, MATCH(Summary!$A73, Labels!$A:$A, 0)) = 0, "", INDEX(Labels!E:E, MATCH(Summary!$A73, Labels!$A:$A, 0)))</f>
        <v/>
      </c>
      <c r="T73" s="33" t="str">
        <f>IF(INDEX(Labels!F:F, MATCH(Summary!$A73, Labels!$A:$A, 0)) = 0, "", INDEX(Labels!F:F, MATCH(Summary!$A73, Labels!$A:$A, 0)))</f>
        <v/>
      </c>
      <c r="U73" s="35" t="str">
        <f>IF(INDEX(Labels!G:G, MATCH(Summary!$A73, Labels!$A:$A, 0)) = 0, "", INDEX(Labels!G:G, MATCH(Summary!$A73, Labels!$A:$A, 0)))</f>
        <v/>
      </c>
      <c r="V73" s="62" t="str">
        <f>IF(INDEX(Labels!H:H, MATCH(Summary!$A73, Labels!$A:$A, 0)) = 0, "", INDEX(Labels!H:H, MATCH(Summary!$A73, Labels!$A:$A, 0)))</f>
        <v/>
      </c>
      <c r="W73" t="str">
        <f>IF(INDEX(Labels!I:I, MATCH(Summary!$A73, Labels!$A:$A, 0)) = 0, "", INDEX(Labels!I:I, MATCH(Summary!$A73, Labels!$A:$A, 0)))</f>
        <v/>
      </c>
      <c r="X73" t="str">
        <f>IF(INDEX(Labels!J:J, MATCH(Summary!$A73, Labels!$A:$A, 0)) = 0, "", INDEX(Labels!J:J, MATCH(Summary!$A73, Labels!$A:$A, 0)))</f>
        <v/>
      </c>
    </row>
    <row r="74" spans="1:24" x14ac:dyDescent="0.2">
      <c r="A74" s="33">
        <f>Labels!A75</f>
        <v>68</v>
      </c>
      <c r="B74" s="34">
        <f>INDEX(EchoData!B:B, MATCH(Summary!$A74, EchoData!$A:$A, 0))</f>
        <v>68</v>
      </c>
      <c r="C74" s="35">
        <f>INDEX(EchoData!C:C, MATCH(Summary!$A74, EchoData!$A:$A, 0))</f>
        <v>69</v>
      </c>
      <c r="D74" s="42">
        <f>INDEX(Displacements!B:B, MATCH(Summary!$B74, Displacements!$A:$A, 0))</f>
        <v>-17.5</v>
      </c>
      <c r="E74" s="43">
        <f>INDEX(Displacements!C:C, MATCH(Summary!$B74, Displacements!$A:$A, 0))</f>
        <v>0</v>
      </c>
      <c r="F74" s="44">
        <f>INDEX(Displacements!D:D, MATCH(Summary!$B74, Displacements!$A:$A, 0))</f>
        <v>0</v>
      </c>
      <c r="G74" s="42">
        <f>INDEX(Displacements!B:B, MATCH(Summary!$C74, Displacements!$A:$A, 0))</f>
        <v>-17</v>
      </c>
      <c r="H74" s="43">
        <f>INDEX(Displacements!C:C, MATCH(Summary!$C74, Displacements!$A:$A, 0))</f>
        <v>0</v>
      </c>
      <c r="I74" s="44">
        <f>INDEX(Displacements!D:D, MATCH(Summary!$C74, Displacements!$A:$A, 0))</f>
        <v>0</v>
      </c>
      <c r="J74" s="42">
        <f t="shared" si="2"/>
        <v>0.5</v>
      </c>
      <c r="K74" s="49">
        <f t="shared" si="3"/>
        <v>1</v>
      </c>
      <c r="L74" s="54">
        <f>INDEX('Forces+Stresses'!C:C, MATCH(Summary!$A74, 'Forces+Stresses'!$A:$A, 0))</f>
        <v>-1820</v>
      </c>
      <c r="M74" s="55">
        <f>INDEX('Forces+Stresses'!D:D, MATCH(Summary!$A74, 'Forces+Stresses'!$A:$A, 0))</f>
        <v>-1820</v>
      </c>
      <c r="N74" s="55">
        <f>IFERROR(INDEX('Forces+Stresses'!Q:Q, MATCH(Summary!$A74, 'Forces+Stresses'!$A:$A, 0)), INDEX(Flexjoints!D:D, MATCH(Summary!$A74, Flexjoints!$A:$A, 0)))</f>
        <v>1.054E-8</v>
      </c>
      <c r="O74" s="56">
        <f>IFERROR(INDEX('Forces+Stresses'!R:R, MATCH(Summary!$A74, 'Forces+Stresses'!$A:$A, 0)), INDEX(Flexjoints!E:E, MATCH(Summary!$A74, Flexjoints!$A:$A, 0)))</f>
        <v>4.6409999999999998E-7</v>
      </c>
      <c r="P74" s="33" t="str">
        <f>IF(INDEX(Labels!B:B, MATCH(Summary!$A74, Labels!$A:$A, 0)) = 0, "", INDEX(Labels!B:B, MATCH(Summary!$A74, Labels!$A:$A, 0)))</f>
        <v>{Conductor Soil String}</v>
      </c>
      <c r="Q74" s="35" t="str">
        <f>IF(INDEX(Labels!C:C, MATCH(Summary!$A74, Labels!$A:$A, 0)) = 0, "", INDEX(Labels!C:C, MATCH(Summary!$A74, Labels!$A:$A, 0)))</f>
        <v>{Cond 36x1.5in}</v>
      </c>
      <c r="R74" s="33" t="str">
        <f>IF(INDEX(Labels!D:D, MATCH(Summary!$A74, Labels!$A:$A, 0)) = 0, "", INDEX(Labels!D:D, MATCH(Summary!$A74, Labels!$A:$A, 0)))</f>
        <v/>
      </c>
      <c r="S74" s="35" t="str">
        <f>IF(INDEX(Labels!E:E, MATCH(Summary!$A74, Labels!$A:$A, 0)) = 0, "", INDEX(Labels!E:E, MATCH(Summary!$A74, Labels!$A:$A, 0)))</f>
        <v/>
      </c>
      <c r="T74" s="33" t="str">
        <f>IF(INDEX(Labels!F:F, MATCH(Summary!$A74, Labels!$A:$A, 0)) = 0, "", INDEX(Labels!F:F, MATCH(Summary!$A74, Labels!$A:$A, 0)))</f>
        <v/>
      </c>
      <c r="U74" s="35" t="str">
        <f>IF(INDEX(Labels!G:G, MATCH(Summary!$A74, Labels!$A:$A, 0)) = 0, "", INDEX(Labels!G:G, MATCH(Summary!$A74, Labels!$A:$A, 0)))</f>
        <v/>
      </c>
      <c r="V74" s="62" t="str">
        <f>IF(INDEX(Labels!H:H, MATCH(Summary!$A74, Labels!$A:$A, 0)) = 0, "", INDEX(Labels!H:H, MATCH(Summary!$A74, Labels!$A:$A, 0)))</f>
        <v/>
      </c>
      <c r="W74" t="str">
        <f>IF(INDEX(Labels!I:I, MATCH(Summary!$A74, Labels!$A:$A, 0)) = 0, "", INDEX(Labels!I:I, MATCH(Summary!$A74, Labels!$A:$A, 0)))</f>
        <v/>
      </c>
      <c r="X74" t="str">
        <f>IF(INDEX(Labels!J:J, MATCH(Summary!$A74, Labels!$A:$A, 0)) = 0, "", INDEX(Labels!J:J, MATCH(Summary!$A74, Labels!$A:$A, 0)))</f>
        <v/>
      </c>
    </row>
    <row r="75" spans="1:24" x14ac:dyDescent="0.2">
      <c r="A75" s="33">
        <f>Labels!A76</f>
        <v>69</v>
      </c>
      <c r="B75" s="34">
        <f>INDEX(EchoData!B:B, MATCH(Summary!$A75, EchoData!$A:$A, 0))</f>
        <v>69</v>
      </c>
      <c r="C75" s="35">
        <f>INDEX(EchoData!C:C, MATCH(Summary!$A75, EchoData!$A:$A, 0))</f>
        <v>70</v>
      </c>
      <c r="D75" s="42">
        <f>INDEX(Displacements!B:B, MATCH(Summary!$B75, Displacements!$A:$A, 0))</f>
        <v>-17</v>
      </c>
      <c r="E75" s="43">
        <f>INDEX(Displacements!C:C, MATCH(Summary!$B75, Displacements!$A:$A, 0))</f>
        <v>0</v>
      </c>
      <c r="F75" s="44">
        <f>INDEX(Displacements!D:D, MATCH(Summary!$B75, Displacements!$A:$A, 0))</f>
        <v>0</v>
      </c>
      <c r="G75" s="42">
        <f>INDEX(Displacements!B:B, MATCH(Summary!$C75, Displacements!$A:$A, 0))</f>
        <v>-16.5</v>
      </c>
      <c r="H75" s="43">
        <f>INDEX(Displacements!C:C, MATCH(Summary!$C75, Displacements!$A:$A, 0))</f>
        <v>0</v>
      </c>
      <c r="I75" s="44">
        <f>INDEX(Displacements!D:D, MATCH(Summary!$C75, Displacements!$A:$A, 0))</f>
        <v>0</v>
      </c>
      <c r="J75" s="42">
        <f t="shared" si="2"/>
        <v>0.5</v>
      </c>
      <c r="K75" s="49">
        <f t="shared" si="3"/>
        <v>1</v>
      </c>
      <c r="L75" s="54">
        <f>INDEX('Forces+Stresses'!C:C, MATCH(Summary!$A75, 'Forces+Stresses'!$A:$A, 0))</f>
        <v>-1816</v>
      </c>
      <c r="M75" s="55">
        <f>INDEX('Forces+Stresses'!D:D, MATCH(Summary!$A75, 'Forces+Stresses'!$A:$A, 0))</f>
        <v>-1816</v>
      </c>
      <c r="N75" s="55">
        <f>IFERROR(INDEX('Forces+Stresses'!Q:Q, MATCH(Summary!$A75, 'Forces+Stresses'!$A:$A, 0)), INDEX(Flexjoints!D:D, MATCH(Summary!$A75, Flexjoints!$A:$A, 0)))</f>
        <v>5.342E-9</v>
      </c>
      <c r="O75" s="56">
        <f>IFERROR(INDEX('Forces+Stresses'!R:R, MATCH(Summary!$A75, 'Forces+Stresses'!$A:$A, 0)), INDEX(Flexjoints!E:E, MATCH(Summary!$A75, Flexjoints!$A:$A, 0)))</f>
        <v>2.8029999999999999E-7</v>
      </c>
      <c r="P75" s="33" t="str">
        <f>IF(INDEX(Labels!B:B, MATCH(Summary!$A75, Labels!$A:$A, 0)) = 0, "", INDEX(Labels!B:B, MATCH(Summary!$A75, Labels!$A:$A, 0)))</f>
        <v>{Conductor Soil String}</v>
      </c>
      <c r="Q75" s="35" t="str">
        <f>IF(INDEX(Labels!C:C, MATCH(Summary!$A75, Labels!$A:$A, 0)) = 0, "", INDEX(Labels!C:C, MATCH(Summary!$A75, Labels!$A:$A, 0)))</f>
        <v>{Cond 36x1.5in}</v>
      </c>
      <c r="R75" s="33" t="str">
        <f>IF(INDEX(Labels!D:D, MATCH(Summary!$A75, Labels!$A:$A, 0)) = 0, "", INDEX(Labels!D:D, MATCH(Summary!$A75, Labels!$A:$A, 0)))</f>
        <v/>
      </c>
      <c r="S75" s="35" t="str">
        <f>IF(INDEX(Labels!E:E, MATCH(Summary!$A75, Labels!$A:$A, 0)) = 0, "", INDEX(Labels!E:E, MATCH(Summary!$A75, Labels!$A:$A, 0)))</f>
        <v/>
      </c>
      <c r="T75" s="33" t="str">
        <f>IF(INDEX(Labels!F:F, MATCH(Summary!$A75, Labels!$A:$A, 0)) = 0, "", INDEX(Labels!F:F, MATCH(Summary!$A75, Labels!$A:$A, 0)))</f>
        <v/>
      </c>
      <c r="U75" s="35" t="str">
        <f>IF(INDEX(Labels!G:G, MATCH(Summary!$A75, Labels!$A:$A, 0)) = 0, "", INDEX(Labels!G:G, MATCH(Summary!$A75, Labels!$A:$A, 0)))</f>
        <v/>
      </c>
      <c r="V75" s="62" t="str">
        <f>IF(INDEX(Labels!H:H, MATCH(Summary!$A75, Labels!$A:$A, 0)) = 0, "", INDEX(Labels!H:H, MATCH(Summary!$A75, Labels!$A:$A, 0)))</f>
        <v/>
      </c>
      <c r="W75" t="str">
        <f>IF(INDEX(Labels!I:I, MATCH(Summary!$A75, Labels!$A:$A, 0)) = 0, "", INDEX(Labels!I:I, MATCH(Summary!$A75, Labels!$A:$A, 0)))</f>
        <v/>
      </c>
      <c r="X75" t="str">
        <f>IF(INDEX(Labels!J:J, MATCH(Summary!$A75, Labels!$A:$A, 0)) = 0, "", INDEX(Labels!J:J, MATCH(Summary!$A75, Labels!$A:$A, 0)))</f>
        <v/>
      </c>
    </row>
    <row r="76" spans="1:24" x14ac:dyDescent="0.2">
      <c r="A76" s="33">
        <f>Labels!A77</f>
        <v>70</v>
      </c>
      <c r="B76" s="34">
        <f>INDEX(EchoData!B:B, MATCH(Summary!$A76, EchoData!$A:$A, 0))</f>
        <v>70</v>
      </c>
      <c r="C76" s="35">
        <f>INDEX(EchoData!C:C, MATCH(Summary!$A76, EchoData!$A:$A, 0))</f>
        <v>71</v>
      </c>
      <c r="D76" s="42">
        <f>INDEX(Displacements!B:B, MATCH(Summary!$B76, Displacements!$A:$A, 0))</f>
        <v>-16.5</v>
      </c>
      <c r="E76" s="43">
        <f>INDEX(Displacements!C:C, MATCH(Summary!$B76, Displacements!$A:$A, 0))</f>
        <v>0</v>
      </c>
      <c r="F76" s="44">
        <f>INDEX(Displacements!D:D, MATCH(Summary!$B76, Displacements!$A:$A, 0))</f>
        <v>0</v>
      </c>
      <c r="G76" s="42">
        <f>INDEX(Displacements!B:B, MATCH(Summary!$C76, Displacements!$A:$A, 0))</f>
        <v>-16</v>
      </c>
      <c r="H76" s="43">
        <f>INDEX(Displacements!C:C, MATCH(Summary!$C76, Displacements!$A:$A, 0))</f>
        <v>0</v>
      </c>
      <c r="I76" s="44">
        <f>INDEX(Displacements!D:D, MATCH(Summary!$C76, Displacements!$A:$A, 0))</f>
        <v>0</v>
      </c>
      <c r="J76" s="42">
        <f t="shared" si="2"/>
        <v>0.5</v>
      </c>
      <c r="K76" s="49">
        <f t="shared" si="3"/>
        <v>1</v>
      </c>
      <c r="L76" s="54">
        <f>INDEX('Forces+Stresses'!C:C, MATCH(Summary!$A76, 'Forces+Stresses'!$A:$A, 0))</f>
        <v>-1813</v>
      </c>
      <c r="M76" s="55">
        <f>INDEX('Forces+Stresses'!D:D, MATCH(Summary!$A76, 'Forces+Stresses'!$A:$A, 0))</f>
        <v>-1813</v>
      </c>
      <c r="N76" s="55">
        <f>IFERROR(INDEX('Forces+Stresses'!Q:Q, MATCH(Summary!$A76, 'Forces+Stresses'!$A:$A, 0)), INDEX(Flexjoints!D:D, MATCH(Summary!$A76, Flexjoints!$A:$A, 0)))</f>
        <v>1.1990000000000001E-9</v>
      </c>
      <c r="O76" s="56">
        <f>IFERROR(INDEX('Forces+Stresses'!R:R, MATCH(Summary!$A76, 'Forces+Stresses'!$A:$A, 0)), INDEX(Flexjoints!E:E, MATCH(Summary!$A76, Flexjoints!$A:$A, 0)))</f>
        <v>7.4109999999999993E-8</v>
      </c>
      <c r="P76" s="33" t="str">
        <f>IF(INDEX(Labels!B:B, MATCH(Summary!$A76, Labels!$A:$A, 0)) = 0, "", INDEX(Labels!B:B, MATCH(Summary!$A76, Labels!$A:$A, 0)))</f>
        <v>{Conductor Soil String}</v>
      </c>
      <c r="Q76" s="35" t="str">
        <f>IF(INDEX(Labels!C:C, MATCH(Summary!$A76, Labels!$A:$A, 0)) = 0, "", INDEX(Labels!C:C, MATCH(Summary!$A76, Labels!$A:$A, 0)))</f>
        <v>{Cond 36x1.5in}</v>
      </c>
      <c r="R76" s="33" t="str">
        <f>IF(INDEX(Labels!D:D, MATCH(Summary!$A76, Labels!$A:$A, 0)) = 0, "", INDEX(Labels!D:D, MATCH(Summary!$A76, Labels!$A:$A, 0)))</f>
        <v/>
      </c>
      <c r="S76" s="35" t="str">
        <f>IF(INDEX(Labels!E:E, MATCH(Summary!$A76, Labels!$A:$A, 0)) = 0, "", INDEX(Labels!E:E, MATCH(Summary!$A76, Labels!$A:$A, 0)))</f>
        <v/>
      </c>
      <c r="T76" s="33" t="str">
        <f>IF(INDEX(Labels!F:F, MATCH(Summary!$A76, Labels!$A:$A, 0)) = 0, "", INDEX(Labels!F:F, MATCH(Summary!$A76, Labels!$A:$A, 0)))</f>
        <v/>
      </c>
      <c r="U76" s="35" t="str">
        <f>IF(INDEX(Labels!G:G, MATCH(Summary!$A76, Labels!$A:$A, 0)) = 0, "", INDEX(Labels!G:G, MATCH(Summary!$A76, Labels!$A:$A, 0)))</f>
        <v/>
      </c>
      <c r="V76" s="62" t="str">
        <f>IF(INDEX(Labels!H:H, MATCH(Summary!$A76, Labels!$A:$A, 0)) = 0, "", INDEX(Labels!H:H, MATCH(Summary!$A76, Labels!$A:$A, 0)))</f>
        <v/>
      </c>
      <c r="W76" t="str">
        <f>IF(INDEX(Labels!I:I, MATCH(Summary!$A76, Labels!$A:$A, 0)) = 0, "", INDEX(Labels!I:I, MATCH(Summary!$A76, Labels!$A:$A, 0)))</f>
        <v/>
      </c>
      <c r="X76" t="str">
        <f>IF(INDEX(Labels!J:J, MATCH(Summary!$A76, Labels!$A:$A, 0)) = 0, "", INDEX(Labels!J:J, MATCH(Summary!$A76, Labels!$A:$A, 0)))</f>
        <v/>
      </c>
    </row>
    <row r="77" spans="1:24" x14ac:dyDescent="0.2">
      <c r="A77" s="33">
        <f>Labels!A78</f>
        <v>71</v>
      </c>
      <c r="B77" s="34">
        <f>INDEX(EchoData!B:B, MATCH(Summary!$A77, EchoData!$A:$A, 0))</f>
        <v>71</v>
      </c>
      <c r="C77" s="35">
        <f>INDEX(EchoData!C:C, MATCH(Summary!$A77, EchoData!$A:$A, 0))</f>
        <v>72</v>
      </c>
      <c r="D77" s="42">
        <f>INDEX(Displacements!B:B, MATCH(Summary!$B77, Displacements!$A:$A, 0))</f>
        <v>-16</v>
      </c>
      <c r="E77" s="43">
        <f>INDEX(Displacements!C:C, MATCH(Summary!$B77, Displacements!$A:$A, 0))</f>
        <v>0</v>
      </c>
      <c r="F77" s="44">
        <f>INDEX(Displacements!D:D, MATCH(Summary!$B77, Displacements!$A:$A, 0))</f>
        <v>0</v>
      </c>
      <c r="G77" s="42">
        <f>INDEX(Displacements!B:B, MATCH(Summary!$C77, Displacements!$A:$A, 0))</f>
        <v>-15.5</v>
      </c>
      <c r="H77" s="43">
        <f>INDEX(Displacements!C:C, MATCH(Summary!$C77, Displacements!$A:$A, 0))</f>
        <v>0</v>
      </c>
      <c r="I77" s="44">
        <f>INDEX(Displacements!D:D, MATCH(Summary!$C77, Displacements!$A:$A, 0))</f>
        <v>0</v>
      </c>
      <c r="J77" s="42">
        <f t="shared" si="2"/>
        <v>0.5</v>
      </c>
      <c r="K77" s="49">
        <f t="shared" si="3"/>
        <v>1</v>
      </c>
      <c r="L77" s="54">
        <f>INDEX('Forces+Stresses'!C:C, MATCH(Summary!$A77, 'Forces+Stresses'!$A:$A, 0))</f>
        <v>-1809</v>
      </c>
      <c r="M77" s="55">
        <f>INDEX('Forces+Stresses'!D:D, MATCH(Summary!$A77, 'Forces+Stresses'!$A:$A, 0))</f>
        <v>-1809</v>
      </c>
      <c r="N77" s="55">
        <f>IFERROR(INDEX('Forces+Stresses'!Q:Q, MATCH(Summary!$A77, 'Forces+Stresses'!$A:$A, 0)), INDEX(Flexjoints!D:D, MATCH(Summary!$A77, Flexjoints!$A:$A, 0)))</f>
        <v>6.3970000000000001E-9</v>
      </c>
      <c r="O77" s="56">
        <f>IFERROR(INDEX('Forces+Stresses'!R:R, MATCH(Summary!$A77, 'Forces+Stresses'!$A:$A, 0)), INDEX(Flexjoints!E:E, MATCH(Summary!$A77, Flexjoints!$A:$A, 0)))</f>
        <v>1.635E-7</v>
      </c>
      <c r="P77" s="33" t="str">
        <f>IF(INDEX(Labels!B:B, MATCH(Summary!$A77, Labels!$A:$A, 0)) = 0, "", INDEX(Labels!B:B, MATCH(Summary!$A77, Labels!$A:$A, 0)))</f>
        <v>{Conductor Soil String}</v>
      </c>
      <c r="Q77" s="35" t="str">
        <f>IF(INDEX(Labels!C:C, MATCH(Summary!$A77, Labels!$A:$A, 0)) = 0, "", INDEX(Labels!C:C, MATCH(Summary!$A77, Labels!$A:$A, 0)))</f>
        <v>{Cond 36x1.5in}</v>
      </c>
      <c r="R77" s="33" t="str">
        <f>IF(INDEX(Labels!D:D, MATCH(Summary!$A77, Labels!$A:$A, 0)) = 0, "", INDEX(Labels!D:D, MATCH(Summary!$A77, Labels!$A:$A, 0)))</f>
        <v/>
      </c>
      <c r="S77" s="35" t="str">
        <f>IF(INDEX(Labels!E:E, MATCH(Summary!$A77, Labels!$A:$A, 0)) = 0, "", INDEX(Labels!E:E, MATCH(Summary!$A77, Labels!$A:$A, 0)))</f>
        <v/>
      </c>
      <c r="T77" s="33" t="str">
        <f>IF(INDEX(Labels!F:F, MATCH(Summary!$A77, Labels!$A:$A, 0)) = 0, "", INDEX(Labels!F:F, MATCH(Summary!$A77, Labels!$A:$A, 0)))</f>
        <v/>
      </c>
      <c r="U77" s="35" t="str">
        <f>IF(INDEX(Labels!G:G, MATCH(Summary!$A77, Labels!$A:$A, 0)) = 0, "", INDEX(Labels!G:G, MATCH(Summary!$A77, Labels!$A:$A, 0)))</f>
        <v/>
      </c>
      <c r="V77" s="62" t="str">
        <f>IF(INDEX(Labels!H:H, MATCH(Summary!$A77, Labels!$A:$A, 0)) = 0, "", INDEX(Labels!H:H, MATCH(Summary!$A77, Labels!$A:$A, 0)))</f>
        <v/>
      </c>
      <c r="W77" t="str">
        <f>IF(INDEX(Labels!I:I, MATCH(Summary!$A77, Labels!$A:$A, 0)) = 0, "", INDEX(Labels!I:I, MATCH(Summary!$A77, Labels!$A:$A, 0)))</f>
        <v/>
      </c>
      <c r="X77" t="str">
        <f>IF(INDEX(Labels!J:J, MATCH(Summary!$A77, Labels!$A:$A, 0)) = 0, "", INDEX(Labels!J:J, MATCH(Summary!$A77, Labels!$A:$A, 0)))</f>
        <v/>
      </c>
    </row>
    <row r="78" spans="1:24" x14ac:dyDescent="0.2">
      <c r="A78" s="33">
        <f>Labels!A79</f>
        <v>72</v>
      </c>
      <c r="B78" s="34">
        <f>INDEX(EchoData!B:B, MATCH(Summary!$A78, EchoData!$A:$A, 0))</f>
        <v>72</v>
      </c>
      <c r="C78" s="35">
        <f>INDEX(EchoData!C:C, MATCH(Summary!$A78, EchoData!$A:$A, 0))</f>
        <v>73</v>
      </c>
      <c r="D78" s="42">
        <f>INDEX(Displacements!B:B, MATCH(Summary!$B78, Displacements!$A:$A, 0))</f>
        <v>-15.5</v>
      </c>
      <c r="E78" s="43">
        <f>INDEX(Displacements!C:C, MATCH(Summary!$B78, Displacements!$A:$A, 0))</f>
        <v>0</v>
      </c>
      <c r="F78" s="44">
        <f>INDEX(Displacements!D:D, MATCH(Summary!$B78, Displacements!$A:$A, 0))</f>
        <v>0</v>
      </c>
      <c r="G78" s="42">
        <f>INDEX(Displacements!B:B, MATCH(Summary!$C78, Displacements!$A:$A, 0))</f>
        <v>-15</v>
      </c>
      <c r="H78" s="43">
        <f>INDEX(Displacements!C:C, MATCH(Summary!$C78, Displacements!$A:$A, 0))</f>
        <v>0</v>
      </c>
      <c r="I78" s="44">
        <f>INDEX(Displacements!D:D, MATCH(Summary!$C78, Displacements!$A:$A, 0))</f>
        <v>0</v>
      </c>
      <c r="J78" s="42">
        <f t="shared" si="2"/>
        <v>0.5</v>
      </c>
      <c r="K78" s="49">
        <f t="shared" si="3"/>
        <v>1</v>
      </c>
      <c r="L78" s="54">
        <f>INDEX('Forces+Stresses'!C:C, MATCH(Summary!$A78, 'Forces+Stresses'!$A:$A, 0))</f>
        <v>-1806</v>
      </c>
      <c r="M78" s="55">
        <f>INDEX('Forces+Stresses'!D:D, MATCH(Summary!$A78, 'Forces+Stresses'!$A:$A, 0))</f>
        <v>-1806</v>
      </c>
      <c r="N78" s="55">
        <f>IFERROR(INDEX('Forces+Stresses'!Q:Q, MATCH(Summary!$A78, 'Forces+Stresses'!$A:$A, 0)), INDEX(Flexjoints!D:D, MATCH(Summary!$A78, Flexjoints!$A:$A, 0)))</f>
        <v>1.5460000000000001E-8</v>
      </c>
      <c r="O78" s="56">
        <f>IFERROR(INDEX('Forces+Stresses'!R:R, MATCH(Summary!$A78, 'Forces+Stresses'!$A:$A, 0)), INDEX(Flexjoints!E:E, MATCH(Summary!$A78, Flexjoints!$A:$A, 0)))</f>
        <v>4.2240000000000002E-7</v>
      </c>
      <c r="P78" s="33" t="str">
        <f>IF(INDEX(Labels!B:B, MATCH(Summary!$A78, Labels!$A:$A, 0)) = 0, "", INDEX(Labels!B:B, MATCH(Summary!$A78, Labels!$A:$A, 0)))</f>
        <v>{Conductor Soil String}</v>
      </c>
      <c r="Q78" s="35" t="str">
        <f>IF(INDEX(Labels!C:C, MATCH(Summary!$A78, Labels!$A:$A, 0)) = 0, "", INDEX(Labels!C:C, MATCH(Summary!$A78, Labels!$A:$A, 0)))</f>
        <v>{Cond 36x1.5in}</v>
      </c>
      <c r="R78" s="33" t="str">
        <f>IF(INDEX(Labels!D:D, MATCH(Summary!$A78, Labels!$A:$A, 0)) = 0, "", INDEX(Labels!D:D, MATCH(Summary!$A78, Labels!$A:$A, 0)))</f>
        <v/>
      </c>
      <c r="S78" s="35" t="str">
        <f>IF(INDEX(Labels!E:E, MATCH(Summary!$A78, Labels!$A:$A, 0)) = 0, "", INDEX(Labels!E:E, MATCH(Summary!$A78, Labels!$A:$A, 0)))</f>
        <v/>
      </c>
      <c r="T78" s="33" t="str">
        <f>IF(INDEX(Labels!F:F, MATCH(Summary!$A78, Labels!$A:$A, 0)) = 0, "", INDEX(Labels!F:F, MATCH(Summary!$A78, Labels!$A:$A, 0)))</f>
        <v/>
      </c>
      <c r="U78" s="35" t="str">
        <f>IF(INDEX(Labels!G:G, MATCH(Summary!$A78, Labels!$A:$A, 0)) = 0, "", INDEX(Labels!G:G, MATCH(Summary!$A78, Labels!$A:$A, 0)))</f>
        <v/>
      </c>
      <c r="V78" s="62" t="str">
        <f>IF(INDEX(Labels!H:H, MATCH(Summary!$A78, Labels!$A:$A, 0)) = 0, "", INDEX(Labels!H:H, MATCH(Summary!$A78, Labels!$A:$A, 0)))</f>
        <v/>
      </c>
      <c r="W78" t="str">
        <f>IF(INDEX(Labels!I:I, MATCH(Summary!$A78, Labels!$A:$A, 0)) = 0, "", INDEX(Labels!I:I, MATCH(Summary!$A78, Labels!$A:$A, 0)))</f>
        <v/>
      </c>
      <c r="X78" t="str">
        <f>IF(INDEX(Labels!J:J, MATCH(Summary!$A78, Labels!$A:$A, 0)) = 0, "", INDEX(Labels!J:J, MATCH(Summary!$A78, Labels!$A:$A, 0)))</f>
        <v/>
      </c>
    </row>
    <row r="79" spans="1:24" x14ac:dyDescent="0.2">
      <c r="A79" s="33">
        <f>Labels!A80</f>
        <v>73</v>
      </c>
      <c r="B79" s="34">
        <f>INDEX(EchoData!B:B, MATCH(Summary!$A79, EchoData!$A:$A, 0))</f>
        <v>73</v>
      </c>
      <c r="C79" s="35">
        <f>INDEX(EchoData!C:C, MATCH(Summary!$A79, EchoData!$A:$A, 0))</f>
        <v>74</v>
      </c>
      <c r="D79" s="42">
        <f>INDEX(Displacements!B:B, MATCH(Summary!$B79, Displacements!$A:$A, 0))</f>
        <v>-15</v>
      </c>
      <c r="E79" s="43">
        <f>INDEX(Displacements!C:C, MATCH(Summary!$B79, Displacements!$A:$A, 0))</f>
        <v>0</v>
      </c>
      <c r="F79" s="44">
        <f>INDEX(Displacements!D:D, MATCH(Summary!$B79, Displacements!$A:$A, 0))</f>
        <v>0</v>
      </c>
      <c r="G79" s="42">
        <f>INDEX(Displacements!B:B, MATCH(Summary!$C79, Displacements!$A:$A, 0))</f>
        <v>-14.5</v>
      </c>
      <c r="H79" s="43">
        <f>INDEX(Displacements!C:C, MATCH(Summary!$C79, Displacements!$A:$A, 0))</f>
        <v>0</v>
      </c>
      <c r="I79" s="44">
        <f>INDEX(Displacements!D:D, MATCH(Summary!$C79, Displacements!$A:$A, 0))</f>
        <v>0</v>
      </c>
      <c r="J79" s="42">
        <f t="shared" si="2"/>
        <v>0.5</v>
      </c>
      <c r="K79" s="49">
        <f t="shared" si="3"/>
        <v>1</v>
      </c>
      <c r="L79" s="54">
        <f>INDEX('Forces+Stresses'!C:C, MATCH(Summary!$A79, 'Forces+Stresses'!$A:$A, 0))</f>
        <v>-1802</v>
      </c>
      <c r="M79" s="55">
        <f>INDEX('Forces+Stresses'!D:D, MATCH(Summary!$A79, 'Forces+Stresses'!$A:$A, 0))</f>
        <v>-1802</v>
      </c>
      <c r="N79" s="55">
        <f>IFERROR(INDEX('Forces+Stresses'!Q:Q, MATCH(Summary!$A79, 'Forces+Stresses'!$A:$A, 0)), INDEX(Flexjoints!D:D, MATCH(Summary!$A79, Flexjoints!$A:$A, 0)))</f>
        <v>2.365E-8</v>
      </c>
      <c r="O79" s="56">
        <f>IFERROR(INDEX('Forces+Stresses'!R:R, MATCH(Summary!$A79, 'Forces+Stresses'!$A:$A, 0)), INDEX(Flexjoints!E:E, MATCH(Summary!$A79, Flexjoints!$A:$A, 0)))</f>
        <v>7.0879999999999999E-7</v>
      </c>
      <c r="P79" s="33" t="str">
        <f>IF(INDEX(Labels!B:B, MATCH(Summary!$A79, Labels!$A:$A, 0)) = 0, "", INDEX(Labels!B:B, MATCH(Summary!$A79, Labels!$A:$A, 0)))</f>
        <v>{Conductor Soil String}</v>
      </c>
      <c r="Q79" s="35" t="str">
        <f>IF(INDEX(Labels!C:C, MATCH(Summary!$A79, Labels!$A:$A, 0)) = 0, "", INDEX(Labels!C:C, MATCH(Summary!$A79, Labels!$A:$A, 0)))</f>
        <v>{Cond 36x1.5in}</v>
      </c>
      <c r="R79" s="33" t="str">
        <f>IF(INDEX(Labels!D:D, MATCH(Summary!$A79, Labels!$A:$A, 0)) = 0, "", INDEX(Labels!D:D, MATCH(Summary!$A79, Labels!$A:$A, 0)))</f>
        <v/>
      </c>
      <c r="S79" s="35" t="str">
        <f>IF(INDEX(Labels!E:E, MATCH(Summary!$A79, Labels!$A:$A, 0)) = 0, "", INDEX(Labels!E:E, MATCH(Summary!$A79, Labels!$A:$A, 0)))</f>
        <v/>
      </c>
      <c r="T79" s="33" t="str">
        <f>IF(INDEX(Labels!F:F, MATCH(Summary!$A79, Labels!$A:$A, 0)) = 0, "", INDEX(Labels!F:F, MATCH(Summary!$A79, Labels!$A:$A, 0)))</f>
        <v/>
      </c>
      <c r="U79" s="35" t="str">
        <f>IF(INDEX(Labels!G:G, MATCH(Summary!$A79, Labels!$A:$A, 0)) = 0, "", INDEX(Labels!G:G, MATCH(Summary!$A79, Labels!$A:$A, 0)))</f>
        <v/>
      </c>
      <c r="V79" s="62" t="str">
        <f>IF(INDEX(Labels!H:H, MATCH(Summary!$A79, Labels!$A:$A, 0)) = 0, "", INDEX(Labels!H:H, MATCH(Summary!$A79, Labels!$A:$A, 0)))</f>
        <v/>
      </c>
      <c r="W79" t="str">
        <f>IF(INDEX(Labels!I:I, MATCH(Summary!$A79, Labels!$A:$A, 0)) = 0, "", INDEX(Labels!I:I, MATCH(Summary!$A79, Labels!$A:$A, 0)))</f>
        <v/>
      </c>
      <c r="X79" t="str">
        <f>IF(INDEX(Labels!J:J, MATCH(Summary!$A79, Labels!$A:$A, 0)) = 0, "", INDEX(Labels!J:J, MATCH(Summary!$A79, Labels!$A:$A, 0)))</f>
        <v/>
      </c>
    </row>
    <row r="80" spans="1:24" x14ac:dyDescent="0.2">
      <c r="A80" s="33">
        <f>Labels!A81</f>
        <v>74</v>
      </c>
      <c r="B80" s="34">
        <f>INDEX(EchoData!B:B, MATCH(Summary!$A80, EchoData!$A:$A, 0))</f>
        <v>74</v>
      </c>
      <c r="C80" s="35">
        <f>INDEX(EchoData!C:C, MATCH(Summary!$A80, EchoData!$A:$A, 0))</f>
        <v>75</v>
      </c>
      <c r="D80" s="42">
        <f>INDEX(Displacements!B:B, MATCH(Summary!$B80, Displacements!$A:$A, 0))</f>
        <v>-14.5</v>
      </c>
      <c r="E80" s="43">
        <f>INDEX(Displacements!C:C, MATCH(Summary!$B80, Displacements!$A:$A, 0))</f>
        <v>0</v>
      </c>
      <c r="F80" s="44">
        <f>INDEX(Displacements!D:D, MATCH(Summary!$B80, Displacements!$A:$A, 0))</f>
        <v>0</v>
      </c>
      <c r="G80" s="42">
        <f>INDEX(Displacements!B:B, MATCH(Summary!$C80, Displacements!$A:$A, 0))</f>
        <v>-14</v>
      </c>
      <c r="H80" s="43">
        <f>INDEX(Displacements!C:C, MATCH(Summary!$C80, Displacements!$A:$A, 0))</f>
        <v>0</v>
      </c>
      <c r="I80" s="44">
        <f>INDEX(Displacements!D:D, MATCH(Summary!$C80, Displacements!$A:$A, 0))</f>
        <v>0</v>
      </c>
      <c r="J80" s="42">
        <f t="shared" si="2"/>
        <v>0.5</v>
      </c>
      <c r="K80" s="49">
        <f t="shared" si="3"/>
        <v>1</v>
      </c>
      <c r="L80" s="54">
        <f>INDEX('Forces+Stresses'!C:C, MATCH(Summary!$A80, 'Forces+Stresses'!$A:$A, 0))</f>
        <v>-1799</v>
      </c>
      <c r="M80" s="55">
        <f>INDEX('Forces+Stresses'!D:D, MATCH(Summary!$A80, 'Forces+Stresses'!$A:$A, 0))</f>
        <v>-1799</v>
      </c>
      <c r="N80" s="55">
        <f>IFERROR(INDEX('Forces+Stresses'!Q:Q, MATCH(Summary!$A80, 'Forces+Stresses'!$A:$A, 0)), INDEX(Flexjoints!D:D, MATCH(Summary!$A80, Flexjoints!$A:$A, 0)))</f>
        <v>3.2580000000000005E-8</v>
      </c>
      <c r="O80" s="56">
        <f>IFERROR(INDEX('Forces+Stresses'!R:R, MATCH(Summary!$A80, 'Forces+Stresses'!$A:$A, 0)), INDEX(Flexjoints!E:E, MATCH(Summary!$A80, Flexjoints!$A:$A, 0)))</f>
        <v>1.0219999999999999E-6</v>
      </c>
      <c r="P80" s="33" t="str">
        <f>IF(INDEX(Labels!B:B, MATCH(Summary!$A80, Labels!$A:$A, 0)) = 0, "", INDEX(Labels!B:B, MATCH(Summary!$A80, Labels!$A:$A, 0)))</f>
        <v>{Conductor Soil String}</v>
      </c>
      <c r="Q80" s="35" t="str">
        <f>IF(INDEX(Labels!C:C, MATCH(Summary!$A80, Labels!$A:$A, 0)) = 0, "", INDEX(Labels!C:C, MATCH(Summary!$A80, Labels!$A:$A, 0)))</f>
        <v>{Cond 36x1.5in}</v>
      </c>
      <c r="R80" s="33" t="str">
        <f>IF(INDEX(Labels!D:D, MATCH(Summary!$A80, Labels!$A:$A, 0)) = 0, "", INDEX(Labels!D:D, MATCH(Summary!$A80, Labels!$A:$A, 0)))</f>
        <v/>
      </c>
      <c r="S80" s="35" t="str">
        <f>IF(INDEX(Labels!E:E, MATCH(Summary!$A80, Labels!$A:$A, 0)) = 0, "", INDEX(Labels!E:E, MATCH(Summary!$A80, Labels!$A:$A, 0)))</f>
        <v/>
      </c>
      <c r="T80" s="33" t="str">
        <f>IF(INDEX(Labels!F:F, MATCH(Summary!$A80, Labels!$A:$A, 0)) = 0, "", INDEX(Labels!F:F, MATCH(Summary!$A80, Labels!$A:$A, 0)))</f>
        <v/>
      </c>
      <c r="U80" s="35" t="str">
        <f>IF(INDEX(Labels!G:G, MATCH(Summary!$A80, Labels!$A:$A, 0)) = 0, "", INDEX(Labels!G:G, MATCH(Summary!$A80, Labels!$A:$A, 0)))</f>
        <v/>
      </c>
      <c r="V80" s="62" t="str">
        <f>IF(INDEX(Labels!H:H, MATCH(Summary!$A80, Labels!$A:$A, 0)) = 0, "", INDEX(Labels!H:H, MATCH(Summary!$A80, Labels!$A:$A, 0)))</f>
        <v/>
      </c>
      <c r="W80" t="str">
        <f>IF(INDEX(Labels!I:I, MATCH(Summary!$A80, Labels!$A:$A, 0)) = 0, "", INDEX(Labels!I:I, MATCH(Summary!$A80, Labels!$A:$A, 0)))</f>
        <v/>
      </c>
      <c r="X80" t="str">
        <f>IF(INDEX(Labels!J:J, MATCH(Summary!$A80, Labels!$A:$A, 0)) = 0, "", INDEX(Labels!J:J, MATCH(Summary!$A80, Labels!$A:$A, 0)))</f>
        <v/>
      </c>
    </row>
    <row r="81" spans="1:24" x14ac:dyDescent="0.2">
      <c r="A81" s="33">
        <f>Labels!A82</f>
        <v>75</v>
      </c>
      <c r="B81" s="34">
        <f>INDEX(EchoData!B:B, MATCH(Summary!$A81, EchoData!$A:$A, 0))</f>
        <v>75</v>
      </c>
      <c r="C81" s="35">
        <f>INDEX(EchoData!C:C, MATCH(Summary!$A81, EchoData!$A:$A, 0))</f>
        <v>76</v>
      </c>
      <c r="D81" s="42">
        <f>INDEX(Displacements!B:B, MATCH(Summary!$B81, Displacements!$A:$A, 0))</f>
        <v>-14</v>
      </c>
      <c r="E81" s="43">
        <f>INDEX(Displacements!C:C, MATCH(Summary!$B81, Displacements!$A:$A, 0))</f>
        <v>0</v>
      </c>
      <c r="F81" s="44">
        <f>INDEX(Displacements!D:D, MATCH(Summary!$B81, Displacements!$A:$A, 0))</f>
        <v>0</v>
      </c>
      <c r="G81" s="42">
        <f>INDEX(Displacements!B:B, MATCH(Summary!$C81, Displacements!$A:$A, 0))</f>
        <v>-13.5</v>
      </c>
      <c r="H81" s="43">
        <f>INDEX(Displacements!C:C, MATCH(Summary!$C81, Displacements!$A:$A, 0))</f>
        <v>0</v>
      </c>
      <c r="I81" s="44">
        <f>INDEX(Displacements!D:D, MATCH(Summary!$C81, Displacements!$A:$A, 0))</f>
        <v>0</v>
      </c>
      <c r="J81" s="42">
        <f t="shared" si="2"/>
        <v>0.5</v>
      </c>
      <c r="K81" s="49">
        <f t="shared" si="3"/>
        <v>1</v>
      </c>
      <c r="L81" s="54">
        <f>INDEX('Forces+Stresses'!C:C, MATCH(Summary!$A81, 'Forces+Stresses'!$A:$A, 0))</f>
        <v>-1795</v>
      </c>
      <c r="M81" s="55">
        <f>INDEX('Forces+Stresses'!D:D, MATCH(Summary!$A81, 'Forces+Stresses'!$A:$A, 0))</f>
        <v>-1795</v>
      </c>
      <c r="N81" s="55">
        <f>IFERROR(INDEX('Forces+Stresses'!Q:Q, MATCH(Summary!$A81, 'Forces+Stresses'!$A:$A, 0)), INDEX(Flexjoints!D:D, MATCH(Summary!$A81, Flexjoints!$A:$A, 0)))</f>
        <v>4.2259999999999996E-8</v>
      </c>
      <c r="O81" s="56">
        <f>IFERROR(INDEX('Forces+Stresses'!R:R, MATCH(Summary!$A81, 'Forces+Stresses'!$A:$A, 0)), INDEX(Flexjoints!E:E, MATCH(Summary!$A81, Flexjoints!$A:$A, 0)))</f>
        <v>1.361E-6</v>
      </c>
      <c r="P81" s="33" t="str">
        <f>IF(INDEX(Labels!B:B, MATCH(Summary!$A81, Labels!$A:$A, 0)) = 0, "", INDEX(Labels!B:B, MATCH(Summary!$A81, Labels!$A:$A, 0)))</f>
        <v>{Conductor Soil String}</v>
      </c>
      <c r="Q81" s="35" t="str">
        <f>IF(INDEX(Labels!C:C, MATCH(Summary!$A81, Labels!$A:$A, 0)) = 0, "", INDEX(Labels!C:C, MATCH(Summary!$A81, Labels!$A:$A, 0)))</f>
        <v>{Cond 36x1.5in}</v>
      </c>
      <c r="R81" s="33" t="str">
        <f>IF(INDEX(Labels!D:D, MATCH(Summary!$A81, Labels!$A:$A, 0)) = 0, "", INDEX(Labels!D:D, MATCH(Summary!$A81, Labels!$A:$A, 0)))</f>
        <v/>
      </c>
      <c r="S81" s="35" t="str">
        <f>IF(INDEX(Labels!E:E, MATCH(Summary!$A81, Labels!$A:$A, 0)) = 0, "", INDEX(Labels!E:E, MATCH(Summary!$A81, Labels!$A:$A, 0)))</f>
        <v/>
      </c>
      <c r="T81" s="33" t="str">
        <f>IF(INDEX(Labels!F:F, MATCH(Summary!$A81, Labels!$A:$A, 0)) = 0, "", INDEX(Labels!F:F, MATCH(Summary!$A81, Labels!$A:$A, 0)))</f>
        <v/>
      </c>
      <c r="U81" s="35" t="str">
        <f>IF(INDEX(Labels!G:G, MATCH(Summary!$A81, Labels!$A:$A, 0)) = 0, "", INDEX(Labels!G:G, MATCH(Summary!$A81, Labels!$A:$A, 0)))</f>
        <v/>
      </c>
      <c r="V81" s="62" t="str">
        <f>IF(INDEX(Labels!H:H, MATCH(Summary!$A81, Labels!$A:$A, 0)) = 0, "", INDEX(Labels!H:H, MATCH(Summary!$A81, Labels!$A:$A, 0)))</f>
        <v/>
      </c>
      <c r="W81" t="str">
        <f>IF(INDEX(Labels!I:I, MATCH(Summary!$A81, Labels!$A:$A, 0)) = 0, "", INDEX(Labels!I:I, MATCH(Summary!$A81, Labels!$A:$A, 0)))</f>
        <v/>
      </c>
      <c r="X81" t="str">
        <f>IF(INDEX(Labels!J:J, MATCH(Summary!$A81, Labels!$A:$A, 0)) = 0, "", INDEX(Labels!J:J, MATCH(Summary!$A81, Labels!$A:$A, 0)))</f>
        <v/>
      </c>
    </row>
    <row r="82" spans="1:24" x14ac:dyDescent="0.2">
      <c r="A82" s="33">
        <f>Labels!A83</f>
        <v>76</v>
      </c>
      <c r="B82" s="34">
        <f>INDEX(EchoData!B:B, MATCH(Summary!$A82, EchoData!$A:$A, 0))</f>
        <v>76</v>
      </c>
      <c r="C82" s="35">
        <f>INDEX(EchoData!C:C, MATCH(Summary!$A82, EchoData!$A:$A, 0))</f>
        <v>77</v>
      </c>
      <c r="D82" s="42">
        <f>INDEX(Displacements!B:B, MATCH(Summary!$B82, Displacements!$A:$A, 0))</f>
        <v>-13.5</v>
      </c>
      <c r="E82" s="43">
        <f>INDEX(Displacements!C:C, MATCH(Summary!$B82, Displacements!$A:$A, 0))</f>
        <v>0</v>
      </c>
      <c r="F82" s="44">
        <f>INDEX(Displacements!D:D, MATCH(Summary!$B82, Displacements!$A:$A, 0))</f>
        <v>0</v>
      </c>
      <c r="G82" s="42">
        <f>INDEX(Displacements!B:B, MATCH(Summary!$C82, Displacements!$A:$A, 0))</f>
        <v>-13</v>
      </c>
      <c r="H82" s="43">
        <f>INDEX(Displacements!C:C, MATCH(Summary!$C82, Displacements!$A:$A, 0))</f>
        <v>0</v>
      </c>
      <c r="I82" s="44">
        <f>INDEX(Displacements!D:D, MATCH(Summary!$C82, Displacements!$A:$A, 0))</f>
        <v>0</v>
      </c>
      <c r="J82" s="42">
        <f t="shared" si="2"/>
        <v>0.5</v>
      </c>
      <c r="K82" s="49">
        <f t="shared" si="3"/>
        <v>1</v>
      </c>
      <c r="L82" s="54">
        <f>INDEX('Forces+Stresses'!C:C, MATCH(Summary!$A82, 'Forces+Stresses'!$A:$A, 0))</f>
        <v>-1792</v>
      </c>
      <c r="M82" s="55">
        <f>INDEX('Forces+Stresses'!D:D, MATCH(Summary!$A82, 'Forces+Stresses'!$A:$A, 0))</f>
        <v>-1792</v>
      </c>
      <c r="N82" s="55">
        <f>IFERROR(INDEX('Forces+Stresses'!Q:Q, MATCH(Summary!$A82, 'Forces+Stresses'!$A:$A, 0)), INDEX(Flexjoints!D:D, MATCH(Summary!$A82, Flexjoints!$A:$A, 0)))</f>
        <v>5.2660000000000003E-8</v>
      </c>
      <c r="O82" s="56">
        <f>IFERROR(INDEX('Forces+Stresses'!R:R, MATCH(Summary!$A82, 'Forces+Stresses'!$A:$A, 0)), INDEX(Flexjoints!E:E, MATCH(Summary!$A82, Flexjoints!$A:$A, 0)))</f>
        <v>1.7269999999999999E-6</v>
      </c>
      <c r="P82" s="33" t="str">
        <f>IF(INDEX(Labels!B:B, MATCH(Summary!$A82, Labels!$A:$A, 0)) = 0, "", INDEX(Labels!B:B, MATCH(Summary!$A82, Labels!$A:$A, 0)))</f>
        <v>{Conductor Soil String}</v>
      </c>
      <c r="Q82" s="35" t="str">
        <f>IF(INDEX(Labels!C:C, MATCH(Summary!$A82, Labels!$A:$A, 0)) = 0, "", INDEX(Labels!C:C, MATCH(Summary!$A82, Labels!$A:$A, 0)))</f>
        <v>{Cond 36x1.5in}</v>
      </c>
      <c r="R82" s="33" t="str">
        <f>IF(INDEX(Labels!D:D, MATCH(Summary!$A82, Labels!$A:$A, 0)) = 0, "", INDEX(Labels!D:D, MATCH(Summary!$A82, Labels!$A:$A, 0)))</f>
        <v/>
      </c>
      <c r="S82" s="35" t="str">
        <f>IF(INDEX(Labels!E:E, MATCH(Summary!$A82, Labels!$A:$A, 0)) = 0, "", INDEX(Labels!E:E, MATCH(Summary!$A82, Labels!$A:$A, 0)))</f>
        <v/>
      </c>
      <c r="T82" s="33" t="str">
        <f>IF(INDEX(Labels!F:F, MATCH(Summary!$A82, Labels!$A:$A, 0)) = 0, "", INDEX(Labels!F:F, MATCH(Summary!$A82, Labels!$A:$A, 0)))</f>
        <v/>
      </c>
      <c r="U82" s="35" t="str">
        <f>IF(INDEX(Labels!G:G, MATCH(Summary!$A82, Labels!$A:$A, 0)) = 0, "", INDEX(Labels!G:G, MATCH(Summary!$A82, Labels!$A:$A, 0)))</f>
        <v/>
      </c>
      <c r="V82" s="62" t="str">
        <f>IF(INDEX(Labels!H:H, MATCH(Summary!$A82, Labels!$A:$A, 0)) = 0, "", INDEX(Labels!H:H, MATCH(Summary!$A82, Labels!$A:$A, 0)))</f>
        <v/>
      </c>
      <c r="W82" t="str">
        <f>IF(INDEX(Labels!I:I, MATCH(Summary!$A82, Labels!$A:$A, 0)) = 0, "", INDEX(Labels!I:I, MATCH(Summary!$A82, Labels!$A:$A, 0)))</f>
        <v/>
      </c>
      <c r="X82" t="str">
        <f>IF(INDEX(Labels!J:J, MATCH(Summary!$A82, Labels!$A:$A, 0)) = 0, "", INDEX(Labels!J:J, MATCH(Summary!$A82, Labels!$A:$A, 0)))</f>
        <v/>
      </c>
    </row>
    <row r="83" spans="1:24" x14ac:dyDescent="0.2">
      <c r="A83" s="33">
        <f>Labels!A84</f>
        <v>77</v>
      </c>
      <c r="B83" s="34">
        <f>INDEX(EchoData!B:B, MATCH(Summary!$A83, EchoData!$A:$A, 0))</f>
        <v>77</v>
      </c>
      <c r="C83" s="35">
        <f>INDEX(EchoData!C:C, MATCH(Summary!$A83, EchoData!$A:$A, 0))</f>
        <v>78</v>
      </c>
      <c r="D83" s="42">
        <f>INDEX(Displacements!B:B, MATCH(Summary!$B83, Displacements!$A:$A, 0))</f>
        <v>-13</v>
      </c>
      <c r="E83" s="43">
        <f>INDEX(Displacements!C:C, MATCH(Summary!$B83, Displacements!$A:$A, 0))</f>
        <v>0</v>
      </c>
      <c r="F83" s="44">
        <f>INDEX(Displacements!D:D, MATCH(Summary!$B83, Displacements!$A:$A, 0))</f>
        <v>0</v>
      </c>
      <c r="G83" s="42">
        <f>INDEX(Displacements!B:B, MATCH(Summary!$C83, Displacements!$A:$A, 0))</f>
        <v>-12.5</v>
      </c>
      <c r="H83" s="43">
        <f>INDEX(Displacements!C:C, MATCH(Summary!$C83, Displacements!$A:$A, 0))</f>
        <v>0</v>
      </c>
      <c r="I83" s="44">
        <f>INDEX(Displacements!D:D, MATCH(Summary!$C83, Displacements!$A:$A, 0))</f>
        <v>0</v>
      </c>
      <c r="J83" s="42">
        <f t="shared" si="2"/>
        <v>0.5</v>
      </c>
      <c r="K83" s="49">
        <f t="shared" si="3"/>
        <v>1</v>
      </c>
      <c r="L83" s="54">
        <f>INDEX('Forces+Stresses'!C:C, MATCH(Summary!$A83, 'Forces+Stresses'!$A:$A, 0))</f>
        <v>-1788</v>
      </c>
      <c r="M83" s="55">
        <f>INDEX('Forces+Stresses'!D:D, MATCH(Summary!$A83, 'Forces+Stresses'!$A:$A, 0))</f>
        <v>-1788</v>
      </c>
      <c r="N83" s="55">
        <f>IFERROR(INDEX('Forces+Stresses'!Q:Q, MATCH(Summary!$A83, 'Forces+Stresses'!$A:$A, 0)), INDEX(Flexjoints!D:D, MATCH(Summary!$A83, Flexjoints!$A:$A, 0)))</f>
        <v>6.381E-8</v>
      </c>
      <c r="O83" s="56">
        <f>IFERROR(INDEX('Forces+Stresses'!R:R, MATCH(Summary!$A83, 'Forces+Stresses'!$A:$A, 0)), INDEX(Flexjoints!E:E, MATCH(Summary!$A83, Flexjoints!$A:$A, 0)))</f>
        <v>2.12E-6</v>
      </c>
      <c r="P83" s="33" t="str">
        <f>IF(INDEX(Labels!B:B, MATCH(Summary!$A83, Labels!$A:$A, 0)) = 0, "", INDEX(Labels!B:B, MATCH(Summary!$A83, Labels!$A:$A, 0)))</f>
        <v>{Conductor Soil String}</v>
      </c>
      <c r="Q83" s="35" t="str">
        <f>IF(INDEX(Labels!C:C, MATCH(Summary!$A83, Labels!$A:$A, 0)) = 0, "", INDEX(Labels!C:C, MATCH(Summary!$A83, Labels!$A:$A, 0)))</f>
        <v>{Cond 36x1.5in}</v>
      </c>
      <c r="R83" s="33" t="str">
        <f>IF(INDEX(Labels!D:D, MATCH(Summary!$A83, Labels!$A:$A, 0)) = 0, "", INDEX(Labels!D:D, MATCH(Summary!$A83, Labels!$A:$A, 0)))</f>
        <v/>
      </c>
      <c r="S83" s="35" t="str">
        <f>IF(INDEX(Labels!E:E, MATCH(Summary!$A83, Labels!$A:$A, 0)) = 0, "", INDEX(Labels!E:E, MATCH(Summary!$A83, Labels!$A:$A, 0)))</f>
        <v/>
      </c>
      <c r="T83" s="33" t="str">
        <f>IF(INDEX(Labels!F:F, MATCH(Summary!$A83, Labels!$A:$A, 0)) = 0, "", INDEX(Labels!F:F, MATCH(Summary!$A83, Labels!$A:$A, 0)))</f>
        <v/>
      </c>
      <c r="U83" s="35" t="str">
        <f>IF(INDEX(Labels!G:G, MATCH(Summary!$A83, Labels!$A:$A, 0)) = 0, "", INDEX(Labels!G:G, MATCH(Summary!$A83, Labels!$A:$A, 0)))</f>
        <v/>
      </c>
      <c r="V83" s="62" t="str">
        <f>IF(INDEX(Labels!H:H, MATCH(Summary!$A83, Labels!$A:$A, 0)) = 0, "", INDEX(Labels!H:H, MATCH(Summary!$A83, Labels!$A:$A, 0)))</f>
        <v/>
      </c>
      <c r="W83" t="str">
        <f>IF(INDEX(Labels!I:I, MATCH(Summary!$A83, Labels!$A:$A, 0)) = 0, "", INDEX(Labels!I:I, MATCH(Summary!$A83, Labels!$A:$A, 0)))</f>
        <v/>
      </c>
      <c r="X83" t="str">
        <f>IF(INDEX(Labels!J:J, MATCH(Summary!$A83, Labels!$A:$A, 0)) = 0, "", INDEX(Labels!J:J, MATCH(Summary!$A83, Labels!$A:$A, 0)))</f>
        <v/>
      </c>
    </row>
    <row r="84" spans="1:24" x14ac:dyDescent="0.2">
      <c r="A84" s="33">
        <f>Labels!A85</f>
        <v>78</v>
      </c>
      <c r="B84" s="34">
        <f>INDEX(EchoData!B:B, MATCH(Summary!$A84, EchoData!$A:$A, 0))</f>
        <v>78</v>
      </c>
      <c r="C84" s="35">
        <f>INDEX(EchoData!C:C, MATCH(Summary!$A84, EchoData!$A:$A, 0))</f>
        <v>79</v>
      </c>
      <c r="D84" s="42">
        <f>INDEX(Displacements!B:B, MATCH(Summary!$B84, Displacements!$A:$A, 0))</f>
        <v>-12.5</v>
      </c>
      <c r="E84" s="43">
        <f>INDEX(Displacements!C:C, MATCH(Summary!$B84, Displacements!$A:$A, 0))</f>
        <v>0</v>
      </c>
      <c r="F84" s="44">
        <f>INDEX(Displacements!D:D, MATCH(Summary!$B84, Displacements!$A:$A, 0))</f>
        <v>0</v>
      </c>
      <c r="G84" s="42">
        <f>INDEX(Displacements!B:B, MATCH(Summary!$C84, Displacements!$A:$A, 0))</f>
        <v>-12</v>
      </c>
      <c r="H84" s="43">
        <f>INDEX(Displacements!C:C, MATCH(Summary!$C84, Displacements!$A:$A, 0))</f>
        <v>0</v>
      </c>
      <c r="I84" s="44">
        <f>INDEX(Displacements!D:D, MATCH(Summary!$C84, Displacements!$A:$A, 0))</f>
        <v>0</v>
      </c>
      <c r="J84" s="42">
        <f t="shared" si="2"/>
        <v>0.5</v>
      </c>
      <c r="K84" s="49">
        <f t="shared" si="3"/>
        <v>1</v>
      </c>
      <c r="L84" s="54">
        <f>INDEX('Forces+Stresses'!C:C, MATCH(Summary!$A84, 'Forces+Stresses'!$A:$A, 0))</f>
        <v>-1785</v>
      </c>
      <c r="M84" s="55">
        <f>INDEX('Forces+Stresses'!D:D, MATCH(Summary!$A84, 'Forces+Stresses'!$A:$A, 0))</f>
        <v>-1785</v>
      </c>
      <c r="N84" s="55">
        <f>IFERROR(INDEX('Forces+Stresses'!Q:Q, MATCH(Summary!$A84, 'Forces+Stresses'!$A:$A, 0)), INDEX(Flexjoints!D:D, MATCH(Summary!$A84, Flexjoints!$A:$A, 0)))</f>
        <v>7.5710000000000008E-8</v>
      </c>
      <c r="O84" s="56">
        <f>IFERROR(INDEX('Forces+Stresses'!R:R, MATCH(Summary!$A84, 'Forces+Stresses'!$A:$A, 0)), INDEX(Flexjoints!E:E, MATCH(Summary!$A84, Flexjoints!$A:$A, 0)))</f>
        <v>2.5409999999999999E-6</v>
      </c>
      <c r="P84" s="33" t="str">
        <f>IF(INDEX(Labels!B:B, MATCH(Summary!$A84, Labels!$A:$A, 0)) = 0, "", INDEX(Labels!B:B, MATCH(Summary!$A84, Labels!$A:$A, 0)))</f>
        <v>{Conductor Soil String}</v>
      </c>
      <c r="Q84" s="35" t="str">
        <f>IF(INDEX(Labels!C:C, MATCH(Summary!$A84, Labels!$A:$A, 0)) = 0, "", INDEX(Labels!C:C, MATCH(Summary!$A84, Labels!$A:$A, 0)))</f>
        <v>{Cond 36x1.5in}</v>
      </c>
      <c r="R84" s="33" t="str">
        <f>IF(INDEX(Labels!D:D, MATCH(Summary!$A84, Labels!$A:$A, 0)) = 0, "", INDEX(Labels!D:D, MATCH(Summary!$A84, Labels!$A:$A, 0)))</f>
        <v/>
      </c>
      <c r="S84" s="35" t="str">
        <f>IF(INDEX(Labels!E:E, MATCH(Summary!$A84, Labels!$A:$A, 0)) = 0, "", INDEX(Labels!E:E, MATCH(Summary!$A84, Labels!$A:$A, 0)))</f>
        <v/>
      </c>
      <c r="T84" s="33" t="str">
        <f>IF(INDEX(Labels!F:F, MATCH(Summary!$A84, Labels!$A:$A, 0)) = 0, "", INDEX(Labels!F:F, MATCH(Summary!$A84, Labels!$A:$A, 0)))</f>
        <v/>
      </c>
      <c r="U84" s="35" t="str">
        <f>IF(INDEX(Labels!G:G, MATCH(Summary!$A84, Labels!$A:$A, 0)) = 0, "", INDEX(Labels!G:G, MATCH(Summary!$A84, Labels!$A:$A, 0)))</f>
        <v/>
      </c>
      <c r="V84" s="62" t="str">
        <f>IF(INDEX(Labels!H:H, MATCH(Summary!$A84, Labels!$A:$A, 0)) = 0, "", INDEX(Labels!H:H, MATCH(Summary!$A84, Labels!$A:$A, 0)))</f>
        <v/>
      </c>
      <c r="W84" t="str">
        <f>IF(INDEX(Labels!I:I, MATCH(Summary!$A84, Labels!$A:$A, 0)) = 0, "", INDEX(Labels!I:I, MATCH(Summary!$A84, Labels!$A:$A, 0)))</f>
        <v/>
      </c>
      <c r="X84" t="str">
        <f>IF(INDEX(Labels!J:J, MATCH(Summary!$A84, Labels!$A:$A, 0)) = 0, "", INDEX(Labels!J:J, MATCH(Summary!$A84, Labels!$A:$A, 0)))</f>
        <v/>
      </c>
    </row>
    <row r="85" spans="1:24" x14ac:dyDescent="0.2">
      <c r="A85" s="33">
        <f>Labels!A86</f>
        <v>79</v>
      </c>
      <c r="B85" s="34">
        <f>INDEX(EchoData!B:B, MATCH(Summary!$A85, EchoData!$A:$A, 0))</f>
        <v>79</v>
      </c>
      <c r="C85" s="35">
        <f>INDEX(EchoData!C:C, MATCH(Summary!$A85, EchoData!$A:$A, 0))</f>
        <v>80</v>
      </c>
      <c r="D85" s="42">
        <f>INDEX(Displacements!B:B, MATCH(Summary!$B85, Displacements!$A:$A, 0))</f>
        <v>-12</v>
      </c>
      <c r="E85" s="43">
        <f>INDEX(Displacements!C:C, MATCH(Summary!$B85, Displacements!$A:$A, 0))</f>
        <v>0</v>
      </c>
      <c r="F85" s="44">
        <f>INDEX(Displacements!D:D, MATCH(Summary!$B85, Displacements!$A:$A, 0))</f>
        <v>0</v>
      </c>
      <c r="G85" s="42">
        <f>INDEX(Displacements!B:B, MATCH(Summary!$C85, Displacements!$A:$A, 0))</f>
        <v>-11.699</v>
      </c>
      <c r="H85" s="43">
        <f>INDEX(Displacements!C:C, MATCH(Summary!$C85, Displacements!$A:$A, 0))</f>
        <v>0</v>
      </c>
      <c r="I85" s="44">
        <f>INDEX(Displacements!D:D, MATCH(Summary!$C85, Displacements!$A:$A, 0))</f>
        <v>0</v>
      </c>
      <c r="J85" s="42">
        <f t="shared" si="2"/>
        <v>0.30100000000000016</v>
      </c>
      <c r="K85" s="49">
        <f t="shared" si="3"/>
        <v>0.60200000000000031</v>
      </c>
      <c r="L85" s="54">
        <f>INDEX('Forces+Stresses'!C:C, MATCH(Summary!$A85, 'Forces+Stresses'!$A:$A, 0))</f>
        <v>-1781</v>
      </c>
      <c r="M85" s="55">
        <f>INDEX('Forces+Stresses'!D:D, MATCH(Summary!$A85, 'Forces+Stresses'!$A:$A, 0))</f>
        <v>-1781</v>
      </c>
      <c r="N85" s="55">
        <f>IFERROR(INDEX('Forces+Stresses'!Q:Q, MATCH(Summary!$A85, 'Forces+Stresses'!$A:$A, 0)), INDEX(Flexjoints!D:D, MATCH(Summary!$A85, Flexjoints!$A:$A, 0)))</f>
        <v>8.8280000000000007E-8</v>
      </c>
      <c r="O85" s="56">
        <f>IFERROR(INDEX('Forces+Stresses'!R:R, MATCH(Summary!$A85, 'Forces+Stresses'!$A:$A, 0)), INDEX(Flexjoints!E:E, MATCH(Summary!$A85, Flexjoints!$A:$A, 0)))</f>
        <v>2.9859999999999999E-6</v>
      </c>
      <c r="P85" s="33" t="str">
        <f>IF(INDEX(Labels!B:B, MATCH(Summary!$A85, Labels!$A:$A, 0)) = 0, "", INDEX(Labels!B:B, MATCH(Summary!$A85, Labels!$A:$A, 0)))</f>
        <v>{Conductor Soil String}</v>
      </c>
      <c r="Q85" s="35" t="str">
        <f>IF(INDEX(Labels!C:C, MATCH(Summary!$A85, Labels!$A:$A, 0)) = 0, "", INDEX(Labels!C:C, MATCH(Summary!$A85, Labels!$A:$A, 0)))</f>
        <v>{Cond 36x1.5in}</v>
      </c>
      <c r="R85" s="33" t="str">
        <f>IF(INDEX(Labels!D:D, MATCH(Summary!$A85, Labels!$A:$A, 0)) = 0, "", INDEX(Labels!D:D, MATCH(Summary!$A85, Labels!$A:$A, 0)))</f>
        <v/>
      </c>
      <c r="S85" s="35" t="str">
        <f>IF(INDEX(Labels!E:E, MATCH(Summary!$A85, Labels!$A:$A, 0)) = 0, "", INDEX(Labels!E:E, MATCH(Summary!$A85, Labels!$A:$A, 0)))</f>
        <v/>
      </c>
      <c r="T85" s="33" t="str">
        <f>IF(INDEX(Labels!F:F, MATCH(Summary!$A85, Labels!$A:$A, 0)) = 0, "", INDEX(Labels!F:F, MATCH(Summary!$A85, Labels!$A:$A, 0)))</f>
        <v/>
      </c>
      <c r="U85" s="35" t="str">
        <f>IF(INDEX(Labels!G:G, MATCH(Summary!$A85, Labels!$A:$A, 0)) = 0, "", INDEX(Labels!G:G, MATCH(Summary!$A85, Labels!$A:$A, 0)))</f>
        <v/>
      </c>
      <c r="V85" s="62" t="str">
        <f>IF(INDEX(Labels!H:H, MATCH(Summary!$A85, Labels!$A:$A, 0)) = 0, "", INDEX(Labels!H:H, MATCH(Summary!$A85, Labels!$A:$A, 0)))</f>
        <v/>
      </c>
      <c r="W85" t="str">
        <f>IF(INDEX(Labels!I:I, MATCH(Summary!$A85, Labels!$A:$A, 0)) = 0, "", INDEX(Labels!I:I, MATCH(Summary!$A85, Labels!$A:$A, 0)))</f>
        <v/>
      </c>
      <c r="X85" t="str">
        <f>IF(INDEX(Labels!J:J, MATCH(Summary!$A85, Labels!$A:$A, 0)) = 0, "", INDEX(Labels!J:J, MATCH(Summary!$A85, Labels!$A:$A, 0)))</f>
        <v/>
      </c>
    </row>
    <row r="86" spans="1:24" x14ac:dyDescent="0.2">
      <c r="A86" s="33">
        <f>Labels!A87</f>
        <v>80</v>
      </c>
      <c r="B86" s="34">
        <f>INDEX(EchoData!B:B, MATCH(Summary!$A86, EchoData!$A:$A, 0))</f>
        <v>80</v>
      </c>
      <c r="C86" s="35">
        <f>INDEX(EchoData!C:C, MATCH(Summary!$A86, EchoData!$A:$A, 0))</f>
        <v>81</v>
      </c>
      <c r="D86" s="42">
        <f>INDEX(Displacements!B:B, MATCH(Summary!$B86, Displacements!$A:$A, 0))</f>
        <v>-11.699</v>
      </c>
      <c r="E86" s="43">
        <f>INDEX(Displacements!C:C, MATCH(Summary!$B86, Displacements!$A:$A, 0))</f>
        <v>0</v>
      </c>
      <c r="F86" s="44">
        <f>INDEX(Displacements!D:D, MATCH(Summary!$B86, Displacements!$A:$A, 0))</f>
        <v>0</v>
      </c>
      <c r="G86" s="42">
        <f>INDEX(Displacements!B:B, MATCH(Summary!$C86, Displacements!$A:$A, 0))</f>
        <v>-11.5</v>
      </c>
      <c r="H86" s="43">
        <f>INDEX(Displacements!C:C, MATCH(Summary!$C86, Displacements!$A:$A, 0))</f>
        <v>0</v>
      </c>
      <c r="I86" s="44">
        <f>INDEX(Displacements!D:D, MATCH(Summary!$C86, Displacements!$A:$A, 0))</f>
        <v>0</v>
      </c>
      <c r="J86" s="42">
        <f t="shared" si="2"/>
        <v>0.19899999999999984</v>
      </c>
      <c r="K86" s="49">
        <f t="shared" si="3"/>
        <v>0.6611295681063114</v>
      </c>
      <c r="L86" s="54">
        <f>INDEX('Forces+Stresses'!C:C, MATCH(Summary!$A86, 'Forces+Stresses'!$A:$A, 0))</f>
        <v>-1779</v>
      </c>
      <c r="M86" s="55">
        <f>INDEX('Forces+Stresses'!D:D, MATCH(Summary!$A86, 'Forces+Stresses'!$A:$A, 0))</f>
        <v>-1779</v>
      </c>
      <c r="N86" s="55">
        <f>IFERROR(INDEX('Forces+Stresses'!Q:Q, MATCH(Summary!$A86, 'Forces+Stresses'!$A:$A, 0)), INDEX(Flexjoints!D:D, MATCH(Summary!$A86, Flexjoints!$A:$A, 0)))</f>
        <v>9.5949999999999996E-8</v>
      </c>
      <c r="O86" s="56">
        <f>IFERROR(INDEX('Forces+Stresses'!R:R, MATCH(Summary!$A86, 'Forces+Stresses'!$A:$A, 0)), INDEX(Flexjoints!E:E, MATCH(Summary!$A86, Flexjoints!$A:$A, 0)))</f>
        <v>3.258E-6</v>
      </c>
      <c r="P86" s="33" t="str">
        <f>IF(INDEX(Labels!B:B, MATCH(Summary!$A86, Labels!$A:$A, 0)) = 0, "", INDEX(Labels!B:B, MATCH(Summary!$A86, Labels!$A:$A, 0)))</f>
        <v>{Conductor Soil String}</v>
      </c>
      <c r="Q86" s="35" t="str">
        <f>IF(INDEX(Labels!C:C, MATCH(Summary!$A86, Labels!$A:$A, 0)) = 0, "", INDEX(Labels!C:C, MATCH(Summary!$A86, Labels!$A:$A, 0)))</f>
        <v>{Cond 36x1.5in}</v>
      </c>
      <c r="R86" s="33" t="str">
        <f>IF(INDEX(Labels!D:D, MATCH(Summary!$A86, Labels!$A:$A, 0)) = 0, "", INDEX(Labels!D:D, MATCH(Summary!$A86, Labels!$A:$A, 0)))</f>
        <v/>
      </c>
      <c r="S86" s="35" t="str">
        <f>IF(INDEX(Labels!E:E, MATCH(Summary!$A86, Labels!$A:$A, 0)) = 0, "", INDEX(Labels!E:E, MATCH(Summary!$A86, Labels!$A:$A, 0)))</f>
        <v/>
      </c>
      <c r="T86" s="33" t="str">
        <f>IF(INDEX(Labels!F:F, MATCH(Summary!$A86, Labels!$A:$A, 0)) = 0, "", INDEX(Labels!F:F, MATCH(Summary!$A86, Labels!$A:$A, 0)))</f>
        <v/>
      </c>
      <c r="U86" s="35" t="str">
        <f>IF(INDEX(Labels!G:G, MATCH(Summary!$A86, Labels!$A:$A, 0)) = 0, "", INDEX(Labels!G:G, MATCH(Summary!$A86, Labels!$A:$A, 0)))</f>
        <v/>
      </c>
      <c r="V86" s="62" t="str">
        <f>IF(INDEX(Labels!H:H, MATCH(Summary!$A86, Labels!$A:$A, 0)) = 0, "", INDEX(Labels!H:H, MATCH(Summary!$A86, Labels!$A:$A, 0)))</f>
        <v/>
      </c>
      <c r="W86" t="str">
        <f>IF(INDEX(Labels!I:I, MATCH(Summary!$A86, Labels!$A:$A, 0)) = 0, "", INDEX(Labels!I:I, MATCH(Summary!$A86, Labels!$A:$A, 0)))</f>
        <v/>
      </c>
      <c r="X86" t="str">
        <f>IF(INDEX(Labels!J:J, MATCH(Summary!$A86, Labels!$A:$A, 0)) = 0, "", INDEX(Labels!J:J, MATCH(Summary!$A86, Labels!$A:$A, 0)))</f>
        <v/>
      </c>
    </row>
    <row r="87" spans="1:24" x14ac:dyDescent="0.2">
      <c r="A87" s="33">
        <f>Labels!A88</f>
        <v>81</v>
      </c>
      <c r="B87" s="34">
        <f>INDEX(EchoData!B:B, MATCH(Summary!$A87, EchoData!$A:$A, 0))</f>
        <v>81</v>
      </c>
      <c r="C87" s="35">
        <f>INDEX(EchoData!C:C, MATCH(Summary!$A87, EchoData!$A:$A, 0))</f>
        <v>82</v>
      </c>
      <c r="D87" s="42">
        <f>INDEX(Displacements!B:B, MATCH(Summary!$B87, Displacements!$A:$A, 0))</f>
        <v>-11.5</v>
      </c>
      <c r="E87" s="43">
        <f>INDEX(Displacements!C:C, MATCH(Summary!$B87, Displacements!$A:$A, 0))</f>
        <v>0</v>
      </c>
      <c r="F87" s="44">
        <f>INDEX(Displacements!D:D, MATCH(Summary!$B87, Displacements!$A:$A, 0))</f>
        <v>0</v>
      </c>
      <c r="G87" s="42">
        <f>INDEX(Displacements!B:B, MATCH(Summary!$C87, Displacements!$A:$A, 0))</f>
        <v>-11.305999999999999</v>
      </c>
      <c r="H87" s="43">
        <f>INDEX(Displacements!C:C, MATCH(Summary!$C87, Displacements!$A:$A, 0))</f>
        <v>0</v>
      </c>
      <c r="I87" s="44">
        <f>INDEX(Displacements!D:D, MATCH(Summary!$C87, Displacements!$A:$A, 0))</f>
        <v>0</v>
      </c>
      <c r="J87" s="42">
        <f t="shared" si="2"/>
        <v>0.19400000000000084</v>
      </c>
      <c r="K87" s="49">
        <f t="shared" si="3"/>
        <v>0.97487437185930148</v>
      </c>
      <c r="L87" s="54">
        <f>INDEX('Forces+Stresses'!C:C, MATCH(Summary!$A87, 'Forces+Stresses'!$A:$A, 0))</f>
        <v>-1778</v>
      </c>
      <c r="M87" s="55">
        <f>INDEX('Forces+Stresses'!D:D, MATCH(Summary!$A87, 'Forces+Stresses'!$A:$A, 0))</f>
        <v>-1778</v>
      </c>
      <c r="N87" s="55">
        <f>IFERROR(INDEX('Forces+Stresses'!Q:Q, MATCH(Summary!$A87, 'Forces+Stresses'!$A:$A, 0)), INDEX(Flexjoints!D:D, MATCH(Summary!$A87, Flexjoints!$A:$A, 0)))</f>
        <v>1.011E-7</v>
      </c>
      <c r="O87" s="56">
        <f>IFERROR(INDEX('Forces+Stresses'!R:R, MATCH(Summary!$A87, 'Forces+Stresses'!$A:$A, 0)), INDEX(Flexjoints!E:E, MATCH(Summary!$A87, Flexjoints!$A:$A, 0)))</f>
        <v>3.4420000000000002E-6</v>
      </c>
      <c r="P87" s="33" t="str">
        <f>IF(INDEX(Labels!B:B, MATCH(Summary!$A87, Labels!$A:$A, 0)) = 0, "", INDEX(Labels!B:B, MATCH(Summary!$A87, Labels!$A:$A, 0)))</f>
        <v>{Conductor Soil String}</v>
      </c>
      <c r="Q87" s="35" t="str">
        <f>IF(INDEX(Labels!C:C, MATCH(Summary!$A87, Labels!$A:$A, 0)) = 0, "", INDEX(Labels!C:C, MATCH(Summary!$A87, Labels!$A:$A, 0)))</f>
        <v>{Cond 36x1.5in}</v>
      </c>
      <c r="R87" s="33" t="str">
        <f>IF(INDEX(Labels!D:D, MATCH(Summary!$A87, Labels!$A:$A, 0)) = 0, "", INDEX(Labels!D:D, MATCH(Summary!$A87, Labels!$A:$A, 0)))</f>
        <v/>
      </c>
      <c r="S87" s="35" t="str">
        <f>IF(INDEX(Labels!E:E, MATCH(Summary!$A87, Labels!$A:$A, 0)) = 0, "", INDEX(Labels!E:E, MATCH(Summary!$A87, Labels!$A:$A, 0)))</f>
        <v/>
      </c>
      <c r="T87" s="33" t="str">
        <f>IF(INDEX(Labels!F:F, MATCH(Summary!$A87, Labels!$A:$A, 0)) = 0, "", INDEX(Labels!F:F, MATCH(Summary!$A87, Labels!$A:$A, 0)))</f>
        <v/>
      </c>
      <c r="U87" s="35" t="str">
        <f>IF(INDEX(Labels!G:G, MATCH(Summary!$A87, Labels!$A:$A, 0)) = 0, "", INDEX(Labels!G:G, MATCH(Summary!$A87, Labels!$A:$A, 0)))</f>
        <v/>
      </c>
      <c r="V87" s="62" t="str">
        <f>IF(INDEX(Labels!H:H, MATCH(Summary!$A87, Labels!$A:$A, 0)) = 0, "", INDEX(Labels!H:H, MATCH(Summary!$A87, Labels!$A:$A, 0)))</f>
        <v>{Cond_Conn_1_Weld_Base_Before}</v>
      </c>
      <c r="W87" t="str">
        <f>IF(INDEX(Labels!I:I, MATCH(Summary!$A87, Labels!$A:$A, 0)) = 0, "", INDEX(Labels!I:I, MATCH(Summary!$A87, Labels!$A:$A, 0)))</f>
        <v/>
      </c>
      <c r="X87" t="str">
        <f>IF(INDEX(Labels!J:J, MATCH(Summary!$A87, Labels!$A:$A, 0)) = 0, "", INDEX(Labels!J:J, MATCH(Summary!$A87, Labels!$A:$A, 0)))</f>
        <v/>
      </c>
    </row>
    <row r="88" spans="1:24" x14ac:dyDescent="0.2">
      <c r="A88" s="33">
        <f>Labels!A89</f>
        <v>82</v>
      </c>
      <c r="B88" s="34">
        <f>INDEX(EchoData!B:B, MATCH(Summary!$A88, EchoData!$A:$A, 0))</f>
        <v>82</v>
      </c>
      <c r="C88" s="35">
        <f>INDEX(EchoData!C:C, MATCH(Summary!$A88, EchoData!$A:$A, 0))</f>
        <v>83</v>
      </c>
      <c r="D88" s="42">
        <f>INDEX(Displacements!B:B, MATCH(Summary!$B88, Displacements!$A:$A, 0))</f>
        <v>-11.305999999999999</v>
      </c>
      <c r="E88" s="43">
        <f>INDEX(Displacements!C:C, MATCH(Summary!$B88, Displacements!$A:$A, 0))</f>
        <v>0</v>
      </c>
      <c r="F88" s="44">
        <f>INDEX(Displacements!D:D, MATCH(Summary!$B88, Displacements!$A:$A, 0))</f>
        <v>0</v>
      </c>
      <c r="G88" s="42">
        <f>INDEX(Displacements!B:B, MATCH(Summary!$C88, Displacements!$A:$A, 0))</f>
        <v>-11.192</v>
      </c>
      <c r="H88" s="43">
        <f>INDEX(Displacements!C:C, MATCH(Summary!$C88, Displacements!$A:$A, 0))</f>
        <v>0</v>
      </c>
      <c r="I88" s="44">
        <f>INDEX(Displacements!D:D, MATCH(Summary!$C88, Displacements!$A:$A, 0))</f>
        <v>0</v>
      </c>
      <c r="J88" s="42">
        <f t="shared" si="2"/>
        <v>0.11399999999999899</v>
      </c>
      <c r="K88" s="49">
        <f t="shared" si="3"/>
        <v>0.58762886597937369</v>
      </c>
      <c r="L88" s="54">
        <f>INDEX('Forces+Stresses'!C:C, MATCH(Summary!$A88, 'Forces+Stresses'!$A:$A, 0))</f>
        <v>-1776</v>
      </c>
      <c r="M88" s="55">
        <f>INDEX('Forces+Stresses'!D:D, MATCH(Summary!$A88, 'Forces+Stresses'!$A:$A, 0))</f>
        <v>-1776</v>
      </c>
      <c r="N88" s="55">
        <f>IFERROR(INDEX('Forces+Stresses'!Q:Q, MATCH(Summary!$A88, 'Forces+Stresses'!$A:$A, 0)), INDEX(Flexjoints!D:D, MATCH(Summary!$A88, Flexjoints!$A:$A, 0)))</f>
        <v>1.0579999999999999E-7</v>
      </c>
      <c r="O88" s="56">
        <f>IFERROR(INDEX('Forces+Stresses'!R:R, MATCH(Summary!$A88, 'Forces+Stresses'!$A:$A, 0)), INDEX(Flexjoints!E:E, MATCH(Summary!$A88, Flexjoints!$A:$A, 0)))</f>
        <v>3.6099999999999997E-6</v>
      </c>
      <c r="P88" s="33" t="str">
        <f>IF(INDEX(Labels!B:B, MATCH(Summary!$A88, Labels!$A:$A, 0)) = 0, "", INDEX(Labels!B:B, MATCH(Summary!$A88, Labels!$A:$A, 0)))</f>
        <v>{Conductor Soil String}</v>
      </c>
      <c r="Q88" s="35" t="str">
        <f>IF(INDEX(Labels!C:C, MATCH(Summary!$A88, Labels!$A:$A, 0)) = 0, "", INDEX(Labels!C:C, MATCH(Summary!$A88, Labels!$A:$A, 0)))</f>
        <v>{Cond 36x1.5in}</v>
      </c>
      <c r="R88" s="33" t="str">
        <f>IF(INDEX(Labels!D:D, MATCH(Summary!$A88, Labels!$A:$A, 0)) = 0, "", INDEX(Labels!D:D, MATCH(Summary!$A88, Labels!$A:$A, 0)))</f>
        <v/>
      </c>
      <c r="S88" s="35" t="str">
        <f>IF(INDEX(Labels!E:E, MATCH(Summary!$A88, Labels!$A:$A, 0)) = 0, "", INDEX(Labels!E:E, MATCH(Summary!$A88, Labels!$A:$A, 0)))</f>
        <v/>
      </c>
      <c r="T88" s="33" t="str">
        <f>IF(INDEX(Labels!F:F, MATCH(Summary!$A88, Labels!$A:$A, 0)) = 0, "", INDEX(Labels!F:F, MATCH(Summary!$A88, Labels!$A:$A, 0)))</f>
        <v/>
      </c>
      <c r="U88" s="35" t="str">
        <f>IF(INDEX(Labels!G:G, MATCH(Summary!$A88, Labels!$A:$A, 0)) = 0, "", INDEX(Labels!G:G, MATCH(Summary!$A88, Labels!$A:$A, 0)))</f>
        <v/>
      </c>
      <c r="V88" s="62" t="str">
        <f>IF(INDEX(Labels!H:H, MATCH(Summary!$A88, Labels!$A:$A, 0)) = 0, "", INDEX(Labels!H:H, MATCH(Summary!$A88, Labels!$A:$A, 0)))</f>
        <v>{Cond_Conn_1_Weld_Base_After}</v>
      </c>
      <c r="W88" t="str">
        <f>IF(INDEX(Labels!I:I, MATCH(Summary!$A88, Labels!$A:$A, 0)) = 0, "", INDEX(Labels!I:I, MATCH(Summary!$A88, Labels!$A:$A, 0)))</f>
        <v/>
      </c>
      <c r="X88" t="str">
        <f>IF(INDEX(Labels!J:J, MATCH(Summary!$A88, Labels!$A:$A, 0)) = 0, "", INDEX(Labels!J:J, MATCH(Summary!$A88, Labels!$A:$A, 0)))</f>
        <v/>
      </c>
    </row>
    <row r="89" spans="1:24" x14ac:dyDescent="0.2">
      <c r="A89" s="33">
        <f>Labels!A90</f>
        <v>83</v>
      </c>
      <c r="B89" s="34">
        <f>INDEX(EchoData!B:B, MATCH(Summary!$A89, EchoData!$A:$A, 0))</f>
        <v>83</v>
      </c>
      <c r="C89" s="35">
        <f>INDEX(EchoData!C:C, MATCH(Summary!$A89, EchoData!$A:$A, 0))</f>
        <v>84</v>
      </c>
      <c r="D89" s="42">
        <f>INDEX(Displacements!B:B, MATCH(Summary!$B89, Displacements!$A:$A, 0))</f>
        <v>-11.192</v>
      </c>
      <c r="E89" s="43">
        <f>INDEX(Displacements!C:C, MATCH(Summary!$B89, Displacements!$A:$A, 0))</f>
        <v>0</v>
      </c>
      <c r="F89" s="44">
        <f>INDEX(Displacements!D:D, MATCH(Summary!$B89, Displacements!$A:$A, 0))</f>
        <v>0</v>
      </c>
      <c r="G89" s="42">
        <f>INDEX(Displacements!B:B, MATCH(Summary!$C89, Displacements!$A:$A, 0))</f>
        <v>-11.106</v>
      </c>
      <c r="H89" s="43">
        <f>INDEX(Displacements!C:C, MATCH(Summary!$C89, Displacements!$A:$A, 0))</f>
        <v>0</v>
      </c>
      <c r="I89" s="44">
        <f>INDEX(Displacements!D:D, MATCH(Summary!$C89, Displacements!$A:$A, 0))</f>
        <v>0</v>
      </c>
      <c r="J89" s="42">
        <f t="shared" si="2"/>
        <v>8.6000000000000298E-2</v>
      </c>
      <c r="K89" s="49">
        <f t="shared" si="3"/>
        <v>0.75438596491229004</v>
      </c>
      <c r="L89" s="54">
        <f>INDEX('Forces+Stresses'!C:C, MATCH(Summary!$A89, 'Forces+Stresses'!$A:$A, 0))</f>
        <v>-1776</v>
      </c>
      <c r="M89" s="55">
        <f>INDEX('Forces+Stresses'!D:D, MATCH(Summary!$A89, 'Forces+Stresses'!$A:$A, 0))</f>
        <v>-1776</v>
      </c>
      <c r="N89" s="55">
        <f>IFERROR(INDEX('Forces+Stresses'!Q:Q, MATCH(Summary!$A89, 'Forces+Stresses'!$A:$A, 0)), INDEX(Flexjoints!D:D, MATCH(Summary!$A89, Flexjoints!$A:$A, 0)))</f>
        <v>1.0859999999999999E-7</v>
      </c>
      <c r="O89" s="56">
        <f>IFERROR(INDEX('Forces+Stresses'!R:R, MATCH(Summary!$A89, 'Forces+Stresses'!$A:$A, 0)), INDEX(Flexjoints!E:E, MATCH(Summary!$A89, Flexjoints!$A:$A, 0)))</f>
        <v>3.7109999999999997E-6</v>
      </c>
      <c r="P89" s="33" t="str">
        <f>IF(INDEX(Labels!B:B, MATCH(Summary!$A89, Labels!$A:$A, 0)) = 0, "", INDEX(Labels!B:B, MATCH(Summary!$A89, Labels!$A:$A, 0)))</f>
        <v>{Conductor Soil String}</v>
      </c>
      <c r="Q89" s="35" t="str">
        <f>IF(INDEX(Labels!C:C, MATCH(Summary!$A89, Labels!$A:$A, 0)) = 0, "", INDEX(Labels!C:C, MATCH(Summary!$A89, Labels!$A:$A, 0)))</f>
        <v>{Cond 36x1.5in}</v>
      </c>
      <c r="R89" s="33" t="str">
        <f>IF(INDEX(Labels!D:D, MATCH(Summary!$A89, Labels!$A:$A, 0)) = 0, "", INDEX(Labels!D:D, MATCH(Summary!$A89, Labels!$A:$A, 0)))</f>
        <v/>
      </c>
      <c r="S89" s="35" t="str">
        <f>IF(INDEX(Labels!E:E, MATCH(Summary!$A89, Labels!$A:$A, 0)) = 0, "", INDEX(Labels!E:E, MATCH(Summary!$A89, Labels!$A:$A, 0)))</f>
        <v/>
      </c>
      <c r="T89" s="33" t="str">
        <f>IF(INDEX(Labels!F:F, MATCH(Summary!$A89, Labels!$A:$A, 0)) = 0, "", INDEX(Labels!F:F, MATCH(Summary!$A89, Labels!$A:$A, 0)))</f>
        <v/>
      </c>
      <c r="U89" s="35" t="str">
        <f>IF(INDEX(Labels!G:G, MATCH(Summary!$A89, Labels!$A:$A, 0)) = 0, "", INDEX(Labels!G:G, MATCH(Summary!$A89, Labels!$A:$A, 0)))</f>
        <v>{Cond 36x1.5in_Last}</v>
      </c>
      <c r="V89" s="62" t="str">
        <f>IF(INDEX(Labels!H:H, MATCH(Summary!$A89, Labels!$A:$A, 0)) = 0, "", INDEX(Labels!H:H, MATCH(Summary!$A89, Labels!$A:$A, 0)))</f>
        <v>{Cond_Conn_1_Body_Before}</v>
      </c>
      <c r="W89" t="str">
        <f>IF(INDEX(Labels!I:I, MATCH(Summary!$A89, Labels!$A:$A, 0)) = 0, "", INDEX(Labels!I:I, MATCH(Summary!$A89, Labels!$A:$A, 0)))</f>
        <v/>
      </c>
      <c r="X89" t="str">
        <f>IF(INDEX(Labels!J:J, MATCH(Summary!$A89, Labels!$A:$A, 0)) = 0, "", INDEX(Labels!J:J, MATCH(Summary!$A89, Labels!$A:$A, 0)))</f>
        <v/>
      </c>
    </row>
    <row r="90" spans="1:24" x14ac:dyDescent="0.2">
      <c r="A90" s="33">
        <f>Labels!A91</f>
        <v>84</v>
      </c>
      <c r="B90" s="34">
        <f>INDEX(EchoData!B:B, MATCH(Summary!$A90, EchoData!$A:$A, 0))</f>
        <v>84</v>
      </c>
      <c r="C90" s="35">
        <f>INDEX(EchoData!C:C, MATCH(Summary!$A90, EchoData!$A:$A, 0))</f>
        <v>85</v>
      </c>
      <c r="D90" s="42">
        <f>INDEX(Displacements!B:B, MATCH(Summary!$B90, Displacements!$A:$A, 0))</f>
        <v>-11.106</v>
      </c>
      <c r="E90" s="43">
        <f>INDEX(Displacements!C:C, MATCH(Summary!$B90, Displacements!$A:$A, 0))</f>
        <v>0</v>
      </c>
      <c r="F90" s="44">
        <f>INDEX(Displacements!D:D, MATCH(Summary!$B90, Displacements!$A:$A, 0))</f>
        <v>0</v>
      </c>
      <c r="G90" s="42">
        <f>INDEX(Displacements!B:B, MATCH(Summary!$C90, Displacements!$A:$A, 0))</f>
        <v>-11</v>
      </c>
      <c r="H90" s="43">
        <f>INDEX(Displacements!C:C, MATCH(Summary!$C90, Displacements!$A:$A, 0))</f>
        <v>0</v>
      </c>
      <c r="I90" s="44">
        <f>INDEX(Displacements!D:D, MATCH(Summary!$C90, Displacements!$A:$A, 0))</f>
        <v>0</v>
      </c>
      <c r="J90" s="42">
        <f t="shared" si="2"/>
        <v>0.10599999999999987</v>
      </c>
      <c r="K90" s="49">
        <f t="shared" si="3"/>
        <v>1.2325581395348779</v>
      </c>
      <c r="L90" s="54">
        <f>INDEX('Forces+Stresses'!C:C, MATCH(Summary!$A90, 'Forces+Stresses'!$A:$A, 0))</f>
        <v>-1775</v>
      </c>
      <c r="M90" s="55">
        <f>INDEX('Forces+Stresses'!D:D, MATCH(Summary!$A90, 'Forces+Stresses'!$A:$A, 0))</f>
        <v>-1775</v>
      </c>
      <c r="N90" s="55">
        <f>IFERROR(INDEX('Forces+Stresses'!Q:Q, MATCH(Summary!$A90, 'Forces+Stresses'!$A:$A, 0)), INDEX(Flexjoints!D:D, MATCH(Summary!$A90, Flexjoints!$A:$A, 0)))</f>
        <v>1.108E-7</v>
      </c>
      <c r="O90" s="56">
        <f>IFERROR(INDEX('Forces+Stresses'!R:R, MATCH(Summary!$A90, 'Forces+Stresses'!$A:$A, 0)), INDEX(Flexjoints!E:E, MATCH(Summary!$A90, Flexjoints!$A:$A, 0)))</f>
        <v>3.7869999999999999E-6</v>
      </c>
      <c r="P90" s="33" t="str">
        <f>IF(INDEX(Labels!B:B, MATCH(Summary!$A90, Labels!$A:$A, 0)) = 0, "", INDEX(Labels!B:B, MATCH(Summary!$A90, Labels!$A:$A, 0)))</f>
        <v>{Conductor Soil String}</v>
      </c>
      <c r="Q90" s="35" t="str">
        <f>IF(INDEX(Labels!C:C, MATCH(Summary!$A90, Labels!$A:$A, 0)) = 0, "", INDEX(Labels!C:C, MATCH(Summary!$A90, Labels!$A:$A, 0)))</f>
        <v>{Cond 36x2in}</v>
      </c>
      <c r="R90" s="33" t="str">
        <f>IF(INDEX(Labels!D:D, MATCH(Summary!$A90, Labels!$A:$A, 0)) = 0, "", INDEX(Labels!D:D, MATCH(Summary!$A90, Labels!$A:$A, 0)))</f>
        <v/>
      </c>
      <c r="S90" s="35" t="str">
        <f>IF(INDEX(Labels!E:E, MATCH(Summary!$A90, Labels!$A:$A, 0)) = 0, "", INDEX(Labels!E:E, MATCH(Summary!$A90, Labels!$A:$A, 0)))</f>
        <v/>
      </c>
      <c r="T90" s="33" t="str">
        <f>IF(INDEX(Labels!F:F, MATCH(Summary!$A90, Labels!$A:$A, 0)) = 0, "", INDEX(Labels!F:F, MATCH(Summary!$A90, Labels!$A:$A, 0)))</f>
        <v>{Cond 36x2in_First}</v>
      </c>
      <c r="U90" s="35" t="str">
        <f>IF(INDEX(Labels!G:G, MATCH(Summary!$A90, Labels!$A:$A, 0)) = 0, "", INDEX(Labels!G:G, MATCH(Summary!$A90, Labels!$A:$A, 0)))</f>
        <v/>
      </c>
      <c r="V90" s="62" t="str">
        <f>IF(INDEX(Labels!H:H, MATCH(Summary!$A90, Labels!$A:$A, 0)) = 0, "", INDEX(Labels!H:H, MATCH(Summary!$A90, Labels!$A:$A, 0)))</f>
        <v>{Cond_Conn_1_Body_After}</v>
      </c>
      <c r="W90" t="str">
        <f>IF(INDEX(Labels!I:I, MATCH(Summary!$A90, Labels!$A:$A, 0)) = 0, "", INDEX(Labels!I:I, MATCH(Summary!$A90, Labels!$A:$A, 0)))</f>
        <v/>
      </c>
      <c r="X90" t="str">
        <f>IF(INDEX(Labels!J:J, MATCH(Summary!$A90, Labels!$A:$A, 0)) = 0, "", INDEX(Labels!J:J, MATCH(Summary!$A90, Labels!$A:$A, 0)))</f>
        <v/>
      </c>
    </row>
    <row r="91" spans="1:24" x14ac:dyDescent="0.2">
      <c r="A91" s="33">
        <f>Labels!A92</f>
        <v>85</v>
      </c>
      <c r="B91" s="34">
        <f>INDEX(EchoData!B:B, MATCH(Summary!$A91, EchoData!$A:$A, 0))</f>
        <v>85</v>
      </c>
      <c r="C91" s="35">
        <f>INDEX(EchoData!C:C, MATCH(Summary!$A91, EchoData!$A:$A, 0))</f>
        <v>86</v>
      </c>
      <c r="D91" s="42">
        <f>INDEX(Displacements!B:B, MATCH(Summary!$B91, Displacements!$A:$A, 0))</f>
        <v>-11</v>
      </c>
      <c r="E91" s="43">
        <f>INDEX(Displacements!C:C, MATCH(Summary!$B91, Displacements!$A:$A, 0))</f>
        <v>0</v>
      </c>
      <c r="F91" s="44">
        <f>INDEX(Displacements!D:D, MATCH(Summary!$B91, Displacements!$A:$A, 0))</f>
        <v>0</v>
      </c>
      <c r="G91" s="42">
        <f>INDEX(Displacements!B:B, MATCH(Summary!$C91, Displacements!$A:$A, 0))</f>
        <v>-10.906000000000001</v>
      </c>
      <c r="H91" s="43">
        <f>INDEX(Displacements!C:C, MATCH(Summary!$C91, Displacements!$A:$A, 0))</f>
        <v>0</v>
      </c>
      <c r="I91" s="44">
        <f>INDEX(Displacements!D:D, MATCH(Summary!$C91, Displacements!$A:$A, 0))</f>
        <v>0</v>
      </c>
      <c r="J91" s="42">
        <f t="shared" si="2"/>
        <v>9.3999999999999417E-2</v>
      </c>
      <c r="K91" s="49">
        <f t="shared" si="3"/>
        <v>0.88679245283018426</v>
      </c>
      <c r="L91" s="54">
        <f>INDEX('Forces+Stresses'!C:C, MATCH(Summary!$A91, 'Forces+Stresses'!$A:$A, 0))</f>
        <v>-1774</v>
      </c>
      <c r="M91" s="55">
        <f>INDEX('Forces+Stresses'!D:D, MATCH(Summary!$A91, 'Forces+Stresses'!$A:$A, 0))</f>
        <v>-1774</v>
      </c>
      <c r="N91" s="55">
        <f>IFERROR(INDEX('Forces+Stresses'!Q:Q, MATCH(Summary!$A91, 'Forces+Stresses'!$A:$A, 0)), INDEX(Flexjoints!D:D, MATCH(Summary!$A91, Flexjoints!$A:$A, 0)))</f>
        <v>1.1349999999999999E-7</v>
      </c>
      <c r="O91" s="56">
        <f>IFERROR(INDEX('Forces+Stresses'!R:R, MATCH(Summary!$A91, 'Forces+Stresses'!$A:$A, 0)), INDEX(Flexjoints!E:E, MATCH(Summary!$A91, Flexjoints!$A:$A, 0)))</f>
        <v>3.8829999999999999E-6</v>
      </c>
      <c r="P91" s="33" t="str">
        <f>IF(INDEX(Labels!B:B, MATCH(Summary!$A91, Labels!$A:$A, 0)) = 0, "", INDEX(Labels!B:B, MATCH(Summary!$A91, Labels!$A:$A, 0)))</f>
        <v>{Conductor Soil String}</v>
      </c>
      <c r="Q91" s="35" t="str">
        <f>IF(INDEX(Labels!C:C, MATCH(Summary!$A91, Labels!$A:$A, 0)) = 0, "", INDEX(Labels!C:C, MATCH(Summary!$A91, Labels!$A:$A, 0)))</f>
        <v>{Cond 36x2in}</v>
      </c>
      <c r="R91" s="33" t="str">
        <f>IF(INDEX(Labels!D:D, MATCH(Summary!$A91, Labels!$A:$A, 0)) = 0, "", INDEX(Labels!D:D, MATCH(Summary!$A91, Labels!$A:$A, 0)))</f>
        <v/>
      </c>
      <c r="S91" s="35" t="str">
        <f>IF(INDEX(Labels!E:E, MATCH(Summary!$A91, Labels!$A:$A, 0)) = 0, "", INDEX(Labels!E:E, MATCH(Summary!$A91, Labels!$A:$A, 0)))</f>
        <v/>
      </c>
      <c r="T91" s="33" t="str">
        <f>IF(INDEX(Labels!F:F, MATCH(Summary!$A91, Labels!$A:$A, 0)) = 0, "", INDEX(Labels!F:F, MATCH(Summary!$A91, Labels!$A:$A, 0)))</f>
        <v/>
      </c>
      <c r="U91" s="35" t="str">
        <f>IF(INDEX(Labels!G:G, MATCH(Summary!$A91, Labels!$A:$A, 0)) = 0, "", INDEX(Labels!G:G, MATCH(Summary!$A91, Labels!$A:$A, 0)))</f>
        <v/>
      </c>
      <c r="V91" s="62" t="str">
        <f>IF(INDEX(Labels!H:H, MATCH(Summary!$A91, Labels!$A:$A, 0)) = 0, "", INDEX(Labels!H:H, MATCH(Summary!$A91, Labels!$A:$A, 0)))</f>
        <v>{Cond_Conn_1_Weld_Top_Before}</v>
      </c>
      <c r="W91" t="str">
        <f>IF(INDEX(Labels!I:I, MATCH(Summary!$A91, Labels!$A:$A, 0)) = 0, "", INDEX(Labels!I:I, MATCH(Summary!$A91, Labels!$A:$A, 0)))</f>
        <v/>
      </c>
      <c r="X91" t="str">
        <f>IF(INDEX(Labels!J:J, MATCH(Summary!$A91, Labels!$A:$A, 0)) = 0, "", INDEX(Labels!J:J, MATCH(Summary!$A91, Labels!$A:$A, 0)))</f>
        <v/>
      </c>
    </row>
    <row r="92" spans="1:24" x14ac:dyDescent="0.2">
      <c r="A92" s="33">
        <f>Labels!A93</f>
        <v>86</v>
      </c>
      <c r="B92" s="34">
        <f>INDEX(EchoData!B:B, MATCH(Summary!$A92, EchoData!$A:$A, 0))</f>
        <v>86</v>
      </c>
      <c r="C92" s="35">
        <f>INDEX(EchoData!C:C, MATCH(Summary!$A92, EchoData!$A:$A, 0))</f>
        <v>87</v>
      </c>
      <c r="D92" s="42">
        <f>INDEX(Displacements!B:B, MATCH(Summary!$B92, Displacements!$A:$A, 0))</f>
        <v>-10.906000000000001</v>
      </c>
      <c r="E92" s="43">
        <f>INDEX(Displacements!C:C, MATCH(Summary!$B92, Displacements!$A:$A, 0))</f>
        <v>0</v>
      </c>
      <c r="F92" s="44">
        <f>INDEX(Displacements!D:D, MATCH(Summary!$B92, Displacements!$A:$A, 0))</f>
        <v>0</v>
      </c>
      <c r="G92" s="42">
        <f>INDEX(Displacements!B:B, MATCH(Summary!$C92, Displacements!$A:$A, 0))</f>
        <v>-10.807</v>
      </c>
      <c r="H92" s="43">
        <f>INDEX(Displacements!C:C, MATCH(Summary!$C92, Displacements!$A:$A, 0))</f>
        <v>0</v>
      </c>
      <c r="I92" s="44">
        <f>INDEX(Displacements!D:D, MATCH(Summary!$C92, Displacements!$A:$A, 0))</f>
        <v>0</v>
      </c>
      <c r="J92" s="42">
        <f t="shared" si="2"/>
        <v>9.9000000000000199E-2</v>
      </c>
      <c r="K92" s="49">
        <f t="shared" si="3"/>
        <v>1.0531914893617107</v>
      </c>
      <c r="L92" s="54">
        <f>INDEX('Forces+Stresses'!C:C, MATCH(Summary!$A92, 'Forces+Stresses'!$A:$A, 0))</f>
        <v>-1773</v>
      </c>
      <c r="M92" s="55">
        <f>INDEX('Forces+Stresses'!D:D, MATCH(Summary!$A92, 'Forces+Stresses'!$A:$A, 0))</f>
        <v>-1773</v>
      </c>
      <c r="N92" s="55">
        <f>IFERROR(INDEX('Forces+Stresses'!Q:Q, MATCH(Summary!$A92, 'Forces+Stresses'!$A:$A, 0)), INDEX(Flexjoints!D:D, MATCH(Summary!$A92, Flexjoints!$A:$A, 0)))</f>
        <v>1.157E-7</v>
      </c>
      <c r="O92" s="56">
        <f>IFERROR(INDEX('Forces+Stresses'!R:R, MATCH(Summary!$A92, 'Forces+Stresses'!$A:$A, 0)), INDEX(Flexjoints!E:E, MATCH(Summary!$A92, Flexjoints!$A:$A, 0)))</f>
        <v>3.9639999999999997E-6</v>
      </c>
      <c r="P92" s="33" t="str">
        <f>IF(INDEX(Labels!B:B, MATCH(Summary!$A92, Labels!$A:$A, 0)) = 0, "", INDEX(Labels!B:B, MATCH(Summary!$A92, Labels!$A:$A, 0)))</f>
        <v>{Conductor Soil String}</v>
      </c>
      <c r="Q92" s="35" t="str">
        <f>IF(INDEX(Labels!C:C, MATCH(Summary!$A92, Labels!$A:$A, 0)) = 0, "", INDEX(Labels!C:C, MATCH(Summary!$A92, Labels!$A:$A, 0)))</f>
        <v>{Cond 36x2in}</v>
      </c>
      <c r="R92" s="33" t="str">
        <f>IF(INDEX(Labels!D:D, MATCH(Summary!$A92, Labels!$A:$A, 0)) = 0, "", INDEX(Labels!D:D, MATCH(Summary!$A92, Labels!$A:$A, 0)))</f>
        <v/>
      </c>
      <c r="S92" s="35" t="str">
        <f>IF(INDEX(Labels!E:E, MATCH(Summary!$A92, Labels!$A:$A, 0)) = 0, "", INDEX(Labels!E:E, MATCH(Summary!$A92, Labels!$A:$A, 0)))</f>
        <v/>
      </c>
      <c r="T92" s="33" t="str">
        <f>IF(INDEX(Labels!F:F, MATCH(Summary!$A92, Labels!$A:$A, 0)) = 0, "", INDEX(Labels!F:F, MATCH(Summary!$A92, Labels!$A:$A, 0)))</f>
        <v/>
      </c>
      <c r="U92" s="35" t="str">
        <f>IF(INDEX(Labels!G:G, MATCH(Summary!$A92, Labels!$A:$A, 0)) = 0, "", INDEX(Labels!G:G, MATCH(Summary!$A92, Labels!$A:$A, 0)))</f>
        <v/>
      </c>
      <c r="V92" s="62" t="str">
        <f>IF(INDEX(Labels!H:H, MATCH(Summary!$A92, Labels!$A:$A, 0)) = 0, "", INDEX(Labels!H:H, MATCH(Summary!$A92, Labels!$A:$A, 0)))</f>
        <v>{Cond_Conn_1_Weld_Top_After}</v>
      </c>
      <c r="W92" t="str">
        <f>IF(INDEX(Labels!I:I, MATCH(Summary!$A92, Labels!$A:$A, 0)) = 0, "", INDEX(Labels!I:I, MATCH(Summary!$A92, Labels!$A:$A, 0)))</f>
        <v/>
      </c>
      <c r="X92" t="str">
        <f>IF(INDEX(Labels!J:J, MATCH(Summary!$A92, Labels!$A:$A, 0)) = 0, "", INDEX(Labels!J:J, MATCH(Summary!$A92, Labels!$A:$A, 0)))</f>
        <v/>
      </c>
    </row>
    <row r="93" spans="1:24" x14ac:dyDescent="0.2">
      <c r="A93" s="33">
        <f>Labels!A94</f>
        <v>87</v>
      </c>
      <c r="B93" s="34">
        <f>INDEX(EchoData!B:B, MATCH(Summary!$A93, EchoData!$A:$A, 0))</f>
        <v>87</v>
      </c>
      <c r="C93" s="35">
        <f>INDEX(EchoData!C:C, MATCH(Summary!$A93, EchoData!$A:$A, 0))</f>
        <v>88</v>
      </c>
      <c r="D93" s="42">
        <f>INDEX(Displacements!B:B, MATCH(Summary!$B93, Displacements!$A:$A, 0))</f>
        <v>-10.807</v>
      </c>
      <c r="E93" s="43">
        <f>INDEX(Displacements!C:C, MATCH(Summary!$B93, Displacements!$A:$A, 0))</f>
        <v>0</v>
      </c>
      <c r="F93" s="44">
        <f>INDEX(Displacements!D:D, MATCH(Summary!$B93, Displacements!$A:$A, 0))</f>
        <v>0</v>
      </c>
      <c r="G93" s="42">
        <f>INDEX(Displacements!B:B, MATCH(Summary!$C93, Displacements!$A:$A, 0))</f>
        <v>-10.5</v>
      </c>
      <c r="H93" s="43">
        <f>INDEX(Displacements!C:C, MATCH(Summary!$C93, Displacements!$A:$A, 0))</f>
        <v>0</v>
      </c>
      <c r="I93" s="44">
        <f>INDEX(Displacements!D:D, MATCH(Summary!$C93, Displacements!$A:$A, 0))</f>
        <v>0</v>
      </c>
      <c r="J93" s="42">
        <f t="shared" si="2"/>
        <v>0.30700000000000038</v>
      </c>
      <c r="K93" s="49">
        <f t="shared" si="3"/>
        <v>3.1010101010100986</v>
      </c>
      <c r="L93" s="54">
        <f>INDEX('Forces+Stresses'!C:C, MATCH(Summary!$A93, 'Forces+Stresses'!$A:$A, 0))</f>
        <v>-1772</v>
      </c>
      <c r="M93" s="55">
        <f>INDEX('Forces+Stresses'!D:D, MATCH(Summary!$A93, 'Forces+Stresses'!$A:$A, 0))</f>
        <v>-1772</v>
      </c>
      <c r="N93" s="55">
        <f>IFERROR(INDEX('Forces+Stresses'!Q:Q, MATCH(Summary!$A93, 'Forces+Stresses'!$A:$A, 0)), INDEX(Flexjoints!D:D, MATCH(Summary!$A93, Flexjoints!$A:$A, 0)))</f>
        <v>1.1809999999999999E-7</v>
      </c>
      <c r="O93" s="56">
        <f>IFERROR(INDEX('Forces+Stresses'!R:R, MATCH(Summary!$A93, 'Forces+Stresses'!$A:$A, 0)), INDEX(Flexjoints!E:E, MATCH(Summary!$A93, Flexjoints!$A:$A, 0)))</f>
        <v>4.0500000000000002E-6</v>
      </c>
      <c r="P93" s="33" t="str">
        <f>IF(INDEX(Labels!B:B, MATCH(Summary!$A93, Labels!$A:$A, 0)) = 0, "", INDEX(Labels!B:B, MATCH(Summary!$A93, Labels!$A:$A, 0)))</f>
        <v>{Conductor Soil String}</v>
      </c>
      <c r="Q93" s="35" t="str">
        <f>IF(INDEX(Labels!C:C, MATCH(Summary!$A93, Labels!$A:$A, 0)) = 0, "", INDEX(Labels!C:C, MATCH(Summary!$A93, Labels!$A:$A, 0)))</f>
        <v>{Cond 36x2in}</v>
      </c>
      <c r="R93" s="33" t="str">
        <f>IF(INDEX(Labels!D:D, MATCH(Summary!$A93, Labels!$A:$A, 0)) = 0, "", INDEX(Labels!D:D, MATCH(Summary!$A93, Labels!$A:$A, 0)))</f>
        <v/>
      </c>
      <c r="S93" s="35" t="str">
        <f>IF(INDEX(Labels!E:E, MATCH(Summary!$A93, Labels!$A:$A, 0)) = 0, "", INDEX(Labels!E:E, MATCH(Summary!$A93, Labels!$A:$A, 0)))</f>
        <v/>
      </c>
      <c r="T93" s="33" t="str">
        <f>IF(INDEX(Labels!F:F, MATCH(Summary!$A93, Labels!$A:$A, 0)) = 0, "", INDEX(Labels!F:F, MATCH(Summary!$A93, Labels!$A:$A, 0)))</f>
        <v/>
      </c>
      <c r="U93" s="35" t="str">
        <f>IF(INDEX(Labels!G:G, MATCH(Summary!$A93, Labels!$A:$A, 0)) = 0, "", INDEX(Labels!G:G, MATCH(Summary!$A93, Labels!$A:$A, 0)))</f>
        <v/>
      </c>
      <c r="V93" s="62" t="str">
        <f>IF(INDEX(Labels!H:H, MATCH(Summary!$A93, Labels!$A:$A, 0)) = 0, "", INDEX(Labels!H:H, MATCH(Summary!$A93, Labels!$A:$A, 0)))</f>
        <v/>
      </c>
      <c r="W93" t="str">
        <f>IF(INDEX(Labels!I:I, MATCH(Summary!$A93, Labels!$A:$A, 0)) = 0, "", INDEX(Labels!I:I, MATCH(Summary!$A93, Labels!$A:$A, 0)))</f>
        <v/>
      </c>
      <c r="X93" t="str">
        <f>IF(INDEX(Labels!J:J, MATCH(Summary!$A93, Labels!$A:$A, 0)) = 0, "", INDEX(Labels!J:J, MATCH(Summary!$A93, Labels!$A:$A, 0)))</f>
        <v/>
      </c>
    </row>
    <row r="94" spans="1:24" x14ac:dyDescent="0.2">
      <c r="A94" s="33">
        <f>Labels!A95</f>
        <v>88</v>
      </c>
      <c r="B94" s="34">
        <f>INDEX(EchoData!B:B, MATCH(Summary!$A94, EchoData!$A:$A, 0))</f>
        <v>88</v>
      </c>
      <c r="C94" s="35">
        <f>INDEX(EchoData!C:C, MATCH(Summary!$A94, EchoData!$A:$A, 0))</f>
        <v>89</v>
      </c>
      <c r="D94" s="42">
        <f>INDEX(Displacements!B:B, MATCH(Summary!$B94, Displacements!$A:$A, 0))</f>
        <v>-10.5</v>
      </c>
      <c r="E94" s="43">
        <f>INDEX(Displacements!C:C, MATCH(Summary!$B94, Displacements!$A:$A, 0))</f>
        <v>0</v>
      </c>
      <c r="F94" s="44">
        <f>INDEX(Displacements!D:D, MATCH(Summary!$B94, Displacements!$A:$A, 0))</f>
        <v>0</v>
      </c>
      <c r="G94" s="42">
        <f>INDEX(Displacements!B:B, MATCH(Summary!$C94, Displacements!$A:$A, 0))</f>
        <v>-10</v>
      </c>
      <c r="H94" s="43">
        <f>INDEX(Displacements!C:C, MATCH(Summary!$C94, Displacements!$A:$A, 0))</f>
        <v>0</v>
      </c>
      <c r="I94" s="44">
        <f>INDEX(Displacements!D:D, MATCH(Summary!$C94, Displacements!$A:$A, 0))</f>
        <v>0</v>
      </c>
      <c r="J94" s="42">
        <f t="shared" si="2"/>
        <v>0.5</v>
      </c>
      <c r="K94" s="49">
        <f t="shared" si="3"/>
        <v>1.6286644951140046</v>
      </c>
      <c r="L94" s="54">
        <f>INDEX('Forces+Stresses'!C:C, MATCH(Summary!$A94, 'Forces+Stresses'!$A:$A, 0))</f>
        <v>-1769</v>
      </c>
      <c r="M94" s="55">
        <f>INDEX('Forces+Stresses'!D:D, MATCH(Summary!$A94, 'Forces+Stresses'!$A:$A, 0))</f>
        <v>-1769</v>
      </c>
      <c r="N94" s="55">
        <f>IFERROR(INDEX('Forces+Stresses'!Q:Q, MATCH(Summary!$A94, 'Forces+Stresses'!$A:$A, 0)), INDEX(Flexjoints!D:D, MATCH(Summary!$A94, Flexjoints!$A:$A, 0)))</f>
        <v>1.2569999999999999E-7</v>
      </c>
      <c r="O94" s="56">
        <f>IFERROR(INDEX('Forces+Stresses'!R:R, MATCH(Summary!$A94, 'Forces+Stresses'!$A:$A, 0)), INDEX(Flexjoints!E:E, MATCH(Summary!$A94, Flexjoints!$A:$A, 0)))</f>
        <v>4.3220000000000003E-6</v>
      </c>
      <c r="P94" s="33" t="str">
        <f>IF(INDEX(Labels!B:B, MATCH(Summary!$A94, Labels!$A:$A, 0)) = 0, "", INDEX(Labels!B:B, MATCH(Summary!$A94, Labels!$A:$A, 0)))</f>
        <v>{Conductor Soil String}</v>
      </c>
      <c r="Q94" s="35" t="str">
        <f>IF(INDEX(Labels!C:C, MATCH(Summary!$A94, Labels!$A:$A, 0)) = 0, "", INDEX(Labels!C:C, MATCH(Summary!$A94, Labels!$A:$A, 0)))</f>
        <v>{Cond 36x2in}</v>
      </c>
      <c r="R94" s="33" t="str">
        <f>IF(INDEX(Labels!D:D, MATCH(Summary!$A94, Labels!$A:$A, 0)) = 0, "", INDEX(Labels!D:D, MATCH(Summary!$A94, Labels!$A:$A, 0)))</f>
        <v/>
      </c>
      <c r="S94" s="35" t="str">
        <f>IF(INDEX(Labels!E:E, MATCH(Summary!$A94, Labels!$A:$A, 0)) = 0, "", INDEX(Labels!E:E, MATCH(Summary!$A94, Labels!$A:$A, 0)))</f>
        <v/>
      </c>
      <c r="T94" s="33" t="str">
        <f>IF(INDEX(Labels!F:F, MATCH(Summary!$A94, Labels!$A:$A, 0)) = 0, "", INDEX(Labels!F:F, MATCH(Summary!$A94, Labels!$A:$A, 0)))</f>
        <v/>
      </c>
      <c r="U94" s="35" t="str">
        <f>IF(INDEX(Labels!G:G, MATCH(Summary!$A94, Labels!$A:$A, 0)) = 0, "", INDEX(Labels!G:G, MATCH(Summary!$A94, Labels!$A:$A, 0)))</f>
        <v/>
      </c>
      <c r="V94" s="62" t="str">
        <f>IF(INDEX(Labels!H:H, MATCH(Summary!$A94, Labels!$A:$A, 0)) = 0, "", INDEX(Labels!H:H, MATCH(Summary!$A94, Labels!$A:$A, 0)))</f>
        <v/>
      </c>
      <c r="W94" t="str">
        <f>IF(INDEX(Labels!I:I, MATCH(Summary!$A94, Labels!$A:$A, 0)) = 0, "", INDEX(Labels!I:I, MATCH(Summary!$A94, Labels!$A:$A, 0)))</f>
        <v/>
      </c>
      <c r="X94" t="str">
        <f>IF(INDEX(Labels!J:J, MATCH(Summary!$A94, Labels!$A:$A, 0)) = 0, "", INDEX(Labels!J:J, MATCH(Summary!$A94, Labels!$A:$A, 0)))</f>
        <v/>
      </c>
    </row>
    <row r="95" spans="1:24" x14ac:dyDescent="0.2">
      <c r="A95" s="33">
        <f>Labels!A96</f>
        <v>89</v>
      </c>
      <c r="B95" s="34">
        <f>INDEX(EchoData!B:B, MATCH(Summary!$A95, EchoData!$A:$A, 0))</f>
        <v>89</v>
      </c>
      <c r="C95" s="35">
        <f>INDEX(EchoData!C:C, MATCH(Summary!$A95, EchoData!$A:$A, 0))</f>
        <v>90</v>
      </c>
      <c r="D95" s="42">
        <f>INDEX(Displacements!B:B, MATCH(Summary!$B95, Displacements!$A:$A, 0))</f>
        <v>-10</v>
      </c>
      <c r="E95" s="43">
        <f>INDEX(Displacements!C:C, MATCH(Summary!$B95, Displacements!$A:$A, 0))</f>
        <v>0</v>
      </c>
      <c r="F95" s="44">
        <f>INDEX(Displacements!D:D, MATCH(Summary!$B95, Displacements!$A:$A, 0))</f>
        <v>0</v>
      </c>
      <c r="G95" s="42">
        <f>INDEX(Displacements!B:B, MATCH(Summary!$C95, Displacements!$A:$A, 0))</f>
        <v>-9.5</v>
      </c>
      <c r="H95" s="43">
        <f>INDEX(Displacements!C:C, MATCH(Summary!$C95, Displacements!$A:$A, 0))</f>
        <v>0</v>
      </c>
      <c r="I95" s="44">
        <f>INDEX(Displacements!D:D, MATCH(Summary!$C95, Displacements!$A:$A, 0))</f>
        <v>0</v>
      </c>
      <c r="J95" s="42">
        <f t="shared" si="2"/>
        <v>0.5</v>
      </c>
      <c r="K95" s="49">
        <f t="shared" si="3"/>
        <v>1</v>
      </c>
      <c r="L95" s="54">
        <f>INDEX('Forces+Stresses'!C:C, MATCH(Summary!$A95, 'Forces+Stresses'!$A:$A, 0))</f>
        <v>-1765</v>
      </c>
      <c r="M95" s="55">
        <f>INDEX('Forces+Stresses'!D:D, MATCH(Summary!$A95, 'Forces+Stresses'!$A:$A, 0))</f>
        <v>-1765</v>
      </c>
      <c r="N95" s="55">
        <f>IFERROR(INDEX('Forces+Stresses'!Q:Q, MATCH(Summary!$A95, 'Forces+Stresses'!$A:$A, 0)), INDEX(Flexjoints!D:D, MATCH(Summary!$A95, Flexjoints!$A:$A, 0)))</f>
        <v>1.3899999999999999E-7</v>
      </c>
      <c r="O95" s="56">
        <f>IFERROR(INDEX('Forces+Stresses'!R:R, MATCH(Summary!$A95, 'Forces+Stresses'!$A:$A, 0)), INDEX(Flexjoints!E:E, MATCH(Summary!$A95, Flexjoints!$A:$A, 0)))</f>
        <v>4.7999999999999998E-6</v>
      </c>
      <c r="P95" s="33" t="str">
        <f>IF(INDEX(Labels!B:B, MATCH(Summary!$A95, Labels!$A:$A, 0)) = 0, "", INDEX(Labels!B:B, MATCH(Summary!$A95, Labels!$A:$A, 0)))</f>
        <v>{Conductor Soil String}</v>
      </c>
      <c r="Q95" s="35" t="str">
        <f>IF(INDEX(Labels!C:C, MATCH(Summary!$A95, Labels!$A:$A, 0)) = 0, "", INDEX(Labels!C:C, MATCH(Summary!$A95, Labels!$A:$A, 0)))</f>
        <v>{Cond 36x2in}</v>
      </c>
      <c r="R95" s="33" t="str">
        <f>IF(INDEX(Labels!D:D, MATCH(Summary!$A95, Labels!$A:$A, 0)) = 0, "", INDEX(Labels!D:D, MATCH(Summary!$A95, Labels!$A:$A, 0)))</f>
        <v/>
      </c>
      <c r="S95" s="35" t="str">
        <f>IF(INDEX(Labels!E:E, MATCH(Summary!$A95, Labels!$A:$A, 0)) = 0, "", INDEX(Labels!E:E, MATCH(Summary!$A95, Labels!$A:$A, 0)))</f>
        <v/>
      </c>
      <c r="T95" s="33" t="str">
        <f>IF(INDEX(Labels!F:F, MATCH(Summary!$A95, Labels!$A:$A, 0)) = 0, "", INDEX(Labels!F:F, MATCH(Summary!$A95, Labels!$A:$A, 0)))</f>
        <v/>
      </c>
      <c r="U95" s="35" t="str">
        <f>IF(INDEX(Labels!G:G, MATCH(Summary!$A95, Labels!$A:$A, 0)) = 0, "", INDEX(Labels!G:G, MATCH(Summary!$A95, Labels!$A:$A, 0)))</f>
        <v/>
      </c>
      <c r="V95" s="62" t="str">
        <f>IF(INDEX(Labels!H:H, MATCH(Summary!$A95, Labels!$A:$A, 0)) = 0, "", INDEX(Labels!H:H, MATCH(Summary!$A95, Labels!$A:$A, 0)))</f>
        <v/>
      </c>
      <c r="W95" t="str">
        <f>IF(INDEX(Labels!I:I, MATCH(Summary!$A95, Labels!$A:$A, 0)) = 0, "", INDEX(Labels!I:I, MATCH(Summary!$A95, Labels!$A:$A, 0)))</f>
        <v/>
      </c>
      <c r="X95" t="str">
        <f>IF(INDEX(Labels!J:J, MATCH(Summary!$A95, Labels!$A:$A, 0)) = 0, "", INDEX(Labels!J:J, MATCH(Summary!$A95, Labels!$A:$A, 0)))</f>
        <v/>
      </c>
    </row>
    <row r="96" spans="1:24" x14ac:dyDescent="0.2">
      <c r="A96" s="33">
        <f>Labels!A97</f>
        <v>90</v>
      </c>
      <c r="B96" s="34">
        <f>INDEX(EchoData!B:B, MATCH(Summary!$A96, EchoData!$A:$A, 0))</f>
        <v>90</v>
      </c>
      <c r="C96" s="35">
        <f>INDEX(EchoData!C:C, MATCH(Summary!$A96, EchoData!$A:$A, 0))</f>
        <v>91</v>
      </c>
      <c r="D96" s="42">
        <f>INDEX(Displacements!B:B, MATCH(Summary!$B96, Displacements!$A:$A, 0))</f>
        <v>-9.5</v>
      </c>
      <c r="E96" s="43">
        <f>INDEX(Displacements!C:C, MATCH(Summary!$B96, Displacements!$A:$A, 0))</f>
        <v>0</v>
      </c>
      <c r="F96" s="44">
        <f>INDEX(Displacements!D:D, MATCH(Summary!$B96, Displacements!$A:$A, 0))</f>
        <v>0</v>
      </c>
      <c r="G96" s="42">
        <f>INDEX(Displacements!B:B, MATCH(Summary!$C96, Displacements!$A:$A, 0))</f>
        <v>-9</v>
      </c>
      <c r="H96" s="43">
        <f>INDEX(Displacements!C:C, MATCH(Summary!$C96, Displacements!$A:$A, 0))</f>
        <v>0</v>
      </c>
      <c r="I96" s="44">
        <f>INDEX(Displacements!D:D, MATCH(Summary!$C96, Displacements!$A:$A, 0))</f>
        <v>0</v>
      </c>
      <c r="J96" s="42">
        <f t="shared" si="2"/>
        <v>0.5</v>
      </c>
      <c r="K96" s="49">
        <f t="shared" si="3"/>
        <v>1</v>
      </c>
      <c r="L96" s="54">
        <f>INDEX('Forces+Stresses'!C:C, MATCH(Summary!$A96, 'Forces+Stresses'!$A:$A, 0))</f>
        <v>-1760</v>
      </c>
      <c r="M96" s="55">
        <f>INDEX('Forces+Stresses'!D:D, MATCH(Summary!$A96, 'Forces+Stresses'!$A:$A, 0))</f>
        <v>-1760</v>
      </c>
      <c r="N96" s="55">
        <f>IFERROR(INDEX('Forces+Stresses'!Q:Q, MATCH(Summary!$A96, 'Forces+Stresses'!$A:$A, 0)), INDEX(Flexjoints!D:D, MATCH(Summary!$A96, Flexjoints!$A:$A, 0)))</f>
        <v>1.5339999999999998E-7</v>
      </c>
      <c r="O96" s="56">
        <f>IFERROR(INDEX('Forces+Stresses'!R:R, MATCH(Summary!$A96, 'Forces+Stresses'!$A:$A, 0)), INDEX(Flexjoints!E:E, MATCH(Summary!$A96, Flexjoints!$A:$A, 0)))</f>
        <v>5.3170000000000001E-6</v>
      </c>
      <c r="P96" s="33" t="str">
        <f>IF(INDEX(Labels!B:B, MATCH(Summary!$A96, Labels!$A:$A, 0)) = 0, "", INDEX(Labels!B:B, MATCH(Summary!$A96, Labels!$A:$A, 0)))</f>
        <v>{Conductor Soil String}</v>
      </c>
      <c r="Q96" s="35" t="str">
        <f>IF(INDEX(Labels!C:C, MATCH(Summary!$A96, Labels!$A:$A, 0)) = 0, "", INDEX(Labels!C:C, MATCH(Summary!$A96, Labels!$A:$A, 0)))</f>
        <v>{Cond 36x2in}</v>
      </c>
      <c r="R96" s="33" t="str">
        <f>IF(INDEX(Labels!D:D, MATCH(Summary!$A96, Labels!$A:$A, 0)) = 0, "", INDEX(Labels!D:D, MATCH(Summary!$A96, Labels!$A:$A, 0)))</f>
        <v/>
      </c>
      <c r="S96" s="35" t="str">
        <f>IF(INDEX(Labels!E:E, MATCH(Summary!$A96, Labels!$A:$A, 0)) = 0, "", INDEX(Labels!E:E, MATCH(Summary!$A96, Labels!$A:$A, 0)))</f>
        <v/>
      </c>
      <c r="T96" s="33" t="str">
        <f>IF(INDEX(Labels!F:F, MATCH(Summary!$A96, Labels!$A:$A, 0)) = 0, "", INDEX(Labels!F:F, MATCH(Summary!$A96, Labels!$A:$A, 0)))</f>
        <v/>
      </c>
      <c r="U96" s="35" t="str">
        <f>IF(INDEX(Labels!G:G, MATCH(Summary!$A96, Labels!$A:$A, 0)) = 0, "", INDEX(Labels!G:G, MATCH(Summary!$A96, Labels!$A:$A, 0)))</f>
        <v/>
      </c>
      <c r="V96" s="62" t="str">
        <f>IF(INDEX(Labels!H:H, MATCH(Summary!$A96, Labels!$A:$A, 0)) = 0, "", INDEX(Labels!H:H, MATCH(Summary!$A96, Labels!$A:$A, 0)))</f>
        <v/>
      </c>
      <c r="W96" t="str">
        <f>IF(INDEX(Labels!I:I, MATCH(Summary!$A96, Labels!$A:$A, 0)) = 0, "", INDEX(Labels!I:I, MATCH(Summary!$A96, Labels!$A:$A, 0)))</f>
        <v/>
      </c>
      <c r="X96" t="str">
        <f>IF(INDEX(Labels!J:J, MATCH(Summary!$A96, Labels!$A:$A, 0)) = 0, "", INDEX(Labels!J:J, MATCH(Summary!$A96, Labels!$A:$A, 0)))</f>
        <v/>
      </c>
    </row>
    <row r="97" spans="1:24" x14ac:dyDescent="0.2">
      <c r="A97" s="33">
        <f>Labels!A98</f>
        <v>91</v>
      </c>
      <c r="B97" s="34">
        <f>INDEX(EchoData!B:B, MATCH(Summary!$A97, EchoData!$A:$A, 0))</f>
        <v>91</v>
      </c>
      <c r="C97" s="35">
        <f>INDEX(EchoData!C:C, MATCH(Summary!$A97, EchoData!$A:$A, 0))</f>
        <v>92</v>
      </c>
      <c r="D97" s="42">
        <f>INDEX(Displacements!B:B, MATCH(Summary!$B97, Displacements!$A:$A, 0))</f>
        <v>-9</v>
      </c>
      <c r="E97" s="43">
        <f>INDEX(Displacements!C:C, MATCH(Summary!$B97, Displacements!$A:$A, 0))</f>
        <v>0</v>
      </c>
      <c r="F97" s="44">
        <f>INDEX(Displacements!D:D, MATCH(Summary!$B97, Displacements!$A:$A, 0))</f>
        <v>0</v>
      </c>
      <c r="G97" s="42">
        <f>INDEX(Displacements!B:B, MATCH(Summary!$C97, Displacements!$A:$A, 0))</f>
        <v>-8.5</v>
      </c>
      <c r="H97" s="43">
        <f>INDEX(Displacements!C:C, MATCH(Summary!$C97, Displacements!$A:$A, 0))</f>
        <v>0</v>
      </c>
      <c r="I97" s="44">
        <f>INDEX(Displacements!D:D, MATCH(Summary!$C97, Displacements!$A:$A, 0))</f>
        <v>0</v>
      </c>
      <c r="J97" s="42">
        <f t="shared" si="2"/>
        <v>0.5</v>
      </c>
      <c r="K97" s="49">
        <f t="shared" si="3"/>
        <v>1</v>
      </c>
      <c r="L97" s="54">
        <f>INDEX('Forces+Stresses'!C:C, MATCH(Summary!$A97, 'Forces+Stresses'!$A:$A, 0))</f>
        <v>-1756</v>
      </c>
      <c r="M97" s="55">
        <f>INDEX('Forces+Stresses'!D:D, MATCH(Summary!$A97, 'Forces+Stresses'!$A:$A, 0))</f>
        <v>-1756</v>
      </c>
      <c r="N97" s="55">
        <f>IFERROR(INDEX('Forces+Stresses'!Q:Q, MATCH(Summary!$A97, 'Forces+Stresses'!$A:$A, 0)), INDEX(Flexjoints!D:D, MATCH(Summary!$A97, Flexjoints!$A:$A, 0)))</f>
        <v>1.6860000000000001E-7</v>
      </c>
      <c r="O97" s="56">
        <f>IFERROR(INDEX('Forces+Stresses'!R:R, MATCH(Summary!$A97, 'Forces+Stresses'!$A:$A, 0)), INDEX(Flexjoints!E:E, MATCH(Summary!$A97, Flexjoints!$A:$A, 0)))</f>
        <v>5.8630000000000004E-6</v>
      </c>
      <c r="P97" s="33" t="str">
        <f>IF(INDEX(Labels!B:B, MATCH(Summary!$A97, Labels!$A:$A, 0)) = 0, "", INDEX(Labels!B:B, MATCH(Summary!$A97, Labels!$A:$A, 0)))</f>
        <v>{Conductor Soil String}</v>
      </c>
      <c r="Q97" s="35" t="str">
        <f>IF(INDEX(Labels!C:C, MATCH(Summary!$A97, Labels!$A:$A, 0)) = 0, "", INDEX(Labels!C:C, MATCH(Summary!$A97, Labels!$A:$A, 0)))</f>
        <v>{Cond 36x2in}</v>
      </c>
      <c r="R97" s="33" t="str">
        <f>IF(INDEX(Labels!D:D, MATCH(Summary!$A97, Labels!$A:$A, 0)) = 0, "", INDEX(Labels!D:D, MATCH(Summary!$A97, Labels!$A:$A, 0)))</f>
        <v/>
      </c>
      <c r="S97" s="35" t="str">
        <f>IF(INDEX(Labels!E:E, MATCH(Summary!$A97, Labels!$A:$A, 0)) = 0, "", INDEX(Labels!E:E, MATCH(Summary!$A97, Labels!$A:$A, 0)))</f>
        <v/>
      </c>
      <c r="T97" s="33" t="str">
        <f>IF(INDEX(Labels!F:F, MATCH(Summary!$A97, Labels!$A:$A, 0)) = 0, "", INDEX(Labels!F:F, MATCH(Summary!$A97, Labels!$A:$A, 0)))</f>
        <v/>
      </c>
      <c r="U97" s="35" t="str">
        <f>IF(INDEX(Labels!G:G, MATCH(Summary!$A97, Labels!$A:$A, 0)) = 0, "", INDEX(Labels!G:G, MATCH(Summary!$A97, Labels!$A:$A, 0)))</f>
        <v/>
      </c>
      <c r="V97" s="62" t="str">
        <f>IF(INDEX(Labels!H:H, MATCH(Summary!$A97, Labels!$A:$A, 0)) = 0, "", INDEX(Labels!H:H, MATCH(Summary!$A97, Labels!$A:$A, 0)))</f>
        <v/>
      </c>
      <c r="W97" t="str">
        <f>IF(INDEX(Labels!I:I, MATCH(Summary!$A97, Labels!$A:$A, 0)) = 0, "", INDEX(Labels!I:I, MATCH(Summary!$A97, Labels!$A:$A, 0)))</f>
        <v/>
      </c>
      <c r="X97" t="str">
        <f>IF(INDEX(Labels!J:J, MATCH(Summary!$A97, Labels!$A:$A, 0)) = 0, "", INDEX(Labels!J:J, MATCH(Summary!$A97, Labels!$A:$A, 0)))</f>
        <v/>
      </c>
    </row>
    <row r="98" spans="1:24" x14ac:dyDescent="0.2">
      <c r="A98" s="33">
        <f>Labels!A99</f>
        <v>92</v>
      </c>
      <c r="B98" s="34">
        <f>INDEX(EchoData!B:B, MATCH(Summary!$A98, EchoData!$A:$A, 0))</f>
        <v>92</v>
      </c>
      <c r="C98" s="35">
        <f>INDEX(EchoData!C:C, MATCH(Summary!$A98, EchoData!$A:$A, 0))</f>
        <v>93</v>
      </c>
      <c r="D98" s="42">
        <f>INDEX(Displacements!B:B, MATCH(Summary!$B98, Displacements!$A:$A, 0))</f>
        <v>-8.5</v>
      </c>
      <c r="E98" s="43">
        <f>INDEX(Displacements!C:C, MATCH(Summary!$B98, Displacements!$A:$A, 0))</f>
        <v>0</v>
      </c>
      <c r="F98" s="44">
        <f>INDEX(Displacements!D:D, MATCH(Summary!$B98, Displacements!$A:$A, 0))</f>
        <v>0</v>
      </c>
      <c r="G98" s="42">
        <f>INDEX(Displacements!B:B, MATCH(Summary!$C98, Displacements!$A:$A, 0))</f>
        <v>-8</v>
      </c>
      <c r="H98" s="43">
        <f>INDEX(Displacements!C:C, MATCH(Summary!$C98, Displacements!$A:$A, 0))</f>
        <v>0</v>
      </c>
      <c r="I98" s="44">
        <f>INDEX(Displacements!D:D, MATCH(Summary!$C98, Displacements!$A:$A, 0))</f>
        <v>0</v>
      </c>
      <c r="J98" s="42">
        <f t="shared" si="2"/>
        <v>0.5</v>
      </c>
      <c r="K98" s="49">
        <f t="shared" si="3"/>
        <v>1</v>
      </c>
      <c r="L98" s="54">
        <f>INDEX('Forces+Stresses'!C:C, MATCH(Summary!$A98, 'Forces+Stresses'!$A:$A, 0))</f>
        <v>-1751</v>
      </c>
      <c r="M98" s="55">
        <f>INDEX('Forces+Stresses'!D:D, MATCH(Summary!$A98, 'Forces+Stresses'!$A:$A, 0))</f>
        <v>-1751</v>
      </c>
      <c r="N98" s="55">
        <f>IFERROR(INDEX('Forces+Stresses'!Q:Q, MATCH(Summary!$A98, 'Forces+Stresses'!$A:$A, 0)), INDEX(Flexjoints!D:D, MATCH(Summary!$A98, Flexjoints!$A:$A, 0)))</f>
        <v>1.8440000000000001E-7</v>
      </c>
      <c r="O98" s="56">
        <f>IFERROR(INDEX('Forces+Stresses'!R:R, MATCH(Summary!$A98, 'Forces+Stresses'!$A:$A, 0)), INDEX(Flexjoints!E:E, MATCH(Summary!$A98, Flexjoints!$A:$A, 0)))</f>
        <v>6.4300000000000003E-6</v>
      </c>
      <c r="P98" s="33" t="str">
        <f>IF(INDEX(Labels!B:B, MATCH(Summary!$A98, Labels!$A:$A, 0)) = 0, "", INDEX(Labels!B:B, MATCH(Summary!$A98, Labels!$A:$A, 0)))</f>
        <v>{Conductor Soil String}</v>
      </c>
      <c r="Q98" s="35" t="str">
        <f>IF(INDEX(Labels!C:C, MATCH(Summary!$A98, Labels!$A:$A, 0)) = 0, "", INDEX(Labels!C:C, MATCH(Summary!$A98, Labels!$A:$A, 0)))</f>
        <v>{Cond 36x2in}</v>
      </c>
      <c r="R98" s="33" t="str">
        <f>IF(INDEX(Labels!D:D, MATCH(Summary!$A98, Labels!$A:$A, 0)) = 0, "", INDEX(Labels!D:D, MATCH(Summary!$A98, Labels!$A:$A, 0)))</f>
        <v/>
      </c>
      <c r="S98" s="35" t="str">
        <f>IF(INDEX(Labels!E:E, MATCH(Summary!$A98, Labels!$A:$A, 0)) = 0, "", INDEX(Labels!E:E, MATCH(Summary!$A98, Labels!$A:$A, 0)))</f>
        <v/>
      </c>
      <c r="T98" s="33" t="str">
        <f>IF(INDEX(Labels!F:F, MATCH(Summary!$A98, Labels!$A:$A, 0)) = 0, "", INDEX(Labels!F:F, MATCH(Summary!$A98, Labels!$A:$A, 0)))</f>
        <v/>
      </c>
      <c r="U98" s="35" t="str">
        <f>IF(INDEX(Labels!G:G, MATCH(Summary!$A98, Labels!$A:$A, 0)) = 0, "", INDEX(Labels!G:G, MATCH(Summary!$A98, Labels!$A:$A, 0)))</f>
        <v/>
      </c>
      <c r="V98" s="62" t="str">
        <f>IF(INDEX(Labels!H:H, MATCH(Summary!$A98, Labels!$A:$A, 0)) = 0, "", INDEX(Labels!H:H, MATCH(Summary!$A98, Labels!$A:$A, 0)))</f>
        <v/>
      </c>
      <c r="W98" t="str">
        <f>IF(INDEX(Labels!I:I, MATCH(Summary!$A98, Labels!$A:$A, 0)) = 0, "", INDEX(Labels!I:I, MATCH(Summary!$A98, Labels!$A:$A, 0)))</f>
        <v/>
      </c>
      <c r="X98" t="str">
        <f>IF(INDEX(Labels!J:J, MATCH(Summary!$A98, Labels!$A:$A, 0)) = 0, "", INDEX(Labels!J:J, MATCH(Summary!$A98, Labels!$A:$A, 0)))</f>
        <v/>
      </c>
    </row>
    <row r="99" spans="1:24" x14ac:dyDescent="0.2">
      <c r="A99" s="33">
        <f>Labels!A100</f>
        <v>93</v>
      </c>
      <c r="B99" s="34">
        <f>INDEX(EchoData!B:B, MATCH(Summary!$A99, EchoData!$A:$A, 0))</f>
        <v>93</v>
      </c>
      <c r="C99" s="35">
        <f>INDEX(EchoData!C:C, MATCH(Summary!$A99, EchoData!$A:$A, 0))</f>
        <v>94</v>
      </c>
      <c r="D99" s="42">
        <f>INDEX(Displacements!B:B, MATCH(Summary!$B99, Displacements!$A:$A, 0))</f>
        <v>-8</v>
      </c>
      <c r="E99" s="43">
        <f>INDEX(Displacements!C:C, MATCH(Summary!$B99, Displacements!$A:$A, 0))</f>
        <v>0</v>
      </c>
      <c r="F99" s="44">
        <f>INDEX(Displacements!D:D, MATCH(Summary!$B99, Displacements!$A:$A, 0))</f>
        <v>0</v>
      </c>
      <c r="G99" s="42">
        <f>INDEX(Displacements!B:B, MATCH(Summary!$C99, Displacements!$A:$A, 0))</f>
        <v>-7.5</v>
      </c>
      <c r="H99" s="43">
        <f>INDEX(Displacements!C:C, MATCH(Summary!$C99, Displacements!$A:$A, 0))</f>
        <v>0</v>
      </c>
      <c r="I99" s="44">
        <f>INDEX(Displacements!D:D, MATCH(Summary!$C99, Displacements!$A:$A, 0))</f>
        <v>0</v>
      </c>
      <c r="J99" s="42">
        <f t="shared" si="2"/>
        <v>0.5</v>
      </c>
      <c r="K99" s="49">
        <f t="shared" si="3"/>
        <v>1</v>
      </c>
      <c r="L99" s="54">
        <f>INDEX('Forces+Stresses'!C:C, MATCH(Summary!$A99, 'Forces+Stresses'!$A:$A, 0))</f>
        <v>-1746</v>
      </c>
      <c r="M99" s="55">
        <f>INDEX('Forces+Stresses'!D:D, MATCH(Summary!$A99, 'Forces+Stresses'!$A:$A, 0))</f>
        <v>-1746</v>
      </c>
      <c r="N99" s="55">
        <f>IFERROR(INDEX('Forces+Stresses'!Q:Q, MATCH(Summary!$A99, 'Forces+Stresses'!$A:$A, 0)), INDEX(Flexjoints!D:D, MATCH(Summary!$A99, Flexjoints!$A:$A, 0)))</f>
        <v>2.005E-7</v>
      </c>
      <c r="O99" s="56">
        <f>IFERROR(INDEX('Forces+Stresses'!R:R, MATCH(Summary!$A99, 'Forces+Stresses'!$A:$A, 0)), INDEX(Flexjoints!E:E, MATCH(Summary!$A99, Flexjoints!$A:$A, 0)))</f>
        <v>7.0109999999999995E-6</v>
      </c>
      <c r="P99" s="33" t="str">
        <f>IF(INDEX(Labels!B:B, MATCH(Summary!$A99, Labels!$A:$A, 0)) = 0, "", INDEX(Labels!B:B, MATCH(Summary!$A99, Labels!$A:$A, 0)))</f>
        <v>{Conductor Soil String}</v>
      </c>
      <c r="Q99" s="35" t="str">
        <f>IF(INDEX(Labels!C:C, MATCH(Summary!$A99, Labels!$A:$A, 0)) = 0, "", INDEX(Labels!C:C, MATCH(Summary!$A99, Labels!$A:$A, 0)))</f>
        <v>{Cond 36x2in}</v>
      </c>
      <c r="R99" s="33" t="str">
        <f>IF(INDEX(Labels!D:D, MATCH(Summary!$A99, Labels!$A:$A, 0)) = 0, "", INDEX(Labels!D:D, MATCH(Summary!$A99, Labels!$A:$A, 0)))</f>
        <v/>
      </c>
      <c r="S99" s="35" t="str">
        <f>IF(INDEX(Labels!E:E, MATCH(Summary!$A99, Labels!$A:$A, 0)) = 0, "", INDEX(Labels!E:E, MATCH(Summary!$A99, Labels!$A:$A, 0)))</f>
        <v/>
      </c>
      <c r="T99" s="33" t="str">
        <f>IF(INDEX(Labels!F:F, MATCH(Summary!$A99, Labels!$A:$A, 0)) = 0, "", INDEX(Labels!F:F, MATCH(Summary!$A99, Labels!$A:$A, 0)))</f>
        <v/>
      </c>
      <c r="U99" s="35" t="str">
        <f>IF(INDEX(Labels!G:G, MATCH(Summary!$A99, Labels!$A:$A, 0)) = 0, "", INDEX(Labels!G:G, MATCH(Summary!$A99, Labels!$A:$A, 0)))</f>
        <v/>
      </c>
      <c r="V99" s="62" t="str">
        <f>IF(INDEX(Labels!H:H, MATCH(Summary!$A99, Labels!$A:$A, 0)) = 0, "", INDEX(Labels!H:H, MATCH(Summary!$A99, Labels!$A:$A, 0)))</f>
        <v/>
      </c>
      <c r="W99" t="str">
        <f>IF(INDEX(Labels!I:I, MATCH(Summary!$A99, Labels!$A:$A, 0)) = 0, "", INDEX(Labels!I:I, MATCH(Summary!$A99, Labels!$A:$A, 0)))</f>
        <v/>
      </c>
      <c r="X99" t="str">
        <f>IF(INDEX(Labels!J:J, MATCH(Summary!$A99, Labels!$A:$A, 0)) = 0, "", INDEX(Labels!J:J, MATCH(Summary!$A99, Labels!$A:$A, 0)))</f>
        <v/>
      </c>
    </row>
    <row r="100" spans="1:24" x14ac:dyDescent="0.2">
      <c r="A100" s="33">
        <f>Labels!A101</f>
        <v>94</v>
      </c>
      <c r="B100" s="34">
        <f>INDEX(EchoData!B:B, MATCH(Summary!$A100, EchoData!$A:$A, 0))</f>
        <v>94</v>
      </c>
      <c r="C100" s="35">
        <f>INDEX(EchoData!C:C, MATCH(Summary!$A100, EchoData!$A:$A, 0))</f>
        <v>95</v>
      </c>
      <c r="D100" s="42">
        <f>INDEX(Displacements!B:B, MATCH(Summary!$B100, Displacements!$A:$A, 0))</f>
        <v>-7.5</v>
      </c>
      <c r="E100" s="43">
        <f>INDEX(Displacements!C:C, MATCH(Summary!$B100, Displacements!$A:$A, 0))</f>
        <v>0</v>
      </c>
      <c r="F100" s="44">
        <f>INDEX(Displacements!D:D, MATCH(Summary!$B100, Displacements!$A:$A, 0))</f>
        <v>0</v>
      </c>
      <c r="G100" s="42">
        <f>INDEX(Displacements!B:B, MATCH(Summary!$C100, Displacements!$A:$A, 0))</f>
        <v>-7</v>
      </c>
      <c r="H100" s="43">
        <f>INDEX(Displacements!C:C, MATCH(Summary!$C100, Displacements!$A:$A, 0))</f>
        <v>0</v>
      </c>
      <c r="I100" s="44">
        <f>INDEX(Displacements!D:D, MATCH(Summary!$C100, Displacements!$A:$A, 0))</f>
        <v>0</v>
      </c>
      <c r="J100" s="42">
        <f t="shared" si="2"/>
        <v>0.5</v>
      </c>
      <c r="K100" s="49">
        <f t="shared" si="3"/>
        <v>1</v>
      </c>
      <c r="L100" s="54">
        <f>INDEX('Forces+Stresses'!C:C, MATCH(Summary!$A100, 'Forces+Stresses'!$A:$A, 0))</f>
        <v>-1742</v>
      </c>
      <c r="M100" s="55">
        <f>INDEX('Forces+Stresses'!D:D, MATCH(Summary!$A100, 'Forces+Stresses'!$A:$A, 0))</f>
        <v>-1742</v>
      </c>
      <c r="N100" s="55">
        <f>IFERROR(INDEX('Forces+Stresses'!Q:Q, MATCH(Summary!$A100, 'Forces+Stresses'!$A:$A, 0)), INDEX(Flexjoints!D:D, MATCH(Summary!$A100, Flexjoints!$A:$A, 0)))</f>
        <v>2.17E-7</v>
      </c>
      <c r="O100" s="56">
        <f>IFERROR(INDEX('Forces+Stresses'!R:R, MATCH(Summary!$A100, 'Forces+Stresses'!$A:$A, 0)), INDEX(Flexjoints!E:E, MATCH(Summary!$A100, Flexjoints!$A:$A, 0)))</f>
        <v>7.605E-6</v>
      </c>
      <c r="P100" s="33" t="str">
        <f>IF(INDEX(Labels!B:B, MATCH(Summary!$A100, Labels!$A:$A, 0)) = 0, "", INDEX(Labels!B:B, MATCH(Summary!$A100, Labels!$A:$A, 0)))</f>
        <v>{Conductor Soil String}</v>
      </c>
      <c r="Q100" s="35" t="str">
        <f>IF(INDEX(Labels!C:C, MATCH(Summary!$A100, Labels!$A:$A, 0)) = 0, "", INDEX(Labels!C:C, MATCH(Summary!$A100, Labels!$A:$A, 0)))</f>
        <v>{Cond 36x2in}</v>
      </c>
      <c r="R100" s="33" t="str">
        <f>IF(INDEX(Labels!D:D, MATCH(Summary!$A100, Labels!$A:$A, 0)) = 0, "", INDEX(Labels!D:D, MATCH(Summary!$A100, Labels!$A:$A, 0)))</f>
        <v/>
      </c>
      <c r="S100" s="35" t="str">
        <f>IF(INDEX(Labels!E:E, MATCH(Summary!$A100, Labels!$A:$A, 0)) = 0, "", INDEX(Labels!E:E, MATCH(Summary!$A100, Labels!$A:$A, 0)))</f>
        <v/>
      </c>
      <c r="T100" s="33" t="str">
        <f>IF(INDEX(Labels!F:F, MATCH(Summary!$A100, Labels!$A:$A, 0)) = 0, "", INDEX(Labels!F:F, MATCH(Summary!$A100, Labels!$A:$A, 0)))</f>
        <v/>
      </c>
      <c r="U100" s="35" t="str">
        <f>IF(INDEX(Labels!G:G, MATCH(Summary!$A100, Labels!$A:$A, 0)) = 0, "", INDEX(Labels!G:G, MATCH(Summary!$A100, Labels!$A:$A, 0)))</f>
        <v/>
      </c>
      <c r="V100" s="62" t="str">
        <f>IF(INDEX(Labels!H:H, MATCH(Summary!$A100, Labels!$A:$A, 0)) = 0, "", INDEX(Labels!H:H, MATCH(Summary!$A100, Labels!$A:$A, 0)))</f>
        <v/>
      </c>
      <c r="W100" t="str">
        <f>IF(INDEX(Labels!I:I, MATCH(Summary!$A100, Labels!$A:$A, 0)) = 0, "", INDEX(Labels!I:I, MATCH(Summary!$A100, Labels!$A:$A, 0)))</f>
        <v/>
      </c>
      <c r="X100" t="str">
        <f>IF(INDEX(Labels!J:J, MATCH(Summary!$A100, Labels!$A:$A, 0)) = 0, "", INDEX(Labels!J:J, MATCH(Summary!$A100, Labels!$A:$A, 0)))</f>
        <v/>
      </c>
    </row>
    <row r="101" spans="1:24" x14ac:dyDescent="0.2">
      <c r="A101" s="33">
        <f>Labels!A102</f>
        <v>95</v>
      </c>
      <c r="B101" s="34">
        <f>INDEX(EchoData!B:B, MATCH(Summary!$A101, EchoData!$A:$A, 0))</f>
        <v>95</v>
      </c>
      <c r="C101" s="35">
        <f>INDEX(EchoData!C:C, MATCH(Summary!$A101, EchoData!$A:$A, 0))</f>
        <v>96</v>
      </c>
      <c r="D101" s="42">
        <f>INDEX(Displacements!B:B, MATCH(Summary!$B101, Displacements!$A:$A, 0))</f>
        <v>-7</v>
      </c>
      <c r="E101" s="43">
        <f>INDEX(Displacements!C:C, MATCH(Summary!$B101, Displacements!$A:$A, 0))</f>
        <v>0</v>
      </c>
      <c r="F101" s="44">
        <f>INDEX(Displacements!D:D, MATCH(Summary!$B101, Displacements!$A:$A, 0))</f>
        <v>0</v>
      </c>
      <c r="G101" s="42">
        <f>INDEX(Displacements!B:B, MATCH(Summary!$C101, Displacements!$A:$A, 0))</f>
        <v>-6.5</v>
      </c>
      <c r="H101" s="43">
        <f>INDEX(Displacements!C:C, MATCH(Summary!$C101, Displacements!$A:$A, 0))</f>
        <v>0</v>
      </c>
      <c r="I101" s="44">
        <f>INDEX(Displacements!D:D, MATCH(Summary!$C101, Displacements!$A:$A, 0))</f>
        <v>0</v>
      </c>
      <c r="J101" s="42">
        <f t="shared" si="2"/>
        <v>0.5</v>
      </c>
      <c r="K101" s="49">
        <f t="shared" si="3"/>
        <v>1</v>
      </c>
      <c r="L101" s="54">
        <f>INDEX('Forces+Stresses'!C:C, MATCH(Summary!$A101, 'Forces+Stresses'!$A:$A, 0))</f>
        <v>-1737</v>
      </c>
      <c r="M101" s="55">
        <f>INDEX('Forces+Stresses'!D:D, MATCH(Summary!$A101, 'Forces+Stresses'!$A:$A, 0))</f>
        <v>-1737</v>
      </c>
      <c r="N101" s="55">
        <f>IFERROR(INDEX('Forces+Stresses'!Q:Q, MATCH(Summary!$A101, 'Forces+Stresses'!$A:$A, 0)), INDEX(Flexjoints!D:D, MATCH(Summary!$A101, Flexjoints!$A:$A, 0)))</f>
        <v>2.3369999999999998E-7</v>
      </c>
      <c r="O101" s="56">
        <f>IFERROR(INDEX('Forces+Stresses'!R:R, MATCH(Summary!$A101, 'Forces+Stresses'!$A:$A, 0)), INDEX(Flexjoints!E:E, MATCH(Summary!$A101, Flexjoints!$A:$A, 0)))</f>
        <v>8.2120000000000003E-6</v>
      </c>
      <c r="P101" s="33" t="str">
        <f>IF(INDEX(Labels!B:B, MATCH(Summary!$A101, Labels!$A:$A, 0)) = 0, "", INDEX(Labels!B:B, MATCH(Summary!$A101, Labels!$A:$A, 0)))</f>
        <v>{Conductor Soil String}</v>
      </c>
      <c r="Q101" s="35" t="str">
        <f>IF(INDEX(Labels!C:C, MATCH(Summary!$A101, Labels!$A:$A, 0)) = 0, "", INDEX(Labels!C:C, MATCH(Summary!$A101, Labels!$A:$A, 0)))</f>
        <v>{Cond 36x2in}</v>
      </c>
      <c r="R101" s="33" t="str">
        <f>IF(INDEX(Labels!D:D, MATCH(Summary!$A101, Labels!$A:$A, 0)) = 0, "", INDEX(Labels!D:D, MATCH(Summary!$A101, Labels!$A:$A, 0)))</f>
        <v/>
      </c>
      <c r="S101" s="35" t="str">
        <f>IF(INDEX(Labels!E:E, MATCH(Summary!$A101, Labels!$A:$A, 0)) = 0, "", INDEX(Labels!E:E, MATCH(Summary!$A101, Labels!$A:$A, 0)))</f>
        <v/>
      </c>
      <c r="T101" s="33" t="str">
        <f>IF(INDEX(Labels!F:F, MATCH(Summary!$A101, Labels!$A:$A, 0)) = 0, "", INDEX(Labels!F:F, MATCH(Summary!$A101, Labels!$A:$A, 0)))</f>
        <v/>
      </c>
      <c r="U101" s="35" t="str">
        <f>IF(INDEX(Labels!G:G, MATCH(Summary!$A101, Labels!$A:$A, 0)) = 0, "", INDEX(Labels!G:G, MATCH(Summary!$A101, Labels!$A:$A, 0)))</f>
        <v/>
      </c>
      <c r="V101" s="62" t="str">
        <f>IF(INDEX(Labels!H:H, MATCH(Summary!$A101, Labels!$A:$A, 0)) = 0, "", INDEX(Labels!H:H, MATCH(Summary!$A101, Labels!$A:$A, 0)))</f>
        <v/>
      </c>
      <c r="W101" t="str">
        <f>IF(INDEX(Labels!I:I, MATCH(Summary!$A101, Labels!$A:$A, 0)) = 0, "", INDEX(Labels!I:I, MATCH(Summary!$A101, Labels!$A:$A, 0)))</f>
        <v/>
      </c>
      <c r="X101" t="str">
        <f>IF(INDEX(Labels!J:J, MATCH(Summary!$A101, Labels!$A:$A, 0)) = 0, "", INDEX(Labels!J:J, MATCH(Summary!$A101, Labels!$A:$A, 0)))</f>
        <v/>
      </c>
    </row>
    <row r="102" spans="1:24" x14ac:dyDescent="0.2">
      <c r="A102" s="33">
        <f>Labels!A103</f>
        <v>96</v>
      </c>
      <c r="B102" s="34">
        <f>INDEX(EchoData!B:B, MATCH(Summary!$A102, EchoData!$A:$A, 0))</f>
        <v>96</v>
      </c>
      <c r="C102" s="35">
        <f>INDEX(EchoData!C:C, MATCH(Summary!$A102, EchoData!$A:$A, 0))</f>
        <v>97</v>
      </c>
      <c r="D102" s="42">
        <f>INDEX(Displacements!B:B, MATCH(Summary!$B102, Displacements!$A:$A, 0))</f>
        <v>-6.5</v>
      </c>
      <c r="E102" s="43">
        <f>INDEX(Displacements!C:C, MATCH(Summary!$B102, Displacements!$A:$A, 0))</f>
        <v>0</v>
      </c>
      <c r="F102" s="44">
        <f>INDEX(Displacements!D:D, MATCH(Summary!$B102, Displacements!$A:$A, 0))</f>
        <v>0</v>
      </c>
      <c r="G102" s="42">
        <f>INDEX(Displacements!B:B, MATCH(Summary!$C102, Displacements!$A:$A, 0))</f>
        <v>-6</v>
      </c>
      <c r="H102" s="43">
        <f>INDEX(Displacements!C:C, MATCH(Summary!$C102, Displacements!$A:$A, 0))</f>
        <v>0</v>
      </c>
      <c r="I102" s="44">
        <f>INDEX(Displacements!D:D, MATCH(Summary!$C102, Displacements!$A:$A, 0))</f>
        <v>0</v>
      </c>
      <c r="J102" s="42">
        <f t="shared" si="2"/>
        <v>0.5</v>
      </c>
      <c r="K102" s="49">
        <f t="shared" si="3"/>
        <v>1</v>
      </c>
      <c r="L102" s="54">
        <f>INDEX('Forces+Stresses'!C:C, MATCH(Summary!$A102, 'Forces+Stresses'!$A:$A, 0))</f>
        <v>-1733</v>
      </c>
      <c r="M102" s="55">
        <f>INDEX('Forces+Stresses'!D:D, MATCH(Summary!$A102, 'Forces+Stresses'!$A:$A, 0))</f>
        <v>-1733</v>
      </c>
      <c r="N102" s="55">
        <f>IFERROR(INDEX('Forces+Stresses'!Q:Q, MATCH(Summary!$A102, 'Forces+Stresses'!$A:$A, 0)), INDEX(Flexjoints!D:D, MATCH(Summary!$A102, Flexjoints!$A:$A, 0)))</f>
        <v>2.5070000000000004E-7</v>
      </c>
      <c r="O102" s="56">
        <f>IFERROR(INDEX('Forces+Stresses'!R:R, MATCH(Summary!$A102, 'Forces+Stresses'!$A:$A, 0)), INDEX(Flexjoints!E:E, MATCH(Summary!$A102, Flexjoints!$A:$A, 0)))</f>
        <v>8.8289999999999997E-6</v>
      </c>
      <c r="P102" s="33" t="str">
        <f>IF(INDEX(Labels!B:B, MATCH(Summary!$A102, Labels!$A:$A, 0)) = 0, "", INDEX(Labels!B:B, MATCH(Summary!$A102, Labels!$A:$A, 0)))</f>
        <v>{Conductor Soil String}</v>
      </c>
      <c r="Q102" s="35" t="str">
        <f>IF(INDEX(Labels!C:C, MATCH(Summary!$A102, Labels!$A:$A, 0)) = 0, "", INDEX(Labels!C:C, MATCH(Summary!$A102, Labels!$A:$A, 0)))</f>
        <v>{Cond 36x2in}</v>
      </c>
      <c r="R102" s="33" t="str">
        <f>IF(INDEX(Labels!D:D, MATCH(Summary!$A102, Labels!$A:$A, 0)) = 0, "", INDEX(Labels!D:D, MATCH(Summary!$A102, Labels!$A:$A, 0)))</f>
        <v/>
      </c>
      <c r="S102" s="35" t="str">
        <f>IF(INDEX(Labels!E:E, MATCH(Summary!$A102, Labels!$A:$A, 0)) = 0, "", INDEX(Labels!E:E, MATCH(Summary!$A102, Labels!$A:$A, 0)))</f>
        <v/>
      </c>
      <c r="T102" s="33" t="str">
        <f>IF(INDEX(Labels!F:F, MATCH(Summary!$A102, Labels!$A:$A, 0)) = 0, "", INDEX(Labels!F:F, MATCH(Summary!$A102, Labels!$A:$A, 0)))</f>
        <v/>
      </c>
      <c r="U102" s="35" t="str">
        <f>IF(INDEX(Labels!G:G, MATCH(Summary!$A102, Labels!$A:$A, 0)) = 0, "", INDEX(Labels!G:G, MATCH(Summary!$A102, Labels!$A:$A, 0)))</f>
        <v/>
      </c>
      <c r="V102" s="62" t="str">
        <f>IF(INDEX(Labels!H:H, MATCH(Summary!$A102, Labels!$A:$A, 0)) = 0, "", INDEX(Labels!H:H, MATCH(Summary!$A102, Labels!$A:$A, 0)))</f>
        <v/>
      </c>
      <c r="W102" t="str">
        <f>IF(INDEX(Labels!I:I, MATCH(Summary!$A102, Labels!$A:$A, 0)) = 0, "", INDEX(Labels!I:I, MATCH(Summary!$A102, Labels!$A:$A, 0)))</f>
        <v/>
      </c>
      <c r="X102" t="str">
        <f>IF(INDEX(Labels!J:J, MATCH(Summary!$A102, Labels!$A:$A, 0)) = 0, "", INDEX(Labels!J:J, MATCH(Summary!$A102, Labels!$A:$A, 0)))</f>
        <v/>
      </c>
    </row>
    <row r="103" spans="1:24" x14ac:dyDescent="0.2">
      <c r="A103" s="33">
        <f>Labels!A104</f>
        <v>97</v>
      </c>
      <c r="B103" s="34">
        <f>INDEX(EchoData!B:B, MATCH(Summary!$A103, EchoData!$A:$A, 0))</f>
        <v>97</v>
      </c>
      <c r="C103" s="35">
        <f>INDEX(EchoData!C:C, MATCH(Summary!$A103, EchoData!$A:$A, 0))</f>
        <v>98</v>
      </c>
      <c r="D103" s="42">
        <f>INDEX(Displacements!B:B, MATCH(Summary!$B103, Displacements!$A:$A, 0))</f>
        <v>-6</v>
      </c>
      <c r="E103" s="43">
        <f>INDEX(Displacements!C:C, MATCH(Summary!$B103, Displacements!$A:$A, 0))</f>
        <v>0</v>
      </c>
      <c r="F103" s="44">
        <f>INDEX(Displacements!D:D, MATCH(Summary!$B103, Displacements!$A:$A, 0))</f>
        <v>0</v>
      </c>
      <c r="G103" s="42">
        <f>INDEX(Displacements!B:B, MATCH(Summary!$C103, Displacements!$A:$A, 0))</f>
        <v>-5.5</v>
      </c>
      <c r="H103" s="43">
        <f>INDEX(Displacements!C:C, MATCH(Summary!$C103, Displacements!$A:$A, 0))</f>
        <v>0</v>
      </c>
      <c r="I103" s="44">
        <f>INDEX(Displacements!D:D, MATCH(Summary!$C103, Displacements!$A:$A, 0))</f>
        <v>0</v>
      </c>
      <c r="J103" s="42">
        <f t="shared" si="2"/>
        <v>0.5</v>
      </c>
      <c r="K103" s="49">
        <f t="shared" si="3"/>
        <v>1</v>
      </c>
      <c r="L103" s="54">
        <f>INDEX('Forces+Stresses'!C:C, MATCH(Summary!$A103, 'Forces+Stresses'!$A:$A, 0))</f>
        <v>-1728</v>
      </c>
      <c r="M103" s="55">
        <f>INDEX('Forces+Stresses'!D:D, MATCH(Summary!$A103, 'Forces+Stresses'!$A:$A, 0))</f>
        <v>-1728</v>
      </c>
      <c r="N103" s="55">
        <f>IFERROR(INDEX('Forces+Stresses'!Q:Q, MATCH(Summary!$A103, 'Forces+Stresses'!$A:$A, 0)), INDEX(Flexjoints!D:D, MATCH(Summary!$A103, Flexjoints!$A:$A, 0)))</f>
        <v>2.678E-7</v>
      </c>
      <c r="O103" s="56">
        <f>IFERROR(INDEX('Forces+Stresses'!R:R, MATCH(Summary!$A103, 'Forces+Stresses'!$A:$A, 0)), INDEX(Flexjoints!E:E, MATCH(Summary!$A103, Flexjoints!$A:$A, 0)))</f>
        <v>9.4509999999999998E-6</v>
      </c>
      <c r="P103" s="33" t="str">
        <f>IF(INDEX(Labels!B:B, MATCH(Summary!$A103, Labels!$A:$A, 0)) = 0, "", INDEX(Labels!B:B, MATCH(Summary!$A103, Labels!$A:$A, 0)))</f>
        <v>{Conductor Soil String}</v>
      </c>
      <c r="Q103" s="35" t="str">
        <f>IF(INDEX(Labels!C:C, MATCH(Summary!$A103, Labels!$A:$A, 0)) = 0, "", INDEX(Labels!C:C, MATCH(Summary!$A103, Labels!$A:$A, 0)))</f>
        <v>{Cond 36x2in}</v>
      </c>
      <c r="R103" s="33" t="str">
        <f>IF(INDEX(Labels!D:D, MATCH(Summary!$A103, Labels!$A:$A, 0)) = 0, "", INDEX(Labels!D:D, MATCH(Summary!$A103, Labels!$A:$A, 0)))</f>
        <v/>
      </c>
      <c r="S103" s="35" t="str">
        <f>IF(INDEX(Labels!E:E, MATCH(Summary!$A103, Labels!$A:$A, 0)) = 0, "", INDEX(Labels!E:E, MATCH(Summary!$A103, Labels!$A:$A, 0)))</f>
        <v/>
      </c>
      <c r="T103" s="33" t="str">
        <f>IF(INDEX(Labels!F:F, MATCH(Summary!$A103, Labels!$A:$A, 0)) = 0, "", INDEX(Labels!F:F, MATCH(Summary!$A103, Labels!$A:$A, 0)))</f>
        <v/>
      </c>
      <c r="U103" s="35" t="str">
        <f>IF(INDEX(Labels!G:G, MATCH(Summary!$A103, Labels!$A:$A, 0)) = 0, "", INDEX(Labels!G:G, MATCH(Summary!$A103, Labels!$A:$A, 0)))</f>
        <v/>
      </c>
      <c r="V103" s="62" t="str">
        <f>IF(INDEX(Labels!H:H, MATCH(Summary!$A103, Labels!$A:$A, 0)) = 0, "", INDEX(Labels!H:H, MATCH(Summary!$A103, Labels!$A:$A, 0)))</f>
        <v/>
      </c>
      <c r="W103" t="str">
        <f>IF(INDEX(Labels!I:I, MATCH(Summary!$A103, Labels!$A:$A, 0)) = 0, "", INDEX(Labels!I:I, MATCH(Summary!$A103, Labels!$A:$A, 0)))</f>
        <v/>
      </c>
      <c r="X103" t="str">
        <f>IF(INDEX(Labels!J:J, MATCH(Summary!$A103, Labels!$A:$A, 0)) = 0, "", INDEX(Labels!J:J, MATCH(Summary!$A103, Labels!$A:$A, 0)))</f>
        <v/>
      </c>
    </row>
    <row r="104" spans="1:24" x14ac:dyDescent="0.2">
      <c r="A104" s="33">
        <f>Labels!A105</f>
        <v>98</v>
      </c>
      <c r="B104" s="34">
        <f>INDEX(EchoData!B:B, MATCH(Summary!$A104, EchoData!$A:$A, 0))</f>
        <v>98</v>
      </c>
      <c r="C104" s="35">
        <f>INDEX(EchoData!C:C, MATCH(Summary!$A104, EchoData!$A:$A, 0))</f>
        <v>99</v>
      </c>
      <c r="D104" s="42">
        <f>INDEX(Displacements!B:B, MATCH(Summary!$B104, Displacements!$A:$A, 0))</f>
        <v>-5.5</v>
      </c>
      <c r="E104" s="43">
        <f>INDEX(Displacements!C:C, MATCH(Summary!$B104, Displacements!$A:$A, 0))</f>
        <v>0</v>
      </c>
      <c r="F104" s="44">
        <f>INDEX(Displacements!D:D, MATCH(Summary!$B104, Displacements!$A:$A, 0))</f>
        <v>0</v>
      </c>
      <c r="G104" s="42">
        <f>INDEX(Displacements!B:B, MATCH(Summary!$C104, Displacements!$A:$A, 0))</f>
        <v>-5</v>
      </c>
      <c r="H104" s="43">
        <f>INDEX(Displacements!C:C, MATCH(Summary!$C104, Displacements!$A:$A, 0))</f>
        <v>0</v>
      </c>
      <c r="I104" s="44">
        <f>INDEX(Displacements!D:D, MATCH(Summary!$C104, Displacements!$A:$A, 0))</f>
        <v>0</v>
      </c>
      <c r="J104" s="42">
        <f t="shared" si="2"/>
        <v>0.5</v>
      </c>
      <c r="K104" s="49">
        <f t="shared" si="3"/>
        <v>1</v>
      </c>
      <c r="L104" s="54">
        <f>INDEX('Forces+Stresses'!C:C, MATCH(Summary!$A104, 'Forces+Stresses'!$A:$A, 0))</f>
        <v>-1723</v>
      </c>
      <c r="M104" s="55">
        <f>INDEX('Forces+Stresses'!D:D, MATCH(Summary!$A104, 'Forces+Stresses'!$A:$A, 0))</f>
        <v>-1723</v>
      </c>
      <c r="N104" s="55">
        <f>IFERROR(INDEX('Forces+Stresses'!Q:Q, MATCH(Summary!$A104, 'Forces+Stresses'!$A:$A, 0)), INDEX(Flexjoints!D:D, MATCH(Summary!$A104, Flexjoints!$A:$A, 0)))</f>
        <v>2.8459999999999999E-7</v>
      </c>
      <c r="O104" s="56">
        <f>IFERROR(INDEX('Forces+Stresses'!R:R, MATCH(Summary!$A104, 'Forces+Stresses'!$A:$A, 0)), INDEX(Flexjoints!E:E, MATCH(Summary!$A104, Flexjoints!$A:$A, 0)))</f>
        <v>1.007E-5</v>
      </c>
      <c r="P104" s="33" t="str">
        <f>IF(INDEX(Labels!B:B, MATCH(Summary!$A104, Labels!$A:$A, 0)) = 0, "", INDEX(Labels!B:B, MATCH(Summary!$A104, Labels!$A:$A, 0)))</f>
        <v>{Conductor Soil String}</v>
      </c>
      <c r="Q104" s="35" t="str">
        <f>IF(INDEX(Labels!C:C, MATCH(Summary!$A104, Labels!$A:$A, 0)) = 0, "", INDEX(Labels!C:C, MATCH(Summary!$A104, Labels!$A:$A, 0)))</f>
        <v>{Cond 36x2in}</v>
      </c>
      <c r="R104" s="33" t="str">
        <f>IF(INDEX(Labels!D:D, MATCH(Summary!$A104, Labels!$A:$A, 0)) = 0, "", INDEX(Labels!D:D, MATCH(Summary!$A104, Labels!$A:$A, 0)))</f>
        <v/>
      </c>
      <c r="S104" s="35" t="str">
        <f>IF(INDEX(Labels!E:E, MATCH(Summary!$A104, Labels!$A:$A, 0)) = 0, "", INDEX(Labels!E:E, MATCH(Summary!$A104, Labels!$A:$A, 0)))</f>
        <v/>
      </c>
      <c r="T104" s="33" t="str">
        <f>IF(INDEX(Labels!F:F, MATCH(Summary!$A104, Labels!$A:$A, 0)) = 0, "", INDEX(Labels!F:F, MATCH(Summary!$A104, Labels!$A:$A, 0)))</f>
        <v/>
      </c>
      <c r="U104" s="35" t="str">
        <f>IF(INDEX(Labels!G:G, MATCH(Summary!$A104, Labels!$A:$A, 0)) = 0, "", INDEX(Labels!G:G, MATCH(Summary!$A104, Labels!$A:$A, 0)))</f>
        <v/>
      </c>
      <c r="V104" s="62" t="str">
        <f>IF(INDEX(Labels!H:H, MATCH(Summary!$A104, Labels!$A:$A, 0)) = 0, "", INDEX(Labels!H:H, MATCH(Summary!$A104, Labels!$A:$A, 0)))</f>
        <v/>
      </c>
      <c r="W104" t="str">
        <f>IF(INDEX(Labels!I:I, MATCH(Summary!$A104, Labels!$A:$A, 0)) = 0, "", INDEX(Labels!I:I, MATCH(Summary!$A104, Labels!$A:$A, 0)))</f>
        <v/>
      </c>
      <c r="X104" t="str">
        <f>IF(INDEX(Labels!J:J, MATCH(Summary!$A104, Labels!$A:$A, 0)) = 0, "", INDEX(Labels!J:J, MATCH(Summary!$A104, Labels!$A:$A, 0)))</f>
        <v/>
      </c>
    </row>
    <row r="105" spans="1:24" x14ac:dyDescent="0.2">
      <c r="A105" s="33">
        <f>Labels!A106</f>
        <v>99</v>
      </c>
      <c r="B105" s="34">
        <f>INDEX(EchoData!B:B, MATCH(Summary!$A105, EchoData!$A:$A, 0))</f>
        <v>99</v>
      </c>
      <c r="C105" s="35">
        <f>INDEX(EchoData!C:C, MATCH(Summary!$A105, EchoData!$A:$A, 0))</f>
        <v>100</v>
      </c>
      <c r="D105" s="42">
        <f>INDEX(Displacements!B:B, MATCH(Summary!$B105, Displacements!$A:$A, 0))</f>
        <v>-5</v>
      </c>
      <c r="E105" s="43">
        <f>INDEX(Displacements!C:C, MATCH(Summary!$B105, Displacements!$A:$A, 0))</f>
        <v>0</v>
      </c>
      <c r="F105" s="44">
        <f>INDEX(Displacements!D:D, MATCH(Summary!$B105, Displacements!$A:$A, 0))</f>
        <v>0</v>
      </c>
      <c r="G105" s="42">
        <f>INDEX(Displacements!B:B, MATCH(Summary!$C105, Displacements!$A:$A, 0))</f>
        <v>-4.5</v>
      </c>
      <c r="H105" s="43">
        <f>INDEX(Displacements!C:C, MATCH(Summary!$C105, Displacements!$A:$A, 0))</f>
        <v>0</v>
      </c>
      <c r="I105" s="44">
        <f>INDEX(Displacements!D:D, MATCH(Summary!$C105, Displacements!$A:$A, 0))</f>
        <v>0</v>
      </c>
      <c r="J105" s="42">
        <f t="shared" si="2"/>
        <v>0.5</v>
      </c>
      <c r="K105" s="49">
        <f t="shared" si="3"/>
        <v>1</v>
      </c>
      <c r="L105" s="54">
        <f>INDEX('Forces+Stresses'!C:C, MATCH(Summary!$A105, 'Forces+Stresses'!$A:$A, 0))</f>
        <v>-1719</v>
      </c>
      <c r="M105" s="55">
        <f>INDEX('Forces+Stresses'!D:D, MATCH(Summary!$A105, 'Forces+Stresses'!$A:$A, 0))</f>
        <v>-1719</v>
      </c>
      <c r="N105" s="55">
        <f>IFERROR(INDEX('Forces+Stresses'!Q:Q, MATCH(Summary!$A105, 'Forces+Stresses'!$A:$A, 0)), INDEX(Flexjoints!D:D, MATCH(Summary!$A105, Flexjoints!$A:$A, 0)))</f>
        <v>3.0079999999999999E-7</v>
      </c>
      <c r="O105" s="56">
        <f>IFERROR(INDEX('Forces+Stresses'!R:R, MATCH(Summary!$A105, 'Forces+Stresses'!$A:$A, 0)), INDEX(Flexjoints!E:E, MATCH(Summary!$A105, Flexjoints!$A:$A, 0)))</f>
        <v>1.0670000000000001E-5</v>
      </c>
      <c r="P105" s="33" t="str">
        <f>IF(INDEX(Labels!B:B, MATCH(Summary!$A105, Labels!$A:$A, 0)) = 0, "", INDEX(Labels!B:B, MATCH(Summary!$A105, Labels!$A:$A, 0)))</f>
        <v>{Conductor Soil String}</v>
      </c>
      <c r="Q105" s="35" t="str">
        <f>IF(INDEX(Labels!C:C, MATCH(Summary!$A105, Labels!$A:$A, 0)) = 0, "", INDEX(Labels!C:C, MATCH(Summary!$A105, Labels!$A:$A, 0)))</f>
        <v>{Cond 36x2in}</v>
      </c>
      <c r="R105" s="33" t="str">
        <f>IF(INDEX(Labels!D:D, MATCH(Summary!$A105, Labels!$A:$A, 0)) = 0, "", INDEX(Labels!D:D, MATCH(Summary!$A105, Labels!$A:$A, 0)))</f>
        <v/>
      </c>
      <c r="S105" s="35" t="str">
        <f>IF(INDEX(Labels!E:E, MATCH(Summary!$A105, Labels!$A:$A, 0)) = 0, "", INDEX(Labels!E:E, MATCH(Summary!$A105, Labels!$A:$A, 0)))</f>
        <v/>
      </c>
      <c r="T105" s="33" t="str">
        <f>IF(INDEX(Labels!F:F, MATCH(Summary!$A105, Labels!$A:$A, 0)) = 0, "", INDEX(Labels!F:F, MATCH(Summary!$A105, Labels!$A:$A, 0)))</f>
        <v/>
      </c>
      <c r="U105" s="35" t="str">
        <f>IF(INDEX(Labels!G:G, MATCH(Summary!$A105, Labels!$A:$A, 0)) = 0, "", INDEX(Labels!G:G, MATCH(Summary!$A105, Labels!$A:$A, 0)))</f>
        <v/>
      </c>
      <c r="V105" s="62" t="str">
        <f>IF(INDEX(Labels!H:H, MATCH(Summary!$A105, Labels!$A:$A, 0)) = 0, "", INDEX(Labels!H:H, MATCH(Summary!$A105, Labels!$A:$A, 0)))</f>
        <v/>
      </c>
      <c r="W105" t="str">
        <f>IF(INDEX(Labels!I:I, MATCH(Summary!$A105, Labels!$A:$A, 0)) = 0, "", INDEX(Labels!I:I, MATCH(Summary!$A105, Labels!$A:$A, 0)))</f>
        <v/>
      </c>
      <c r="X105" t="str">
        <f>IF(INDEX(Labels!J:J, MATCH(Summary!$A105, Labels!$A:$A, 0)) = 0, "", INDEX(Labels!J:J, MATCH(Summary!$A105, Labels!$A:$A, 0)))</f>
        <v/>
      </c>
    </row>
    <row r="106" spans="1:24" x14ac:dyDescent="0.2">
      <c r="A106" s="33">
        <f>Labels!A107</f>
        <v>100</v>
      </c>
      <c r="B106" s="34">
        <f>INDEX(EchoData!B:B, MATCH(Summary!$A106, EchoData!$A:$A, 0))</f>
        <v>100</v>
      </c>
      <c r="C106" s="35">
        <f>INDEX(EchoData!C:C, MATCH(Summary!$A106, EchoData!$A:$A, 0))</f>
        <v>101</v>
      </c>
      <c r="D106" s="42">
        <f>INDEX(Displacements!B:B, MATCH(Summary!$B106, Displacements!$A:$A, 0))</f>
        <v>-4.5</v>
      </c>
      <c r="E106" s="43">
        <f>INDEX(Displacements!C:C, MATCH(Summary!$B106, Displacements!$A:$A, 0))</f>
        <v>0</v>
      </c>
      <c r="F106" s="44">
        <f>INDEX(Displacements!D:D, MATCH(Summary!$B106, Displacements!$A:$A, 0))</f>
        <v>0</v>
      </c>
      <c r="G106" s="42">
        <f>INDEX(Displacements!B:B, MATCH(Summary!$C106, Displacements!$A:$A, 0))</f>
        <v>-4</v>
      </c>
      <c r="H106" s="43">
        <f>INDEX(Displacements!C:C, MATCH(Summary!$C106, Displacements!$A:$A, 0))</f>
        <v>0</v>
      </c>
      <c r="I106" s="44">
        <f>INDEX(Displacements!D:D, MATCH(Summary!$C106, Displacements!$A:$A, 0))</f>
        <v>0</v>
      </c>
      <c r="J106" s="42">
        <f t="shared" si="2"/>
        <v>0.5</v>
      </c>
      <c r="K106" s="49">
        <f t="shared" si="3"/>
        <v>1</v>
      </c>
      <c r="L106" s="54">
        <f>INDEX('Forces+Stresses'!C:C, MATCH(Summary!$A106, 'Forces+Stresses'!$A:$A, 0))</f>
        <v>-1714</v>
      </c>
      <c r="M106" s="55">
        <f>INDEX('Forces+Stresses'!D:D, MATCH(Summary!$A106, 'Forces+Stresses'!$A:$A, 0))</f>
        <v>-1714</v>
      </c>
      <c r="N106" s="55">
        <f>IFERROR(INDEX('Forces+Stresses'!Q:Q, MATCH(Summary!$A106, 'Forces+Stresses'!$A:$A, 0)), INDEX(Flexjoints!D:D, MATCH(Summary!$A106, Flexjoints!$A:$A, 0)))</f>
        <v>3.1619999999999999E-7</v>
      </c>
      <c r="O106" s="56">
        <f>IFERROR(INDEX('Forces+Stresses'!R:R, MATCH(Summary!$A106, 'Forces+Stresses'!$A:$A, 0)), INDEX(Flexjoints!E:E, MATCH(Summary!$A106, Flexjoints!$A:$A, 0)))</f>
        <v>1.1240000000000001E-5</v>
      </c>
      <c r="P106" s="33" t="str">
        <f>IF(INDEX(Labels!B:B, MATCH(Summary!$A106, Labels!$A:$A, 0)) = 0, "", INDEX(Labels!B:B, MATCH(Summary!$A106, Labels!$A:$A, 0)))</f>
        <v>{Conductor Soil String}</v>
      </c>
      <c r="Q106" s="35" t="str">
        <f>IF(INDEX(Labels!C:C, MATCH(Summary!$A106, Labels!$A:$A, 0)) = 0, "", INDEX(Labels!C:C, MATCH(Summary!$A106, Labels!$A:$A, 0)))</f>
        <v>{Cond 36x2in}</v>
      </c>
      <c r="R106" s="33" t="str">
        <f>IF(INDEX(Labels!D:D, MATCH(Summary!$A106, Labels!$A:$A, 0)) = 0, "", INDEX(Labels!D:D, MATCH(Summary!$A106, Labels!$A:$A, 0)))</f>
        <v/>
      </c>
      <c r="S106" s="35" t="str">
        <f>IF(INDEX(Labels!E:E, MATCH(Summary!$A106, Labels!$A:$A, 0)) = 0, "", INDEX(Labels!E:E, MATCH(Summary!$A106, Labels!$A:$A, 0)))</f>
        <v/>
      </c>
      <c r="T106" s="33" t="str">
        <f>IF(INDEX(Labels!F:F, MATCH(Summary!$A106, Labels!$A:$A, 0)) = 0, "", INDEX(Labels!F:F, MATCH(Summary!$A106, Labels!$A:$A, 0)))</f>
        <v/>
      </c>
      <c r="U106" s="35" t="str">
        <f>IF(INDEX(Labels!G:G, MATCH(Summary!$A106, Labels!$A:$A, 0)) = 0, "", INDEX(Labels!G:G, MATCH(Summary!$A106, Labels!$A:$A, 0)))</f>
        <v/>
      </c>
      <c r="V106" s="62" t="str">
        <f>IF(INDEX(Labels!H:H, MATCH(Summary!$A106, Labels!$A:$A, 0)) = 0, "", INDEX(Labels!H:H, MATCH(Summary!$A106, Labels!$A:$A, 0)))</f>
        <v/>
      </c>
      <c r="W106" t="str">
        <f>IF(INDEX(Labels!I:I, MATCH(Summary!$A106, Labels!$A:$A, 0)) = 0, "", INDEX(Labels!I:I, MATCH(Summary!$A106, Labels!$A:$A, 0)))</f>
        <v/>
      </c>
      <c r="X106" t="str">
        <f>IF(INDEX(Labels!J:J, MATCH(Summary!$A106, Labels!$A:$A, 0)) = 0, "", INDEX(Labels!J:J, MATCH(Summary!$A106, Labels!$A:$A, 0)))</f>
        <v/>
      </c>
    </row>
    <row r="107" spans="1:24" x14ac:dyDescent="0.2">
      <c r="A107" s="33">
        <f>Labels!A108</f>
        <v>101</v>
      </c>
      <c r="B107" s="34">
        <f>INDEX(EchoData!B:B, MATCH(Summary!$A107, EchoData!$A:$A, 0))</f>
        <v>101</v>
      </c>
      <c r="C107" s="35">
        <f>INDEX(EchoData!C:C, MATCH(Summary!$A107, EchoData!$A:$A, 0))</f>
        <v>102</v>
      </c>
      <c r="D107" s="42">
        <f>INDEX(Displacements!B:B, MATCH(Summary!$B107, Displacements!$A:$A, 0))</f>
        <v>-4</v>
      </c>
      <c r="E107" s="43">
        <f>INDEX(Displacements!C:C, MATCH(Summary!$B107, Displacements!$A:$A, 0))</f>
        <v>0</v>
      </c>
      <c r="F107" s="44">
        <f>INDEX(Displacements!D:D, MATCH(Summary!$B107, Displacements!$A:$A, 0))</f>
        <v>0</v>
      </c>
      <c r="G107" s="42">
        <f>INDEX(Displacements!B:B, MATCH(Summary!$C107, Displacements!$A:$A, 0))</f>
        <v>-3.5</v>
      </c>
      <c r="H107" s="43">
        <f>INDEX(Displacements!C:C, MATCH(Summary!$C107, Displacements!$A:$A, 0))</f>
        <v>0</v>
      </c>
      <c r="I107" s="44">
        <f>INDEX(Displacements!D:D, MATCH(Summary!$C107, Displacements!$A:$A, 0))</f>
        <v>0</v>
      </c>
      <c r="J107" s="42">
        <f t="shared" si="2"/>
        <v>0.5</v>
      </c>
      <c r="K107" s="49">
        <f t="shared" si="3"/>
        <v>1</v>
      </c>
      <c r="L107" s="54">
        <f>INDEX('Forces+Stresses'!C:C, MATCH(Summary!$A107, 'Forces+Stresses'!$A:$A, 0))</f>
        <v>-1709</v>
      </c>
      <c r="M107" s="55">
        <f>INDEX('Forces+Stresses'!D:D, MATCH(Summary!$A107, 'Forces+Stresses'!$A:$A, 0))</f>
        <v>-1709</v>
      </c>
      <c r="N107" s="55">
        <f>IFERROR(INDEX('Forces+Stresses'!Q:Q, MATCH(Summary!$A107, 'Forces+Stresses'!$A:$A, 0)), INDEX(Flexjoints!D:D, MATCH(Summary!$A107, Flexjoints!$A:$A, 0)))</f>
        <v>3.4540000000000001E-7</v>
      </c>
      <c r="O107" s="56">
        <f>IFERROR(INDEX('Forces+Stresses'!R:R, MATCH(Summary!$A107, 'Forces+Stresses'!$A:$A, 0)), INDEX(Flexjoints!E:E, MATCH(Summary!$A107, Flexjoints!$A:$A, 0)))</f>
        <v>1.2630000000000001E-5</v>
      </c>
      <c r="P107" s="33" t="str">
        <f>IF(INDEX(Labels!B:B, MATCH(Summary!$A107, Labels!$A:$A, 0)) = 0, "", INDEX(Labels!B:B, MATCH(Summary!$A107, Labels!$A:$A, 0)))</f>
        <v>{Conductor Soil String}</v>
      </c>
      <c r="Q107" s="35" t="str">
        <f>IF(INDEX(Labels!C:C, MATCH(Summary!$A107, Labels!$A:$A, 0)) = 0, "", INDEX(Labels!C:C, MATCH(Summary!$A107, Labels!$A:$A, 0)))</f>
        <v>{Cond 36x2in}</v>
      </c>
      <c r="R107" s="33" t="str">
        <f>IF(INDEX(Labels!D:D, MATCH(Summary!$A107, Labels!$A:$A, 0)) = 0, "", INDEX(Labels!D:D, MATCH(Summary!$A107, Labels!$A:$A, 0)))</f>
        <v/>
      </c>
      <c r="S107" s="35" t="str">
        <f>IF(INDEX(Labels!E:E, MATCH(Summary!$A107, Labels!$A:$A, 0)) = 0, "", INDEX(Labels!E:E, MATCH(Summary!$A107, Labels!$A:$A, 0)))</f>
        <v/>
      </c>
      <c r="T107" s="33" t="str">
        <f>IF(INDEX(Labels!F:F, MATCH(Summary!$A107, Labels!$A:$A, 0)) = 0, "", INDEX(Labels!F:F, MATCH(Summary!$A107, Labels!$A:$A, 0)))</f>
        <v/>
      </c>
      <c r="U107" s="35" t="str">
        <f>IF(INDEX(Labels!G:G, MATCH(Summary!$A107, Labels!$A:$A, 0)) = 0, "", INDEX(Labels!G:G, MATCH(Summary!$A107, Labels!$A:$A, 0)))</f>
        <v/>
      </c>
      <c r="V107" s="62" t="str">
        <f>IF(INDEX(Labels!H:H, MATCH(Summary!$A107, Labels!$A:$A, 0)) = 0, "", INDEX(Labels!H:H, MATCH(Summary!$A107, Labels!$A:$A, 0)))</f>
        <v/>
      </c>
      <c r="W107" t="str">
        <f>IF(INDEX(Labels!I:I, MATCH(Summary!$A107, Labels!$A:$A, 0)) = 0, "", INDEX(Labels!I:I, MATCH(Summary!$A107, Labels!$A:$A, 0)))</f>
        <v/>
      </c>
      <c r="X107" t="str">
        <f>IF(INDEX(Labels!J:J, MATCH(Summary!$A107, Labels!$A:$A, 0)) = 0, "", INDEX(Labels!J:J, MATCH(Summary!$A107, Labels!$A:$A, 0)))</f>
        <v/>
      </c>
    </row>
    <row r="108" spans="1:24" x14ac:dyDescent="0.2">
      <c r="A108" s="33">
        <f>Labels!A109</f>
        <v>102</v>
      </c>
      <c r="B108" s="34">
        <f>INDEX(EchoData!B:B, MATCH(Summary!$A108, EchoData!$A:$A, 0))</f>
        <v>102</v>
      </c>
      <c r="C108" s="35">
        <f>INDEX(EchoData!C:C, MATCH(Summary!$A108, EchoData!$A:$A, 0))</f>
        <v>103</v>
      </c>
      <c r="D108" s="42">
        <f>INDEX(Displacements!B:B, MATCH(Summary!$B108, Displacements!$A:$A, 0))</f>
        <v>-3.5</v>
      </c>
      <c r="E108" s="43">
        <f>INDEX(Displacements!C:C, MATCH(Summary!$B108, Displacements!$A:$A, 0))</f>
        <v>0</v>
      </c>
      <c r="F108" s="44">
        <f>INDEX(Displacements!D:D, MATCH(Summary!$B108, Displacements!$A:$A, 0))</f>
        <v>0</v>
      </c>
      <c r="G108" s="42">
        <f>INDEX(Displacements!B:B, MATCH(Summary!$C108, Displacements!$A:$A, 0))</f>
        <v>-3</v>
      </c>
      <c r="H108" s="43">
        <f>INDEX(Displacements!C:C, MATCH(Summary!$C108, Displacements!$A:$A, 0))</f>
        <v>0</v>
      </c>
      <c r="I108" s="44">
        <f>INDEX(Displacements!D:D, MATCH(Summary!$C108, Displacements!$A:$A, 0))</f>
        <v>0</v>
      </c>
      <c r="J108" s="42">
        <f t="shared" si="2"/>
        <v>0.5</v>
      </c>
      <c r="K108" s="49">
        <f t="shared" si="3"/>
        <v>1</v>
      </c>
      <c r="L108" s="54">
        <f>INDEX('Forces+Stresses'!C:C, MATCH(Summary!$A108, 'Forces+Stresses'!$A:$A, 0))</f>
        <v>-1705</v>
      </c>
      <c r="M108" s="55">
        <f>INDEX('Forces+Stresses'!D:D, MATCH(Summary!$A108, 'Forces+Stresses'!$A:$A, 0))</f>
        <v>-1705</v>
      </c>
      <c r="N108" s="55">
        <f>IFERROR(INDEX('Forces+Stresses'!Q:Q, MATCH(Summary!$A108, 'Forces+Stresses'!$A:$A, 0)), INDEX(Flexjoints!D:D, MATCH(Summary!$A108, Flexjoints!$A:$A, 0)))</f>
        <v>3.7800000000000002E-7</v>
      </c>
      <c r="O108" s="56">
        <f>IFERROR(INDEX('Forces+Stresses'!R:R, MATCH(Summary!$A108, 'Forces+Stresses'!$A:$A, 0)), INDEX(Flexjoints!E:E, MATCH(Summary!$A108, Flexjoints!$A:$A, 0)))</f>
        <v>1.4370000000000001E-5</v>
      </c>
      <c r="P108" s="33" t="str">
        <f>IF(INDEX(Labels!B:B, MATCH(Summary!$A108, Labels!$A:$A, 0)) = 0, "", INDEX(Labels!B:B, MATCH(Summary!$A108, Labels!$A:$A, 0)))</f>
        <v>{Conductor Soil String}</v>
      </c>
      <c r="Q108" s="35" t="str">
        <f>IF(INDEX(Labels!C:C, MATCH(Summary!$A108, Labels!$A:$A, 0)) = 0, "", INDEX(Labels!C:C, MATCH(Summary!$A108, Labels!$A:$A, 0)))</f>
        <v>{Cond 36x2in}</v>
      </c>
      <c r="R108" s="33" t="str">
        <f>IF(INDEX(Labels!D:D, MATCH(Summary!$A108, Labels!$A:$A, 0)) = 0, "", INDEX(Labels!D:D, MATCH(Summary!$A108, Labels!$A:$A, 0)))</f>
        <v/>
      </c>
      <c r="S108" s="35" t="str">
        <f>IF(INDEX(Labels!E:E, MATCH(Summary!$A108, Labels!$A:$A, 0)) = 0, "", INDEX(Labels!E:E, MATCH(Summary!$A108, Labels!$A:$A, 0)))</f>
        <v/>
      </c>
      <c r="T108" s="33" t="str">
        <f>IF(INDEX(Labels!F:F, MATCH(Summary!$A108, Labels!$A:$A, 0)) = 0, "", INDEX(Labels!F:F, MATCH(Summary!$A108, Labels!$A:$A, 0)))</f>
        <v/>
      </c>
      <c r="U108" s="35" t="str">
        <f>IF(INDEX(Labels!G:G, MATCH(Summary!$A108, Labels!$A:$A, 0)) = 0, "", INDEX(Labels!G:G, MATCH(Summary!$A108, Labels!$A:$A, 0)))</f>
        <v/>
      </c>
      <c r="V108" s="62" t="str">
        <f>IF(INDEX(Labels!H:H, MATCH(Summary!$A108, Labels!$A:$A, 0)) = 0, "", INDEX(Labels!H:H, MATCH(Summary!$A108, Labels!$A:$A, 0)))</f>
        <v/>
      </c>
      <c r="W108" t="str">
        <f>IF(INDEX(Labels!I:I, MATCH(Summary!$A108, Labels!$A:$A, 0)) = 0, "", INDEX(Labels!I:I, MATCH(Summary!$A108, Labels!$A:$A, 0)))</f>
        <v/>
      </c>
      <c r="X108" t="str">
        <f>IF(INDEX(Labels!J:J, MATCH(Summary!$A108, Labels!$A:$A, 0)) = 0, "", INDEX(Labels!J:J, MATCH(Summary!$A108, Labels!$A:$A, 0)))</f>
        <v/>
      </c>
    </row>
    <row r="109" spans="1:24" x14ac:dyDescent="0.2">
      <c r="A109" s="33">
        <f>Labels!A110</f>
        <v>103</v>
      </c>
      <c r="B109" s="34">
        <f>INDEX(EchoData!B:B, MATCH(Summary!$A109, EchoData!$A:$A, 0))</f>
        <v>103</v>
      </c>
      <c r="C109" s="35">
        <f>INDEX(EchoData!C:C, MATCH(Summary!$A109, EchoData!$A:$A, 0))</f>
        <v>104</v>
      </c>
      <c r="D109" s="42">
        <f>INDEX(Displacements!B:B, MATCH(Summary!$B109, Displacements!$A:$A, 0))</f>
        <v>-3</v>
      </c>
      <c r="E109" s="43">
        <f>INDEX(Displacements!C:C, MATCH(Summary!$B109, Displacements!$A:$A, 0))</f>
        <v>0</v>
      </c>
      <c r="F109" s="44">
        <f>INDEX(Displacements!D:D, MATCH(Summary!$B109, Displacements!$A:$A, 0))</f>
        <v>0</v>
      </c>
      <c r="G109" s="42">
        <f>INDEX(Displacements!B:B, MATCH(Summary!$C109, Displacements!$A:$A, 0))</f>
        <v>-2.5</v>
      </c>
      <c r="H109" s="43">
        <f>INDEX(Displacements!C:C, MATCH(Summary!$C109, Displacements!$A:$A, 0))</f>
        <v>0</v>
      </c>
      <c r="I109" s="44">
        <f>INDEX(Displacements!D:D, MATCH(Summary!$C109, Displacements!$A:$A, 0))</f>
        <v>0</v>
      </c>
      <c r="J109" s="42">
        <f t="shared" si="2"/>
        <v>0.5</v>
      </c>
      <c r="K109" s="49">
        <f t="shared" si="3"/>
        <v>1</v>
      </c>
      <c r="L109" s="54">
        <f>INDEX('Forces+Stresses'!C:C, MATCH(Summary!$A109, 'Forces+Stresses'!$A:$A, 0))</f>
        <v>-1700</v>
      </c>
      <c r="M109" s="55">
        <f>INDEX('Forces+Stresses'!D:D, MATCH(Summary!$A109, 'Forces+Stresses'!$A:$A, 0))</f>
        <v>-1700</v>
      </c>
      <c r="N109" s="55">
        <f>IFERROR(INDEX('Forces+Stresses'!Q:Q, MATCH(Summary!$A109, 'Forces+Stresses'!$A:$A, 0)), INDEX(Flexjoints!D:D, MATCH(Summary!$A109, Flexjoints!$A:$A, 0)))</f>
        <v>3.9970000000000001E-7</v>
      </c>
      <c r="O109" s="56">
        <f>IFERROR(INDEX('Forces+Stresses'!R:R, MATCH(Summary!$A109, 'Forces+Stresses'!$A:$A, 0)), INDEX(Flexjoints!E:E, MATCH(Summary!$A109, Flexjoints!$A:$A, 0)))</f>
        <v>1.594E-5</v>
      </c>
      <c r="P109" s="33" t="str">
        <f>IF(INDEX(Labels!B:B, MATCH(Summary!$A109, Labels!$A:$A, 0)) = 0, "", INDEX(Labels!B:B, MATCH(Summary!$A109, Labels!$A:$A, 0)))</f>
        <v>{Conductor Soil String}</v>
      </c>
      <c r="Q109" s="35" t="str">
        <f>IF(INDEX(Labels!C:C, MATCH(Summary!$A109, Labels!$A:$A, 0)) = 0, "", INDEX(Labels!C:C, MATCH(Summary!$A109, Labels!$A:$A, 0)))</f>
        <v>{Cond 36x2in}</v>
      </c>
      <c r="R109" s="33" t="str">
        <f>IF(INDEX(Labels!D:D, MATCH(Summary!$A109, Labels!$A:$A, 0)) = 0, "", INDEX(Labels!D:D, MATCH(Summary!$A109, Labels!$A:$A, 0)))</f>
        <v/>
      </c>
      <c r="S109" s="35" t="str">
        <f>IF(INDEX(Labels!E:E, MATCH(Summary!$A109, Labels!$A:$A, 0)) = 0, "", INDEX(Labels!E:E, MATCH(Summary!$A109, Labels!$A:$A, 0)))</f>
        <v/>
      </c>
      <c r="T109" s="33" t="str">
        <f>IF(INDEX(Labels!F:F, MATCH(Summary!$A109, Labels!$A:$A, 0)) = 0, "", INDEX(Labels!F:F, MATCH(Summary!$A109, Labels!$A:$A, 0)))</f>
        <v/>
      </c>
      <c r="U109" s="35" t="str">
        <f>IF(INDEX(Labels!G:G, MATCH(Summary!$A109, Labels!$A:$A, 0)) = 0, "", INDEX(Labels!G:G, MATCH(Summary!$A109, Labels!$A:$A, 0)))</f>
        <v/>
      </c>
      <c r="V109" s="62" t="str">
        <f>IF(INDEX(Labels!H:H, MATCH(Summary!$A109, Labels!$A:$A, 0)) = 0, "", INDEX(Labels!H:H, MATCH(Summary!$A109, Labels!$A:$A, 0)))</f>
        <v/>
      </c>
      <c r="W109" t="str">
        <f>IF(INDEX(Labels!I:I, MATCH(Summary!$A109, Labels!$A:$A, 0)) = 0, "", INDEX(Labels!I:I, MATCH(Summary!$A109, Labels!$A:$A, 0)))</f>
        <v/>
      </c>
      <c r="X109" t="str">
        <f>IF(INDEX(Labels!J:J, MATCH(Summary!$A109, Labels!$A:$A, 0)) = 0, "", INDEX(Labels!J:J, MATCH(Summary!$A109, Labels!$A:$A, 0)))</f>
        <v/>
      </c>
    </row>
    <row r="110" spans="1:24" x14ac:dyDescent="0.2">
      <c r="A110" s="33">
        <f>Labels!A111</f>
        <v>104</v>
      </c>
      <c r="B110" s="34">
        <f>INDEX(EchoData!B:B, MATCH(Summary!$A110, EchoData!$A:$A, 0))</f>
        <v>104</v>
      </c>
      <c r="C110" s="35">
        <f>INDEX(EchoData!C:C, MATCH(Summary!$A110, EchoData!$A:$A, 0))</f>
        <v>105</v>
      </c>
      <c r="D110" s="42">
        <f>INDEX(Displacements!B:B, MATCH(Summary!$B110, Displacements!$A:$A, 0))</f>
        <v>-2.5</v>
      </c>
      <c r="E110" s="43">
        <f>INDEX(Displacements!C:C, MATCH(Summary!$B110, Displacements!$A:$A, 0))</f>
        <v>0</v>
      </c>
      <c r="F110" s="44">
        <f>INDEX(Displacements!D:D, MATCH(Summary!$B110, Displacements!$A:$A, 0))</f>
        <v>0</v>
      </c>
      <c r="G110" s="42">
        <f>INDEX(Displacements!B:B, MATCH(Summary!$C110, Displacements!$A:$A, 0))</f>
        <v>-2</v>
      </c>
      <c r="H110" s="43">
        <f>INDEX(Displacements!C:C, MATCH(Summary!$C110, Displacements!$A:$A, 0))</f>
        <v>0</v>
      </c>
      <c r="I110" s="44">
        <f>INDEX(Displacements!D:D, MATCH(Summary!$C110, Displacements!$A:$A, 0))</f>
        <v>0</v>
      </c>
      <c r="J110" s="42">
        <f t="shared" si="2"/>
        <v>0.5</v>
      </c>
      <c r="K110" s="49">
        <f t="shared" si="3"/>
        <v>1</v>
      </c>
      <c r="L110" s="54">
        <f>INDEX('Forces+Stresses'!C:C, MATCH(Summary!$A110, 'Forces+Stresses'!$A:$A, 0))</f>
        <v>-1696</v>
      </c>
      <c r="M110" s="55">
        <f>INDEX('Forces+Stresses'!D:D, MATCH(Summary!$A110, 'Forces+Stresses'!$A:$A, 0))</f>
        <v>-1696</v>
      </c>
      <c r="N110" s="55">
        <f>IFERROR(INDEX('Forces+Stresses'!Q:Q, MATCH(Summary!$A110, 'Forces+Stresses'!$A:$A, 0)), INDEX(Flexjoints!D:D, MATCH(Summary!$A110, Flexjoints!$A:$A, 0)))</f>
        <v>4.0460000000000001E-7</v>
      </c>
      <c r="O110" s="56">
        <f>IFERROR(INDEX('Forces+Stresses'!R:R, MATCH(Summary!$A110, 'Forces+Stresses'!$A:$A, 0)), INDEX(Flexjoints!E:E, MATCH(Summary!$A110, Flexjoints!$A:$A, 0)))</f>
        <v>1.7080000000000002E-5</v>
      </c>
      <c r="P110" s="33" t="str">
        <f>IF(INDEX(Labels!B:B, MATCH(Summary!$A110, Labels!$A:$A, 0)) = 0, "", INDEX(Labels!B:B, MATCH(Summary!$A110, Labels!$A:$A, 0)))</f>
        <v>{Conductor Soil String}</v>
      </c>
      <c r="Q110" s="35" t="str">
        <f>IF(INDEX(Labels!C:C, MATCH(Summary!$A110, Labels!$A:$A, 0)) = 0, "", INDEX(Labels!C:C, MATCH(Summary!$A110, Labels!$A:$A, 0)))</f>
        <v>{Cond 36x2in}</v>
      </c>
      <c r="R110" s="33" t="str">
        <f>IF(INDEX(Labels!D:D, MATCH(Summary!$A110, Labels!$A:$A, 0)) = 0, "", INDEX(Labels!D:D, MATCH(Summary!$A110, Labels!$A:$A, 0)))</f>
        <v/>
      </c>
      <c r="S110" s="35" t="str">
        <f>IF(INDEX(Labels!E:E, MATCH(Summary!$A110, Labels!$A:$A, 0)) = 0, "", INDEX(Labels!E:E, MATCH(Summary!$A110, Labels!$A:$A, 0)))</f>
        <v/>
      </c>
      <c r="T110" s="33" t="str">
        <f>IF(INDEX(Labels!F:F, MATCH(Summary!$A110, Labels!$A:$A, 0)) = 0, "", INDEX(Labels!F:F, MATCH(Summary!$A110, Labels!$A:$A, 0)))</f>
        <v/>
      </c>
      <c r="U110" s="35" t="str">
        <f>IF(INDEX(Labels!G:G, MATCH(Summary!$A110, Labels!$A:$A, 0)) = 0, "", INDEX(Labels!G:G, MATCH(Summary!$A110, Labels!$A:$A, 0)))</f>
        <v/>
      </c>
      <c r="V110" s="62" t="str">
        <f>IF(INDEX(Labels!H:H, MATCH(Summary!$A110, Labels!$A:$A, 0)) = 0, "", INDEX(Labels!H:H, MATCH(Summary!$A110, Labels!$A:$A, 0)))</f>
        <v/>
      </c>
      <c r="W110" t="str">
        <f>IF(INDEX(Labels!I:I, MATCH(Summary!$A110, Labels!$A:$A, 0)) = 0, "", INDEX(Labels!I:I, MATCH(Summary!$A110, Labels!$A:$A, 0)))</f>
        <v/>
      </c>
      <c r="X110" t="str">
        <f>IF(INDEX(Labels!J:J, MATCH(Summary!$A110, Labels!$A:$A, 0)) = 0, "", INDEX(Labels!J:J, MATCH(Summary!$A110, Labels!$A:$A, 0)))</f>
        <v/>
      </c>
    </row>
    <row r="111" spans="1:24" x14ac:dyDescent="0.2">
      <c r="A111" s="33">
        <f>Labels!A112</f>
        <v>105</v>
      </c>
      <c r="B111" s="34">
        <f>INDEX(EchoData!B:B, MATCH(Summary!$A111, EchoData!$A:$A, 0))</f>
        <v>105</v>
      </c>
      <c r="C111" s="35">
        <f>INDEX(EchoData!C:C, MATCH(Summary!$A111, EchoData!$A:$A, 0))</f>
        <v>106</v>
      </c>
      <c r="D111" s="42">
        <f>INDEX(Displacements!B:B, MATCH(Summary!$B111, Displacements!$A:$A, 0))</f>
        <v>-2</v>
      </c>
      <c r="E111" s="43">
        <f>INDEX(Displacements!C:C, MATCH(Summary!$B111, Displacements!$A:$A, 0))</f>
        <v>0</v>
      </c>
      <c r="F111" s="44">
        <f>INDEX(Displacements!D:D, MATCH(Summary!$B111, Displacements!$A:$A, 0))</f>
        <v>0</v>
      </c>
      <c r="G111" s="42">
        <f>INDEX(Displacements!B:B, MATCH(Summary!$C111, Displacements!$A:$A, 0))</f>
        <v>-1.5</v>
      </c>
      <c r="H111" s="43">
        <f>INDEX(Displacements!C:C, MATCH(Summary!$C111, Displacements!$A:$A, 0))</f>
        <v>0</v>
      </c>
      <c r="I111" s="44">
        <f>INDEX(Displacements!D:D, MATCH(Summary!$C111, Displacements!$A:$A, 0))</f>
        <v>0</v>
      </c>
      <c r="J111" s="42">
        <f t="shared" si="2"/>
        <v>0.5</v>
      </c>
      <c r="K111" s="49">
        <f t="shared" si="3"/>
        <v>1</v>
      </c>
      <c r="L111" s="54">
        <f>INDEX('Forces+Stresses'!C:C, MATCH(Summary!$A111, 'Forces+Stresses'!$A:$A, 0))</f>
        <v>-1691</v>
      </c>
      <c r="M111" s="55">
        <f>INDEX('Forces+Stresses'!D:D, MATCH(Summary!$A111, 'Forces+Stresses'!$A:$A, 0))</f>
        <v>-1691</v>
      </c>
      <c r="N111" s="55">
        <f>IFERROR(INDEX('Forces+Stresses'!Q:Q, MATCH(Summary!$A111, 'Forces+Stresses'!$A:$A, 0)), INDEX(Flexjoints!D:D, MATCH(Summary!$A111, Flexjoints!$A:$A, 0)))</f>
        <v>3.9099999999999999E-7</v>
      </c>
      <c r="O111" s="56">
        <f>IFERROR(INDEX('Forces+Stresses'!R:R, MATCH(Summary!$A111, 'Forces+Stresses'!$A:$A, 0)), INDEX(Flexjoints!E:E, MATCH(Summary!$A111, Flexjoints!$A:$A, 0)))</f>
        <v>1.7640000000000001E-5</v>
      </c>
      <c r="P111" s="33" t="str">
        <f>IF(INDEX(Labels!B:B, MATCH(Summary!$A111, Labels!$A:$A, 0)) = 0, "", INDEX(Labels!B:B, MATCH(Summary!$A111, Labels!$A:$A, 0)))</f>
        <v>{Conductor Soil String}</v>
      </c>
      <c r="Q111" s="35" t="str">
        <f>IF(INDEX(Labels!C:C, MATCH(Summary!$A111, Labels!$A:$A, 0)) = 0, "", INDEX(Labels!C:C, MATCH(Summary!$A111, Labels!$A:$A, 0)))</f>
        <v>{Cond 36x2in}</v>
      </c>
      <c r="R111" s="33" t="str">
        <f>IF(INDEX(Labels!D:D, MATCH(Summary!$A111, Labels!$A:$A, 0)) = 0, "", INDEX(Labels!D:D, MATCH(Summary!$A111, Labels!$A:$A, 0)))</f>
        <v/>
      </c>
      <c r="S111" s="35" t="str">
        <f>IF(INDEX(Labels!E:E, MATCH(Summary!$A111, Labels!$A:$A, 0)) = 0, "", INDEX(Labels!E:E, MATCH(Summary!$A111, Labels!$A:$A, 0)))</f>
        <v/>
      </c>
      <c r="T111" s="33" t="str">
        <f>IF(INDEX(Labels!F:F, MATCH(Summary!$A111, Labels!$A:$A, 0)) = 0, "", INDEX(Labels!F:F, MATCH(Summary!$A111, Labels!$A:$A, 0)))</f>
        <v/>
      </c>
      <c r="U111" s="35" t="str">
        <f>IF(INDEX(Labels!G:G, MATCH(Summary!$A111, Labels!$A:$A, 0)) = 0, "", INDEX(Labels!G:G, MATCH(Summary!$A111, Labels!$A:$A, 0)))</f>
        <v/>
      </c>
      <c r="V111" s="62" t="str">
        <f>IF(INDEX(Labels!H:H, MATCH(Summary!$A111, Labels!$A:$A, 0)) = 0, "", INDEX(Labels!H:H, MATCH(Summary!$A111, Labels!$A:$A, 0)))</f>
        <v/>
      </c>
      <c r="W111" t="str">
        <f>IF(INDEX(Labels!I:I, MATCH(Summary!$A111, Labels!$A:$A, 0)) = 0, "", INDEX(Labels!I:I, MATCH(Summary!$A111, Labels!$A:$A, 0)))</f>
        <v/>
      </c>
      <c r="X111" t="str">
        <f>IF(INDEX(Labels!J:J, MATCH(Summary!$A111, Labels!$A:$A, 0)) = 0, "", INDEX(Labels!J:J, MATCH(Summary!$A111, Labels!$A:$A, 0)))</f>
        <v/>
      </c>
    </row>
    <row r="112" spans="1:24" x14ac:dyDescent="0.2">
      <c r="A112" s="33">
        <f>Labels!A113</f>
        <v>106</v>
      </c>
      <c r="B112" s="34">
        <f>INDEX(EchoData!B:B, MATCH(Summary!$A112, EchoData!$A:$A, 0))</f>
        <v>106</v>
      </c>
      <c r="C112" s="35">
        <f>INDEX(EchoData!C:C, MATCH(Summary!$A112, EchoData!$A:$A, 0))</f>
        <v>107</v>
      </c>
      <c r="D112" s="42">
        <f>INDEX(Displacements!B:B, MATCH(Summary!$B112, Displacements!$A:$A, 0))</f>
        <v>-1.5</v>
      </c>
      <c r="E112" s="43">
        <f>INDEX(Displacements!C:C, MATCH(Summary!$B112, Displacements!$A:$A, 0))</f>
        <v>0</v>
      </c>
      <c r="F112" s="44">
        <f>INDEX(Displacements!D:D, MATCH(Summary!$B112, Displacements!$A:$A, 0))</f>
        <v>0</v>
      </c>
      <c r="G112" s="42">
        <f>INDEX(Displacements!B:B, MATCH(Summary!$C112, Displacements!$A:$A, 0))</f>
        <v>-1</v>
      </c>
      <c r="H112" s="43">
        <f>INDEX(Displacements!C:C, MATCH(Summary!$C112, Displacements!$A:$A, 0))</f>
        <v>0</v>
      </c>
      <c r="I112" s="44">
        <f>INDEX(Displacements!D:D, MATCH(Summary!$C112, Displacements!$A:$A, 0))</f>
        <v>0</v>
      </c>
      <c r="J112" s="42">
        <f t="shared" si="2"/>
        <v>0.5</v>
      </c>
      <c r="K112" s="49">
        <f t="shared" si="3"/>
        <v>1</v>
      </c>
      <c r="L112" s="54">
        <f>INDEX('Forces+Stresses'!C:C, MATCH(Summary!$A112, 'Forces+Stresses'!$A:$A, 0))</f>
        <v>-1686</v>
      </c>
      <c r="M112" s="55">
        <f>INDEX('Forces+Stresses'!D:D, MATCH(Summary!$A112, 'Forces+Stresses'!$A:$A, 0))</f>
        <v>-1686</v>
      </c>
      <c r="N112" s="55">
        <f>IFERROR(INDEX('Forces+Stresses'!Q:Q, MATCH(Summary!$A112, 'Forces+Stresses'!$A:$A, 0)), INDEX(Flexjoints!D:D, MATCH(Summary!$A112, Flexjoints!$A:$A, 0)))</f>
        <v>3.5849999999999999E-7</v>
      </c>
      <c r="O112" s="56">
        <f>IFERROR(INDEX('Forces+Stresses'!R:R, MATCH(Summary!$A112, 'Forces+Stresses'!$A:$A, 0)), INDEX(Flexjoints!E:E, MATCH(Summary!$A112, Flexjoints!$A:$A, 0)))</f>
        <v>1.755E-5</v>
      </c>
      <c r="P112" s="33" t="str">
        <f>IF(INDEX(Labels!B:B, MATCH(Summary!$A112, Labels!$A:$A, 0)) = 0, "", INDEX(Labels!B:B, MATCH(Summary!$A112, Labels!$A:$A, 0)))</f>
        <v>{Conductor Soil String}</v>
      </c>
      <c r="Q112" s="35" t="str">
        <f>IF(INDEX(Labels!C:C, MATCH(Summary!$A112, Labels!$A:$A, 0)) = 0, "", INDEX(Labels!C:C, MATCH(Summary!$A112, Labels!$A:$A, 0)))</f>
        <v>{Cond 36x2in}</v>
      </c>
      <c r="R112" s="33" t="str">
        <f>IF(INDEX(Labels!D:D, MATCH(Summary!$A112, Labels!$A:$A, 0)) = 0, "", INDEX(Labels!D:D, MATCH(Summary!$A112, Labels!$A:$A, 0)))</f>
        <v/>
      </c>
      <c r="S112" s="35" t="str">
        <f>IF(INDEX(Labels!E:E, MATCH(Summary!$A112, Labels!$A:$A, 0)) = 0, "", INDEX(Labels!E:E, MATCH(Summary!$A112, Labels!$A:$A, 0)))</f>
        <v/>
      </c>
      <c r="T112" s="33" t="str">
        <f>IF(INDEX(Labels!F:F, MATCH(Summary!$A112, Labels!$A:$A, 0)) = 0, "", INDEX(Labels!F:F, MATCH(Summary!$A112, Labels!$A:$A, 0)))</f>
        <v/>
      </c>
      <c r="U112" s="35" t="str">
        <f>IF(INDEX(Labels!G:G, MATCH(Summary!$A112, Labels!$A:$A, 0)) = 0, "", INDEX(Labels!G:G, MATCH(Summary!$A112, Labels!$A:$A, 0)))</f>
        <v/>
      </c>
      <c r="V112" s="62" t="str">
        <f>IF(INDEX(Labels!H:H, MATCH(Summary!$A112, Labels!$A:$A, 0)) = 0, "", INDEX(Labels!H:H, MATCH(Summary!$A112, Labels!$A:$A, 0)))</f>
        <v/>
      </c>
      <c r="W112" t="str">
        <f>IF(INDEX(Labels!I:I, MATCH(Summary!$A112, Labels!$A:$A, 0)) = 0, "", INDEX(Labels!I:I, MATCH(Summary!$A112, Labels!$A:$A, 0)))</f>
        <v/>
      </c>
      <c r="X112" t="str">
        <f>IF(INDEX(Labels!J:J, MATCH(Summary!$A112, Labels!$A:$A, 0)) = 0, "", INDEX(Labels!J:J, MATCH(Summary!$A112, Labels!$A:$A, 0)))</f>
        <v/>
      </c>
    </row>
    <row r="113" spans="1:24" x14ac:dyDescent="0.2">
      <c r="A113" s="33">
        <f>Labels!A114</f>
        <v>107</v>
      </c>
      <c r="B113" s="34">
        <f>INDEX(EchoData!B:B, MATCH(Summary!$A113, EchoData!$A:$A, 0))</f>
        <v>107</v>
      </c>
      <c r="C113" s="35">
        <f>INDEX(EchoData!C:C, MATCH(Summary!$A113, EchoData!$A:$A, 0))</f>
        <v>108</v>
      </c>
      <c r="D113" s="42">
        <f>INDEX(Displacements!B:B, MATCH(Summary!$B113, Displacements!$A:$A, 0))</f>
        <v>-1</v>
      </c>
      <c r="E113" s="43">
        <f>INDEX(Displacements!C:C, MATCH(Summary!$B113, Displacements!$A:$A, 0))</f>
        <v>0</v>
      </c>
      <c r="F113" s="44">
        <f>INDEX(Displacements!D:D, MATCH(Summary!$B113, Displacements!$A:$A, 0))</f>
        <v>0</v>
      </c>
      <c r="G113" s="42">
        <f>INDEX(Displacements!B:B, MATCH(Summary!$C113, Displacements!$A:$A, 0))</f>
        <v>-0.5</v>
      </c>
      <c r="H113" s="43">
        <f>INDEX(Displacements!C:C, MATCH(Summary!$C113, Displacements!$A:$A, 0))</f>
        <v>0</v>
      </c>
      <c r="I113" s="44">
        <f>INDEX(Displacements!D:D, MATCH(Summary!$C113, Displacements!$A:$A, 0))</f>
        <v>0</v>
      </c>
      <c r="J113" s="42">
        <f t="shared" si="2"/>
        <v>0.5</v>
      </c>
      <c r="K113" s="49">
        <f t="shared" si="3"/>
        <v>1</v>
      </c>
      <c r="L113" s="54">
        <f>INDEX('Forces+Stresses'!C:C, MATCH(Summary!$A113, 'Forces+Stresses'!$A:$A, 0))</f>
        <v>-1682</v>
      </c>
      <c r="M113" s="55">
        <f>INDEX('Forces+Stresses'!D:D, MATCH(Summary!$A113, 'Forces+Stresses'!$A:$A, 0))</f>
        <v>-1682</v>
      </c>
      <c r="N113" s="55">
        <f>IFERROR(INDEX('Forces+Stresses'!Q:Q, MATCH(Summary!$A113, 'Forces+Stresses'!$A:$A, 0)), INDEX(Flexjoints!D:D, MATCH(Summary!$A113, Flexjoints!$A:$A, 0)))</f>
        <v>3.0740000000000001E-7</v>
      </c>
      <c r="O113" s="56">
        <f>IFERROR(INDEX('Forces+Stresses'!R:R, MATCH(Summary!$A113, 'Forces+Stresses'!$A:$A, 0)), INDEX(Flexjoints!E:E, MATCH(Summary!$A113, Flexjoints!$A:$A, 0)))</f>
        <v>1.6709999999999998E-5</v>
      </c>
      <c r="P113" s="33" t="str">
        <f>IF(INDEX(Labels!B:B, MATCH(Summary!$A113, Labels!$A:$A, 0)) = 0, "", INDEX(Labels!B:B, MATCH(Summary!$A113, Labels!$A:$A, 0)))</f>
        <v>{Conductor Soil String}</v>
      </c>
      <c r="Q113" s="35" t="str">
        <f>IF(INDEX(Labels!C:C, MATCH(Summary!$A113, Labels!$A:$A, 0)) = 0, "", INDEX(Labels!C:C, MATCH(Summary!$A113, Labels!$A:$A, 0)))</f>
        <v>{Cond 36x2in}</v>
      </c>
      <c r="R113" s="33" t="str">
        <f>IF(INDEX(Labels!D:D, MATCH(Summary!$A113, Labels!$A:$A, 0)) = 0, "", INDEX(Labels!D:D, MATCH(Summary!$A113, Labels!$A:$A, 0)))</f>
        <v/>
      </c>
      <c r="S113" s="35" t="str">
        <f>IF(INDEX(Labels!E:E, MATCH(Summary!$A113, Labels!$A:$A, 0)) = 0, "", INDEX(Labels!E:E, MATCH(Summary!$A113, Labels!$A:$A, 0)))</f>
        <v/>
      </c>
      <c r="T113" s="33" t="str">
        <f>IF(INDEX(Labels!F:F, MATCH(Summary!$A113, Labels!$A:$A, 0)) = 0, "", INDEX(Labels!F:F, MATCH(Summary!$A113, Labels!$A:$A, 0)))</f>
        <v/>
      </c>
      <c r="U113" s="35" t="str">
        <f>IF(INDEX(Labels!G:G, MATCH(Summary!$A113, Labels!$A:$A, 0)) = 0, "", INDEX(Labels!G:G, MATCH(Summary!$A113, Labels!$A:$A, 0)))</f>
        <v/>
      </c>
      <c r="V113" s="62" t="str">
        <f>IF(INDEX(Labels!H:H, MATCH(Summary!$A113, Labels!$A:$A, 0)) = 0, "", INDEX(Labels!H:H, MATCH(Summary!$A113, Labels!$A:$A, 0)))</f>
        <v/>
      </c>
      <c r="W113" t="str">
        <f>IF(INDEX(Labels!I:I, MATCH(Summary!$A113, Labels!$A:$A, 0)) = 0, "", INDEX(Labels!I:I, MATCH(Summary!$A113, Labels!$A:$A, 0)))</f>
        <v/>
      </c>
      <c r="X113" t="str">
        <f>IF(INDEX(Labels!J:J, MATCH(Summary!$A113, Labels!$A:$A, 0)) = 0, "", INDEX(Labels!J:J, MATCH(Summary!$A113, Labels!$A:$A, 0)))</f>
        <v/>
      </c>
    </row>
    <row r="114" spans="1:24" x14ac:dyDescent="0.2">
      <c r="A114" s="33">
        <f>Labels!A115</f>
        <v>108</v>
      </c>
      <c r="B114" s="34">
        <f>INDEX(EchoData!B:B, MATCH(Summary!$A114, EchoData!$A:$A, 0))</f>
        <v>108</v>
      </c>
      <c r="C114" s="35">
        <f>INDEX(EchoData!C:C, MATCH(Summary!$A114, EchoData!$A:$A, 0))</f>
        <v>109</v>
      </c>
      <c r="D114" s="42">
        <f>INDEX(Displacements!B:B, MATCH(Summary!$B114, Displacements!$A:$A, 0))</f>
        <v>-0.5</v>
      </c>
      <c r="E114" s="43">
        <f>INDEX(Displacements!C:C, MATCH(Summary!$B114, Displacements!$A:$A, 0))</f>
        <v>0</v>
      </c>
      <c r="F114" s="44">
        <f>INDEX(Displacements!D:D, MATCH(Summary!$B114, Displacements!$A:$A, 0))</f>
        <v>0</v>
      </c>
      <c r="G114" s="42">
        <f>INDEX(Displacements!B:B, MATCH(Summary!$C114, Displacements!$A:$A, 0))</f>
        <v>-0.249</v>
      </c>
      <c r="H114" s="43">
        <f>INDEX(Displacements!C:C, MATCH(Summary!$C114, Displacements!$A:$A, 0))</f>
        <v>0</v>
      </c>
      <c r="I114" s="44">
        <f>INDEX(Displacements!D:D, MATCH(Summary!$C114, Displacements!$A:$A, 0))</f>
        <v>0</v>
      </c>
      <c r="J114" s="42">
        <f t="shared" si="2"/>
        <v>0.251</v>
      </c>
      <c r="K114" s="49">
        <f t="shared" si="3"/>
        <v>0.502</v>
      </c>
      <c r="L114" s="54">
        <f>INDEX('Forces+Stresses'!C:C, MATCH(Summary!$A114, 'Forces+Stresses'!$A:$A, 0))</f>
        <v>-1677</v>
      </c>
      <c r="M114" s="55">
        <f>INDEX('Forces+Stresses'!D:D, MATCH(Summary!$A114, 'Forces+Stresses'!$A:$A, 0))</f>
        <v>-1677</v>
      </c>
      <c r="N114" s="55">
        <f>IFERROR(INDEX('Forces+Stresses'!Q:Q, MATCH(Summary!$A114, 'Forces+Stresses'!$A:$A, 0)), INDEX(Flexjoints!D:D, MATCH(Summary!$A114, Flexjoints!$A:$A, 0)))</f>
        <v>2.629E-7</v>
      </c>
      <c r="O114" s="56">
        <f>IFERROR(INDEX('Forces+Stresses'!R:R, MATCH(Summary!$A114, 'Forces+Stresses'!$A:$A, 0)), INDEX(Flexjoints!E:E, MATCH(Summary!$A114, Flexjoints!$A:$A, 0)))</f>
        <v>1.5860000000000001E-5</v>
      </c>
      <c r="P114" s="33" t="str">
        <f>IF(INDEX(Labels!B:B, MATCH(Summary!$A114, Labels!$A:$A, 0)) = 0, "", INDEX(Labels!B:B, MATCH(Summary!$A114, Labels!$A:$A, 0)))</f>
        <v>{Conductor Soil String}</v>
      </c>
      <c r="Q114" s="35" t="str">
        <f>IF(INDEX(Labels!C:C, MATCH(Summary!$A114, Labels!$A:$A, 0)) = 0, "", INDEX(Labels!C:C, MATCH(Summary!$A114, Labels!$A:$A, 0)))</f>
        <v>{Cond 36x2in}</v>
      </c>
      <c r="R114" s="33" t="str">
        <f>IF(INDEX(Labels!D:D, MATCH(Summary!$A114, Labels!$A:$A, 0)) = 0, "", INDEX(Labels!D:D, MATCH(Summary!$A114, Labels!$A:$A, 0)))</f>
        <v/>
      </c>
      <c r="S114" s="35" t="str">
        <f>IF(INDEX(Labels!E:E, MATCH(Summary!$A114, Labels!$A:$A, 0)) = 0, "", INDEX(Labels!E:E, MATCH(Summary!$A114, Labels!$A:$A, 0)))</f>
        <v/>
      </c>
      <c r="T114" s="33" t="str">
        <f>IF(INDEX(Labels!F:F, MATCH(Summary!$A114, Labels!$A:$A, 0)) = 0, "", INDEX(Labels!F:F, MATCH(Summary!$A114, Labels!$A:$A, 0)))</f>
        <v/>
      </c>
      <c r="U114" s="35" t="str">
        <f>IF(INDEX(Labels!G:G, MATCH(Summary!$A114, Labels!$A:$A, 0)) = 0, "", INDEX(Labels!G:G, MATCH(Summary!$A114, Labels!$A:$A, 0)))</f>
        <v/>
      </c>
      <c r="V114" s="62" t="str">
        <f>IF(INDEX(Labels!H:H, MATCH(Summary!$A114, Labels!$A:$A, 0)) = 0, "", INDEX(Labels!H:H, MATCH(Summary!$A114, Labels!$A:$A, 0)))</f>
        <v/>
      </c>
      <c r="W114" t="str">
        <f>IF(INDEX(Labels!I:I, MATCH(Summary!$A114, Labels!$A:$A, 0)) = 0, "", INDEX(Labels!I:I, MATCH(Summary!$A114, Labels!$A:$A, 0)))</f>
        <v/>
      </c>
      <c r="X114" t="str">
        <f>IF(INDEX(Labels!J:J, MATCH(Summary!$A114, Labels!$A:$A, 0)) = 0, "", INDEX(Labels!J:J, MATCH(Summary!$A114, Labels!$A:$A, 0)))</f>
        <v/>
      </c>
    </row>
    <row r="115" spans="1:24" x14ac:dyDescent="0.2">
      <c r="A115" s="33">
        <f>Labels!A116</f>
        <v>109</v>
      </c>
      <c r="B115" s="34">
        <f>INDEX(EchoData!B:B, MATCH(Summary!$A115, EchoData!$A:$A, 0))</f>
        <v>109</v>
      </c>
      <c r="C115" s="35">
        <f>INDEX(EchoData!C:C, MATCH(Summary!$A115, EchoData!$A:$A, 0))</f>
        <v>110</v>
      </c>
      <c r="D115" s="42">
        <f>INDEX(Displacements!B:B, MATCH(Summary!$B115, Displacements!$A:$A, 0))</f>
        <v>-0.249</v>
      </c>
      <c r="E115" s="43">
        <f>INDEX(Displacements!C:C, MATCH(Summary!$B115, Displacements!$A:$A, 0))</f>
        <v>0</v>
      </c>
      <c r="F115" s="44">
        <f>INDEX(Displacements!D:D, MATCH(Summary!$B115, Displacements!$A:$A, 0))</f>
        <v>0</v>
      </c>
      <c r="G115" s="42">
        <f>INDEX(Displacements!B:B, MATCH(Summary!$C115, Displacements!$A:$A, 0))</f>
        <v>-0.1</v>
      </c>
      <c r="H115" s="43">
        <f>INDEX(Displacements!C:C, MATCH(Summary!$C115, Displacements!$A:$A, 0))</f>
        <v>0</v>
      </c>
      <c r="I115" s="44">
        <f>INDEX(Displacements!D:D, MATCH(Summary!$C115, Displacements!$A:$A, 0))</f>
        <v>0</v>
      </c>
      <c r="J115" s="42">
        <f t="shared" si="2"/>
        <v>0.14899999999999999</v>
      </c>
      <c r="K115" s="49">
        <f t="shared" si="3"/>
        <v>0.59362549800796804</v>
      </c>
      <c r="L115" s="54">
        <f>INDEX('Forces+Stresses'!C:C, MATCH(Summary!$A115, 'Forces+Stresses'!$A:$A, 0))</f>
        <v>-1675</v>
      </c>
      <c r="M115" s="55">
        <f>INDEX('Forces+Stresses'!D:D, MATCH(Summary!$A115, 'Forces+Stresses'!$A:$A, 0))</f>
        <v>-1675</v>
      </c>
      <c r="N115" s="55">
        <f>IFERROR(INDEX('Forces+Stresses'!Q:Q, MATCH(Summary!$A115, 'Forces+Stresses'!$A:$A, 0)), INDEX(Flexjoints!D:D, MATCH(Summary!$A115, Flexjoints!$A:$A, 0)))</f>
        <v>2.4420000000000003E-7</v>
      </c>
      <c r="O115" s="56">
        <f>IFERROR(INDEX('Forces+Stresses'!R:R, MATCH(Summary!$A115, 'Forces+Stresses'!$A:$A, 0)), INDEX(Flexjoints!E:E, MATCH(Summary!$A115, Flexjoints!$A:$A, 0)))</f>
        <v>1.543E-5</v>
      </c>
      <c r="P115" s="33" t="str">
        <f>IF(INDEX(Labels!B:B, MATCH(Summary!$A115, Labels!$A:$A, 0)) = 0, "", INDEX(Labels!B:B, MATCH(Summary!$A115, Labels!$A:$A, 0)))</f>
        <v>{Conductor Soil String}</v>
      </c>
      <c r="Q115" s="35" t="str">
        <f>IF(INDEX(Labels!C:C, MATCH(Summary!$A115, Labels!$A:$A, 0)) = 0, "", INDEX(Labels!C:C, MATCH(Summary!$A115, Labels!$A:$A, 0)))</f>
        <v>{Cond 36x2in}</v>
      </c>
      <c r="R115" s="33" t="str">
        <f>IF(INDEX(Labels!D:D, MATCH(Summary!$A115, Labels!$A:$A, 0)) = 0, "", INDEX(Labels!D:D, MATCH(Summary!$A115, Labels!$A:$A, 0)))</f>
        <v/>
      </c>
      <c r="S115" s="35" t="str">
        <f>IF(INDEX(Labels!E:E, MATCH(Summary!$A115, Labels!$A:$A, 0)) = 0, "", INDEX(Labels!E:E, MATCH(Summary!$A115, Labels!$A:$A, 0)))</f>
        <v/>
      </c>
      <c r="T115" s="33" t="str">
        <f>IF(INDEX(Labels!F:F, MATCH(Summary!$A115, Labels!$A:$A, 0)) = 0, "", INDEX(Labels!F:F, MATCH(Summary!$A115, Labels!$A:$A, 0)))</f>
        <v/>
      </c>
      <c r="U115" s="35" t="str">
        <f>IF(INDEX(Labels!G:G, MATCH(Summary!$A115, Labels!$A:$A, 0)) = 0, "", INDEX(Labels!G:G, MATCH(Summary!$A115, Labels!$A:$A, 0)))</f>
        <v/>
      </c>
      <c r="V115" s="62" t="str">
        <f>IF(INDEX(Labels!H:H, MATCH(Summary!$A115, Labels!$A:$A, 0)) = 0, "", INDEX(Labels!H:H, MATCH(Summary!$A115, Labels!$A:$A, 0)))</f>
        <v/>
      </c>
      <c r="W115" t="str">
        <f>IF(INDEX(Labels!I:I, MATCH(Summary!$A115, Labels!$A:$A, 0)) = 0, "", INDEX(Labels!I:I, MATCH(Summary!$A115, Labels!$A:$A, 0)))</f>
        <v/>
      </c>
      <c r="X115" t="str">
        <f>IF(INDEX(Labels!J:J, MATCH(Summary!$A115, Labels!$A:$A, 0)) = 0, "", INDEX(Labels!J:J, MATCH(Summary!$A115, Labels!$A:$A, 0)))</f>
        <v/>
      </c>
    </row>
    <row r="116" spans="1:24" x14ac:dyDescent="0.2">
      <c r="A116" s="33">
        <f>Labels!A117</f>
        <v>110</v>
      </c>
      <c r="B116" s="34">
        <f>INDEX(EchoData!B:B, MATCH(Summary!$A116, EchoData!$A:$A, 0))</f>
        <v>110</v>
      </c>
      <c r="C116" s="35">
        <f>INDEX(EchoData!C:C, MATCH(Summary!$A116, EchoData!$A:$A, 0))</f>
        <v>112</v>
      </c>
      <c r="D116" s="42">
        <f>INDEX(Displacements!B:B, MATCH(Summary!$B116, Displacements!$A:$A, 0))</f>
        <v>-0.1</v>
      </c>
      <c r="E116" s="43">
        <f>INDEX(Displacements!C:C, MATCH(Summary!$B116, Displacements!$A:$A, 0))</f>
        <v>0</v>
      </c>
      <c r="F116" s="44">
        <f>INDEX(Displacements!D:D, MATCH(Summary!$B116, Displacements!$A:$A, 0))</f>
        <v>0</v>
      </c>
      <c r="G116" s="42">
        <f>INDEX(Displacements!B:B, MATCH(Summary!$C116, Displacements!$A:$A, 0))</f>
        <v>0</v>
      </c>
      <c r="H116" s="43">
        <f>INDEX(Displacements!C:C, MATCH(Summary!$C116, Displacements!$A:$A, 0))</f>
        <v>0</v>
      </c>
      <c r="I116" s="44">
        <f>INDEX(Displacements!D:D, MATCH(Summary!$C116, Displacements!$A:$A, 0))</f>
        <v>0</v>
      </c>
      <c r="J116" s="42">
        <f t="shared" si="2"/>
        <v>0.1</v>
      </c>
      <c r="K116" s="49">
        <f t="shared" si="3"/>
        <v>0.67114093959731547</v>
      </c>
      <c r="L116" s="54">
        <f>INDEX('Forces+Stresses'!C:C, MATCH(Summary!$A116, 'Forces+Stresses'!$A:$A, 0))</f>
        <v>-1674</v>
      </c>
      <c r="M116" s="55">
        <f>INDEX('Forces+Stresses'!D:D, MATCH(Summary!$A116, 'Forces+Stresses'!$A:$A, 0))</f>
        <v>-1674</v>
      </c>
      <c r="N116" s="55">
        <f>IFERROR(INDEX('Forces+Stresses'!Q:Q, MATCH(Summary!$A116, 'Forces+Stresses'!$A:$A, 0)), INDEX(Flexjoints!D:D, MATCH(Summary!$A116, Flexjoints!$A:$A, 0)))</f>
        <v>2.3460000000000002E-7</v>
      </c>
      <c r="O116" s="56">
        <f>IFERROR(INDEX('Forces+Stresses'!R:R, MATCH(Summary!$A116, 'Forces+Stresses'!$A:$A, 0)), INDEX(Flexjoints!E:E, MATCH(Summary!$A116, Flexjoints!$A:$A, 0)))</f>
        <v>1.5169999999999999E-5</v>
      </c>
      <c r="P116" s="33" t="str">
        <f>IF(INDEX(Labels!B:B, MATCH(Summary!$A116, Labels!$A:$A, 0)) = 0, "", INDEX(Labels!B:B, MATCH(Summary!$A116, Labels!$A:$A, 0)))</f>
        <v>{Conductor Soil String}</v>
      </c>
      <c r="Q116" s="35" t="str">
        <f>IF(INDEX(Labels!C:C, MATCH(Summary!$A116, Labels!$A:$A, 0)) = 0, "", INDEX(Labels!C:C, MATCH(Summary!$A116, Labels!$A:$A, 0)))</f>
        <v>{Cond 36x2in}</v>
      </c>
      <c r="R116" s="33" t="str">
        <f>IF(INDEX(Labels!D:D, MATCH(Summary!$A116, Labels!$A:$A, 0)) = 0, "", INDEX(Labels!D:D, MATCH(Summary!$A116, Labels!$A:$A, 0)))</f>
        <v/>
      </c>
      <c r="S116" s="35" t="str">
        <f>IF(INDEX(Labels!E:E, MATCH(Summary!$A116, Labels!$A:$A, 0)) = 0, "", INDEX(Labels!E:E, MATCH(Summary!$A116, Labels!$A:$A, 0)))</f>
        <v>{Conductor Soil String_Last}</v>
      </c>
      <c r="T116" s="33" t="str">
        <f>IF(INDEX(Labels!F:F, MATCH(Summary!$A116, Labels!$A:$A, 0)) = 0, "", INDEX(Labels!F:F, MATCH(Summary!$A116, Labels!$A:$A, 0)))</f>
        <v/>
      </c>
      <c r="U116" s="35" t="str">
        <f>IF(INDEX(Labels!G:G, MATCH(Summary!$A116, Labels!$A:$A, 0)) = 0, "", INDEX(Labels!G:G, MATCH(Summary!$A116, Labels!$A:$A, 0)))</f>
        <v>{Cond 36x2in_Last}</v>
      </c>
      <c r="V116" s="62" t="str">
        <f>IF(INDEX(Labels!H:H, MATCH(Summary!$A116, Labels!$A:$A, 0)) = 0, "", INDEX(Labels!H:H, MATCH(Summary!$A116, Labels!$A:$A, 0)))</f>
        <v/>
      </c>
      <c r="W116" t="str">
        <f>IF(INDEX(Labels!I:I, MATCH(Summary!$A116, Labels!$A:$A, 0)) = 0, "", INDEX(Labels!I:I, MATCH(Summary!$A116, Labels!$A:$A, 0)))</f>
        <v/>
      </c>
      <c r="X116" t="str">
        <f>IF(INDEX(Labels!J:J, MATCH(Summary!$A116, Labels!$A:$A, 0)) = 0, "", INDEX(Labels!J:J, MATCH(Summary!$A116, Labels!$A:$A, 0)))</f>
        <v/>
      </c>
    </row>
    <row r="117" spans="1:24" x14ac:dyDescent="0.2">
      <c r="A117" s="33">
        <f>Labels!A118</f>
        <v>111</v>
      </c>
      <c r="B117" s="34">
        <f>INDEX(EchoData!B:B, MATCH(Summary!$A117, EchoData!$A:$A, 0))</f>
        <v>112</v>
      </c>
      <c r="C117" s="35">
        <f>INDEX(EchoData!C:C, MATCH(Summary!$A117, EchoData!$A:$A, 0))</f>
        <v>113</v>
      </c>
      <c r="D117" s="42">
        <f>INDEX(Displacements!B:B, MATCH(Summary!$B117, Displacements!$A:$A, 0))</f>
        <v>0</v>
      </c>
      <c r="E117" s="43">
        <f>INDEX(Displacements!C:C, MATCH(Summary!$B117, Displacements!$A:$A, 0))</f>
        <v>0</v>
      </c>
      <c r="F117" s="44">
        <f>INDEX(Displacements!D:D, MATCH(Summary!$B117, Displacements!$A:$A, 0))</f>
        <v>0</v>
      </c>
      <c r="G117" s="42">
        <f>INDEX(Displacements!B:B, MATCH(Summary!$C117, Displacements!$A:$A, 0))</f>
        <v>9.4E-2</v>
      </c>
      <c r="H117" s="43">
        <f>INDEX(Displacements!C:C, MATCH(Summary!$C117, Displacements!$A:$A, 0))</f>
        <v>0</v>
      </c>
      <c r="I117" s="44">
        <f>INDEX(Displacements!D:D, MATCH(Summary!$C117, Displacements!$A:$A, 0))</f>
        <v>0</v>
      </c>
      <c r="J117" s="42">
        <f t="shared" si="2"/>
        <v>9.4E-2</v>
      </c>
      <c r="K117" s="49" t="str">
        <f t="shared" si="3"/>
        <v>N/A</v>
      </c>
      <c r="L117" s="54">
        <f>INDEX('Forces+Stresses'!C:C, MATCH(Summary!$A117, 'Forces+Stresses'!$A:$A, 0))</f>
        <v>-1673</v>
      </c>
      <c r="M117" s="55">
        <f>INDEX('Forces+Stresses'!D:D, MATCH(Summary!$A117, 'Forces+Stresses'!$A:$A, 0))</f>
        <v>-1673</v>
      </c>
      <c r="N117" s="55">
        <f>IFERROR(INDEX('Forces+Stresses'!Q:Q, MATCH(Summary!$A117, 'Forces+Stresses'!$A:$A, 0)), INDEX(Flexjoints!D:D, MATCH(Summary!$A117, Flexjoints!$A:$A, 0)))</f>
        <v>2.29E-7</v>
      </c>
      <c r="O117" s="56">
        <f>IFERROR(INDEX('Forces+Stresses'!R:R, MATCH(Summary!$A117, 'Forces+Stresses'!$A:$A, 0)), INDEX(Flexjoints!E:E, MATCH(Summary!$A117, Flexjoints!$A:$A, 0)))</f>
        <v>1.4999999999999999E-5</v>
      </c>
      <c r="P117" s="33" t="str">
        <f>IF(INDEX(Labels!B:B, MATCH(Summary!$A117, Labels!$A:$A, 0)) = 0, "", INDEX(Labels!B:B, MATCH(Summary!$A117, Labels!$A:$A, 0)))</f>
        <v>{Conductor &amp; LPH String}</v>
      </c>
      <c r="Q117" s="35" t="str">
        <f>IF(INDEX(Labels!C:C, MATCH(Summary!$A117, Labels!$A:$A, 0)) = 0, "", INDEX(Labels!C:C, MATCH(Summary!$A117, Labels!$A:$A, 0)))</f>
        <v>{Cond 36x2in SW}</v>
      </c>
      <c r="R117" s="33" t="str">
        <f>IF(INDEX(Labels!D:D, MATCH(Summary!$A117, Labels!$A:$A, 0)) = 0, "", INDEX(Labels!D:D, MATCH(Summary!$A117, Labels!$A:$A, 0)))</f>
        <v>{Conductor &amp; LPH String_First}</v>
      </c>
      <c r="S117" s="35" t="str">
        <f>IF(INDEX(Labels!E:E, MATCH(Summary!$A117, Labels!$A:$A, 0)) = 0, "", INDEX(Labels!E:E, MATCH(Summary!$A117, Labels!$A:$A, 0)))</f>
        <v/>
      </c>
      <c r="T117" s="33" t="str">
        <f>IF(INDEX(Labels!F:F, MATCH(Summary!$A117, Labels!$A:$A, 0)) = 0, "", INDEX(Labels!F:F, MATCH(Summary!$A117, Labels!$A:$A, 0)))</f>
        <v>{Cond 36x2in SW_First}</v>
      </c>
      <c r="U117" s="35" t="str">
        <f>IF(INDEX(Labels!G:G, MATCH(Summary!$A117, Labels!$A:$A, 0)) = 0, "", INDEX(Labels!G:G, MATCH(Summary!$A117, Labels!$A:$A, 0)))</f>
        <v/>
      </c>
      <c r="V117" s="62" t="str">
        <f>IF(INDEX(Labels!H:H, MATCH(Summary!$A117, Labels!$A:$A, 0)) = 0, "", INDEX(Labels!H:H, MATCH(Summary!$A117, Labels!$A:$A, 0)))</f>
        <v/>
      </c>
      <c r="W117" t="str">
        <f>IF(INDEX(Labels!I:I, MATCH(Summary!$A117, Labels!$A:$A, 0)) = 0, "", INDEX(Labels!I:I, MATCH(Summary!$A117, Labels!$A:$A, 0)))</f>
        <v/>
      </c>
      <c r="X117" t="str">
        <f>IF(INDEX(Labels!J:J, MATCH(Summary!$A117, Labels!$A:$A, 0)) = 0, "", INDEX(Labels!J:J, MATCH(Summary!$A117, Labels!$A:$A, 0)))</f>
        <v/>
      </c>
    </row>
    <row r="118" spans="1:24" x14ac:dyDescent="0.2">
      <c r="A118" s="33">
        <f>Labels!A119</f>
        <v>112</v>
      </c>
      <c r="B118" s="34">
        <f>INDEX(EchoData!B:B, MATCH(Summary!$A118, EchoData!$A:$A, 0))</f>
        <v>113</v>
      </c>
      <c r="C118" s="35">
        <f>INDEX(EchoData!C:C, MATCH(Summary!$A118, EchoData!$A:$A, 0))</f>
        <v>114</v>
      </c>
      <c r="D118" s="42">
        <f>INDEX(Displacements!B:B, MATCH(Summary!$B118, Displacements!$A:$A, 0))</f>
        <v>9.4E-2</v>
      </c>
      <c r="E118" s="43">
        <f>INDEX(Displacements!C:C, MATCH(Summary!$B118, Displacements!$A:$A, 0))</f>
        <v>0</v>
      </c>
      <c r="F118" s="44">
        <f>INDEX(Displacements!D:D, MATCH(Summary!$B118, Displacements!$A:$A, 0))</f>
        <v>0</v>
      </c>
      <c r="G118" s="42">
        <f>INDEX(Displacements!B:B, MATCH(Summary!$C118, Displacements!$A:$A, 0))</f>
        <v>0.23400000000000001</v>
      </c>
      <c r="H118" s="43">
        <f>INDEX(Displacements!C:C, MATCH(Summary!$C118, Displacements!$A:$A, 0))</f>
        <v>0</v>
      </c>
      <c r="I118" s="44">
        <f>INDEX(Displacements!D:D, MATCH(Summary!$C118, Displacements!$A:$A, 0))</f>
        <v>0</v>
      </c>
      <c r="J118" s="42">
        <f t="shared" si="2"/>
        <v>0.14000000000000001</v>
      </c>
      <c r="K118" s="49">
        <f t="shared" si="3"/>
        <v>1.4893617021276597</v>
      </c>
      <c r="L118" s="54">
        <f>INDEX('Forces+Stresses'!C:C, MATCH(Summary!$A118, 'Forces+Stresses'!$A:$A, 0))</f>
        <v>-1672</v>
      </c>
      <c r="M118" s="55">
        <f>INDEX('Forces+Stresses'!D:D, MATCH(Summary!$A118, 'Forces+Stresses'!$A:$A, 0))</f>
        <v>-1672</v>
      </c>
      <c r="N118" s="55">
        <f>IFERROR(INDEX('Forces+Stresses'!Q:Q, MATCH(Summary!$A118, 'Forces+Stresses'!$A:$A, 0)), INDEX(Flexjoints!D:D, MATCH(Summary!$A118, Flexjoints!$A:$A, 0)))</f>
        <v>2.2430000000000002E-7</v>
      </c>
      <c r="O118" s="56">
        <f>IFERROR(INDEX('Forces+Stresses'!R:R, MATCH(Summary!$A118, 'Forces+Stresses'!$A:$A, 0)), INDEX(Flexjoints!E:E, MATCH(Summary!$A118, Flexjoints!$A:$A, 0)))</f>
        <v>1.484E-5</v>
      </c>
      <c r="P118" s="33" t="str">
        <f>IF(INDEX(Labels!B:B, MATCH(Summary!$A118, Labels!$A:$A, 0)) = 0, "", INDEX(Labels!B:B, MATCH(Summary!$A118, Labels!$A:$A, 0)))</f>
        <v>{Conductor &amp; LPH String}</v>
      </c>
      <c r="Q118" s="35" t="str">
        <f>IF(INDEX(Labels!C:C, MATCH(Summary!$A118, Labels!$A:$A, 0)) = 0, "", INDEX(Labels!C:C, MATCH(Summary!$A118, Labels!$A:$A, 0)))</f>
        <v>{Cond 36x2in SW}</v>
      </c>
      <c r="R118" s="33" t="str">
        <f>IF(INDEX(Labels!D:D, MATCH(Summary!$A118, Labels!$A:$A, 0)) = 0, "", INDEX(Labels!D:D, MATCH(Summary!$A118, Labels!$A:$A, 0)))</f>
        <v/>
      </c>
      <c r="S118" s="35" t="str">
        <f>IF(INDEX(Labels!E:E, MATCH(Summary!$A118, Labels!$A:$A, 0)) = 0, "", INDEX(Labels!E:E, MATCH(Summary!$A118, Labels!$A:$A, 0)))</f>
        <v/>
      </c>
      <c r="T118" s="33" t="str">
        <f>IF(INDEX(Labels!F:F, MATCH(Summary!$A118, Labels!$A:$A, 0)) = 0, "", INDEX(Labels!F:F, MATCH(Summary!$A118, Labels!$A:$A, 0)))</f>
        <v/>
      </c>
      <c r="U118" s="35" t="str">
        <f>IF(INDEX(Labels!G:G, MATCH(Summary!$A118, Labels!$A:$A, 0)) = 0, "", INDEX(Labels!G:G, MATCH(Summary!$A118, Labels!$A:$A, 0)))</f>
        <v/>
      </c>
      <c r="V118" s="62" t="str">
        <f>IF(INDEX(Labels!H:H, MATCH(Summary!$A118, Labels!$A:$A, 0)) = 0, "", INDEX(Labels!H:H, MATCH(Summary!$A118, Labels!$A:$A, 0)))</f>
        <v/>
      </c>
      <c r="W118" t="str">
        <f>IF(INDEX(Labels!I:I, MATCH(Summary!$A118, Labels!$A:$A, 0)) = 0, "", INDEX(Labels!I:I, MATCH(Summary!$A118, Labels!$A:$A, 0)))</f>
        <v/>
      </c>
      <c r="X118" t="str">
        <f>IF(INDEX(Labels!J:J, MATCH(Summary!$A118, Labels!$A:$A, 0)) = 0, "", INDEX(Labels!J:J, MATCH(Summary!$A118, Labels!$A:$A, 0)))</f>
        <v/>
      </c>
    </row>
    <row r="119" spans="1:24" x14ac:dyDescent="0.2">
      <c r="A119" s="33">
        <f>Labels!A120</f>
        <v>113</v>
      </c>
      <c r="B119" s="34">
        <f>INDEX(EchoData!B:B, MATCH(Summary!$A119, EchoData!$A:$A, 0))</f>
        <v>114</v>
      </c>
      <c r="C119" s="35">
        <f>INDEX(EchoData!C:C, MATCH(Summary!$A119, EchoData!$A:$A, 0))</f>
        <v>115</v>
      </c>
      <c r="D119" s="42">
        <f>INDEX(Displacements!B:B, MATCH(Summary!$B119, Displacements!$A:$A, 0))</f>
        <v>0.23400000000000001</v>
      </c>
      <c r="E119" s="43">
        <f>INDEX(Displacements!C:C, MATCH(Summary!$B119, Displacements!$A:$A, 0))</f>
        <v>0</v>
      </c>
      <c r="F119" s="44">
        <f>INDEX(Displacements!D:D, MATCH(Summary!$B119, Displacements!$A:$A, 0))</f>
        <v>0</v>
      </c>
      <c r="G119" s="42">
        <f>INDEX(Displacements!B:B, MATCH(Summary!$C119, Displacements!$A:$A, 0))</f>
        <v>0.5</v>
      </c>
      <c r="H119" s="43">
        <f>INDEX(Displacements!C:C, MATCH(Summary!$C119, Displacements!$A:$A, 0))</f>
        <v>0</v>
      </c>
      <c r="I119" s="44">
        <f>INDEX(Displacements!D:D, MATCH(Summary!$C119, Displacements!$A:$A, 0))</f>
        <v>0</v>
      </c>
      <c r="J119" s="42">
        <f t="shared" si="2"/>
        <v>0.26600000000000001</v>
      </c>
      <c r="K119" s="49">
        <f t="shared" si="3"/>
        <v>1.9</v>
      </c>
      <c r="L119" s="54">
        <f>INDEX('Forces+Stresses'!C:C, MATCH(Summary!$A119, 'Forces+Stresses'!$A:$A, 0))</f>
        <v>-1670</v>
      </c>
      <c r="M119" s="55">
        <f>INDEX('Forces+Stresses'!D:D, MATCH(Summary!$A119, 'Forces+Stresses'!$A:$A, 0))</f>
        <v>-1670</v>
      </c>
      <c r="N119" s="55">
        <f>IFERROR(INDEX('Forces+Stresses'!Q:Q, MATCH(Summary!$A119, 'Forces+Stresses'!$A:$A, 0)), INDEX(Flexjoints!D:D, MATCH(Summary!$A119, Flexjoints!$A:$A, 0)))</f>
        <v>2.1829999999999999E-7</v>
      </c>
      <c r="O119" s="56">
        <f>IFERROR(INDEX('Forces+Stresses'!R:R, MATCH(Summary!$A119, 'Forces+Stresses'!$A:$A, 0)), INDEX(Flexjoints!E:E, MATCH(Summary!$A119, Flexjoints!$A:$A, 0)))</f>
        <v>1.4600000000000001E-5</v>
      </c>
      <c r="P119" s="33" t="str">
        <f>IF(INDEX(Labels!B:B, MATCH(Summary!$A119, Labels!$A:$A, 0)) = 0, "", INDEX(Labels!B:B, MATCH(Summary!$A119, Labels!$A:$A, 0)))</f>
        <v>{Conductor &amp; LPH String}</v>
      </c>
      <c r="Q119" s="35" t="str">
        <f>IF(INDEX(Labels!C:C, MATCH(Summary!$A119, Labels!$A:$A, 0)) = 0, "", INDEX(Labels!C:C, MATCH(Summary!$A119, Labels!$A:$A, 0)))</f>
        <v>{Cond 36x2in SW}</v>
      </c>
      <c r="R119" s="33" t="str">
        <f>IF(INDEX(Labels!D:D, MATCH(Summary!$A119, Labels!$A:$A, 0)) = 0, "", INDEX(Labels!D:D, MATCH(Summary!$A119, Labels!$A:$A, 0)))</f>
        <v/>
      </c>
      <c r="S119" s="35" t="str">
        <f>IF(INDEX(Labels!E:E, MATCH(Summary!$A119, Labels!$A:$A, 0)) = 0, "", INDEX(Labels!E:E, MATCH(Summary!$A119, Labels!$A:$A, 0)))</f>
        <v/>
      </c>
      <c r="T119" s="33" t="str">
        <f>IF(INDEX(Labels!F:F, MATCH(Summary!$A119, Labels!$A:$A, 0)) = 0, "", INDEX(Labels!F:F, MATCH(Summary!$A119, Labels!$A:$A, 0)))</f>
        <v/>
      </c>
      <c r="U119" s="35" t="str">
        <f>IF(INDEX(Labels!G:G, MATCH(Summary!$A119, Labels!$A:$A, 0)) = 0, "", INDEX(Labels!G:G, MATCH(Summary!$A119, Labels!$A:$A, 0)))</f>
        <v/>
      </c>
      <c r="V119" s="62" t="str">
        <f>IF(INDEX(Labels!H:H, MATCH(Summary!$A119, Labels!$A:$A, 0)) = 0, "", INDEX(Labels!H:H, MATCH(Summary!$A119, Labels!$A:$A, 0)))</f>
        <v/>
      </c>
      <c r="W119" t="str">
        <f>IF(INDEX(Labels!I:I, MATCH(Summary!$A119, Labels!$A:$A, 0)) = 0, "", INDEX(Labels!I:I, MATCH(Summary!$A119, Labels!$A:$A, 0)))</f>
        <v/>
      </c>
      <c r="X119" t="str">
        <f>IF(INDEX(Labels!J:J, MATCH(Summary!$A119, Labels!$A:$A, 0)) = 0, "", INDEX(Labels!J:J, MATCH(Summary!$A119, Labels!$A:$A, 0)))</f>
        <v/>
      </c>
    </row>
    <row r="120" spans="1:24" x14ac:dyDescent="0.2">
      <c r="A120" s="33">
        <f>Labels!A121</f>
        <v>114</v>
      </c>
      <c r="B120" s="34">
        <f>INDEX(EchoData!B:B, MATCH(Summary!$A120, EchoData!$A:$A, 0))</f>
        <v>115</v>
      </c>
      <c r="C120" s="35">
        <f>INDEX(EchoData!C:C, MATCH(Summary!$A120, EchoData!$A:$A, 0))</f>
        <v>116</v>
      </c>
      <c r="D120" s="42">
        <f>INDEX(Displacements!B:B, MATCH(Summary!$B120, Displacements!$A:$A, 0))</f>
        <v>0.5</v>
      </c>
      <c r="E120" s="43">
        <f>INDEX(Displacements!C:C, MATCH(Summary!$B120, Displacements!$A:$A, 0))</f>
        <v>0</v>
      </c>
      <c r="F120" s="44">
        <f>INDEX(Displacements!D:D, MATCH(Summary!$B120, Displacements!$A:$A, 0))</f>
        <v>0</v>
      </c>
      <c r="G120" s="42">
        <f>INDEX(Displacements!B:B, MATCH(Summary!$C120, Displacements!$A:$A, 0))</f>
        <v>0.746</v>
      </c>
      <c r="H120" s="43">
        <f>INDEX(Displacements!C:C, MATCH(Summary!$C120, Displacements!$A:$A, 0))</f>
        <v>0</v>
      </c>
      <c r="I120" s="44">
        <f>INDEX(Displacements!D:D, MATCH(Summary!$C120, Displacements!$A:$A, 0))</f>
        <v>0</v>
      </c>
      <c r="J120" s="42">
        <f t="shared" si="2"/>
        <v>0.246</v>
      </c>
      <c r="K120" s="49">
        <f t="shared" si="3"/>
        <v>0.92481203007518786</v>
      </c>
      <c r="L120" s="54">
        <f>INDEX('Forces+Stresses'!C:C, MATCH(Summary!$A120, 'Forces+Stresses'!$A:$A, 0))</f>
        <v>-1668</v>
      </c>
      <c r="M120" s="55">
        <f>INDEX('Forces+Stresses'!D:D, MATCH(Summary!$A120, 'Forces+Stresses'!$A:$A, 0))</f>
        <v>-1668</v>
      </c>
      <c r="N120" s="55">
        <f>IFERROR(INDEX('Forces+Stresses'!Q:Q, MATCH(Summary!$A120, 'Forces+Stresses'!$A:$A, 0)), INDEX(Flexjoints!D:D, MATCH(Summary!$A120, Flexjoints!$A:$A, 0)))</f>
        <v>2.111E-7</v>
      </c>
      <c r="O120" s="56">
        <f>IFERROR(INDEX('Forces+Stresses'!R:R, MATCH(Summary!$A120, 'Forces+Stresses'!$A:$A, 0)), INDEX(Flexjoints!E:E, MATCH(Summary!$A120, Flexjoints!$A:$A, 0)))</f>
        <v>1.414E-5</v>
      </c>
      <c r="P120" s="33" t="str">
        <f>IF(INDEX(Labels!B:B, MATCH(Summary!$A120, Labels!$A:$A, 0)) = 0, "", INDEX(Labels!B:B, MATCH(Summary!$A120, Labels!$A:$A, 0)))</f>
        <v>{Conductor &amp; LPH String}</v>
      </c>
      <c r="Q120" s="35" t="str">
        <f>IF(INDEX(Labels!C:C, MATCH(Summary!$A120, Labels!$A:$A, 0)) = 0, "", INDEX(Labels!C:C, MATCH(Summary!$A120, Labels!$A:$A, 0)))</f>
        <v>{Cond 36x2in SW}</v>
      </c>
      <c r="R120" s="33" t="str">
        <f>IF(INDEX(Labels!D:D, MATCH(Summary!$A120, Labels!$A:$A, 0)) = 0, "", INDEX(Labels!D:D, MATCH(Summary!$A120, Labels!$A:$A, 0)))</f>
        <v/>
      </c>
      <c r="S120" s="35" t="str">
        <f>IF(INDEX(Labels!E:E, MATCH(Summary!$A120, Labels!$A:$A, 0)) = 0, "", INDEX(Labels!E:E, MATCH(Summary!$A120, Labels!$A:$A, 0)))</f>
        <v/>
      </c>
      <c r="T120" s="33" t="str">
        <f>IF(INDEX(Labels!F:F, MATCH(Summary!$A120, Labels!$A:$A, 0)) = 0, "", INDEX(Labels!F:F, MATCH(Summary!$A120, Labels!$A:$A, 0)))</f>
        <v/>
      </c>
      <c r="U120" s="35" t="str">
        <f>IF(INDEX(Labels!G:G, MATCH(Summary!$A120, Labels!$A:$A, 0)) = 0, "", INDEX(Labels!G:G, MATCH(Summary!$A120, Labels!$A:$A, 0)))</f>
        <v/>
      </c>
      <c r="V120" s="62" t="str">
        <f>IF(INDEX(Labels!H:H, MATCH(Summary!$A120, Labels!$A:$A, 0)) = 0, "", INDEX(Labels!H:H, MATCH(Summary!$A120, Labels!$A:$A, 0)))</f>
        <v/>
      </c>
      <c r="W120" t="str">
        <f>IF(INDEX(Labels!I:I, MATCH(Summary!$A120, Labels!$A:$A, 0)) = 0, "", INDEX(Labels!I:I, MATCH(Summary!$A120, Labels!$A:$A, 0)))</f>
        <v/>
      </c>
      <c r="X120" t="str">
        <f>IF(INDEX(Labels!J:J, MATCH(Summary!$A120, Labels!$A:$A, 0)) = 0, "", INDEX(Labels!J:J, MATCH(Summary!$A120, Labels!$A:$A, 0)))</f>
        <v/>
      </c>
    </row>
    <row r="121" spans="1:24" x14ac:dyDescent="0.2">
      <c r="A121" s="33">
        <f>Labels!A122</f>
        <v>115</v>
      </c>
      <c r="B121" s="34">
        <f>INDEX(EchoData!B:B, MATCH(Summary!$A121, EchoData!$A:$A, 0))</f>
        <v>116</v>
      </c>
      <c r="C121" s="35">
        <f>INDEX(EchoData!C:C, MATCH(Summary!$A121, EchoData!$A:$A, 0))</f>
        <v>117</v>
      </c>
      <c r="D121" s="42">
        <f>INDEX(Displacements!B:B, MATCH(Summary!$B121, Displacements!$A:$A, 0))</f>
        <v>0.746</v>
      </c>
      <c r="E121" s="43">
        <f>INDEX(Displacements!C:C, MATCH(Summary!$B121, Displacements!$A:$A, 0))</f>
        <v>0</v>
      </c>
      <c r="F121" s="44">
        <f>INDEX(Displacements!D:D, MATCH(Summary!$B121, Displacements!$A:$A, 0))</f>
        <v>0</v>
      </c>
      <c r="G121" s="42">
        <f>INDEX(Displacements!B:B, MATCH(Summary!$C121, Displacements!$A:$A, 0))</f>
        <v>0.89800000000000002</v>
      </c>
      <c r="H121" s="43">
        <f>INDEX(Displacements!C:C, MATCH(Summary!$C121, Displacements!$A:$A, 0))</f>
        <v>0</v>
      </c>
      <c r="I121" s="44">
        <f>INDEX(Displacements!D:D, MATCH(Summary!$C121, Displacements!$A:$A, 0))</f>
        <v>0</v>
      </c>
      <c r="J121" s="42">
        <f t="shared" si="2"/>
        <v>0.15200000000000002</v>
      </c>
      <c r="K121" s="49">
        <f t="shared" si="3"/>
        <v>0.61788617886178876</v>
      </c>
      <c r="L121" s="54">
        <f>INDEX('Forces+Stresses'!C:C, MATCH(Summary!$A121, 'Forces+Stresses'!$A:$A, 0))</f>
        <v>-1666</v>
      </c>
      <c r="M121" s="55">
        <f>INDEX('Forces+Stresses'!D:D, MATCH(Summary!$A121, 'Forces+Stresses'!$A:$A, 0))</f>
        <v>-1666</v>
      </c>
      <c r="N121" s="55">
        <f>IFERROR(INDEX('Forces+Stresses'!Q:Q, MATCH(Summary!$A121, 'Forces+Stresses'!$A:$A, 0)), INDEX(Flexjoints!D:D, MATCH(Summary!$A121, Flexjoints!$A:$A, 0)))</f>
        <v>2.0949999999999999E-7</v>
      </c>
      <c r="O121" s="56">
        <f>IFERROR(INDEX('Forces+Stresses'!R:R, MATCH(Summary!$A121, 'Forces+Stresses'!$A:$A, 0)), INDEX(Flexjoints!E:E, MATCH(Summary!$A121, Flexjoints!$A:$A, 0)))</f>
        <v>1.3740000000000001E-5</v>
      </c>
      <c r="P121" s="33" t="str">
        <f>IF(INDEX(Labels!B:B, MATCH(Summary!$A121, Labels!$A:$A, 0)) = 0, "", INDEX(Labels!B:B, MATCH(Summary!$A121, Labels!$A:$A, 0)))</f>
        <v>{Conductor &amp; LPH String}</v>
      </c>
      <c r="Q121" s="35" t="str">
        <f>IF(INDEX(Labels!C:C, MATCH(Summary!$A121, Labels!$A:$A, 0)) = 0, "", INDEX(Labels!C:C, MATCH(Summary!$A121, Labels!$A:$A, 0)))</f>
        <v>{Cond 36x2in SW}</v>
      </c>
      <c r="R121" s="33" t="str">
        <f>IF(INDEX(Labels!D:D, MATCH(Summary!$A121, Labels!$A:$A, 0)) = 0, "", INDEX(Labels!D:D, MATCH(Summary!$A121, Labels!$A:$A, 0)))</f>
        <v/>
      </c>
      <c r="S121" s="35" t="str">
        <f>IF(INDEX(Labels!E:E, MATCH(Summary!$A121, Labels!$A:$A, 0)) = 0, "", INDEX(Labels!E:E, MATCH(Summary!$A121, Labels!$A:$A, 0)))</f>
        <v/>
      </c>
      <c r="T121" s="33" t="str">
        <f>IF(INDEX(Labels!F:F, MATCH(Summary!$A121, Labels!$A:$A, 0)) = 0, "", INDEX(Labels!F:F, MATCH(Summary!$A121, Labels!$A:$A, 0)))</f>
        <v/>
      </c>
      <c r="U121" s="35" t="str">
        <f>IF(INDEX(Labels!G:G, MATCH(Summary!$A121, Labels!$A:$A, 0)) = 0, "", INDEX(Labels!G:G, MATCH(Summary!$A121, Labels!$A:$A, 0)))</f>
        <v/>
      </c>
      <c r="V121" s="62" t="str">
        <f>IF(INDEX(Labels!H:H, MATCH(Summary!$A121, Labels!$A:$A, 0)) = 0, "", INDEX(Labels!H:H, MATCH(Summary!$A121, Labels!$A:$A, 0)))</f>
        <v/>
      </c>
      <c r="W121" t="str">
        <f>IF(INDEX(Labels!I:I, MATCH(Summary!$A121, Labels!$A:$A, 0)) = 0, "", INDEX(Labels!I:I, MATCH(Summary!$A121, Labels!$A:$A, 0)))</f>
        <v/>
      </c>
      <c r="X121" t="str">
        <f>IF(INDEX(Labels!J:J, MATCH(Summary!$A121, Labels!$A:$A, 0)) = 0, "", INDEX(Labels!J:J, MATCH(Summary!$A121, Labels!$A:$A, 0)))</f>
        <v/>
      </c>
    </row>
    <row r="122" spans="1:24" x14ac:dyDescent="0.2">
      <c r="A122" s="33">
        <f>Labels!A123</f>
        <v>116</v>
      </c>
      <c r="B122" s="34">
        <f>INDEX(EchoData!B:B, MATCH(Summary!$A122, EchoData!$A:$A, 0))</f>
        <v>117</v>
      </c>
      <c r="C122" s="35">
        <f>INDEX(EchoData!C:C, MATCH(Summary!$A122, EchoData!$A:$A, 0))</f>
        <v>118</v>
      </c>
      <c r="D122" s="42">
        <f>INDEX(Displacements!B:B, MATCH(Summary!$B122, Displacements!$A:$A, 0))</f>
        <v>0.89800000000000002</v>
      </c>
      <c r="E122" s="43">
        <f>INDEX(Displacements!C:C, MATCH(Summary!$B122, Displacements!$A:$A, 0))</f>
        <v>0</v>
      </c>
      <c r="F122" s="44">
        <f>INDEX(Displacements!D:D, MATCH(Summary!$B122, Displacements!$A:$A, 0))</f>
        <v>0</v>
      </c>
      <c r="G122" s="42">
        <f>INDEX(Displacements!B:B, MATCH(Summary!$C122, Displacements!$A:$A, 0))</f>
        <v>1</v>
      </c>
      <c r="H122" s="43">
        <f>INDEX(Displacements!C:C, MATCH(Summary!$C122, Displacements!$A:$A, 0))</f>
        <v>0</v>
      </c>
      <c r="I122" s="44">
        <f>INDEX(Displacements!D:D, MATCH(Summary!$C122, Displacements!$A:$A, 0))</f>
        <v>0</v>
      </c>
      <c r="J122" s="42">
        <f t="shared" si="2"/>
        <v>0.10199999999999998</v>
      </c>
      <c r="K122" s="49">
        <f t="shared" si="3"/>
        <v>0.67105263157894712</v>
      </c>
      <c r="L122" s="54">
        <f>INDEX('Forces+Stresses'!C:C, MATCH(Summary!$A122, 'Forces+Stresses'!$A:$A, 0))</f>
        <v>-1664</v>
      </c>
      <c r="M122" s="55">
        <f>INDEX('Forces+Stresses'!D:D, MATCH(Summary!$A122, 'Forces+Stresses'!$A:$A, 0))</f>
        <v>-1664</v>
      </c>
      <c r="N122" s="55">
        <f>IFERROR(INDEX('Forces+Stresses'!Q:Q, MATCH(Summary!$A122, 'Forces+Stresses'!$A:$A, 0)), INDEX(Flexjoints!D:D, MATCH(Summary!$A122, Flexjoints!$A:$A, 0)))</f>
        <v>2.111E-7</v>
      </c>
      <c r="O122" s="56">
        <f>IFERROR(INDEX('Forces+Stresses'!R:R, MATCH(Summary!$A122, 'Forces+Stresses'!$A:$A, 0)), INDEX(Flexjoints!E:E, MATCH(Summary!$A122, Flexjoints!$A:$A, 0)))</f>
        <v>1.3499999999999999E-5</v>
      </c>
      <c r="P122" s="33" t="str">
        <f>IF(INDEX(Labels!B:B, MATCH(Summary!$A122, Labels!$A:$A, 0)) = 0, "", INDEX(Labels!B:B, MATCH(Summary!$A122, Labels!$A:$A, 0)))</f>
        <v>{Conductor &amp; LPH String}</v>
      </c>
      <c r="Q122" s="35" t="str">
        <f>IF(INDEX(Labels!C:C, MATCH(Summary!$A122, Labels!$A:$A, 0)) = 0, "", INDEX(Labels!C:C, MATCH(Summary!$A122, Labels!$A:$A, 0)))</f>
        <v>{Cond 36x2in SW}</v>
      </c>
      <c r="R122" s="33" t="str">
        <f>IF(INDEX(Labels!D:D, MATCH(Summary!$A122, Labels!$A:$A, 0)) = 0, "", INDEX(Labels!D:D, MATCH(Summary!$A122, Labels!$A:$A, 0)))</f>
        <v/>
      </c>
      <c r="S122" s="35" t="str">
        <f>IF(INDEX(Labels!E:E, MATCH(Summary!$A122, Labels!$A:$A, 0)) = 0, "", INDEX(Labels!E:E, MATCH(Summary!$A122, Labels!$A:$A, 0)))</f>
        <v/>
      </c>
      <c r="T122" s="33" t="str">
        <f>IF(INDEX(Labels!F:F, MATCH(Summary!$A122, Labels!$A:$A, 0)) = 0, "", INDEX(Labels!F:F, MATCH(Summary!$A122, Labels!$A:$A, 0)))</f>
        <v/>
      </c>
      <c r="U122" s="35" t="str">
        <f>IF(INDEX(Labels!G:G, MATCH(Summary!$A122, Labels!$A:$A, 0)) = 0, "", INDEX(Labels!G:G, MATCH(Summary!$A122, Labels!$A:$A, 0)))</f>
        <v/>
      </c>
      <c r="V122" s="62" t="str">
        <f>IF(INDEX(Labels!H:H, MATCH(Summary!$A122, Labels!$A:$A, 0)) = 0, "", INDEX(Labels!H:H, MATCH(Summary!$A122, Labels!$A:$A, 0)))</f>
        <v/>
      </c>
      <c r="W122" t="str">
        <f>IF(INDEX(Labels!I:I, MATCH(Summary!$A122, Labels!$A:$A, 0)) = 0, "", INDEX(Labels!I:I, MATCH(Summary!$A122, Labels!$A:$A, 0)))</f>
        <v/>
      </c>
      <c r="X122" t="str">
        <f>IF(INDEX(Labels!J:J, MATCH(Summary!$A122, Labels!$A:$A, 0)) = 0, "", INDEX(Labels!J:J, MATCH(Summary!$A122, Labels!$A:$A, 0)))</f>
        <v/>
      </c>
    </row>
    <row r="123" spans="1:24" x14ac:dyDescent="0.2">
      <c r="A123" s="33">
        <f>Labels!A124</f>
        <v>117</v>
      </c>
      <c r="B123" s="34">
        <f>INDEX(EchoData!B:B, MATCH(Summary!$A123, EchoData!$A:$A, 0))</f>
        <v>118</v>
      </c>
      <c r="C123" s="35">
        <f>INDEX(EchoData!C:C, MATCH(Summary!$A123, EchoData!$A:$A, 0))</f>
        <v>119</v>
      </c>
      <c r="D123" s="42">
        <f>INDEX(Displacements!B:B, MATCH(Summary!$B123, Displacements!$A:$A, 0))</f>
        <v>1</v>
      </c>
      <c r="E123" s="43">
        <f>INDEX(Displacements!C:C, MATCH(Summary!$B123, Displacements!$A:$A, 0))</f>
        <v>0</v>
      </c>
      <c r="F123" s="44">
        <f>INDEX(Displacements!D:D, MATCH(Summary!$B123, Displacements!$A:$A, 0))</f>
        <v>0</v>
      </c>
      <c r="G123" s="42">
        <f>INDEX(Displacements!B:B, MATCH(Summary!$C123, Displacements!$A:$A, 0))</f>
        <v>1.0860000000000001</v>
      </c>
      <c r="H123" s="43">
        <f>INDEX(Displacements!C:C, MATCH(Summary!$C123, Displacements!$A:$A, 0))</f>
        <v>0</v>
      </c>
      <c r="I123" s="44">
        <f>INDEX(Displacements!D:D, MATCH(Summary!$C123, Displacements!$A:$A, 0))</f>
        <v>0</v>
      </c>
      <c r="J123" s="42">
        <f t="shared" si="2"/>
        <v>8.6000000000000076E-2</v>
      </c>
      <c r="K123" s="49">
        <f t="shared" si="3"/>
        <v>0.84313725490196167</v>
      </c>
      <c r="L123" s="54">
        <f>INDEX('Forces+Stresses'!C:C, MATCH(Summary!$A123, 'Forces+Stresses'!$A:$A, 0))</f>
        <v>-1663</v>
      </c>
      <c r="M123" s="55">
        <f>INDEX('Forces+Stresses'!D:D, MATCH(Summary!$A123, 'Forces+Stresses'!$A:$A, 0))</f>
        <v>-1663</v>
      </c>
      <c r="N123" s="55">
        <f>IFERROR(INDEX('Forces+Stresses'!Q:Q, MATCH(Summary!$A123, 'Forces+Stresses'!$A:$A, 0)), INDEX(Flexjoints!D:D, MATCH(Summary!$A123, Flexjoints!$A:$A, 0)))</f>
        <v>2.132E-7</v>
      </c>
      <c r="O123" s="56">
        <f>IFERROR(INDEX('Forces+Stresses'!R:R, MATCH(Summary!$A123, 'Forces+Stresses'!$A:$A, 0)), INDEX(Flexjoints!E:E, MATCH(Summary!$A123, Flexjoints!$A:$A, 0)))</f>
        <v>1.3339999999999999E-5</v>
      </c>
      <c r="P123" s="33" t="str">
        <f>IF(INDEX(Labels!B:B, MATCH(Summary!$A123, Labels!$A:$A, 0)) = 0, "", INDEX(Labels!B:B, MATCH(Summary!$A123, Labels!$A:$A, 0)))</f>
        <v>{Conductor &amp; LPH String}</v>
      </c>
      <c r="Q123" s="35" t="str">
        <f>IF(INDEX(Labels!C:C, MATCH(Summary!$A123, Labels!$A:$A, 0)) = 0, "", INDEX(Labels!C:C, MATCH(Summary!$A123, Labels!$A:$A, 0)))</f>
        <v>{Cond 36x2in SW}</v>
      </c>
      <c r="R123" s="33" t="str">
        <f>IF(INDEX(Labels!D:D, MATCH(Summary!$A123, Labels!$A:$A, 0)) = 0, "", INDEX(Labels!D:D, MATCH(Summary!$A123, Labels!$A:$A, 0)))</f>
        <v/>
      </c>
      <c r="S123" s="35" t="str">
        <f>IF(INDEX(Labels!E:E, MATCH(Summary!$A123, Labels!$A:$A, 0)) = 0, "", INDEX(Labels!E:E, MATCH(Summary!$A123, Labels!$A:$A, 0)))</f>
        <v/>
      </c>
      <c r="T123" s="33" t="str">
        <f>IF(INDEX(Labels!F:F, MATCH(Summary!$A123, Labels!$A:$A, 0)) = 0, "", INDEX(Labels!F:F, MATCH(Summary!$A123, Labels!$A:$A, 0)))</f>
        <v/>
      </c>
      <c r="U123" s="35" t="str">
        <f>IF(INDEX(Labels!G:G, MATCH(Summary!$A123, Labels!$A:$A, 0)) = 0, "", INDEX(Labels!G:G, MATCH(Summary!$A123, Labels!$A:$A, 0)))</f>
        <v>{Cond 36x2in SW_Last}</v>
      </c>
      <c r="V123" s="62" t="str">
        <f>IF(INDEX(Labels!H:H, MATCH(Summary!$A123, Labels!$A:$A, 0)) = 0, "", INDEX(Labels!H:H, MATCH(Summary!$A123, Labels!$A:$A, 0)))</f>
        <v/>
      </c>
      <c r="W123" t="str">
        <f>IF(INDEX(Labels!I:I, MATCH(Summary!$A123, Labels!$A:$A, 0)) = 0, "", INDEX(Labels!I:I, MATCH(Summary!$A123, Labels!$A:$A, 0)))</f>
        <v/>
      </c>
      <c r="X123" t="str">
        <f>IF(INDEX(Labels!J:J, MATCH(Summary!$A123, Labels!$A:$A, 0)) = 0, "", INDEX(Labels!J:J, MATCH(Summary!$A123, Labels!$A:$A, 0)))</f>
        <v/>
      </c>
    </row>
    <row r="124" spans="1:24" x14ac:dyDescent="0.2">
      <c r="A124" s="33">
        <f>Labels!A125</f>
        <v>118</v>
      </c>
      <c r="B124" s="34">
        <f>INDEX(EchoData!B:B, MATCH(Summary!$A124, EchoData!$A:$A, 0))</f>
        <v>119</v>
      </c>
      <c r="C124" s="35">
        <f>INDEX(EchoData!C:C, MATCH(Summary!$A124, EchoData!$A:$A, 0))</f>
        <v>246</v>
      </c>
      <c r="D124" s="42">
        <f>INDEX(Displacements!B:B, MATCH(Summary!$B124, Displacements!$A:$A, 0))</f>
        <v>1.0860000000000001</v>
      </c>
      <c r="E124" s="43">
        <f>INDEX(Displacements!C:C, MATCH(Summary!$B124, Displacements!$A:$A, 0))</f>
        <v>0</v>
      </c>
      <c r="F124" s="44">
        <f>INDEX(Displacements!D:D, MATCH(Summary!$B124, Displacements!$A:$A, 0))</f>
        <v>0</v>
      </c>
      <c r="G124" s="42">
        <f>INDEX(Displacements!B:B, MATCH(Summary!$C124, Displacements!$A:$A, 0))</f>
        <v>1.2709999999999999</v>
      </c>
      <c r="H124" s="43">
        <f>INDEX(Displacements!C:C, MATCH(Summary!$C124, Displacements!$A:$A, 0))</f>
        <v>0</v>
      </c>
      <c r="I124" s="44">
        <f>INDEX(Displacements!D:D, MATCH(Summary!$C124, Displacements!$A:$A, 0))</f>
        <v>0</v>
      </c>
      <c r="J124" s="42">
        <f t="shared" si="2"/>
        <v>0.18499999999999983</v>
      </c>
      <c r="K124" s="49">
        <f t="shared" si="3"/>
        <v>2.1511627906976707</v>
      </c>
      <c r="L124" s="54">
        <f>INDEX('Forces+Stresses'!C:C, MATCH(Summary!$A124, 'Forces+Stresses'!$A:$A, 0))</f>
        <v>-1663</v>
      </c>
      <c r="M124" s="55">
        <f>INDEX('Forces+Stresses'!D:D, MATCH(Summary!$A124, 'Forces+Stresses'!$A:$A, 0))</f>
        <v>-1663</v>
      </c>
      <c r="N124" s="55">
        <f>IFERROR(INDEX('Forces+Stresses'!Q:Q, MATCH(Summary!$A124, 'Forces+Stresses'!$A:$A, 0)), INDEX(Flexjoints!D:D, MATCH(Summary!$A124, Flexjoints!$A:$A, 0)))</f>
        <v>2.156E-7</v>
      </c>
      <c r="O124" s="56">
        <f>IFERROR(INDEX('Forces+Stresses'!R:R, MATCH(Summary!$A124, 'Forces+Stresses'!$A:$A, 0)), INDEX(Flexjoints!E:E, MATCH(Summary!$A124, Flexjoints!$A:$A, 0)))</f>
        <v>1.3209999999999999E-5</v>
      </c>
      <c r="P124" s="33" t="str">
        <f>IF(INDEX(Labels!B:B, MATCH(Summary!$A124, Labels!$A:$A, 0)) = 0, "", INDEX(Labels!B:B, MATCH(Summary!$A124, Labels!$A:$A, 0)))</f>
        <v>{Conductor &amp; LPH String}</v>
      </c>
      <c r="Q124" s="35" t="str">
        <f>IF(INDEX(Labels!C:C, MATCH(Summary!$A124, Labels!$A:$A, 0)) = 0, "", INDEX(Labels!C:C, MATCH(Summary!$A124, Labels!$A:$A, 0)))</f>
        <v>{LP Housing}</v>
      </c>
      <c r="R124" s="33" t="str">
        <f>IF(INDEX(Labels!D:D, MATCH(Summary!$A124, Labels!$A:$A, 0)) = 0, "", INDEX(Labels!D:D, MATCH(Summary!$A124, Labels!$A:$A, 0)))</f>
        <v/>
      </c>
      <c r="S124" s="35" t="str">
        <f>IF(INDEX(Labels!E:E, MATCH(Summary!$A124, Labels!$A:$A, 0)) = 0, "", INDEX(Labels!E:E, MATCH(Summary!$A124, Labels!$A:$A, 0)))</f>
        <v/>
      </c>
      <c r="T124" s="33" t="str">
        <f>IF(INDEX(Labels!F:F, MATCH(Summary!$A124, Labels!$A:$A, 0)) = 0, "", INDEX(Labels!F:F, MATCH(Summary!$A124, Labels!$A:$A, 0)))</f>
        <v>{LP Housing_First}</v>
      </c>
      <c r="U124" s="35" t="str">
        <f>IF(INDEX(Labels!G:G, MATCH(Summary!$A124, Labels!$A:$A, 0)) = 0, "", INDEX(Labels!G:G, MATCH(Summary!$A124, Labels!$A:$A, 0)))</f>
        <v/>
      </c>
      <c r="V124" s="62" t="str">
        <f>IF(INDEX(Labels!H:H, MATCH(Summary!$A124, Labels!$A:$A, 0)) = 0, "", INDEX(Labels!H:H, MATCH(Summary!$A124, Labels!$A:$A, 0)))</f>
        <v>{LPH_Lower_Equiv_Pt_Before}</v>
      </c>
      <c r="W124" t="str">
        <f>IF(INDEX(Labels!I:I, MATCH(Summary!$A124, Labels!$A:$A, 0)) = 0, "", INDEX(Labels!I:I, MATCH(Summary!$A124, Labels!$A:$A, 0)))</f>
        <v/>
      </c>
      <c r="X124" t="str">
        <f>IF(INDEX(Labels!J:J, MATCH(Summary!$A124, Labels!$A:$A, 0)) = 0, "", INDEX(Labels!J:J, MATCH(Summary!$A124, Labels!$A:$A, 0)))</f>
        <v/>
      </c>
    </row>
    <row r="125" spans="1:24" x14ac:dyDescent="0.2">
      <c r="A125" s="33">
        <f>Labels!A126</f>
        <v>119</v>
      </c>
      <c r="B125" s="34">
        <f>INDEX(EchoData!B:B, MATCH(Summary!$A125, EchoData!$A:$A, 0))</f>
        <v>246</v>
      </c>
      <c r="C125" s="35">
        <f>INDEX(EchoData!C:C, MATCH(Summary!$A125, EchoData!$A:$A, 0))</f>
        <v>121</v>
      </c>
      <c r="D125" s="42">
        <f>INDEX(Displacements!B:B, MATCH(Summary!$B125, Displacements!$A:$A, 0))</f>
        <v>1.2709999999999999</v>
      </c>
      <c r="E125" s="43">
        <f>INDEX(Displacements!C:C, MATCH(Summary!$B125, Displacements!$A:$A, 0))</f>
        <v>0</v>
      </c>
      <c r="F125" s="44">
        <f>INDEX(Displacements!D:D, MATCH(Summary!$B125, Displacements!$A:$A, 0))</f>
        <v>0</v>
      </c>
      <c r="G125" s="42">
        <f>INDEX(Displacements!B:B, MATCH(Summary!$C125, Displacements!$A:$A, 0))</f>
        <v>1.3979999999999999</v>
      </c>
      <c r="H125" s="43">
        <f>INDEX(Displacements!C:C, MATCH(Summary!$C125, Displacements!$A:$A, 0))</f>
        <v>0</v>
      </c>
      <c r="I125" s="44">
        <f>INDEX(Displacements!D:D, MATCH(Summary!$C125, Displacements!$A:$A, 0))</f>
        <v>0</v>
      </c>
      <c r="J125" s="42">
        <f t="shared" si="2"/>
        <v>0.127</v>
      </c>
      <c r="K125" s="49">
        <f t="shared" si="3"/>
        <v>0.68648648648648714</v>
      </c>
      <c r="L125" s="54">
        <f>INDEX('Forces+Stresses'!C:C, MATCH(Summary!$A125, 'Forces+Stresses'!$A:$A, 0))</f>
        <v>1333</v>
      </c>
      <c r="M125" s="55">
        <f>INDEX('Forces+Stresses'!D:D, MATCH(Summary!$A125, 'Forces+Stresses'!$A:$A, 0))</f>
        <v>1333</v>
      </c>
      <c r="N125" s="55">
        <f>IFERROR(INDEX('Forces+Stresses'!Q:Q, MATCH(Summary!$A125, 'Forces+Stresses'!$A:$A, 0)), INDEX(Flexjoints!D:D, MATCH(Summary!$A125, Flexjoints!$A:$A, 0)))</f>
        <v>1.4859999999999999E-7</v>
      </c>
      <c r="O125" s="56">
        <f>IFERROR(INDEX('Forces+Stresses'!R:R, MATCH(Summary!$A125, 'Forces+Stresses'!$A:$A, 0)), INDEX(Flexjoints!E:E, MATCH(Summary!$A125, Flexjoints!$A:$A, 0)))</f>
        <v>8.7479999999999999E-6</v>
      </c>
      <c r="P125" s="33" t="str">
        <f>IF(INDEX(Labels!B:B, MATCH(Summary!$A125, Labels!$A:$A, 0)) = 0, "", INDEX(Labels!B:B, MATCH(Summary!$A125, Labels!$A:$A, 0)))</f>
        <v>{Conductor &amp; LPH String}</v>
      </c>
      <c r="Q125" s="35" t="str">
        <f>IF(INDEX(Labels!C:C, MATCH(Summary!$A125, Labels!$A:$A, 0)) = 0, "", INDEX(Labels!C:C, MATCH(Summary!$A125, Labels!$A:$A, 0)))</f>
        <v>{LP Housing}</v>
      </c>
      <c r="R125" s="33" t="str">
        <f>IF(INDEX(Labels!D:D, MATCH(Summary!$A125, Labels!$A:$A, 0)) = 0, "", INDEX(Labels!D:D, MATCH(Summary!$A125, Labels!$A:$A, 0)))</f>
        <v/>
      </c>
      <c r="S125" s="35" t="str">
        <f>IF(INDEX(Labels!E:E, MATCH(Summary!$A125, Labels!$A:$A, 0)) = 0, "", INDEX(Labels!E:E, MATCH(Summary!$A125, Labels!$A:$A, 0)))</f>
        <v/>
      </c>
      <c r="T125" s="33" t="str">
        <f>IF(INDEX(Labels!F:F, MATCH(Summary!$A125, Labels!$A:$A, 0)) = 0, "", INDEX(Labels!F:F, MATCH(Summary!$A125, Labels!$A:$A, 0)))</f>
        <v/>
      </c>
      <c r="U125" s="35" t="str">
        <f>IF(INDEX(Labels!G:G, MATCH(Summary!$A125, Labels!$A:$A, 0)) = 0, "", INDEX(Labels!G:G, MATCH(Summary!$A125, Labels!$A:$A, 0)))</f>
        <v/>
      </c>
      <c r="V125" s="62" t="str">
        <f>IF(INDEX(Labels!H:H, MATCH(Summary!$A125, Labels!$A:$A, 0)) = 0, "", INDEX(Labels!H:H, MATCH(Summary!$A125, Labels!$A:$A, 0)))</f>
        <v>{LPH_Lower_Equiv_Pt_After}</v>
      </c>
      <c r="W125" t="str">
        <f>IF(INDEX(Labels!I:I, MATCH(Summary!$A125, Labels!$A:$A, 0)) = 0, "", INDEX(Labels!I:I, MATCH(Summary!$A125, Labels!$A:$A, 0)))</f>
        <v/>
      </c>
      <c r="X125" t="str">
        <f>IF(INDEX(Labels!J:J, MATCH(Summary!$A125, Labels!$A:$A, 0)) = 0, "", INDEX(Labels!J:J, MATCH(Summary!$A125, Labels!$A:$A, 0)))</f>
        <v/>
      </c>
    </row>
    <row r="126" spans="1:24" x14ac:dyDescent="0.2">
      <c r="A126" s="33">
        <f>Labels!A127</f>
        <v>120</v>
      </c>
      <c r="B126" s="34">
        <f>INDEX(EchoData!B:B, MATCH(Summary!$A126, EchoData!$A:$A, 0))</f>
        <v>121</v>
      </c>
      <c r="C126" s="35">
        <f>INDEX(EchoData!C:C, MATCH(Summary!$A126, EchoData!$A:$A, 0))</f>
        <v>122</v>
      </c>
      <c r="D126" s="42">
        <f>INDEX(Displacements!B:B, MATCH(Summary!$B126, Displacements!$A:$A, 0))</f>
        <v>1.3979999999999999</v>
      </c>
      <c r="E126" s="43">
        <f>INDEX(Displacements!C:C, MATCH(Summary!$B126, Displacements!$A:$A, 0))</f>
        <v>0</v>
      </c>
      <c r="F126" s="44">
        <f>INDEX(Displacements!D:D, MATCH(Summary!$B126, Displacements!$A:$A, 0))</f>
        <v>0</v>
      </c>
      <c r="G126" s="42">
        <f>INDEX(Displacements!B:B, MATCH(Summary!$C126, Displacements!$A:$A, 0))</f>
        <v>1.589</v>
      </c>
      <c r="H126" s="43">
        <f>INDEX(Displacements!C:C, MATCH(Summary!$C126, Displacements!$A:$A, 0))</f>
        <v>0</v>
      </c>
      <c r="I126" s="44">
        <f>INDEX(Displacements!D:D, MATCH(Summary!$C126, Displacements!$A:$A, 0))</f>
        <v>0</v>
      </c>
      <c r="J126" s="42">
        <f t="shared" si="2"/>
        <v>0.19100000000000006</v>
      </c>
      <c r="K126" s="49">
        <f t="shared" si="3"/>
        <v>1.5039370078740162</v>
      </c>
      <c r="L126" s="54">
        <f>INDEX('Forces+Stresses'!C:C, MATCH(Summary!$A126, 'Forces+Stresses'!$A:$A, 0))</f>
        <v>1336</v>
      </c>
      <c r="M126" s="55">
        <f>INDEX('Forces+Stresses'!D:D, MATCH(Summary!$A126, 'Forces+Stresses'!$A:$A, 0))</f>
        <v>1336</v>
      </c>
      <c r="N126" s="55">
        <f>IFERROR(INDEX('Forces+Stresses'!Q:Q, MATCH(Summary!$A126, 'Forces+Stresses'!$A:$A, 0)), INDEX(Flexjoints!D:D, MATCH(Summary!$A126, Flexjoints!$A:$A, 0)))</f>
        <v>1.525E-7</v>
      </c>
      <c r="O126" s="56">
        <f>IFERROR(INDEX('Forces+Stresses'!R:R, MATCH(Summary!$A126, 'Forces+Stresses'!$A:$A, 0)), INDEX(Flexjoints!E:E, MATCH(Summary!$A126, Flexjoints!$A:$A, 0)))</f>
        <v>8.6230000000000003E-6</v>
      </c>
      <c r="P126" s="33" t="str">
        <f>IF(INDEX(Labels!B:B, MATCH(Summary!$A126, Labels!$A:$A, 0)) = 0, "", INDEX(Labels!B:B, MATCH(Summary!$A126, Labels!$A:$A, 0)))</f>
        <v>{Conductor &amp; LPH String}</v>
      </c>
      <c r="Q126" s="35" t="str">
        <f>IF(INDEX(Labels!C:C, MATCH(Summary!$A126, Labels!$A:$A, 0)) = 0, "", INDEX(Labels!C:C, MATCH(Summary!$A126, Labels!$A:$A, 0)))</f>
        <v>{LP Housing}</v>
      </c>
      <c r="R126" s="33" t="str">
        <f>IF(INDEX(Labels!D:D, MATCH(Summary!$A126, Labels!$A:$A, 0)) = 0, "", INDEX(Labels!D:D, MATCH(Summary!$A126, Labels!$A:$A, 0)))</f>
        <v/>
      </c>
      <c r="S126" s="35" t="str">
        <f>IF(INDEX(Labels!E:E, MATCH(Summary!$A126, Labels!$A:$A, 0)) = 0, "", INDEX(Labels!E:E, MATCH(Summary!$A126, Labels!$A:$A, 0)))</f>
        <v/>
      </c>
      <c r="T126" s="33" t="str">
        <f>IF(INDEX(Labels!F:F, MATCH(Summary!$A126, Labels!$A:$A, 0)) = 0, "", INDEX(Labels!F:F, MATCH(Summary!$A126, Labels!$A:$A, 0)))</f>
        <v/>
      </c>
      <c r="U126" s="35" t="str">
        <f>IF(INDEX(Labels!G:G, MATCH(Summary!$A126, Labels!$A:$A, 0)) = 0, "", INDEX(Labels!G:G, MATCH(Summary!$A126, Labels!$A:$A, 0)))</f>
        <v/>
      </c>
      <c r="V126" s="62" t="str">
        <f>IF(INDEX(Labels!H:H, MATCH(Summary!$A126, Labels!$A:$A, 0)) = 0, "", INDEX(Labels!H:H, MATCH(Summary!$A126, Labels!$A:$A, 0)))</f>
        <v/>
      </c>
      <c r="W126" t="str">
        <f>IF(INDEX(Labels!I:I, MATCH(Summary!$A126, Labels!$A:$A, 0)) = 0, "", INDEX(Labels!I:I, MATCH(Summary!$A126, Labels!$A:$A, 0)))</f>
        <v/>
      </c>
      <c r="X126" t="str">
        <f>IF(INDEX(Labels!J:J, MATCH(Summary!$A126, Labels!$A:$A, 0)) = 0, "", INDEX(Labels!J:J, MATCH(Summary!$A126, Labels!$A:$A, 0)))</f>
        <v/>
      </c>
    </row>
    <row r="127" spans="1:24" x14ac:dyDescent="0.2">
      <c r="A127" s="33">
        <f>Labels!A128</f>
        <v>121</v>
      </c>
      <c r="B127" s="34">
        <f>INDEX(EchoData!B:B, MATCH(Summary!$A127, EchoData!$A:$A, 0))</f>
        <v>122</v>
      </c>
      <c r="C127" s="35">
        <f>INDEX(EchoData!C:C, MATCH(Summary!$A127, EchoData!$A:$A, 0))</f>
        <v>123</v>
      </c>
      <c r="D127" s="42">
        <f>INDEX(Displacements!B:B, MATCH(Summary!$B127, Displacements!$A:$A, 0))</f>
        <v>1.589</v>
      </c>
      <c r="E127" s="43">
        <f>INDEX(Displacements!C:C, MATCH(Summary!$B127, Displacements!$A:$A, 0))</f>
        <v>0</v>
      </c>
      <c r="F127" s="44">
        <f>INDEX(Displacements!D:D, MATCH(Summary!$B127, Displacements!$A:$A, 0))</f>
        <v>0</v>
      </c>
      <c r="G127" s="42">
        <f>INDEX(Displacements!B:B, MATCH(Summary!$C127, Displacements!$A:$A, 0))</f>
        <v>1.78</v>
      </c>
      <c r="H127" s="43">
        <f>INDEX(Displacements!C:C, MATCH(Summary!$C127, Displacements!$A:$A, 0))</f>
        <v>0</v>
      </c>
      <c r="I127" s="44">
        <f>INDEX(Displacements!D:D, MATCH(Summary!$C127, Displacements!$A:$A, 0))</f>
        <v>0</v>
      </c>
      <c r="J127" s="42">
        <f t="shared" si="2"/>
        <v>0.19100000000000006</v>
      </c>
      <c r="K127" s="49">
        <f t="shared" si="3"/>
        <v>1</v>
      </c>
      <c r="L127" s="54">
        <f>INDEX('Forces+Stresses'!C:C, MATCH(Summary!$A127, 'Forces+Stresses'!$A:$A, 0))</f>
        <v>1340</v>
      </c>
      <c r="M127" s="55">
        <f>INDEX('Forces+Stresses'!D:D, MATCH(Summary!$A127, 'Forces+Stresses'!$A:$A, 0))</f>
        <v>1340</v>
      </c>
      <c r="N127" s="55">
        <f>IFERROR(INDEX('Forces+Stresses'!Q:Q, MATCH(Summary!$A127, 'Forces+Stresses'!$A:$A, 0)), INDEX(Flexjoints!D:D, MATCH(Summary!$A127, Flexjoints!$A:$A, 0)))</f>
        <v>1.3729999999999999E-7</v>
      </c>
      <c r="O127" s="56">
        <f>IFERROR(INDEX('Forces+Stresses'!R:R, MATCH(Summary!$A127, 'Forces+Stresses'!$A:$A, 0)), INDEX(Flexjoints!E:E, MATCH(Summary!$A127, Flexjoints!$A:$A, 0)))</f>
        <v>8.4360000000000002E-6</v>
      </c>
      <c r="P127" s="33" t="str">
        <f>IF(INDEX(Labels!B:B, MATCH(Summary!$A127, Labels!$A:$A, 0)) = 0, "", INDEX(Labels!B:B, MATCH(Summary!$A127, Labels!$A:$A, 0)))</f>
        <v>{Conductor &amp; LPH String}</v>
      </c>
      <c r="Q127" s="35" t="str">
        <f>IF(INDEX(Labels!C:C, MATCH(Summary!$A127, Labels!$A:$A, 0)) = 0, "", INDEX(Labels!C:C, MATCH(Summary!$A127, Labels!$A:$A, 0)))</f>
        <v>{LP Housing}</v>
      </c>
      <c r="R127" s="33" t="str">
        <f>IF(INDEX(Labels!D:D, MATCH(Summary!$A127, Labels!$A:$A, 0)) = 0, "", INDEX(Labels!D:D, MATCH(Summary!$A127, Labels!$A:$A, 0)))</f>
        <v/>
      </c>
      <c r="S127" s="35" t="str">
        <f>IF(INDEX(Labels!E:E, MATCH(Summary!$A127, Labels!$A:$A, 0)) = 0, "", INDEX(Labels!E:E, MATCH(Summary!$A127, Labels!$A:$A, 0)))</f>
        <v/>
      </c>
      <c r="T127" s="33" t="str">
        <f>IF(INDEX(Labels!F:F, MATCH(Summary!$A127, Labels!$A:$A, 0)) = 0, "", INDEX(Labels!F:F, MATCH(Summary!$A127, Labels!$A:$A, 0)))</f>
        <v/>
      </c>
      <c r="U127" s="35" t="str">
        <f>IF(INDEX(Labels!G:G, MATCH(Summary!$A127, Labels!$A:$A, 0)) = 0, "", INDEX(Labels!G:G, MATCH(Summary!$A127, Labels!$A:$A, 0)))</f>
        <v/>
      </c>
      <c r="V127" s="62" t="str">
        <f>IF(INDEX(Labels!H:H, MATCH(Summary!$A127, Labels!$A:$A, 0)) = 0, "", INDEX(Labels!H:H, MATCH(Summary!$A127, Labels!$A:$A, 0)))</f>
        <v/>
      </c>
      <c r="W127" t="str">
        <f>IF(INDEX(Labels!I:I, MATCH(Summary!$A127, Labels!$A:$A, 0)) = 0, "", INDEX(Labels!I:I, MATCH(Summary!$A127, Labels!$A:$A, 0)))</f>
        <v/>
      </c>
      <c r="X127" t="str">
        <f>IF(INDEX(Labels!J:J, MATCH(Summary!$A127, Labels!$A:$A, 0)) = 0, "", INDEX(Labels!J:J, MATCH(Summary!$A127, Labels!$A:$A, 0)))</f>
        <v/>
      </c>
    </row>
    <row r="128" spans="1:24" x14ac:dyDescent="0.2">
      <c r="A128" s="33">
        <f>Labels!A129</f>
        <v>122</v>
      </c>
      <c r="B128" s="34">
        <f>INDEX(EchoData!B:B, MATCH(Summary!$A128, EchoData!$A:$A, 0))</f>
        <v>123</v>
      </c>
      <c r="C128" s="35">
        <f>INDEX(EchoData!C:C, MATCH(Summary!$A128, EchoData!$A:$A, 0))</f>
        <v>124</v>
      </c>
      <c r="D128" s="42">
        <f>INDEX(Displacements!B:B, MATCH(Summary!$B128, Displacements!$A:$A, 0))</f>
        <v>1.78</v>
      </c>
      <c r="E128" s="43">
        <f>INDEX(Displacements!C:C, MATCH(Summary!$B128, Displacements!$A:$A, 0))</f>
        <v>0</v>
      </c>
      <c r="F128" s="44">
        <f>INDEX(Displacements!D:D, MATCH(Summary!$B128, Displacements!$A:$A, 0))</f>
        <v>0</v>
      </c>
      <c r="G128" s="42">
        <f>INDEX(Displacements!B:B, MATCH(Summary!$C128, Displacements!$A:$A, 0))</f>
        <v>1.9119999999999999</v>
      </c>
      <c r="H128" s="43">
        <f>INDEX(Displacements!C:C, MATCH(Summary!$C128, Displacements!$A:$A, 0))</f>
        <v>0</v>
      </c>
      <c r="I128" s="44">
        <f>INDEX(Displacements!D:D, MATCH(Summary!$C128, Displacements!$A:$A, 0))</f>
        <v>0</v>
      </c>
      <c r="J128" s="42">
        <f t="shared" si="2"/>
        <v>0.1319999999999999</v>
      </c>
      <c r="K128" s="49">
        <f t="shared" si="3"/>
        <v>0.69109947643978986</v>
      </c>
      <c r="L128" s="54">
        <f>INDEX('Forces+Stresses'!C:C, MATCH(Summary!$A128, 'Forces+Stresses'!$A:$A, 0))</f>
        <v>1344</v>
      </c>
      <c r="M128" s="55">
        <f>INDEX('Forces+Stresses'!D:D, MATCH(Summary!$A128, 'Forces+Stresses'!$A:$A, 0))</f>
        <v>1344</v>
      </c>
      <c r="N128" s="55">
        <f>IFERROR(INDEX('Forces+Stresses'!Q:Q, MATCH(Summary!$A128, 'Forces+Stresses'!$A:$A, 0)), INDEX(Flexjoints!D:D, MATCH(Summary!$A128, Flexjoints!$A:$A, 0)))</f>
        <v>1.2029999999999999E-7</v>
      </c>
      <c r="O128" s="56">
        <f>IFERROR(INDEX('Forces+Stresses'!R:R, MATCH(Summary!$A128, 'Forces+Stresses'!$A:$A, 0)), INDEX(Flexjoints!E:E, MATCH(Summary!$A128, Flexjoints!$A:$A, 0)))</f>
        <v>8.2490000000000001E-6</v>
      </c>
      <c r="P128" s="33" t="str">
        <f>IF(INDEX(Labels!B:B, MATCH(Summary!$A128, Labels!$A:$A, 0)) = 0, "", INDEX(Labels!B:B, MATCH(Summary!$A128, Labels!$A:$A, 0)))</f>
        <v>{Conductor &amp; LPH String}</v>
      </c>
      <c r="Q128" s="35" t="str">
        <f>IF(INDEX(Labels!C:C, MATCH(Summary!$A128, Labels!$A:$A, 0)) = 0, "", INDEX(Labels!C:C, MATCH(Summary!$A128, Labels!$A:$A, 0)))</f>
        <v>{LP Housing}</v>
      </c>
      <c r="R128" s="33" t="str">
        <f>IF(INDEX(Labels!D:D, MATCH(Summary!$A128, Labels!$A:$A, 0)) = 0, "", INDEX(Labels!D:D, MATCH(Summary!$A128, Labels!$A:$A, 0)))</f>
        <v/>
      </c>
      <c r="S128" s="35" t="str">
        <f>IF(INDEX(Labels!E:E, MATCH(Summary!$A128, Labels!$A:$A, 0)) = 0, "", INDEX(Labels!E:E, MATCH(Summary!$A128, Labels!$A:$A, 0)))</f>
        <v/>
      </c>
      <c r="T128" s="33" t="str">
        <f>IF(INDEX(Labels!F:F, MATCH(Summary!$A128, Labels!$A:$A, 0)) = 0, "", INDEX(Labels!F:F, MATCH(Summary!$A128, Labels!$A:$A, 0)))</f>
        <v/>
      </c>
      <c r="U128" s="35" t="str">
        <f>IF(INDEX(Labels!G:G, MATCH(Summary!$A128, Labels!$A:$A, 0)) = 0, "", INDEX(Labels!G:G, MATCH(Summary!$A128, Labels!$A:$A, 0)))</f>
        <v/>
      </c>
      <c r="V128" s="62" t="str">
        <f>IF(INDEX(Labels!H:H, MATCH(Summary!$A128, Labels!$A:$A, 0)) = 0, "", INDEX(Labels!H:H, MATCH(Summary!$A128, Labels!$A:$A, 0)))</f>
        <v/>
      </c>
      <c r="W128" t="str">
        <f>IF(INDEX(Labels!I:I, MATCH(Summary!$A128, Labels!$A:$A, 0)) = 0, "", INDEX(Labels!I:I, MATCH(Summary!$A128, Labels!$A:$A, 0)))</f>
        <v/>
      </c>
      <c r="X128" t="str">
        <f>IF(INDEX(Labels!J:J, MATCH(Summary!$A128, Labels!$A:$A, 0)) = 0, "", INDEX(Labels!J:J, MATCH(Summary!$A128, Labels!$A:$A, 0)))</f>
        <v/>
      </c>
    </row>
    <row r="129" spans="1:24" x14ac:dyDescent="0.2">
      <c r="A129" s="33">
        <f>Labels!A130</f>
        <v>123</v>
      </c>
      <c r="B129" s="34">
        <f>INDEX(EchoData!B:B, MATCH(Summary!$A129, EchoData!$A:$A, 0))</f>
        <v>124</v>
      </c>
      <c r="C129" s="35">
        <f>INDEX(EchoData!C:C, MATCH(Summary!$A129, EchoData!$A:$A, 0))</f>
        <v>253</v>
      </c>
      <c r="D129" s="42">
        <f>INDEX(Displacements!B:B, MATCH(Summary!$B129, Displacements!$A:$A, 0))</f>
        <v>1.9119999999999999</v>
      </c>
      <c r="E129" s="43">
        <f>INDEX(Displacements!C:C, MATCH(Summary!$B129, Displacements!$A:$A, 0))</f>
        <v>0</v>
      </c>
      <c r="F129" s="44">
        <f>INDEX(Displacements!D:D, MATCH(Summary!$B129, Displacements!$A:$A, 0))</f>
        <v>0</v>
      </c>
      <c r="G129" s="42">
        <f>INDEX(Displacements!B:B, MATCH(Summary!$C129, Displacements!$A:$A, 0))</f>
        <v>2</v>
      </c>
      <c r="H129" s="43">
        <f>INDEX(Displacements!C:C, MATCH(Summary!$C129, Displacements!$A:$A, 0))</f>
        <v>0</v>
      </c>
      <c r="I129" s="44">
        <f>INDEX(Displacements!D:D, MATCH(Summary!$C129, Displacements!$A:$A, 0))</f>
        <v>0</v>
      </c>
      <c r="J129" s="42">
        <f t="shared" si="2"/>
        <v>8.8000000000000078E-2</v>
      </c>
      <c r="K129" s="49">
        <f t="shared" si="3"/>
        <v>0.66666666666666774</v>
      </c>
      <c r="L129" s="54">
        <f>INDEX('Forces+Stresses'!C:C, MATCH(Summary!$A129, 'Forces+Stresses'!$A:$A, 0))</f>
        <v>1348</v>
      </c>
      <c r="M129" s="55">
        <f>INDEX('Forces+Stresses'!D:D, MATCH(Summary!$A129, 'Forces+Stresses'!$A:$A, 0))</f>
        <v>1348</v>
      </c>
      <c r="N129" s="55">
        <f>IFERROR(INDEX('Forces+Stresses'!Q:Q, MATCH(Summary!$A129, 'Forces+Stresses'!$A:$A, 0)), INDEX(Flexjoints!D:D, MATCH(Summary!$A129, Flexjoints!$A:$A, 0)))</f>
        <v>1.108E-7</v>
      </c>
      <c r="O129" s="56">
        <f>IFERROR(INDEX('Forces+Stresses'!R:R, MATCH(Summary!$A129, 'Forces+Stresses'!$A:$A, 0)), INDEX(Flexjoints!E:E, MATCH(Summary!$A129, Flexjoints!$A:$A, 0)))</f>
        <v>8.1189999999999997E-6</v>
      </c>
      <c r="P129" s="33" t="str">
        <f>IF(INDEX(Labels!B:B, MATCH(Summary!$A129, Labels!$A:$A, 0)) = 0, "", INDEX(Labels!B:B, MATCH(Summary!$A129, Labels!$A:$A, 0)))</f>
        <v>{Conductor &amp; LPH String}</v>
      </c>
      <c r="Q129" s="35" t="str">
        <f>IF(INDEX(Labels!C:C, MATCH(Summary!$A129, Labels!$A:$A, 0)) = 0, "", INDEX(Labels!C:C, MATCH(Summary!$A129, Labels!$A:$A, 0)))</f>
        <v>{LP Housing}</v>
      </c>
      <c r="R129" s="33" t="str">
        <f>IF(INDEX(Labels!D:D, MATCH(Summary!$A129, Labels!$A:$A, 0)) = 0, "", INDEX(Labels!D:D, MATCH(Summary!$A129, Labels!$A:$A, 0)))</f>
        <v/>
      </c>
      <c r="S129" s="35" t="str">
        <f>IF(INDEX(Labels!E:E, MATCH(Summary!$A129, Labels!$A:$A, 0)) = 0, "", INDEX(Labels!E:E, MATCH(Summary!$A129, Labels!$A:$A, 0)))</f>
        <v>{Conductor &amp; LPH String_Last}</v>
      </c>
      <c r="T129" s="33" t="str">
        <f>IF(INDEX(Labels!F:F, MATCH(Summary!$A129, Labels!$A:$A, 0)) = 0, "", INDEX(Labels!F:F, MATCH(Summary!$A129, Labels!$A:$A, 0)))</f>
        <v/>
      </c>
      <c r="U129" s="35" t="str">
        <f>IF(INDEX(Labels!G:G, MATCH(Summary!$A129, Labels!$A:$A, 0)) = 0, "", INDEX(Labels!G:G, MATCH(Summary!$A129, Labels!$A:$A, 0)))</f>
        <v>{LP Housing_Last}</v>
      </c>
      <c r="V129" s="62" t="str">
        <f>IF(INDEX(Labels!H:H, MATCH(Summary!$A129, Labels!$A:$A, 0)) = 0, "", INDEX(Labels!H:H, MATCH(Summary!$A129, Labels!$A:$A, 0)))</f>
        <v/>
      </c>
      <c r="W129" t="str">
        <f>IF(INDEX(Labels!I:I, MATCH(Summary!$A129, Labels!$A:$A, 0)) = 0, "", INDEX(Labels!I:I, MATCH(Summary!$A129, Labels!$A:$A, 0)))</f>
        <v/>
      </c>
      <c r="X129" t="str">
        <f>IF(INDEX(Labels!J:J, MATCH(Summary!$A129, Labels!$A:$A, 0)) = 0, "", INDEX(Labels!J:J, MATCH(Summary!$A129, Labels!$A:$A, 0)))</f>
        <v/>
      </c>
    </row>
    <row r="130" spans="1:24" x14ac:dyDescent="0.2">
      <c r="A130" s="33">
        <f>Labels!A131</f>
        <v>124</v>
      </c>
      <c r="B130" s="34">
        <f>INDEX(EchoData!B:B, MATCH(Summary!$A130, EchoData!$A:$A, 0))</f>
        <v>126</v>
      </c>
      <c r="C130" s="35">
        <f>INDEX(EchoData!C:C, MATCH(Summary!$A130, EchoData!$A:$A, 0))</f>
        <v>127</v>
      </c>
      <c r="D130" s="42">
        <f>INDEX(Displacements!B:B, MATCH(Summary!$B130, Displacements!$A:$A, 0))</f>
        <v>-50</v>
      </c>
      <c r="E130" s="43">
        <f>INDEX(Displacements!C:C, MATCH(Summary!$B130, Displacements!$A:$A, 0))</f>
        <v>0</v>
      </c>
      <c r="F130" s="44">
        <f>INDEX(Displacements!D:D, MATCH(Summary!$B130, Displacements!$A:$A, 0))</f>
        <v>0</v>
      </c>
      <c r="G130" s="42">
        <f>INDEX(Displacements!B:B, MATCH(Summary!$C130, Displacements!$A:$A, 0))</f>
        <v>-49.5</v>
      </c>
      <c r="H130" s="43">
        <f>INDEX(Displacements!C:C, MATCH(Summary!$C130, Displacements!$A:$A, 0))</f>
        <v>0</v>
      </c>
      <c r="I130" s="44">
        <f>INDEX(Displacements!D:D, MATCH(Summary!$C130, Displacements!$A:$A, 0))</f>
        <v>0</v>
      </c>
      <c r="J130" s="42">
        <f t="shared" si="2"/>
        <v>0.5</v>
      </c>
      <c r="K130" s="49" t="str">
        <f t="shared" si="3"/>
        <v>N/A</v>
      </c>
      <c r="L130" s="54">
        <f>INDEX('Forces+Stresses'!C:C, MATCH(Summary!$A130, 'Forces+Stresses'!$A:$A, 0))</f>
        <v>-1.052E-6</v>
      </c>
      <c r="M130" s="55">
        <f>INDEX('Forces+Stresses'!D:D, MATCH(Summary!$A130, 'Forces+Stresses'!$A:$A, 0))</f>
        <v>-1.0380000000000001E-6</v>
      </c>
      <c r="N130" s="55">
        <f>IFERROR(INDEX('Forces+Stresses'!Q:Q, MATCH(Summary!$A130, 'Forces+Stresses'!$A:$A, 0)), INDEX(Flexjoints!D:D, MATCH(Summary!$A130, Flexjoints!$A:$A, 0)))</f>
        <v>5.7399999999999994E-12</v>
      </c>
      <c r="O130" s="56">
        <f>IFERROR(INDEX('Forces+Stresses'!R:R, MATCH(Summary!$A130, 'Forces+Stresses'!$A:$A, 0)), INDEX(Flexjoints!E:E, MATCH(Summary!$A130, Flexjoints!$A:$A, 0)))</f>
        <v>2.03E-10</v>
      </c>
      <c r="P130" s="33" t="str">
        <f>IF(INDEX(Labels!B:B, MATCH(Summary!$A130, Labels!$A:$A, 0)) = 0, "", INDEX(Labels!B:B, MATCH(Summary!$A130, Labels!$A:$A, 0)))</f>
        <v>{Casing Soil String}</v>
      </c>
      <c r="Q130" s="35" t="str">
        <f>IF(INDEX(Labels!C:C, MATCH(Summary!$A130, Labels!$A:$A, 0)) = 0, "", INDEX(Labels!C:C, MATCH(Summary!$A130, Labels!$A:$A, 0)))</f>
        <v>{Casing 13 3/8in}</v>
      </c>
      <c r="R130" s="33" t="str">
        <f>IF(INDEX(Labels!D:D, MATCH(Summary!$A130, Labels!$A:$A, 0)) = 0, "", INDEX(Labels!D:D, MATCH(Summary!$A130, Labels!$A:$A, 0)))</f>
        <v>{Casing Soil String_First}</v>
      </c>
      <c r="S130" s="35" t="str">
        <f>IF(INDEX(Labels!E:E, MATCH(Summary!$A130, Labels!$A:$A, 0)) = 0, "", INDEX(Labels!E:E, MATCH(Summary!$A130, Labels!$A:$A, 0)))</f>
        <v/>
      </c>
      <c r="T130" s="33" t="str">
        <f>IF(INDEX(Labels!F:F, MATCH(Summary!$A130, Labels!$A:$A, 0)) = 0, "", INDEX(Labels!F:F, MATCH(Summary!$A130, Labels!$A:$A, 0)))</f>
        <v>{Casing 13 3/8in_First}</v>
      </c>
      <c r="U130" s="35" t="str">
        <f>IF(INDEX(Labels!G:G, MATCH(Summary!$A130, Labels!$A:$A, 0)) = 0, "", INDEX(Labels!G:G, MATCH(Summary!$A130, Labels!$A:$A, 0)))</f>
        <v/>
      </c>
      <c r="V130" s="62" t="str">
        <f>IF(INDEX(Labels!H:H, MATCH(Summary!$A130, Labels!$A:$A, 0)) = 0, "", INDEX(Labels!H:H, MATCH(Summary!$A130, Labels!$A:$A, 0)))</f>
        <v/>
      </c>
      <c r="W130" t="str">
        <f>IF(INDEX(Labels!I:I, MATCH(Summary!$A130, Labels!$A:$A, 0)) = 0, "", INDEX(Labels!I:I, MATCH(Summary!$A130, Labels!$A:$A, 0)))</f>
        <v/>
      </c>
      <c r="X130" t="str">
        <f>IF(INDEX(Labels!J:J, MATCH(Summary!$A130, Labels!$A:$A, 0)) = 0, "", INDEX(Labels!J:J, MATCH(Summary!$A130, Labels!$A:$A, 0)))</f>
        <v/>
      </c>
    </row>
    <row r="131" spans="1:24" x14ac:dyDescent="0.2">
      <c r="A131" s="33">
        <f>Labels!A132</f>
        <v>125</v>
      </c>
      <c r="B131" s="34">
        <f>INDEX(EchoData!B:B, MATCH(Summary!$A131, EchoData!$A:$A, 0))</f>
        <v>127</v>
      </c>
      <c r="C131" s="35">
        <f>INDEX(EchoData!C:C, MATCH(Summary!$A131, EchoData!$A:$A, 0))</f>
        <v>128</v>
      </c>
      <c r="D131" s="42">
        <f>INDEX(Displacements!B:B, MATCH(Summary!$B131, Displacements!$A:$A, 0))</f>
        <v>-49.5</v>
      </c>
      <c r="E131" s="43">
        <f>INDEX(Displacements!C:C, MATCH(Summary!$B131, Displacements!$A:$A, 0))</f>
        <v>0</v>
      </c>
      <c r="F131" s="44">
        <f>INDEX(Displacements!D:D, MATCH(Summary!$B131, Displacements!$A:$A, 0))</f>
        <v>0</v>
      </c>
      <c r="G131" s="42">
        <f>INDEX(Displacements!B:B, MATCH(Summary!$C131, Displacements!$A:$A, 0))</f>
        <v>-49</v>
      </c>
      <c r="H131" s="43">
        <f>INDEX(Displacements!C:C, MATCH(Summary!$C131, Displacements!$A:$A, 0))</f>
        <v>0</v>
      </c>
      <c r="I131" s="44">
        <f>INDEX(Displacements!D:D, MATCH(Summary!$C131, Displacements!$A:$A, 0))</f>
        <v>0</v>
      </c>
      <c r="J131" s="42">
        <f t="shared" si="2"/>
        <v>0.5</v>
      </c>
      <c r="K131" s="49">
        <f t="shared" si="3"/>
        <v>1</v>
      </c>
      <c r="L131" s="54">
        <f>INDEX('Forces+Stresses'!C:C, MATCH(Summary!$A131, 'Forces+Stresses'!$A:$A, 0))</f>
        <v>0.70410000000000006</v>
      </c>
      <c r="M131" s="55">
        <f>INDEX('Forces+Stresses'!D:D, MATCH(Summary!$A131, 'Forces+Stresses'!$A:$A, 0))</f>
        <v>0.70410000000000006</v>
      </c>
      <c r="N131" s="55">
        <f>IFERROR(INDEX('Forces+Stresses'!Q:Q, MATCH(Summary!$A131, 'Forces+Stresses'!$A:$A, 0)), INDEX(Flexjoints!D:D, MATCH(Summary!$A131, Flexjoints!$A:$A, 0)))</f>
        <v>4.8259999999999998E-12</v>
      </c>
      <c r="O131" s="56">
        <f>IFERROR(INDEX('Forces+Stresses'!R:R, MATCH(Summary!$A131, 'Forces+Stresses'!$A:$A, 0)), INDEX(Flexjoints!E:E, MATCH(Summary!$A131, Flexjoints!$A:$A, 0)))</f>
        <v>1.715E-10</v>
      </c>
      <c r="P131" s="33" t="str">
        <f>IF(INDEX(Labels!B:B, MATCH(Summary!$A131, Labels!$A:$A, 0)) = 0, "", INDEX(Labels!B:B, MATCH(Summary!$A131, Labels!$A:$A, 0)))</f>
        <v>{Casing Soil String}</v>
      </c>
      <c r="Q131" s="35" t="str">
        <f>IF(INDEX(Labels!C:C, MATCH(Summary!$A131, Labels!$A:$A, 0)) = 0, "", INDEX(Labels!C:C, MATCH(Summary!$A131, Labels!$A:$A, 0)))</f>
        <v>{Casing 13 3/8in}</v>
      </c>
      <c r="R131" s="33" t="str">
        <f>IF(INDEX(Labels!D:D, MATCH(Summary!$A131, Labels!$A:$A, 0)) = 0, "", INDEX(Labels!D:D, MATCH(Summary!$A131, Labels!$A:$A, 0)))</f>
        <v/>
      </c>
      <c r="S131" s="35" t="str">
        <f>IF(INDEX(Labels!E:E, MATCH(Summary!$A131, Labels!$A:$A, 0)) = 0, "", INDEX(Labels!E:E, MATCH(Summary!$A131, Labels!$A:$A, 0)))</f>
        <v/>
      </c>
      <c r="T131" s="33" t="str">
        <f>IF(INDEX(Labels!F:F, MATCH(Summary!$A131, Labels!$A:$A, 0)) = 0, "", INDEX(Labels!F:F, MATCH(Summary!$A131, Labels!$A:$A, 0)))</f>
        <v/>
      </c>
      <c r="U131" s="35" t="str">
        <f>IF(INDEX(Labels!G:G, MATCH(Summary!$A131, Labels!$A:$A, 0)) = 0, "", INDEX(Labels!G:G, MATCH(Summary!$A131, Labels!$A:$A, 0)))</f>
        <v/>
      </c>
      <c r="V131" s="62" t="str">
        <f>IF(INDEX(Labels!H:H, MATCH(Summary!$A131, Labels!$A:$A, 0)) = 0, "", INDEX(Labels!H:H, MATCH(Summary!$A131, Labels!$A:$A, 0)))</f>
        <v/>
      </c>
      <c r="W131" t="str">
        <f>IF(INDEX(Labels!I:I, MATCH(Summary!$A131, Labels!$A:$A, 0)) = 0, "", INDEX(Labels!I:I, MATCH(Summary!$A131, Labels!$A:$A, 0)))</f>
        <v/>
      </c>
      <c r="X131" t="str">
        <f>IF(INDEX(Labels!J:J, MATCH(Summary!$A131, Labels!$A:$A, 0)) = 0, "", INDEX(Labels!J:J, MATCH(Summary!$A131, Labels!$A:$A, 0)))</f>
        <v/>
      </c>
    </row>
    <row r="132" spans="1:24" x14ac:dyDescent="0.2">
      <c r="A132" s="33">
        <f>Labels!A133</f>
        <v>126</v>
      </c>
      <c r="B132" s="34">
        <f>INDEX(EchoData!B:B, MATCH(Summary!$A132, EchoData!$A:$A, 0))</f>
        <v>128</v>
      </c>
      <c r="C132" s="35">
        <f>INDEX(EchoData!C:C, MATCH(Summary!$A132, EchoData!$A:$A, 0))</f>
        <v>129</v>
      </c>
      <c r="D132" s="42">
        <f>INDEX(Displacements!B:B, MATCH(Summary!$B132, Displacements!$A:$A, 0))</f>
        <v>-49</v>
      </c>
      <c r="E132" s="43">
        <f>INDEX(Displacements!C:C, MATCH(Summary!$B132, Displacements!$A:$A, 0))</f>
        <v>0</v>
      </c>
      <c r="F132" s="44">
        <f>INDEX(Displacements!D:D, MATCH(Summary!$B132, Displacements!$A:$A, 0))</f>
        <v>0</v>
      </c>
      <c r="G132" s="42">
        <f>INDEX(Displacements!B:B, MATCH(Summary!$C132, Displacements!$A:$A, 0))</f>
        <v>-48.5</v>
      </c>
      <c r="H132" s="43">
        <f>INDEX(Displacements!C:C, MATCH(Summary!$C132, Displacements!$A:$A, 0))</f>
        <v>0</v>
      </c>
      <c r="I132" s="44">
        <f>INDEX(Displacements!D:D, MATCH(Summary!$C132, Displacements!$A:$A, 0))</f>
        <v>0</v>
      </c>
      <c r="J132" s="42">
        <f t="shared" si="2"/>
        <v>0.5</v>
      </c>
      <c r="K132" s="49">
        <f t="shared" si="3"/>
        <v>1</v>
      </c>
      <c r="L132" s="54">
        <f>INDEX('Forces+Stresses'!C:C, MATCH(Summary!$A132, 'Forces+Stresses'!$A:$A, 0))</f>
        <v>1.4079999999999999</v>
      </c>
      <c r="M132" s="55">
        <f>INDEX('Forces+Stresses'!D:D, MATCH(Summary!$A132, 'Forces+Stresses'!$A:$A, 0))</f>
        <v>1.4079999999999999</v>
      </c>
      <c r="N132" s="55">
        <f>IFERROR(INDEX('Forces+Stresses'!Q:Q, MATCH(Summary!$A132, 'Forces+Stresses'!$A:$A, 0)), INDEX(Flexjoints!D:D, MATCH(Summary!$A132, Flexjoints!$A:$A, 0)))</f>
        <v>3.9100000000000001E-12</v>
      </c>
      <c r="O132" s="56">
        <f>IFERROR(INDEX('Forces+Stresses'!R:R, MATCH(Summary!$A132, 'Forces+Stresses'!$A:$A, 0)), INDEX(Flexjoints!E:E, MATCH(Summary!$A132, Flexjoints!$A:$A, 0)))</f>
        <v>1.399E-10</v>
      </c>
      <c r="P132" s="33" t="str">
        <f>IF(INDEX(Labels!B:B, MATCH(Summary!$A132, Labels!$A:$A, 0)) = 0, "", INDEX(Labels!B:B, MATCH(Summary!$A132, Labels!$A:$A, 0)))</f>
        <v>{Casing Soil String}</v>
      </c>
      <c r="Q132" s="35" t="str">
        <f>IF(INDEX(Labels!C:C, MATCH(Summary!$A132, Labels!$A:$A, 0)) = 0, "", INDEX(Labels!C:C, MATCH(Summary!$A132, Labels!$A:$A, 0)))</f>
        <v>{Casing 13 3/8in}</v>
      </c>
      <c r="R132" s="33" t="str">
        <f>IF(INDEX(Labels!D:D, MATCH(Summary!$A132, Labels!$A:$A, 0)) = 0, "", INDEX(Labels!D:D, MATCH(Summary!$A132, Labels!$A:$A, 0)))</f>
        <v/>
      </c>
      <c r="S132" s="35" t="str">
        <f>IF(INDEX(Labels!E:E, MATCH(Summary!$A132, Labels!$A:$A, 0)) = 0, "", INDEX(Labels!E:E, MATCH(Summary!$A132, Labels!$A:$A, 0)))</f>
        <v/>
      </c>
      <c r="T132" s="33" t="str">
        <f>IF(INDEX(Labels!F:F, MATCH(Summary!$A132, Labels!$A:$A, 0)) = 0, "", INDEX(Labels!F:F, MATCH(Summary!$A132, Labels!$A:$A, 0)))</f>
        <v/>
      </c>
      <c r="U132" s="35" t="str">
        <f>IF(INDEX(Labels!G:G, MATCH(Summary!$A132, Labels!$A:$A, 0)) = 0, "", INDEX(Labels!G:G, MATCH(Summary!$A132, Labels!$A:$A, 0)))</f>
        <v/>
      </c>
      <c r="V132" s="62" t="str">
        <f>IF(INDEX(Labels!H:H, MATCH(Summary!$A132, Labels!$A:$A, 0)) = 0, "", INDEX(Labels!H:H, MATCH(Summary!$A132, Labels!$A:$A, 0)))</f>
        <v/>
      </c>
      <c r="W132" t="str">
        <f>IF(INDEX(Labels!I:I, MATCH(Summary!$A132, Labels!$A:$A, 0)) = 0, "", INDEX(Labels!I:I, MATCH(Summary!$A132, Labels!$A:$A, 0)))</f>
        <v/>
      </c>
      <c r="X132" t="str">
        <f>IF(INDEX(Labels!J:J, MATCH(Summary!$A132, Labels!$A:$A, 0)) = 0, "", INDEX(Labels!J:J, MATCH(Summary!$A132, Labels!$A:$A, 0)))</f>
        <v/>
      </c>
    </row>
    <row r="133" spans="1:24" x14ac:dyDescent="0.2">
      <c r="A133" s="33">
        <f>Labels!A134</f>
        <v>127</v>
      </c>
      <c r="B133" s="34">
        <f>INDEX(EchoData!B:B, MATCH(Summary!$A133, EchoData!$A:$A, 0))</f>
        <v>129</v>
      </c>
      <c r="C133" s="35">
        <f>INDEX(EchoData!C:C, MATCH(Summary!$A133, EchoData!$A:$A, 0))</f>
        <v>130</v>
      </c>
      <c r="D133" s="42">
        <f>INDEX(Displacements!B:B, MATCH(Summary!$B133, Displacements!$A:$A, 0))</f>
        <v>-48.5</v>
      </c>
      <c r="E133" s="43">
        <f>INDEX(Displacements!C:C, MATCH(Summary!$B133, Displacements!$A:$A, 0))</f>
        <v>0</v>
      </c>
      <c r="F133" s="44">
        <f>INDEX(Displacements!D:D, MATCH(Summary!$B133, Displacements!$A:$A, 0))</f>
        <v>0</v>
      </c>
      <c r="G133" s="42">
        <f>INDEX(Displacements!B:B, MATCH(Summary!$C133, Displacements!$A:$A, 0))</f>
        <v>-48</v>
      </c>
      <c r="H133" s="43">
        <f>INDEX(Displacements!C:C, MATCH(Summary!$C133, Displacements!$A:$A, 0))</f>
        <v>0</v>
      </c>
      <c r="I133" s="44">
        <f>INDEX(Displacements!D:D, MATCH(Summary!$C133, Displacements!$A:$A, 0))</f>
        <v>0</v>
      </c>
      <c r="J133" s="42">
        <f t="shared" si="2"/>
        <v>0.5</v>
      </c>
      <c r="K133" s="49">
        <f t="shared" si="3"/>
        <v>1</v>
      </c>
      <c r="L133" s="54">
        <f>INDEX('Forces+Stresses'!C:C, MATCH(Summary!$A133, 'Forces+Stresses'!$A:$A, 0))</f>
        <v>2.1120000000000001</v>
      </c>
      <c r="M133" s="55">
        <f>INDEX('Forces+Stresses'!D:D, MATCH(Summary!$A133, 'Forces+Stresses'!$A:$A, 0))</f>
        <v>2.1120000000000001</v>
      </c>
      <c r="N133" s="55">
        <f>IFERROR(INDEX('Forces+Stresses'!Q:Q, MATCH(Summary!$A133, 'Forces+Stresses'!$A:$A, 0)), INDEX(Flexjoints!D:D, MATCH(Summary!$A133, Flexjoints!$A:$A, 0)))</f>
        <v>2.9870000000000001E-12</v>
      </c>
      <c r="O133" s="56">
        <f>IFERROR(INDEX('Forces+Stresses'!R:R, MATCH(Summary!$A133, 'Forces+Stresses'!$A:$A, 0)), INDEX(Flexjoints!E:E, MATCH(Summary!$A133, Flexjoints!$A:$A, 0)))</f>
        <v>1.08E-10</v>
      </c>
      <c r="P133" s="33" t="str">
        <f>IF(INDEX(Labels!B:B, MATCH(Summary!$A133, Labels!$A:$A, 0)) = 0, "", INDEX(Labels!B:B, MATCH(Summary!$A133, Labels!$A:$A, 0)))</f>
        <v>{Casing Soil String}</v>
      </c>
      <c r="Q133" s="35" t="str">
        <f>IF(INDEX(Labels!C:C, MATCH(Summary!$A133, Labels!$A:$A, 0)) = 0, "", INDEX(Labels!C:C, MATCH(Summary!$A133, Labels!$A:$A, 0)))</f>
        <v>{Casing 13 3/8in}</v>
      </c>
      <c r="R133" s="33" t="str">
        <f>IF(INDEX(Labels!D:D, MATCH(Summary!$A133, Labels!$A:$A, 0)) = 0, "", INDEX(Labels!D:D, MATCH(Summary!$A133, Labels!$A:$A, 0)))</f>
        <v/>
      </c>
      <c r="S133" s="35" t="str">
        <f>IF(INDEX(Labels!E:E, MATCH(Summary!$A133, Labels!$A:$A, 0)) = 0, "", INDEX(Labels!E:E, MATCH(Summary!$A133, Labels!$A:$A, 0)))</f>
        <v/>
      </c>
      <c r="T133" s="33" t="str">
        <f>IF(INDEX(Labels!F:F, MATCH(Summary!$A133, Labels!$A:$A, 0)) = 0, "", INDEX(Labels!F:F, MATCH(Summary!$A133, Labels!$A:$A, 0)))</f>
        <v/>
      </c>
      <c r="U133" s="35" t="str">
        <f>IF(INDEX(Labels!G:G, MATCH(Summary!$A133, Labels!$A:$A, 0)) = 0, "", INDEX(Labels!G:G, MATCH(Summary!$A133, Labels!$A:$A, 0)))</f>
        <v/>
      </c>
      <c r="V133" s="62" t="str">
        <f>IF(INDEX(Labels!H:H, MATCH(Summary!$A133, Labels!$A:$A, 0)) = 0, "", INDEX(Labels!H:H, MATCH(Summary!$A133, Labels!$A:$A, 0)))</f>
        <v/>
      </c>
      <c r="W133" t="str">
        <f>IF(INDEX(Labels!I:I, MATCH(Summary!$A133, Labels!$A:$A, 0)) = 0, "", INDEX(Labels!I:I, MATCH(Summary!$A133, Labels!$A:$A, 0)))</f>
        <v/>
      </c>
      <c r="X133" t="str">
        <f>IF(INDEX(Labels!J:J, MATCH(Summary!$A133, Labels!$A:$A, 0)) = 0, "", INDEX(Labels!J:J, MATCH(Summary!$A133, Labels!$A:$A, 0)))</f>
        <v/>
      </c>
    </row>
    <row r="134" spans="1:24" x14ac:dyDescent="0.2">
      <c r="A134" s="33">
        <f>Labels!A135</f>
        <v>128</v>
      </c>
      <c r="B134" s="34">
        <f>INDEX(EchoData!B:B, MATCH(Summary!$A134, EchoData!$A:$A, 0))</f>
        <v>130</v>
      </c>
      <c r="C134" s="35">
        <f>INDEX(EchoData!C:C, MATCH(Summary!$A134, EchoData!$A:$A, 0))</f>
        <v>131</v>
      </c>
      <c r="D134" s="42">
        <f>INDEX(Displacements!B:B, MATCH(Summary!$B134, Displacements!$A:$A, 0))</f>
        <v>-48</v>
      </c>
      <c r="E134" s="43">
        <f>INDEX(Displacements!C:C, MATCH(Summary!$B134, Displacements!$A:$A, 0))</f>
        <v>0</v>
      </c>
      <c r="F134" s="44">
        <f>INDEX(Displacements!D:D, MATCH(Summary!$B134, Displacements!$A:$A, 0))</f>
        <v>0</v>
      </c>
      <c r="G134" s="42">
        <f>INDEX(Displacements!B:B, MATCH(Summary!$C134, Displacements!$A:$A, 0))</f>
        <v>-47.5</v>
      </c>
      <c r="H134" s="43">
        <f>INDEX(Displacements!C:C, MATCH(Summary!$C134, Displacements!$A:$A, 0))</f>
        <v>0</v>
      </c>
      <c r="I134" s="44">
        <f>INDEX(Displacements!D:D, MATCH(Summary!$C134, Displacements!$A:$A, 0))</f>
        <v>0</v>
      </c>
      <c r="J134" s="42">
        <f t="shared" si="2"/>
        <v>0.5</v>
      </c>
      <c r="K134" s="49">
        <f t="shared" si="3"/>
        <v>1</v>
      </c>
      <c r="L134" s="54">
        <f>INDEX('Forces+Stresses'!C:C, MATCH(Summary!$A134, 'Forces+Stresses'!$A:$A, 0))</f>
        <v>2.8170000000000002</v>
      </c>
      <c r="M134" s="55">
        <f>INDEX('Forces+Stresses'!D:D, MATCH(Summary!$A134, 'Forces+Stresses'!$A:$A, 0))</f>
        <v>2.8170000000000002</v>
      </c>
      <c r="N134" s="55">
        <f>IFERROR(INDEX('Forces+Stresses'!Q:Q, MATCH(Summary!$A134, 'Forces+Stresses'!$A:$A, 0)), INDEX(Flexjoints!D:D, MATCH(Summary!$A134, Flexjoints!$A:$A, 0)))</f>
        <v>2.0489999999999999E-12</v>
      </c>
      <c r="O134" s="56">
        <f>IFERROR(INDEX('Forces+Stresses'!R:R, MATCH(Summary!$A134, 'Forces+Stresses'!$A:$A, 0)), INDEX(Flexjoints!E:E, MATCH(Summary!$A134, Flexjoints!$A:$A, 0)))</f>
        <v>7.5569999999999991E-11</v>
      </c>
      <c r="P134" s="33" t="str">
        <f>IF(INDEX(Labels!B:B, MATCH(Summary!$A134, Labels!$A:$A, 0)) = 0, "", INDEX(Labels!B:B, MATCH(Summary!$A134, Labels!$A:$A, 0)))</f>
        <v>{Casing Soil String}</v>
      </c>
      <c r="Q134" s="35" t="str">
        <f>IF(INDEX(Labels!C:C, MATCH(Summary!$A134, Labels!$A:$A, 0)) = 0, "", INDEX(Labels!C:C, MATCH(Summary!$A134, Labels!$A:$A, 0)))</f>
        <v>{Casing 13 3/8in}</v>
      </c>
      <c r="R134" s="33" t="str">
        <f>IF(INDEX(Labels!D:D, MATCH(Summary!$A134, Labels!$A:$A, 0)) = 0, "", INDEX(Labels!D:D, MATCH(Summary!$A134, Labels!$A:$A, 0)))</f>
        <v/>
      </c>
      <c r="S134" s="35" t="str">
        <f>IF(INDEX(Labels!E:E, MATCH(Summary!$A134, Labels!$A:$A, 0)) = 0, "", INDEX(Labels!E:E, MATCH(Summary!$A134, Labels!$A:$A, 0)))</f>
        <v/>
      </c>
      <c r="T134" s="33" t="str">
        <f>IF(INDEX(Labels!F:F, MATCH(Summary!$A134, Labels!$A:$A, 0)) = 0, "", INDEX(Labels!F:F, MATCH(Summary!$A134, Labels!$A:$A, 0)))</f>
        <v/>
      </c>
      <c r="U134" s="35" t="str">
        <f>IF(INDEX(Labels!G:G, MATCH(Summary!$A134, Labels!$A:$A, 0)) = 0, "", INDEX(Labels!G:G, MATCH(Summary!$A134, Labels!$A:$A, 0)))</f>
        <v/>
      </c>
      <c r="V134" s="62" t="str">
        <f>IF(INDEX(Labels!H:H, MATCH(Summary!$A134, Labels!$A:$A, 0)) = 0, "", INDEX(Labels!H:H, MATCH(Summary!$A134, Labels!$A:$A, 0)))</f>
        <v/>
      </c>
      <c r="W134" t="str">
        <f>IF(INDEX(Labels!I:I, MATCH(Summary!$A134, Labels!$A:$A, 0)) = 0, "", INDEX(Labels!I:I, MATCH(Summary!$A134, Labels!$A:$A, 0)))</f>
        <v/>
      </c>
      <c r="X134" t="str">
        <f>IF(INDEX(Labels!J:J, MATCH(Summary!$A134, Labels!$A:$A, 0)) = 0, "", INDEX(Labels!J:J, MATCH(Summary!$A134, Labels!$A:$A, 0)))</f>
        <v/>
      </c>
    </row>
    <row r="135" spans="1:24" x14ac:dyDescent="0.2">
      <c r="A135" s="33">
        <f>Labels!A136</f>
        <v>129</v>
      </c>
      <c r="B135" s="34">
        <f>INDEX(EchoData!B:B, MATCH(Summary!$A135, EchoData!$A:$A, 0))</f>
        <v>131</v>
      </c>
      <c r="C135" s="35">
        <f>INDEX(EchoData!C:C, MATCH(Summary!$A135, EchoData!$A:$A, 0))</f>
        <v>132</v>
      </c>
      <c r="D135" s="42">
        <f>INDEX(Displacements!B:B, MATCH(Summary!$B135, Displacements!$A:$A, 0))</f>
        <v>-47.5</v>
      </c>
      <c r="E135" s="43">
        <f>INDEX(Displacements!C:C, MATCH(Summary!$B135, Displacements!$A:$A, 0))</f>
        <v>0</v>
      </c>
      <c r="F135" s="44">
        <f>INDEX(Displacements!D:D, MATCH(Summary!$B135, Displacements!$A:$A, 0))</f>
        <v>0</v>
      </c>
      <c r="G135" s="42">
        <f>INDEX(Displacements!B:B, MATCH(Summary!$C135, Displacements!$A:$A, 0))</f>
        <v>-47</v>
      </c>
      <c r="H135" s="43">
        <f>INDEX(Displacements!C:C, MATCH(Summary!$C135, Displacements!$A:$A, 0))</f>
        <v>0</v>
      </c>
      <c r="I135" s="44">
        <f>INDEX(Displacements!D:D, MATCH(Summary!$C135, Displacements!$A:$A, 0))</f>
        <v>0</v>
      </c>
      <c r="J135" s="42">
        <f t="shared" ref="J135:J198" si="4">SQRT((G135 - D135)^2 + (H135 - E135)^2 + (I135 - F135)^2)</f>
        <v>0.5</v>
      </c>
      <c r="K135" s="49">
        <f t="shared" ref="K135:K198" si="5">IF(P135 = P134, J135/J134, "N/A")</f>
        <v>1</v>
      </c>
      <c r="L135" s="54">
        <f>INDEX('Forces+Stresses'!C:C, MATCH(Summary!$A135, 'Forces+Stresses'!$A:$A, 0))</f>
        <v>3.5209999999999999</v>
      </c>
      <c r="M135" s="55">
        <f>INDEX('Forces+Stresses'!D:D, MATCH(Summary!$A135, 'Forces+Stresses'!$A:$A, 0))</f>
        <v>3.5209999999999999</v>
      </c>
      <c r="N135" s="55">
        <f>IFERROR(INDEX('Forces+Stresses'!Q:Q, MATCH(Summary!$A135, 'Forces+Stresses'!$A:$A, 0)), INDEX(Flexjoints!D:D, MATCH(Summary!$A135, Flexjoints!$A:$A, 0)))</f>
        <v>1.0870000000000001E-12</v>
      </c>
      <c r="O135" s="56">
        <f>IFERROR(INDEX('Forces+Stresses'!R:R, MATCH(Summary!$A135, 'Forces+Stresses'!$A:$A, 0)), INDEX(Flexjoints!E:E, MATCH(Summary!$A135, Flexjoints!$A:$A, 0)))</f>
        <v>4.2289999999999997E-11</v>
      </c>
      <c r="P135" s="33" t="str">
        <f>IF(INDEX(Labels!B:B, MATCH(Summary!$A135, Labels!$A:$A, 0)) = 0, "", INDEX(Labels!B:B, MATCH(Summary!$A135, Labels!$A:$A, 0)))</f>
        <v>{Casing Soil String}</v>
      </c>
      <c r="Q135" s="35" t="str">
        <f>IF(INDEX(Labels!C:C, MATCH(Summary!$A135, Labels!$A:$A, 0)) = 0, "", INDEX(Labels!C:C, MATCH(Summary!$A135, Labels!$A:$A, 0)))</f>
        <v>{Casing 13 3/8in}</v>
      </c>
      <c r="R135" s="33" t="str">
        <f>IF(INDEX(Labels!D:D, MATCH(Summary!$A135, Labels!$A:$A, 0)) = 0, "", INDEX(Labels!D:D, MATCH(Summary!$A135, Labels!$A:$A, 0)))</f>
        <v/>
      </c>
      <c r="S135" s="35" t="str">
        <f>IF(INDEX(Labels!E:E, MATCH(Summary!$A135, Labels!$A:$A, 0)) = 0, "", INDEX(Labels!E:E, MATCH(Summary!$A135, Labels!$A:$A, 0)))</f>
        <v/>
      </c>
      <c r="T135" s="33" t="str">
        <f>IF(INDEX(Labels!F:F, MATCH(Summary!$A135, Labels!$A:$A, 0)) = 0, "", INDEX(Labels!F:F, MATCH(Summary!$A135, Labels!$A:$A, 0)))</f>
        <v/>
      </c>
      <c r="U135" s="35" t="str">
        <f>IF(INDEX(Labels!G:G, MATCH(Summary!$A135, Labels!$A:$A, 0)) = 0, "", INDEX(Labels!G:G, MATCH(Summary!$A135, Labels!$A:$A, 0)))</f>
        <v/>
      </c>
      <c r="V135" s="62" t="str">
        <f>IF(INDEX(Labels!H:H, MATCH(Summary!$A135, Labels!$A:$A, 0)) = 0, "", INDEX(Labels!H:H, MATCH(Summary!$A135, Labels!$A:$A, 0)))</f>
        <v/>
      </c>
      <c r="W135" t="str">
        <f>IF(INDEX(Labels!I:I, MATCH(Summary!$A135, Labels!$A:$A, 0)) = 0, "", INDEX(Labels!I:I, MATCH(Summary!$A135, Labels!$A:$A, 0)))</f>
        <v/>
      </c>
      <c r="X135" t="str">
        <f>IF(INDEX(Labels!J:J, MATCH(Summary!$A135, Labels!$A:$A, 0)) = 0, "", INDEX(Labels!J:J, MATCH(Summary!$A135, Labels!$A:$A, 0)))</f>
        <v/>
      </c>
    </row>
    <row r="136" spans="1:24" x14ac:dyDescent="0.2">
      <c r="A136" s="33">
        <f>Labels!A137</f>
        <v>130</v>
      </c>
      <c r="B136" s="34">
        <f>INDEX(EchoData!B:B, MATCH(Summary!$A136, EchoData!$A:$A, 0))</f>
        <v>132</v>
      </c>
      <c r="C136" s="35">
        <f>INDEX(EchoData!C:C, MATCH(Summary!$A136, EchoData!$A:$A, 0))</f>
        <v>133</v>
      </c>
      <c r="D136" s="42">
        <f>INDEX(Displacements!B:B, MATCH(Summary!$B136, Displacements!$A:$A, 0))</f>
        <v>-47</v>
      </c>
      <c r="E136" s="43">
        <f>INDEX(Displacements!C:C, MATCH(Summary!$B136, Displacements!$A:$A, 0))</f>
        <v>0</v>
      </c>
      <c r="F136" s="44">
        <f>INDEX(Displacements!D:D, MATCH(Summary!$B136, Displacements!$A:$A, 0))</f>
        <v>0</v>
      </c>
      <c r="G136" s="42">
        <f>INDEX(Displacements!B:B, MATCH(Summary!$C136, Displacements!$A:$A, 0))</f>
        <v>-46.5</v>
      </c>
      <c r="H136" s="43">
        <f>INDEX(Displacements!C:C, MATCH(Summary!$C136, Displacements!$A:$A, 0))</f>
        <v>0</v>
      </c>
      <c r="I136" s="44">
        <f>INDEX(Displacements!D:D, MATCH(Summary!$C136, Displacements!$A:$A, 0))</f>
        <v>0</v>
      </c>
      <c r="J136" s="42">
        <f t="shared" si="4"/>
        <v>0.5</v>
      </c>
      <c r="K136" s="49">
        <f t="shared" si="5"/>
        <v>1</v>
      </c>
      <c r="L136" s="54">
        <f>INDEX('Forces+Stresses'!C:C, MATCH(Summary!$A136, 'Forces+Stresses'!$A:$A, 0))</f>
        <v>4.2249999999999996</v>
      </c>
      <c r="M136" s="55">
        <f>INDEX('Forces+Stresses'!D:D, MATCH(Summary!$A136, 'Forces+Stresses'!$A:$A, 0))</f>
        <v>4.2249999999999996</v>
      </c>
      <c r="N136" s="55">
        <f>IFERROR(INDEX('Forces+Stresses'!Q:Q, MATCH(Summary!$A136, 'Forces+Stresses'!$A:$A, 0)), INDEX(Flexjoints!D:D, MATCH(Summary!$A136, Flexjoints!$A:$A, 0)))</f>
        <v>1.2149999999999999E-13</v>
      </c>
      <c r="O136" s="56">
        <f>IFERROR(INDEX('Forces+Stresses'!R:R, MATCH(Summary!$A136, 'Forces+Stresses'!$A:$A, 0)), INDEX(Flexjoints!E:E, MATCH(Summary!$A136, Flexjoints!$A:$A, 0)))</f>
        <v>7.7850000000000005E-12</v>
      </c>
      <c r="P136" s="33" t="str">
        <f>IF(INDEX(Labels!B:B, MATCH(Summary!$A136, Labels!$A:$A, 0)) = 0, "", INDEX(Labels!B:B, MATCH(Summary!$A136, Labels!$A:$A, 0)))</f>
        <v>{Casing Soil String}</v>
      </c>
      <c r="Q136" s="35" t="str">
        <f>IF(INDEX(Labels!C:C, MATCH(Summary!$A136, Labels!$A:$A, 0)) = 0, "", INDEX(Labels!C:C, MATCH(Summary!$A136, Labels!$A:$A, 0)))</f>
        <v>{Casing 13 3/8in}</v>
      </c>
      <c r="R136" s="33" t="str">
        <f>IF(INDEX(Labels!D:D, MATCH(Summary!$A136, Labels!$A:$A, 0)) = 0, "", INDEX(Labels!D:D, MATCH(Summary!$A136, Labels!$A:$A, 0)))</f>
        <v/>
      </c>
      <c r="S136" s="35" t="str">
        <f>IF(INDEX(Labels!E:E, MATCH(Summary!$A136, Labels!$A:$A, 0)) = 0, "", INDEX(Labels!E:E, MATCH(Summary!$A136, Labels!$A:$A, 0)))</f>
        <v/>
      </c>
      <c r="T136" s="33" t="str">
        <f>IF(INDEX(Labels!F:F, MATCH(Summary!$A136, Labels!$A:$A, 0)) = 0, "", INDEX(Labels!F:F, MATCH(Summary!$A136, Labels!$A:$A, 0)))</f>
        <v/>
      </c>
      <c r="U136" s="35" t="str">
        <f>IF(INDEX(Labels!G:G, MATCH(Summary!$A136, Labels!$A:$A, 0)) = 0, "", INDEX(Labels!G:G, MATCH(Summary!$A136, Labels!$A:$A, 0)))</f>
        <v/>
      </c>
      <c r="V136" s="62" t="str">
        <f>IF(INDEX(Labels!H:H, MATCH(Summary!$A136, Labels!$A:$A, 0)) = 0, "", INDEX(Labels!H:H, MATCH(Summary!$A136, Labels!$A:$A, 0)))</f>
        <v/>
      </c>
      <c r="W136" t="str">
        <f>IF(INDEX(Labels!I:I, MATCH(Summary!$A136, Labels!$A:$A, 0)) = 0, "", INDEX(Labels!I:I, MATCH(Summary!$A136, Labels!$A:$A, 0)))</f>
        <v/>
      </c>
      <c r="X136" t="str">
        <f>IF(INDEX(Labels!J:J, MATCH(Summary!$A136, Labels!$A:$A, 0)) = 0, "", INDEX(Labels!J:J, MATCH(Summary!$A136, Labels!$A:$A, 0)))</f>
        <v/>
      </c>
    </row>
    <row r="137" spans="1:24" x14ac:dyDescent="0.2">
      <c r="A137" s="33">
        <f>Labels!A138</f>
        <v>131</v>
      </c>
      <c r="B137" s="34">
        <f>INDEX(EchoData!B:B, MATCH(Summary!$A137, EchoData!$A:$A, 0))</f>
        <v>133</v>
      </c>
      <c r="C137" s="35">
        <f>INDEX(EchoData!C:C, MATCH(Summary!$A137, EchoData!$A:$A, 0))</f>
        <v>134</v>
      </c>
      <c r="D137" s="42">
        <f>INDEX(Displacements!B:B, MATCH(Summary!$B137, Displacements!$A:$A, 0))</f>
        <v>-46.5</v>
      </c>
      <c r="E137" s="43">
        <f>INDEX(Displacements!C:C, MATCH(Summary!$B137, Displacements!$A:$A, 0))</f>
        <v>0</v>
      </c>
      <c r="F137" s="44">
        <f>INDEX(Displacements!D:D, MATCH(Summary!$B137, Displacements!$A:$A, 0))</f>
        <v>0</v>
      </c>
      <c r="G137" s="42">
        <f>INDEX(Displacements!B:B, MATCH(Summary!$C137, Displacements!$A:$A, 0))</f>
        <v>-46</v>
      </c>
      <c r="H137" s="43">
        <f>INDEX(Displacements!C:C, MATCH(Summary!$C137, Displacements!$A:$A, 0))</f>
        <v>0</v>
      </c>
      <c r="I137" s="44">
        <f>INDEX(Displacements!D:D, MATCH(Summary!$C137, Displacements!$A:$A, 0))</f>
        <v>0</v>
      </c>
      <c r="J137" s="42">
        <f t="shared" si="4"/>
        <v>0.5</v>
      </c>
      <c r="K137" s="49">
        <f t="shared" si="5"/>
        <v>1</v>
      </c>
      <c r="L137" s="54">
        <f>INDEX('Forces+Stresses'!C:C, MATCH(Summary!$A137, 'Forces+Stresses'!$A:$A, 0))</f>
        <v>4.9290000000000003</v>
      </c>
      <c r="M137" s="55">
        <f>INDEX('Forces+Stresses'!D:D, MATCH(Summary!$A137, 'Forces+Stresses'!$A:$A, 0))</f>
        <v>4.9290000000000003</v>
      </c>
      <c r="N137" s="55">
        <f>IFERROR(INDEX('Forces+Stresses'!Q:Q, MATCH(Summary!$A137, 'Forces+Stresses'!$A:$A, 0)), INDEX(Flexjoints!D:D, MATCH(Summary!$A137, Flexjoints!$A:$A, 0)))</f>
        <v>9.5969999999999984E-13</v>
      </c>
      <c r="O137" s="56">
        <f>IFERROR(INDEX('Forces+Stresses'!R:R, MATCH(Summary!$A137, 'Forces+Stresses'!$A:$A, 0)), INDEX(Flexjoints!E:E, MATCH(Summary!$A137, Flexjoints!$A:$A, 0)))</f>
        <v>2.8369999999999998E-11</v>
      </c>
      <c r="P137" s="33" t="str">
        <f>IF(INDEX(Labels!B:B, MATCH(Summary!$A137, Labels!$A:$A, 0)) = 0, "", INDEX(Labels!B:B, MATCH(Summary!$A137, Labels!$A:$A, 0)))</f>
        <v>{Casing Soil String}</v>
      </c>
      <c r="Q137" s="35" t="str">
        <f>IF(INDEX(Labels!C:C, MATCH(Summary!$A137, Labels!$A:$A, 0)) = 0, "", INDEX(Labels!C:C, MATCH(Summary!$A137, Labels!$A:$A, 0)))</f>
        <v>{Casing 13 3/8in}</v>
      </c>
      <c r="R137" s="33" t="str">
        <f>IF(INDEX(Labels!D:D, MATCH(Summary!$A137, Labels!$A:$A, 0)) = 0, "", INDEX(Labels!D:D, MATCH(Summary!$A137, Labels!$A:$A, 0)))</f>
        <v/>
      </c>
      <c r="S137" s="35" t="str">
        <f>IF(INDEX(Labels!E:E, MATCH(Summary!$A137, Labels!$A:$A, 0)) = 0, "", INDEX(Labels!E:E, MATCH(Summary!$A137, Labels!$A:$A, 0)))</f>
        <v/>
      </c>
      <c r="T137" s="33" t="str">
        <f>IF(INDEX(Labels!F:F, MATCH(Summary!$A137, Labels!$A:$A, 0)) = 0, "", INDEX(Labels!F:F, MATCH(Summary!$A137, Labels!$A:$A, 0)))</f>
        <v/>
      </c>
      <c r="U137" s="35" t="str">
        <f>IF(INDEX(Labels!G:G, MATCH(Summary!$A137, Labels!$A:$A, 0)) = 0, "", INDEX(Labels!G:G, MATCH(Summary!$A137, Labels!$A:$A, 0)))</f>
        <v/>
      </c>
      <c r="V137" s="62" t="str">
        <f>IF(INDEX(Labels!H:H, MATCH(Summary!$A137, Labels!$A:$A, 0)) = 0, "", INDEX(Labels!H:H, MATCH(Summary!$A137, Labels!$A:$A, 0)))</f>
        <v/>
      </c>
      <c r="W137" t="str">
        <f>IF(INDEX(Labels!I:I, MATCH(Summary!$A137, Labels!$A:$A, 0)) = 0, "", INDEX(Labels!I:I, MATCH(Summary!$A137, Labels!$A:$A, 0)))</f>
        <v/>
      </c>
      <c r="X137" t="str">
        <f>IF(INDEX(Labels!J:J, MATCH(Summary!$A137, Labels!$A:$A, 0)) = 0, "", INDEX(Labels!J:J, MATCH(Summary!$A137, Labels!$A:$A, 0)))</f>
        <v/>
      </c>
    </row>
    <row r="138" spans="1:24" x14ac:dyDescent="0.2">
      <c r="A138" s="33">
        <f>Labels!A139</f>
        <v>132</v>
      </c>
      <c r="B138" s="34">
        <f>INDEX(EchoData!B:B, MATCH(Summary!$A138, EchoData!$A:$A, 0))</f>
        <v>134</v>
      </c>
      <c r="C138" s="35">
        <f>INDEX(EchoData!C:C, MATCH(Summary!$A138, EchoData!$A:$A, 0))</f>
        <v>135</v>
      </c>
      <c r="D138" s="42">
        <f>INDEX(Displacements!B:B, MATCH(Summary!$B138, Displacements!$A:$A, 0))</f>
        <v>-46</v>
      </c>
      <c r="E138" s="43">
        <f>INDEX(Displacements!C:C, MATCH(Summary!$B138, Displacements!$A:$A, 0))</f>
        <v>0</v>
      </c>
      <c r="F138" s="44">
        <f>INDEX(Displacements!D:D, MATCH(Summary!$B138, Displacements!$A:$A, 0))</f>
        <v>0</v>
      </c>
      <c r="G138" s="42">
        <f>INDEX(Displacements!B:B, MATCH(Summary!$C138, Displacements!$A:$A, 0))</f>
        <v>-45.5</v>
      </c>
      <c r="H138" s="43">
        <f>INDEX(Displacements!C:C, MATCH(Summary!$C138, Displacements!$A:$A, 0))</f>
        <v>0</v>
      </c>
      <c r="I138" s="44">
        <f>INDEX(Displacements!D:D, MATCH(Summary!$C138, Displacements!$A:$A, 0))</f>
        <v>0</v>
      </c>
      <c r="J138" s="42">
        <f t="shared" si="4"/>
        <v>0.5</v>
      </c>
      <c r="K138" s="49">
        <f t="shared" si="5"/>
        <v>1</v>
      </c>
      <c r="L138" s="54">
        <f>INDEX('Forces+Stresses'!C:C, MATCH(Summary!$A138, 'Forces+Stresses'!$A:$A, 0))</f>
        <v>5.633</v>
      </c>
      <c r="M138" s="55">
        <f>INDEX('Forces+Stresses'!D:D, MATCH(Summary!$A138, 'Forces+Stresses'!$A:$A, 0))</f>
        <v>5.633</v>
      </c>
      <c r="N138" s="55">
        <f>IFERROR(INDEX('Forces+Stresses'!Q:Q, MATCH(Summary!$A138, 'Forces+Stresses'!$A:$A, 0)), INDEX(Flexjoints!D:D, MATCH(Summary!$A138, Flexjoints!$A:$A, 0)))</f>
        <v>2.0569999999999998E-12</v>
      </c>
      <c r="O138" s="56">
        <f>IFERROR(INDEX('Forces+Stresses'!R:R, MATCH(Summary!$A138, 'Forces+Stresses'!$A:$A, 0)), INDEX(Flexjoints!E:E, MATCH(Summary!$A138, Flexjoints!$A:$A, 0)))</f>
        <v>6.6539999999999997E-11</v>
      </c>
      <c r="P138" s="33" t="str">
        <f>IF(INDEX(Labels!B:B, MATCH(Summary!$A138, Labels!$A:$A, 0)) = 0, "", INDEX(Labels!B:B, MATCH(Summary!$A138, Labels!$A:$A, 0)))</f>
        <v>{Casing Soil String}</v>
      </c>
      <c r="Q138" s="35" t="str">
        <f>IF(INDEX(Labels!C:C, MATCH(Summary!$A138, Labels!$A:$A, 0)) = 0, "", INDEX(Labels!C:C, MATCH(Summary!$A138, Labels!$A:$A, 0)))</f>
        <v>{Casing 13 3/8in}</v>
      </c>
      <c r="R138" s="33" t="str">
        <f>IF(INDEX(Labels!D:D, MATCH(Summary!$A138, Labels!$A:$A, 0)) = 0, "", INDEX(Labels!D:D, MATCH(Summary!$A138, Labels!$A:$A, 0)))</f>
        <v/>
      </c>
      <c r="S138" s="35" t="str">
        <f>IF(INDEX(Labels!E:E, MATCH(Summary!$A138, Labels!$A:$A, 0)) = 0, "", INDEX(Labels!E:E, MATCH(Summary!$A138, Labels!$A:$A, 0)))</f>
        <v/>
      </c>
      <c r="T138" s="33" t="str">
        <f>IF(INDEX(Labels!F:F, MATCH(Summary!$A138, Labels!$A:$A, 0)) = 0, "", INDEX(Labels!F:F, MATCH(Summary!$A138, Labels!$A:$A, 0)))</f>
        <v/>
      </c>
      <c r="U138" s="35" t="str">
        <f>IF(INDEX(Labels!G:G, MATCH(Summary!$A138, Labels!$A:$A, 0)) = 0, "", INDEX(Labels!G:G, MATCH(Summary!$A138, Labels!$A:$A, 0)))</f>
        <v/>
      </c>
      <c r="V138" s="62" t="str">
        <f>IF(INDEX(Labels!H:H, MATCH(Summary!$A138, Labels!$A:$A, 0)) = 0, "", INDEX(Labels!H:H, MATCH(Summary!$A138, Labels!$A:$A, 0)))</f>
        <v/>
      </c>
      <c r="W138" t="str">
        <f>IF(INDEX(Labels!I:I, MATCH(Summary!$A138, Labels!$A:$A, 0)) = 0, "", INDEX(Labels!I:I, MATCH(Summary!$A138, Labels!$A:$A, 0)))</f>
        <v/>
      </c>
      <c r="X138" t="str">
        <f>IF(INDEX(Labels!J:J, MATCH(Summary!$A138, Labels!$A:$A, 0)) = 0, "", INDEX(Labels!J:J, MATCH(Summary!$A138, Labels!$A:$A, 0)))</f>
        <v/>
      </c>
    </row>
    <row r="139" spans="1:24" x14ac:dyDescent="0.2">
      <c r="A139" s="33">
        <f>Labels!A140</f>
        <v>133</v>
      </c>
      <c r="B139" s="34">
        <f>INDEX(EchoData!B:B, MATCH(Summary!$A139, EchoData!$A:$A, 0))</f>
        <v>135</v>
      </c>
      <c r="C139" s="35">
        <f>INDEX(EchoData!C:C, MATCH(Summary!$A139, EchoData!$A:$A, 0))</f>
        <v>136</v>
      </c>
      <c r="D139" s="42">
        <f>INDEX(Displacements!B:B, MATCH(Summary!$B139, Displacements!$A:$A, 0))</f>
        <v>-45.5</v>
      </c>
      <c r="E139" s="43">
        <f>INDEX(Displacements!C:C, MATCH(Summary!$B139, Displacements!$A:$A, 0))</f>
        <v>0</v>
      </c>
      <c r="F139" s="44">
        <f>INDEX(Displacements!D:D, MATCH(Summary!$B139, Displacements!$A:$A, 0))</f>
        <v>0</v>
      </c>
      <c r="G139" s="42">
        <f>INDEX(Displacements!B:B, MATCH(Summary!$C139, Displacements!$A:$A, 0))</f>
        <v>-45</v>
      </c>
      <c r="H139" s="43">
        <f>INDEX(Displacements!C:C, MATCH(Summary!$C139, Displacements!$A:$A, 0))</f>
        <v>0</v>
      </c>
      <c r="I139" s="44">
        <f>INDEX(Displacements!D:D, MATCH(Summary!$C139, Displacements!$A:$A, 0))</f>
        <v>0</v>
      </c>
      <c r="J139" s="42">
        <f t="shared" si="4"/>
        <v>0.5</v>
      </c>
      <c r="K139" s="49">
        <f t="shared" si="5"/>
        <v>1</v>
      </c>
      <c r="L139" s="54">
        <f>INDEX('Forces+Stresses'!C:C, MATCH(Summary!$A139, 'Forces+Stresses'!$A:$A, 0))</f>
        <v>6.3369999999999997</v>
      </c>
      <c r="M139" s="55">
        <f>INDEX('Forces+Stresses'!D:D, MATCH(Summary!$A139, 'Forces+Stresses'!$A:$A, 0))</f>
        <v>6.3369999999999997</v>
      </c>
      <c r="N139" s="55">
        <f>IFERROR(INDEX('Forces+Stresses'!Q:Q, MATCH(Summary!$A139, 'Forces+Stresses'!$A:$A, 0)), INDEX(Flexjoints!D:D, MATCH(Summary!$A139, Flexjoints!$A:$A, 0)))</f>
        <v>3.2219999999999998E-12</v>
      </c>
      <c r="O139" s="56">
        <f>IFERROR(INDEX('Forces+Stresses'!R:R, MATCH(Summary!$A139, 'Forces+Stresses'!$A:$A, 0)), INDEX(Flexjoints!E:E, MATCH(Summary!$A139, Flexjoints!$A:$A, 0)))</f>
        <v>1.071E-10</v>
      </c>
      <c r="P139" s="33" t="str">
        <f>IF(INDEX(Labels!B:B, MATCH(Summary!$A139, Labels!$A:$A, 0)) = 0, "", INDEX(Labels!B:B, MATCH(Summary!$A139, Labels!$A:$A, 0)))</f>
        <v>{Casing Soil String}</v>
      </c>
      <c r="Q139" s="35" t="str">
        <f>IF(INDEX(Labels!C:C, MATCH(Summary!$A139, Labels!$A:$A, 0)) = 0, "", INDEX(Labels!C:C, MATCH(Summary!$A139, Labels!$A:$A, 0)))</f>
        <v>{Casing 13 3/8in}</v>
      </c>
      <c r="R139" s="33" t="str">
        <f>IF(INDEX(Labels!D:D, MATCH(Summary!$A139, Labels!$A:$A, 0)) = 0, "", INDEX(Labels!D:D, MATCH(Summary!$A139, Labels!$A:$A, 0)))</f>
        <v/>
      </c>
      <c r="S139" s="35" t="str">
        <f>IF(INDEX(Labels!E:E, MATCH(Summary!$A139, Labels!$A:$A, 0)) = 0, "", INDEX(Labels!E:E, MATCH(Summary!$A139, Labels!$A:$A, 0)))</f>
        <v/>
      </c>
      <c r="T139" s="33" t="str">
        <f>IF(INDEX(Labels!F:F, MATCH(Summary!$A139, Labels!$A:$A, 0)) = 0, "", INDEX(Labels!F:F, MATCH(Summary!$A139, Labels!$A:$A, 0)))</f>
        <v/>
      </c>
      <c r="U139" s="35" t="str">
        <f>IF(INDEX(Labels!G:G, MATCH(Summary!$A139, Labels!$A:$A, 0)) = 0, "", INDEX(Labels!G:G, MATCH(Summary!$A139, Labels!$A:$A, 0)))</f>
        <v/>
      </c>
      <c r="V139" s="62" t="str">
        <f>IF(INDEX(Labels!H:H, MATCH(Summary!$A139, Labels!$A:$A, 0)) = 0, "", INDEX(Labels!H:H, MATCH(Summary!$A139, Labels!$A:$A, 0)))</f>
        <v/>
      </c>
      <c r="W139" t="str">
        <f>IF(INDEX(Labels!I:I, MATCH(Summary!$A139, Labels!$A:$A, 0)) = 0, "", INDEX(Labels!I:I, MATCH(Summary!$A139, Labels!$A:$A, 0)))</f>
        <v/>
      </c>
      <c r="X139" t="str">
        <f>IF(INDEX(Labels!J:J, MATCH(Summary!$A139, Labels!$A:$A, 0)) = 0, "", INDEX(Labels!J:J, MATCH(Summary!$A139, Labels!$A:$A, 0)))</f>
        <v/>
      </c>
    </row>
    <row r="140" spans="1:24" x14ac:dyDescent="0.2">
      <c r="A140" s="33">
        <f>Labels!A141</f>
        <v>134</v>
      </c>
      <c r="B140" s="34">
        <f>INDEX(EchoData!B:B, MATCH(Summary!$A140, EchoData!$A:$A, 0))</f>
        <v>136</v>
      </c>
      <c r="C140" s="35">
        <f>INDEX(EchoData!C:C, MATCH(Summary!$A140, EchoData!$A:$A, 0))</f>
        <v>137</v>
      </c>
      <c r="D140" s="42">
        <f>INDEX(Displacements!B:B, MATCH(Summary!$B140, Displacements!$A:$A, 0))</f>
        <v>-45</v>
      </c>
      <c r="E140" s="43">
        <f>INDEX(Displacements!C:C, MATCH(Summary!$B140, Displacements!$A:$A, 0))</f>
        <v>0</v>
      </c>
      <c r="F140" s="44">
        <f>INDEX(Displacements!D:D, MATCH(Summary!$B140, Displacements!$A:$A, 0))</f>
        <v>0</v>
      </c>
      <c r="G140" s="42">
        <f>INDEX(Displacements!B:B, MATCH(Summary!$C140, Displacements!$A:$A, 0))</f>
        <v>-44.5</v>
      </c>
      <c r="H140" s="43">
        <f>INDEX(Displacements!C:C, MATCH(Summary!$C140, Displacements!$A:$A, 0))</f>
        <v>0</v>
      </c>
      <c r="I140" s="44">
        <f>INDEX(Displacements!D:D, MATCH(Summary!$C140, Displacements!$A:$A, 0))</f>
        <v>0</v>
      </c>
      <c r="J140" s="42">
        <f t="shared" si="4"/>
        <v>0.5</v>
      </c>
      <c r="K140" s="49">
        <f t="shared" si="5"/>
        <v>1</v>
      </c>
      <c r="L140" s="54">
        <f>INDEX('Forces+Stresses'!C:C, MATCH(Summary!$A140, 'Forces+Stresses'!$A:$A, 0))</f>
        <v>7.0410000000000004</v>
      </c>
      <c r="M140" s="55">
        <f>INDEX('Forces+Stresses'!D:D, MATCH(Summary!$A140, 'Forces+Stresses'!$A:$A, 0))</f>
        <v>7.0410000000000004</v>
      </c>
      <c r="N140" s="55">
        <f>IFERROR(INDEX('Forces+Stresses'!Q:Q, MATCH(Summary!$A140, 'Forces+Stresses'!$A:$A, 0)), INDEX(Flexjoints!D:D, MATCH(Summary!$A140, Flexjoints!$A:$A, 0)))</f>
        <v>4.4640000000000004E-12</v>
      </c>
      <c r="O140" s="56">
        <f>IFERROR(INDEX('Forces+Stresses'!R:R, MATCH(Summary!$A140, 'Forces+Stresses'!$A:$A, 0)), INDEX(Flexjoints!E:E, MATCH(Summary!$A140, Flexjoints!$A:$A, 0)))</f>
        <v>1.505E-10</v>
      </c>
      <c r="P140" s="33" t="str">
        <f>IF(INDEX(Labels!B:B, MATCH(Summary!$A140, Labels!$A:$A, 0)) = 0, "", INDEX(Labels!B:B, MATCH(Summary!$A140, Labels!$A:$A, 0)))</f>
        <v>{Casing Soil String}</v>
      </c>
      <c r="Q140" s="35" t="str">
        <f>IF(INDEX(Labels!C:C, MATCH(Summary!$A140, Labels!$A:$A, 0)) = 0, "", INDEX(Labels!C:C, MATCH(Summary!$A140, Labels!$A:$A, 0)))</f>
        <v>{Casing 13 3/8in}</v>
      </c>
      <c r="R140" s="33" t="str">
        <f>IF(INDEX(Labels!D:D, MATCH(Summary!$A140, Labels!$A:$A, 0)) = 0, "", INDEX(Labels!D:D, MATCH(Summary!$A140, Labels!$A:$A, 0)))</f>
        <v/>
      </c>
      <c r="S140" s="35" t="str">
        <f>IF(INDEX(Labels!E:E, MATCH(Summary!$A140, Labels!$A:$A, 0)) = 0, "", INDEX(Labels!E:E, MATCH(Summary!$A140, Labels!$A:$A, 0)))</f>
        <v/>
      </c>
      <c r="T140" s="33" t="str">
        <f>IF(INDEX(Labels!F:F, MATCH(Summary!$A140, Labels!$A:$A, 0)) = 0, "", INDEX(Labels!F:F, MATCH(Summary!$A140, Labels!$A:$A, 0)))</f>
        <v/>
      </c>
      <c r="U140" s="35" t="str">
        <f>IF(INDEX(Labels!G:G, MATCH(Summary!$A140, Labels!$A:$A, 0)) = 0, "", INDEX(Labels!G:G, MATCH(Summary!$A140, Labels!$A:$A, 0)))</f>
        <v/>
      </c>
      <c r="V140" s="62" t="str">
        <f>IF(INDEX(Labels!H:H, MATCH(Summary!$A140, Labels!$A:$A, 0)) = 0, "", INDEX(Labels!H:H, MATCH(Summary!$A140, Labels!$A:$A, 0)))</f>
        <v/>
      </c>
      <c r="W140" t="str">
        <f>IF(INDEX(Labels!I:I, MATCH(Summary!$A140, Labels!$A:$A, 0)) = 0, "", INDEX(Labels!I:I, MATCH(Summary!$A140, Labels!$A:$A, 0)))</f>
        <v/>
      </c>
      <c r="X140" t="str">
        <f>IF(INDEX(Labels!J:J, MATCH(Summary!$A140, Labels!$A:$A, 0)) = 0, "", INDEX(Labels!J:J, MATCH(Summary!$A140, Labels!$A:$A, 0)))</f>
        <v/>
      </c>
    </row>
    <row r="141" spans="1:24" x14ac:dyDescent="0.2">
      <c r="A141" s="33">
        <f>Labels!A142</f>
        <v>135</v>
      </c>
      <c r="B141" s="34">
        <f>INDEX(EchoData!B:B, MATCH(Summary!$A141, EchoData!$A:$A, 0))</f>
        <v>137</v>
      </c>
      <c r="C141" s="35">
        <f>INDEX(EchoData!C:C, MATCH(Summary!$A141, EchoData!$A:$A, 0))</f>
        <v>138</v>
      </c>
      <c r="D141" s="42">
        <f>INDEX(Displacements!B:B, MATCH(Summary!$B141, Displacements!$A:$A, 0))</f>
        <v>-44.5</v>
      </c>
      <c r="E141" s="43">
        <f>INDEX(Displacements!C:C, MATCH(Summary!$B141, Displacements!$A:$A, 0))</f>
        <v>0</v>
      </c>
      <c r="F141" s="44">
        <f>INDEX(Displacements!D:D, MATCH(Summary!$B141, Displacements!$A:$A, 0))</f>
        <v>0</v>
      </c>
      <c r="G141" s="42">
        <f>INDEX(Displacements!B:B, MATCH(Summary!$C141, Displacements!$A:$A, 0))</f>
        <v>-44</v>
      </c>
      <c r="H141" s="43">
        <f>INDEX(Displacements!C:C, MATCH(Summary!$C141, Displacements!$A:$A, 0))</f>
        <v>0</v>
      </c>
      <c r="I141" s="44">
        <f>INDEX(Displacements!D:D, MATCH(Summary!$C141, Displacements!$A:$A, 0))</f>
        <v>0</v>
      </c>
      <c r="J141" s="42">
        <f t="shared" si="4"/>
        <v>0.5</v>
      </c>
      <c r="K141" s="49">
        <f t="shared" si="5"/>
        <v>1</v>
      </c>
      <c r="L141" s="54">
        <f>INDEX('Forces+Stresses'!C:C, MATCH(Summary!$A141, 'Forces+Stresses'!$A:$A, 0))</f>
        <v>7.7460000000000004</v>
      </c>
      <c r="M141" s="55">
        <f>INDEX('Forces+Stresses'!D:D, MATCH(Summary!$A141, 'Forces+Stresses'!$A:$A, 0))</f>
        <v>7.7460000000000004</v>
      </c>
      <c r="N141" s="55">
        <f>IFERROR(INDEX('Forces+Stresses'!Q:Q, MATCH(Summary!$A141, 'Forces+Stresses'!$A:$A, 0)), INDEX(Flexjoints!D:D, MATCH(Summary!$A141, Flexjoints!$A:$A, 0)))</f>
        <v>5.788E-12</v>
      </c>
      <c r="O141" s="56">
        <f>IFERROR(INDEX('Forces+Stresses'!R:R, MATCH(Summary!$A141, 'Forces+Stresses'!$A:$A, 0)), INDEX(Flexjoints!E:E, MATCH(Summary!$A141, Flexjoints!$A:$A, 0)))</f>
        <v>1.9679999999999998E-10</v>
      </c>
      <c r="P141" s="33" t="str">
        <f>IF(INDEX(Labels!B:B, MATCH(Summary!$A141, Labels!$A:$A, 0)) = 0, "", INDEX(Labels!B:B, MATCH(Summary!$A141, Labels!$A:$A, 0)))</f>
        <v>{Casing Soil String}</v>
      </c>
      <c r="Q141" s="35" t="str">
        <f>IF(INDEX(Labels!C:C, MATCH(Summary!$A141, Labels!$A:$A, 0)) = 0, "", INDEX(Labels!C:C, MATCH(Summary!$A141, Labels!$A:$A, 0)))</f>
        <v>{Casing 13 3/8in}</v>
      </c>
      <c r="R141" s="33" t="str">
        <f>IF(INDEX(Labels!D:D, MATCH(Summary!$A141, Labels!$A:$A, 0)) = 0, "", INDEX(Labels!D:D, MATCH(Summary!$A141, Labels!$A:$A, 0)))</f>
        <v/>
      </c>
      <c r="S141" s="35" t="str">
        <f>IF(INDEX(Labels!E:E, MATCH(Summary!$A141, Labels!$A:$A, 0)) = 0, "", INDEX(Labels!E:E, MATCH(Summary!$A141, Labels!$A:$A, 0)))</f>
        <v/>
      </c>
      <c r="T141" s="33" t="str">
        <f>IF(INDEX(Labels!F:F, MATCH(Summary!$A141, Labels!$A:$A, 0)) = 0, "", INDEX(Labels!F:F, MATCH(Summary!$A141, Labels!$A:$A, 0)))</f>
        <v/>
      </c>
      <c r="U141" s="35" t="str">
        <f>IF(INDEX(Labels!G:G, MATCH(Summary!$A141, Labels!$A:$A, 0)) = 0, "", INDEX(Labels!G:G, MATCH(Summary!$A141, Labels!$A:$A, 0)))</f>
        <v/>
      </c>
      <c r="V141" s="62" t="str">
        <f>IF(INDEX(Labels!H:H, MATCH(Summary!$A141, Labels!$A:$A, 0)) = 0, "", INDEX(Labels!H:H, MATCH(Summary!$A141, Labels!$A:$A, 0)))</f>
        <v/>
      </c>
      <c r="W141" t="str">
        <f>IF(INDEX(Labels!I:I, MATCH(Summary!$A141, Labels!$A:$A, 0)) = 0, "", INDEX(Labels!I:I, MATCH(Summary!$A141, Labels!$A:$A, 0)))</f>
        <v/>
      </c>
      <c r="X141" t="str">
        <f>IF(INDEX(Labels!J:J, MATCH(Summary!$A141, Labels!$A:$A, 0)) = 0, "", INDEX(Labels!J:J, MATCH(Summary!$A141, Labels!$A:$A, 0)))</f>
        <v/>
      </c>
    </row>
    <row r="142" spans="1:24" x14ac:dyDescent="0.2">
      <c r="A142" s="33">
        <f>Labels!A143</f>
        <v>136</v>
      </c>
      <c r="B142" s="34">
        <f>INDEX(EchoData!B:B, MATCH(Summary!$A142, EchoData!$A:$A, 0))</f>
        <v>138</v>
      </c>
      <c r="C142" s="35">
        <f>INDEX(EchoData!C:C, MATCH(Summary!$A142, EchoData!$A:$A, 0))</f>
        <v>139</v>
      </c>
      <c r="D142" s="42">
        <f>INDEX(Displacements!B:B, MATCH(Summary!$B142, Displacements!$A:$A, 0))</f>
        <v>-44</v>
      </c>
      <c r="E142" s="43">
        <f>INDEX(Displacements!C:C, MATCH(Summary!$B142, Displacements!$A:$A, 0))</f>
        <v>0</v>
      </c>
      <c r="F142" s="44">
        <f>INDEX(Displacements!D:D, MATCH(Summary!$B142, Displacements!$A:$A, 0))</f>
        <v>0</v>
      </c>
      <c r="G142" s="42">
        <f>INDEX(Displacements!B:B, MATCH(Summary!$C142, Displacements!$A:$A, 0))</f>
        <v>-43.5</v>
      </c>
      <c r="H142" s="43">
        <f>INDEX(Displacements!C:C, MATCH(Summary!$C142, Displacements!$A:$A, 0))</f>
        <v>0</v>
      </c>
      <c r="I142" s="44">
        <f>INDEX(Displacements!D:D, MATCH(Summary!$C142, Displacements!$A:$A, 0))</f>
        <v>0</v>
      </c>
      <c r="J142" s="42">
        <f t="shared" si="4"/>
        <v>0.5</v>
      </c>
      <c r="K142" s="49">
        <f t="shared" si="5"/>
        <v>1</v>
      </c>
      <c r="L142" s="54">
        <f>INDEX('Forces+Stresses'!C:C, MATCH(Summary!$A142, 'Forces+Stresses'!$A:$A, 0))</f>
        <v>8.4499999999999993</v>
      </c>
      <c r="M142" s="55">
        <f>INDEX('Forces+Stresses'!D:D, MATCH(Summary!$A142, 'Forces+Stresses'!$A:$A, 0))</f>
        <v>8.4499999999999993</v>
      </c>
      <c r="N142" s="55">
        <f>IFERROR(INDEX('Forces+Stresses'!Q:Q, MATCH(Summary!$A142, 'Forces+Stresses'!$A:$A, 0)), INDEX(Flexjoints!D:D, MATCH(Summary!$A142, Flexjoints!$A:$A, 0)))</f>
        <v>7.1989999999999995E-12</v>
      </c>
      <c r="O142" s="56">
        <f>IFERROR(INDEX('Forces+Stresses'!R:R, MATCH(Summary!$A142, 'Forces+Stresses'!$A:$A, 0)), INDEX(Flexjoints!E:E, MATCH(Summary!$A142, Flexjoints!$A:$A, 0)))</f>
        <v>2.4629999999999997E-10</v>
      </c>
      <c r="P142" s="33" t="str">
        <f>IF(INDEX(Labels!B:B, MATCH(Summary!$A142, Labels!$A:$A, 0)) = 0, "", INDEX(Labels!B:B, MATCH(Summary!$A142, Labels!$A:$A, 0)))</f>
        <v>{Casing Soil String}</v>
      </c>
      <c r="Q142" s="35" t="str">
        <f>IF(INDEX(Labels!C:C, MATCH(Summary!$A142, Labels!$A:$A, 0)) = 0, "", INDEX(Labels!C:C, MATCH(Summary!$A142, Labels!$A:$A, 0)))</f>
        <v>{Casing 13 3/8in}</v>
      </c>
      <c r="R142" s="33" t="str">
        <f>IF(INDEX(Labels!D:D, MATCH(Summary!$A142, Labels!$A:$A, 0)) = 0, "", INDEX(Labels!D:D, MATCH(Summary!$A142, Labels!$A:$A, 0)))</f>
        <v/>
      </c>
      <c r="S142" s="35" t="str">
        <f>IF(INDEX(Labels!E:E, MATCH(Summary!$A142, Labels!$A:$A, 0)) = 0, "", INDEX(Labels!E:E, MATCH(Summary!$A142, Labels!$A:$A, 0)))</f>
        <v/>
      </c>
      <c r="T142" s="33" t="str">
        <f>IF(INDEX(Labels!F:F, MATCH(Summary!$A142, Labels!$A:$A, 0)) = 0, "", INDEX(Labels!F:F, MATCH(Summary!$A142, Labels!$A:$A, 0)))</f>
        <v/>
      </c>
      <c r="U142" s="35" t="str">
        <f>IF(INDEX(Labels!G:G, MATCH(Summary!$A142, Labels!$A:$A, 0)) = 0, "", INDEX(Labels!G:G, MATCH(Summary!$A142, Labels!$A:$A, 0)))</f>
        <v/>
      </c>
      <c r="V142" s="62" t="str">
        <f>IF(INDEX(Labels!H:H, MATCH(Summary!$A142, Labels!$A:$A, 0)) = 0, "", INDEX(Labels!H:H, MATCH(Summary!$A142, Labels!$A:$A, 0)))</f>
        <v/>
      </c>
      <c r="W142" t="str">
        <f>IF(INDEX(Labels!I:I, MATCH(Summary!$A142, Labels!$A:$A, 0)) = 0, "", INDEX(Labels!I:I, MATCH(Summary!$A142, Labels!$A:$A, 0)))</f>
        <v/>
      </c>
      <c r="X142" t="str">
        <f>IF(INDEX(Labels!J:J, MATCH(Summary!$A142, Labels!$A:$A, 0)) = 0, "", INDEX(Labels!J:J, MATCH(Summary!$A142, Labels!$A:$A, 0)))</f>
        <v/>
      </c>
    </row>
    <row r="143" spans="1:24" x14ac:dyDescent="0.2">
      <c r="A143" s="33">
        <f>Labels!A144</f>
        <v>137</v>
      </c>
      <c r="B143" s="34">
        <f>INDEX(EchoData!B:B, MATCH(Summary!$A143, EchoData!$A:$A, 0))</f>
        <v>139</v>
      </c>
      <c r="C143" s="35">
        <f>INDEX(EchoData!C:C, MATCH(Summary!$A143, EchoData!$A:$A, 0))</f>
        <v>140</v>
      </c>
      <c r="D143" s="42">
        <f>INDEX(Displacements!B:B, MATCH(Summary!$B143, Displacements!$A:$A, 0))</f>
        <v>-43.5</v>
      </c>
      <c r="E143" s="43">
        <f>INDEX(Displacements!C:C, MATCH(Summary!$B143, Displacements!$A:$A, 0))</f>
        <v>0</v>
      </c>
      <c r="F143" s="44">
        <f>INDEX(Displacements!D:D, MATCH(Summary!$B143, Displacements!$A:$A, 0))</f>
        <v>0</v>
      </c>
      <c r="G143" s="42">
        <f>INDEX(Displacements!B:B, MATCH(Summary!$C143, Displacements!$A:$A, 0))</f>
        <v>-43</v>
      </c>
      <c r="H143" s="43">
        <f>INDEX(Displacements!C:C, MATCH(Summary!$C143, Displacements!$A:$A, 0))</f>
        <v>0</v>
      </c>
      <c r="I143" s="44">
        <f>INDEX(Displacements!D:D, MATCH(Summary!$C143, Displacements!$A:$A, 0))</f>
        <v>0</v>
      </c>
      <c r="J143" s="42">
        <f t="shared" si="4"/>
        <v>0.5</v>
      </c>
      <c r="K143" s="49">
        <f t="shared" si="5"/>
        <v>1</v>
      </c>
      <c r="L143" s="54">
        <f>INDEX('Forces+Stresses'!C:C, MATCH(Summary!$A143, 'Forces+Stresses'!$A:$A, 0))</f>
        <v>9.1539999999999999</v>
      </c>
      <c r="M143" s="55">
        <f>INDEX('Forces+Stresses'!D:D, MATCH(Summary!$A143, 'Forces+Stresses'!$A:$A, 0))</f>
        <v>9.1539999999999999</v>
      </c>
      <c r="N143" s="55">
        <f>IFERROR(INDEX('Forces+Stresses'!Q:Q, MATCH(Summary!$A143, 'Forces+Stresses'!$A:$A, 0)), INDEX(Flexjoints!D:D, MATCH(Summary!$A143, Flexjoints!$A:$A, 0)))</f>
        <v>8.6960000000000009E-12</v>
      </c>
      <c r="O143" s="56">
        <f>IFERROR(INDEX('Forces+Stresses'!R:R, MATCH(Summary!$A143, 'Forces+Stresses'!$A:$A, 0)), INDEX(Flexjoints!E:E, MATCH(Summary!$A143, Flexjoints!$A:$A, 0)))</f>
        <v>2.9910000000000003E-10</v>
      </c>
      <c r="P143" s="33" t="str">
        <f>IF(INDEX(Labels!B:B, MATCH(Summary!$A143, Labels!$A:$A, 0)) = 0, "", INDEX(Labels!B:B, MATCH(Summary!$A143, Labels!$A:$A, 0)))</f>
        <v>{Casing Soil String}</v>
      </c>
      <c r="Q143" s="35" t="str">
        <f>IF(INDEX(Labels!C:C, MATCH(Summary!$A143, Labels!$A:$A, 0)) = 0, "", INDEX(Labels!C:C, MATCH(Summary!$A143, Labels!$A:$A, 0)))</f>
        <v>{Casing 13 3/8in}</v>
      </c>
      <c r="R143" s="33" t="str">
        <f>IF(INDEX(Labels!D:D, MATCH(Summary!$A143, Labels!$A:$A, 0)) = 0, "", INDEX(Labels!D:D, MATCH(Summary!$A143, Labels!$A:$A, 0)))</f>
        <v/>
      </c>
      <c r="S143" s="35" t="str">
        <f>IF(INDEX(Labels!E:E, MATCH(Summary!$A143, Labels!$A:$A, 0)) = 0, "", INDEX(Labels!E:E, MATCH(Summary!$A143, Labels!$A:$A, 0)))</f>
        <v/>
      </c>
      <c r="T143" s="33" t="str">
        <f>IF(INDEX(Labels!F:F, MATCH(Summary!$A143, Labels!$A:$A, 0)) = 0, "", INDEX(Labels!F:F, MATCH(Summary!$A143, Labels!$A:$A, 0)))</f>
        <v/>
      </c>
      <c r="U143" s="35" t="str">
        <f>IF(INDEX(Labels!G:G, MATCH(Summary!$A143, Labels!$A:$A, 0)) = 0, "", INDEX(Labels!G:G, MATCH(Summary!$A143, Labels!$A:$A, 0)))</f>
        <v/>
      </c>
      <c r="V143" s="62" t="str">
        <f>IF(INDEX(Labels!H:H, MATCH(Summary!$A143, Labels!$A:$A, 0)) = 0, "", INDEX(Labels!H:H, MATCH(Summary!$A143, Labels!$A:$A, 0)))</f>
        <v/>
      </c>
      <c r="W143" t="str">
        <f>IF(INDEX(Labels!I:I, MATCH(Summary!$A143, Labels!$A:$A, 0)) = 0, "", INDEX(Labels!I:I, MATCH(Summary!$A143, Labels!$A:$A, 0)))</f>
        <v/>
      </c>
      <c r="X143" t="str">
        <f>IF(INDEX(Labels!J:J, MATCH(Summary!$A143, Labels!$A:$A, 0)) = 0, "", INDEX(Labels!J:J, MATCH(Summary!$A143, Labels!$A:$A, 0)))</f>
        <v/>
      </c>
    </row>
    <row r="144" spans="1:24" x14ac:dyDescent="0.2">
      <c r="A144" s="33">
        <f>Labels!A145</f>
        <v>138</v>
      </c>
      <c r="B144" s="34">
        <f>INDEX(EchoData!B:B, MATCH(Summary!$A144, EchoData!$A:$A, 0))</f>
        <v>140</v>
      </c>
      <c r="C144" s="35">
        <f>INDEX(EchoData!C:C, MATCH(Summary!$A144, EchoData!$A:$A, 0))</f>
        <v>141</v>
      </c>
      <c r="D144" s="42">
        <f>INDEX(Displacements!B:B, MATCH(Summary!$B144, Displacements!$A:$A, 0))</f>
        <v>-43</v>
      </c>
      <c r="E144" s="43">
        <f>INDEX(Displacements!C:C, MATCH(Summary!$B144, Displacements!$A:$A, 0))</f>
        <v>0</v>
      </c>
      <c r="F144" s="44">
        <f>INDEX(Displacements!D:D, MATCH(Summary!$B144, Displacements!$A:$A, 0))</f>
        <v>0</v>
      </c>
      <c r="G144" s="42">
        <f>INDEX(Displacements!B:B, MATCH(Summary!$C144, Displacements!$A:$A, 0))</f>
        <v>-42.5</v>
      </c>
      <c r="H144" s="43">
        <f>INDEX(Displacements!C:C, MATCH(Summary!$C144, Displacements!$A:$A, 0))</f>
        <v>0</v>
      </c>
      <c r="I144" s="44">
        <f>INDEX(Displacements!D:D, MATCH(Summary!$C144, Displacements!$A:$A, 0))</f>
        <v>0</v>
      </c>
      <c r="J144" s="42">
        <f t="shared" si="4"/>
        <v>0.5</v>
      </c>
      <c r="K144" s="49">
        <f t="shared" si="5"/>
        <v>1</v>
      </c>
      <c r="L144" s="54">
        <f>INDEX('Forces+Stresses'!C:C, MATCH(Summary!$A144, 'Forces+Stresses'!$A:$A, 0))</f>
        <v>9.8580000000000005</v>
      </c>
      <c r="M144" s="55">
        <f>INDEX('Forces+Stresses'!D:D, MATCH(Summary!$A144, 'Forces+Stresses'!$A:$A, 0))</f>
        <v>9.8580000000000005</v>
      </c>
      <c r="N144" s="55">
        <f>IFERROR(INDEX('Forces+Stresses'!Q:Q, MATCH(Summary!$A144, 'Forces+Stresses'!$A:$A, 0)), INDEX(Flexjoints!D:D, MATCH(Summary!$A144, Flexjoints!$A:$A, 0)))</f>
        <v>1.0280000000000001E-11</v>
      </c>
      <c r="O144" s="56">
        <f>IFERROR(INDEX('Forces+Stresses'!R:R, MATCH(Summary!$A144, 'Forces+Stresses'!$A:$A, 0)), INDEX(Flexjoints!E:E, MATCH(Summary!$A144, Flexjoints!$A:$A, 0)))</f>
        <v>3.5489999999999998E-10</v>
      </c>
      <c r="P144" s="33" t="str">
        <f>IF(INDEX(Labels!B:B, MATCH(Summary!$A144, Labels!$A:$A, 0)) = 0, "", INDEX(Labels!B:B, MATCH(Summary!$A144, Labels!$A:$A, 0)))</f>
        <v>{Casing Soil String}</v>
      </c>
      <c r="Q144" s="35" t="str">
        <f>IF(INDEX(Labels!C:C, MATCH(Summary!$A144, Labels!$A:$A, 0)) = 0, "", INDEX(Labels!C:C, MATCH(Summary!$A144, Labels!$A:$A, 0)))</f>
        <v>{Casing 13 3/8in}</v>
      </c>
      <c r="R144" s="33" t="str">
        <f>IF(INDEX(Labels!D:D, MATCH(Summary!$A144, Labels!$A:$A, 0)) = 0, "", INDEX(Labels!D:D, MATCH(Summary!$A144, Labels!$A:$A, 0)))</f>
        <v/>
      </c>
      <c r="S144" s="35" t="str">
        <f>IF(INDEX(Labels!E:E, MATCH(Summary!$A144, Labels!$A:$A, 0)) = 0, "", INDEX(Labels!E:E, MATCH(Summary!$A144, Labels!$A:$A, 0)))</f>
        <v/>
      </c>
      <c r="T144" s="33" t="str">
        <f>IF(INDEX(Labels!F:F, MATCH(Summary!$A144, Labels!$A:$A, 0)) = 0, "", INDEX(Labels!F:F, MATCH(Summary!$A144, Labels!$A:$A, 0)))</f>
        <v/>
      </c>
      <c r="U144" s="35" t="str">
        <f>IF(INDEX(Labels!G:G, MATCH(Summary!$A144, Labels!$A:$A, 0)) = 0, "", INDEX(Labels!G:G, MATCH(Summary!$A144, Labels!$A:$A, 0)))</f>
        <v/>
      </c>
      <c r="V144" s="62" t="str">
        <f>IF(INDEX(Labels!H:H, MATCH(Summary!$A144, Labels!$A:$A, 0)) = 0, "", INDEX(Labels!H:H, MATCH(Summary!$A144, Labels!$A:$A, 0)))</f>
        <v/>
      </c>
      <c r="W144" t="str">
        <f>IF(INDEX(Labels!I:I, MATCH(Summary!$A144, Labels!$A:$A, 0)) = 0, "", INDEX(Labels!I:I, MATCH(Summary!$A144, Labels!$A:$A, 0)))</f>
        <v/>
      </c>
      <c r="X144" t="str">
        <f>IF(INDEX(Labels!J:J, MATCH(Summary!$A144, Labels!$A:$A, 0)) = 0, "", INDEX(Labels!J:J, MATCH(Summary!$A144, Labels!$A:$A, 0)))</f>
        <v/>
      </c>
    </row>
    <row r="145" spans="1:24" x14ac:dyDescent="0.2">
      <c r="A145" s="33">
        <f>Labels!A146</f>
        <v>139</v>
      </c>
      <c r="B145" s="34">
        <f>INDEX(EchoData!B:B, MATCH(Summary!$A145, EchoData!$A:$A, 0))</f>
        <v>141</v>
      </c>
      <c r="C145" s="35">
        <f>INDEX(EchoData!C:C, MATCH(Summary!$A145, EchoData!$A:$A, 0))</f>
        <v>142</v>
      </c>
      <c r="D145" s="42">
        <f>INDEX(Displacements!B:B, MATCH(Summary!$B145, Displacements!$A:$A, 0))</f>
        <v>-42.5</v>
      </c>
      <c r="E145" s="43">
        <f>INDEX(Displacements!C:C, MATCH(Summary!$B145, Displacements!$A:$A, 0))</f>
        <v>0</v>
      </c>
      <c r="F145" s="44">
        <f>INDEX(Displacements!D:D, MATCH(Summary!$B145, Displacements!$A:$A, 0))</f>
        <v>0</v>
      </c>
      <c r="G145" s="42">
        <f>INDEX(Displacements!B:B, MATCH(Summary!$C145, Displacements!$A:$A, 0))</f>
        <v>-42</v>
      </c>
      <c r="H145" s="43">
        <f>INDEX(Displacements!C:C, MATCH(Summary!$C145, Displacements!$A:$A, 0))</f>
        <v>0</v>
      </c>
      <c r="I145" s="44">
        <f>INDEX(Displacements!D:D, MATCH(Summary!$C145, Displacements!$A:$A, 0))</f>
        <v>0</v>
      </c>
      <c r="J145" s="42">
        <f t="shared" si="4"/>
        <v>0.5</v>
      </c>
      <c r="K145" s="49">
        <f t="shared" si="5"/>
        <v>1</v>
      </c>
      <c r="L145" s="54">
        <f>INDEX('Forces+Stresses'!C:C, MATCH(Summary!$A145, 'Forces+Stresses'!$A:$A, 0))</f>
        <v>10.56</v>
      </c>
      <c r="M145" s="55">
        <f>INDEX('Forces+Stresses'!D:D, MATCH(Summary!$A145, 'Forces+Stresses'!$A:$A, 0))</f>
        <v>10.56</v>
      </c>
      <c r="N145" s="55">
        <f>IFERROR(INDEX('Forces+Stresses'!Q:Q, MATCH(Summary!$A145, 'Forces+Stresses'!$A:$A, 0)), INDEX(Flexjoints!D:D, MATCH(Summary!$A145, Flexjoints!$A:$A, 0)))</f>
        <v>1.1929999999999999E-11</v>
      </c>
      <c r="O145" s="56">
        <f>IFERROR(INDEX('Forces+Stresses'!R:R, MATCH(Summary!$A145, 'Forces+Stresses'!$A:$A, 0)), INDEX(Flexjoints!E:E, MATCH(Summary!$A145, Flexjoints!$A:$A, 0)))</f>
        <v>4.1349999999999997E-10</v>
      </c>
      <c r="P145" s="33" t="str">
        <f>IF(INDEX(Labels!B:B, MATCH(Summary!$A145, Labels!$A:$A, 0)) = 0, "", INDEX(Labels!B:B, MATCH(Summary!$A145, Labels!$A:$A, 0)))</f>
        <v>{Casing Soil String}</v>
      </c>
      <c r="Q145" s="35" t="str">
        <f>IF(INDEX(Labels!C:C, MATCH(Summary!$A145, Labels!$A:$A, 0)) = 0, "", INDEX(Labels!C:C, MATCH(Summary!$A145, Labels!$A:$A, 0)))</f>
        <v>{Casing 13 3/8in}</v>
      </c>
      <c r="R145" s="33" t="str">
        <f>IF(INDEX(Labels!D:D, MATCH(Summary!$A145, Labels!$A:$A, 0)) = 0, "", INDEX(Labels!D:D, MATCH(Summary!$A145, Labels!$A:$A, 0)))</f>
        <v/>
      </c>
      <c r="S145" s="35" t="str">
        <f>IF(INDEX(Labels!E:E, MATCH(Summary!$A145, Labels!$A:$A, 0)) = 0, "", INDEX(Labels!E:E, MATCH(Summary!$A145, Labels!$A:$A, 0)))</f>
        <v/>
      </c>
      <c r="T145" s="33" t="str">
        <f>IF(INDEX(Labels!F:F, MATCH(Summary!$A145, Labels!$A:$A, 0)) = 0, "", INDEX(Labels!F:F, MATCH(Summary!$A145, Labels!$A:$A, 0)))</f>
        <v/>
      </c>
      <c r="U145" s="35" t="str">
        <f>IF(INDEX(Labels!G:G, MATCH(Summary!$A145, Labels!$A:$A, 0)) = 0, "", INDEX(Labels!G:G, MATCH(Summary!$A145, Labels!$A:$A, 0)))</f>
        <v/>
      </c>
      <c r="V145" s="62" t="str">
        <f>IF(INDEX(Labels!H:H, MATCH(Summary!$A145, Labels!$A:$A, 0)) = 0, "", INDEX(Labels!H:H, MATCH(Summary!$A145, Labels!$A:$A, 0)))</f>
        <v/>
      </c>
      <c r="W145" t="str">
        <f>IF(INDEX(Labels!I:I, MATCH(Summary!$A145, Labels!$A:$A, 0)) = 0, "", INDEX(Labels!I:I, MATCH(Summary!$A145, Labels!$A:$A, 0)))</f>
        <v/>
      </c>
      <c r="X145" t="str">
        <f>IF(INDEX(Labels!J:J, MATCH(Summary!$A145, Labels!$A:$A, 0)) = 0, "", INDEX(Labels!J:J, MATCH(Summary!$A145, Labels!$A:$A, 0)))</f>
        <v/>
      </c>
    </row>
    <row r="146" spans="1:24" x14ac:dyDescent="0.2">
      <c r="A146" s="33">
        <f>Labels!A147</f>
        <v>140</v>
      </c>
      <c r="B146" s="34">
        <f>INDEX(EchoData!B:B, MATCH(Summary!$A146, EchoData!$A:$A, 0))</f>
        <v>142</v>
      </c>
      <c r="C146" s="35">
        <f>INDEX(EchoData!C:C, MATCH(Summary!$A146, EchoData!$A:$A, 0))</f>
        <v>143</v>
      </c>
      <c r="D146" s="42">
        <f>INDEX(Displacements!B:B, MATCH(Summary!$B146, Displacements!$A:$A, 0))</f>
        <v>-42</v>
      </c>
      <c r="E146" s="43">
        <f>INDEX(Displacements!C:C, MATCH(Summary!$B146, Displacements!$A:$A, 0))</f>
        <v>0</v>
      </c>
      <c r="F146" s="44">
        <f>INDEX(Displacements!D:D, MATCH(Summary!$B146, Displacements!$A:$A, 0))</f>
        <v>0</v>
      </c>
      <c r="G146" s="42">
        <f>INDEX(Displacements!B:B, MATCH(Summary!$C146, Displacements!$A:$A, 0))</f>
        <v>-41.5</v>
      </c>
      <c r="H146" s="43">
        <f>INDEX(Displacements!C:C, MATCH(Summary!$C146, Displacements!$A:$A, 0))</f>
        <v>0</v>
      </c>
      <c r="I146" s="44">
        <f>INDEX(Displacements!D:D, MATCH(Summary!$C146, Displacements!$A:$A, 0))</f>
        <v>0</v>
      </c>
      <c r="J146" s="42">
        <f t="shared" si="4"/>
        <v>0.5</v>
      </c>
      <c r="K146" s="49">
        <f t="shared" si="5"/>
        <v>1</v>
      </c>
      <c r="L146" s="54">
        <f>INDEX('Forces+Stresses'!C:C, MATCH(Summary!$A146, 'Forces+Stresses'!$A:$A, 0))</f>
        <v>11.27</v>
      </c>
      <c r="M146" s="55">
        <f>INDEX('Forces+Stresses'!D:D, MATCH(Summary!$A146, 'Forces+Stresses'!$A:$A, 0))</f>
        <v>11.27</v>
      </c>
      <c r="N146" s="55">
        <f>IFERROR(INDEX('Forces+Stresses'!Q:Q, MATCH(Summary!$A146, 'Forces+Stresses'!$A:$A, 0)), INDEX(Flexjoints!D:D, MATCH(Summary!$A146, Flexjoints!$A:$A, 0)))</f>
        <v>1.3640000000000001E-11</v>
      </c>
      <c r="O146" s="56">
        <f>IFERROR(INDEX('Forces+Stresses'!R:R, MATCH(Summary!$A146, 'Forces+Stresses'!$A:$A, 0)), INDEX(Flexjoints!E:E, MATCH(Summary!$A146, Flexjoints!$A:$A, 0)))</f>
        <v>4.7440000000000004E-10</v>
      </c>
      <c r="P146" s="33" t="str">
        <f>IF(INDEX(Labels!B:B, MATCH(Summary!$A146, Labels!$A:$A, 0)) = 0, "", INDEX(Labels!B:B, MATCH(Summary!$A146, Labels!$A:$A, 0)))</f>
        <v>{Casing Soil String}</v>
      </c>
      <c r="Q146" s="35" t="str">
        <f>IF(INDEX(Labels!C:C, MATCH(Summary!$A146, Labels!$A:$A, 0)) = 0, "", INDEX(Labels!C:C, MATCH(Summary!$A146, Labels!$A:$A, 0)))</f>
        <v>{Casing 13 3/8in}</v>
      </c>
      <c r="R146" s="33" t="str">
        <f>IF(INDEX(Labels!D:D, MATCH(Summary!$A146, Labels!$A:$A, 0)) = 0, "", INDEX(Labels!D:D, MATCH(Summary!$A146, Labels!$A:$A, 0)))</f>
        <v/>
      </c>
      <c r="S146" s="35" t="str">
        <f>IF(INDEX(Labels!E:E, MATCH(Summary!$A146, Labels!$A:$A, 0)) = 0, "", INDEX(Labels!E:E, MATCH(Summary!$A146, Labels!$A:$A, 0)))</f>
        <v/>
      </c>
      <c r="T146" s="33" t="str">
        <f>IF(INDEX(Labels!F:F, MATCH(Summary!$A146, Labels!$A:$A, 0)) = 0, "", INDEX(Labels!F:F, MATCH(Summary!$A146, Labels!$A:$A, 0)))</f>
        <v/>
      </c>
      <c r="U146" s="35" t="str">
        <f>IF(INDEX(Labels!G:G, MATCH(Summary!$A146, Labels!$A:$A, 0)) = 0, "", INDEX(Labels!G:G, MATCH(Summary!$A146, Labels!$A:$A, 0)))</f>
        <v/>
      </c>
      <c r="V146" s="62" t="str">
        <f>IF(INDEX(Labels!H:H, MATCH(Summary!$A146, Labels!$A:$A, 0)) = 0, "", INDEX(Labels!H:H, MATCH(Summary!$A146, Labels!$A:$A, 0)))</f>
        <v/>
      </c>
      <c r="W146" t="str">
        <f>IF(INDEX(Labels!I:I, MATCH(Summary!$A146, Labels!$A:$A, 0)) = 0, "", INDEX(Labels!I:I, MATCH(Summary!$A146, Labels!$A:$A, 0)))</f>
        <v/>
      </c>
      <c r="X146" t="str">
        <f>IF(INDEX(Labels!J:J, MATCH(Summary!$A146, Labels!$A:$A, 0)) = 0, "", INDEX(Labels!J:J, MATCH(Summary!$A146, Labels!$A:$A, 0)))</f>
        <v/>
      </c>
    </row>
    <row r="147" spans="1:24" x14ac:dyDescent="0.2">
      <c r="A147" s="33">
        <f>Labels!A148</f>
        <v>141</v>
      </c>
      <c r="B147" s="34">
        <f>INDEX(EchoData!B:B, MATCH(Summary!$A147, EchoData!$A:$A, 0))</f>
        <v>143</v>
      </c>
      <c r="C147" s="35">
        <f>INDEX(EchoData!C:C, MATCH(Summary!$A147, EchoData!$A:$A, 0))</f>
        <v>144</v>
      </c>
      <c r="D147" s="42">
        <f>INDEX(Displacements!B:B, MATCH(Summary!$B147, Displacements!$A:$A, 0))</f>
        <v>-41.5</v>
      </c>
      <c r="E147" s="43">
        <f>INDEX(Displacements!C:C, MATCH(Summary!$B147, Displacements!$A:$A, 0))</f>
        <v>0</v>
      </c>
      <c r="F147" s="44">
        <f>INDEX(Displacements!D:D, MATCH(Summary!$B147, Displacements!$A:$A, 0))</f>
        <v>0</v>
      </c>
      <c r="G147" s="42">
        <f>INDEX(Displacements!B:B, MATCH(Summary!$C147, Displacements!$A:$A, 0))</f>
        <v>-41</v>
      </c>
      <c r="H147" s="43">
        <f>INDEX(Displacements!C:C, MATCH(Summary!$C147, Displacements!$A:$A, 0))</f>
        <v>0</v>
      </c>
      <c r="I147" s="44">
        <f>INDEX(Displacements!D:D, MATCH(Summary!$C147, Displacements!$A:$A, 0))</f>
        <v>0</v>
      </c>
      <c r="J147" s="42">
        <f t="shared" si="4"/>
        <v>0.5</v>
      </c>
      <c r="K147" s="49">
        <f t="shared" si="5"/>
        <v>1</v>
      </c>
      <c r="L147" s="54">
        <f>INDEX('Forces+Stresses'!C:C, MATCH(Summary!$A147, 'Forces+Stresses'!$A:$A, 0))</f>
        <v>11.97</v>
      </c>
      <c r="M147" s="55">
        <f>INDEX('Forces+Stresses'!D:D, MATCH(Summary!$A147, 'Forces+Stresses'!$A:$A, 0))</f>
        <v>11.97</v>
      </c>
      <c r="N147" s="55">
        <f>IFERROR(INDEX('Forces+Stresses'!Q:Q, MATCH(Summary!$A147, 'Forces+Stresses'!$A:$A, 0)), INDEX(Flexjoints!D:D, MATCH(Summary!$A147, Flexjoints!$A:$A, 0)))</f>
        <v>1.5379999999999999E-11</v>
      </c>
      <c r="O147" s="56">
        <f>IFERROR(INDEX('Forces+Stresses'!R:R, MATCH(Summary!$A147, 'Forces+Stresses'!$A:$A, 0)), INDEX(Flexjoints!E:E, MATCH(Summary!$A147, Flexjoints!$A:$A, 0)))</f>
        <v>5.3670000000000002E-10</v>
      </c>
      <c r="P147" s="33" t="str">
        <f>IF(INDEX(Labels!B:B, MATCH(Summary!$A147, Labels!$A:$A, 0)) = 0, "", INDEX(Labels!B:B, MATCH(Summary!$A147, Labels!$A:$A, 0)))</f>
        <v>{Casing Soil String}</v>
      </c>
      <c r="Q147" s="35" t="str">
        <f>IF(INDEX(Labels!C:C, MATCH(Summary!$A147, Labels!$A:$A, 0)) = 0, "", INDEX(Labels!C:C, MATCH(Summary!$A147, Labels!$A:$A, 0)))</f>
        <v>{Casing 13 3/8in}</v>
      </c>
      <c r="R147" s="33" t="str">
        <f>IF(INDEX(Labels!D:D, MATCH(Summary!$A147, Labels!$A:$A, 0)) = 0, "", INDEX(Labels!D:D, MATCH(Summary!$A147, Labels!$A:$A, 0)))</f>
        <v/>
      </c>
      <c r="S147" s="35" t="str">
        <f>IF(INDEX(Labels!E:E, MATCH(Summary!$A147, Labels!$A:$A, 0)) = 0, "", INDEX(Labels!E:E, MATCH(Summary!$A147, Labels!$A:$A, 0)))</f>
        <v/>
      </c>
      <c r="T147" s="33" t="str">
        <f>IF(INDEX(Labels!F:F, MATCH(Summary!$A147, Labels!$A:$A, 0)) = 0, "", INDEX(Labels!F:F, MATCH(Summary!$A147, Labels!$A:$A, 0)))</f>
        <v/>
      </c>
      <c r="U147" s="35" t="str">
        <f>IF(INDEX(Labels!G:G, MATCH(Summary!$A147, Labels!$A:$A, 0)) = 0, "", INDEX(Labels!G:G, MATCH(Summary!$A147, Labels!$A:$A, 0)))</f>
        <v/>
      </c>
      <c r="V147" s="62" t="str">
        <f>IF(INDEX(Labels!H:H, MATCH(Summary!$A147, Labels!$A:$A, 0)) = 0, "", INDEX(Labels!H:H, MATCH(Summary!$A147, Labels!$A:$A, 0)))</f>
        <v/>
      </c>
      <c r="W147" t="str">
        <f>IF(INDEX(Labels!I:I, MATCH(Summary!$A147, Labels!$A:$A, 0)) = 0, "", INDEX(Labels!I:I, MATCH(Summary!$A147, Labels!$A:$A, 0)))</f>
        <v/>
      </c>
      <c r="X147" t="str">
        <f>IF(INDEX(Labels!J:J, MATCH(Summary!$A147, Labels!$A:$A, 0)) = 0, "", INDEX(Labels!J:J, MATCH(Summary!$A147, Labels!$A:$A, 0)))</f>
        <v/>
      </c>
    </row>
    <row r="148" spans="1:24" x14ac:dyDescent="0.2">
      <c r="A148" s="33">
        <f>Labels!A149</f>
        <v>142</v>
      </c>
      <c r="B148" s="34">
        <f>INDEX(EchoData!B:B, MATCH(Summary!$A148, EchoData!$A:$A, 0))</f>
        <v>144</v>
      </c>
      <c r="C148" s="35">
        <f>INDEX(EchoData!C:C, MATCH(Summary!$A148, EchoData!$A:$A, 0))</f>
        <v>145</v>
      </c>
      <c r="D148" s="42">
        <f>INDEX(Displacements!B:B, MATCH(Summary!$B148, Displacements!$A:$A, 0))</f>
        <v>-41</v>
      </c>
      <c r="E148" s="43">
        <f>INDEX(Displacements!C:C, MATCH(Summary!$B148, Displacements!$A:$A, 0))</f>
        <v>0</v>
      </c>
      <c r="F148" s="44">
        <f>INDEX(Displacements!D:D, MATCH(Summary!$B148, Displacements!$A:$A, 0))</f>
        <v>0</v>
      </c>
      <c r="G148" s="42">
        <f>INDEX(Displacements!B:B, MATCH(Summary!$C148, Displacements!$A:$A, 0))</f>
        <v>-40.5</v>
      </c>
      <c r="H148" s="43">
        <f>INDEX(Displacements!C:C, MATCH(Summary!$C148, Displacements!$A:$A, 0))</f>
        <v>0</v>
      </c>
      <c r="I148" s="44">
        <f>INDEX(Displacements!D:D, MATCH(Summary!$C148, Displacements!$A:$A, 0))</f>
        <v>0</v>
      </c>
      <c r="J148" s="42">
        <f t="shared" si="4"/>
        <v>0.5</v>
      </c>
      <c r="K148" s="49">
        <f t="shared" si="5"/>
        <v>1</v>
      </c>
      <c r="L148" s="54">
        <f>INDEX('Forces+Stresses'!C:C, MATCH(Summary!$A148, 'Forces+Stresses'!$A:$A, 0))</f>
        <v>12.67</v>
      </c>
      <c r="M148" s="55">
        <f>INDEX('Forces+Stresses'!D:D, MATCH(Summary!$A148, 'Forces+Stresses'!$A:$A, 0))</f>
        <v>12.67</v>
      </c>
      <c r="N148" s="55">
        <f>IFERROR(INDEX('Forces+Stresses'!Q:Q, MATCH(Summary!$A148, 'Forces+Stresses'!$A:$A, 0)), INDEX(Flexjoints!D:D, MATCH(Summary!$A148, Flexjoints!$A:$A, 0)))</f>
        <v>1.711E-11</v>
      </c>
      <c r="O148" s="56">
        <f>IFERROR(INDEX('Forces+Stresses'!R:R, MATCH(Summary!$A148, 'Forces+Stresses'!$A:$A, 0)), INDEX(Flexjoints!E:E, MATCH(Summary!$A148, Flexjoints!$A:$A, 0)))</f>
        <v>5.9940000000000002E-10</v>
      </c>
      <c r="P148" s="33" t="str">
        <f>IF(INDEX(Labels!B:B, MATCH(Summary!$A148, Labels!$A:$A, 0)) = 0, "", INDEX(Labels!B:B, MATCH(Summary!$A148, Labels!$A:$A, 0)))</f>
        <v>{Casing Soil String}</v>
      </c>
      <c r="Q148" s="35" t="str">
        <f>IF(INDEX(Labels!C:C, MATCH(Summary!$A148, Labels!$A:$A, 0)) = 0, "", INDEX(Labels!C:C, MATCH(Summary!$A148, Labels!$A:$A, 0)))</f>
        <v>{Casing 13 3/8in}</v>
      </c>
      <c r="R148" s="33" t="str">
        <f>IF(INDEX(Labels!D:D, MATCH(Summary!$A148, Labels!$A:$A, 0)) = 0, "", INDEX(Labels!D:D, MATCH(Summary!$A148, Labels!$A:$A, 0)))</f>
        <v/>
      </c>
      <c r="S148" s="35" t="str">
        <f>IF(INDEX(Labels!E:E, MATCH(Summary!$A148, Labels!$A:$A, 0)) = 0, "", INDEX(Labels!E:E, MATCH(Summary!$A148, Labels!$A:$A, 0)))</f>
        <v/>
      </c>
      <c r="T148" s="33" t="str">
        <f>IF(INDEX(Labels!F:F, MATCH(Summary!$A148, Labels!$A:$A, 0)) = 0, "", INDEX(Labels!F:F, MATCH(Summary!$A148, Labels!$A:$A, 0)))</f>
        <v/>
      </c>
      <c r="U148" s="35" t="str">
        <f>IF(INDEX(Labels!G:G, MATCH(Summary!$A148, Labels!$A:$A, 0)) = 0, "", INDEX(Labels!G:G, MATCH(Summary!$A148, Labels!$A:$A, 0)))</f>
        <v/>
      </c>
      <c r="V148" s="62" t="str">
        <f>IF(INDEX(Labels!H:H, MATCH(Summary!$A148, Labels!$A:$A, 0)) = 0, "", INDEX(Labels!H:H, MATCH(Summary!$A148, Labels!$A:$A, 0)))</f>
        <v/>
      </c>
      <c r="W148" t="str">
        <f>IF(INDEX(Labels!I:I, MATCH(Summary!$A148, Labels!$A:$A, 0)) = 0, "", INDEX(Labels!I:I, MATCH(Summary!$A148, Labels!$A:$A, 0)))</f>
        <v/>
      </c>
      <c r="X148" t="str">
        <f>IF(INDEX(Labels!J:J, MATCH(Summary!$A148, Labels!$A:$A, 0)) = 0, "", INDEX(Labels!J:J, MATCH(Summary!$A148, Labels!$A:$A, 0)))</f>
        <v/>
      </c>
    </row>
    <row r="149" spans="1:24" x14ac:dyDescent="0.2">
      <c r="A149" s="33">
        <f>Labels!A150</f>
        <v>143</v>
      </c>
      <c r="B149" s="34">
        <f>INDEX(EchoData!B:B, MATCH(Summary!$A149, EchoData!$A:$A, 0))</f>
        <v>145</v>
      </c>
      <c r="C149" s="35">
        <f>INDEX(EchoData!C:C, MATCH(Summary!$A149, EchoData!$A:$A, 0))</f>
        <v>146</v>
      </c>
      <c r="D149" s="42">
        <f>INDEX(Displacements!B:B, MATCH(Summary!$B149, Displacements!$A:$A, 0))</f>
        <v>-40.5</v>
      </c>
      <c r="E149" s="43">
        <f>INDEX(Displacements!C:C, MATCH(Summary!$B149, Displacements!$A:$A, 0))</f>
        <v>0</v>
      </c>
      <c r="F149" s="44">
        <f>INDEX(Displacements!D:D, MATCH(Summary!$B149, Displacements!$A:$A, 0))</f>
        <v>0</v>
      </c>
      <c r="G149" s="42">
        <f>INDEX(Displacements!B:B, MATCH(Summary!$C149, Displacements!$A:$A, 0))</f>
        <v>-40</v>
      </c>
      <c r="H149" s="43">
        <f>INDEX(Displacements!C:C, MATCH(Summary!$C149, Displacements!$A:$A, 0))</f>
        <v>0</v>
      </c>
      <c r="I149" s="44">
        <f>INDEX(Displacements!D:D, MATCH(Summary!$C149, Displacements!$A:$A, 0))</f>
        <v>0</v>
      </c>
      <c r="J149" s="42">
        <f t="shared" si="4"/>
        <v>0.5</v>
      </c>
      <c r="K149" s="49">
        <f t="shared" si="5"/>
        <v>1</v>
      </c>
      <c r="L149" s="54">
        <f>INDEX('Forces+Stresses'!C:C, MATCH(Summary!$A149, 'Forces+Stresses'!$A:$A, 0))</f>
        <v>13.38</v>
      </c>
      <c r="M149" s="55">
        <f>INDEX('Forces+Stresses'!D:D, MATCH(Summary!$A149, 'Forces+Stresses'!$A:$A, 0))</f>
        <v>13.38</v>
      </c>
      <c r="N149" s="55">
        <f>IFERROR(INDEX('Forces+Stresses'!Q:Q, MATCH(Summary!$A149, 'Forces+Stresses'!$A:$A, 0)), INDEX(Flexjoints!D:D, MATCH(Summary!$A149, Flexjoints!$A:$A, 0)))</f>
        <v>1.8810000000000001E-11</v>
      </c>
      <c r="O149" s="56">
        <f>IFERROR(INDEX('Forces+Stresses'!R:R, MATCH(Summary!$A149, 'Forces+Stresses'!$A:$A, 0)), INDEX(Flexjoints!E:E, MATCH(Summary!$A149, Flexjoints!$A:$A, 0)))</f>
        <v>6.6099999999999999E-10</v>
      </c>
      <c r="P149" s="33" t="str">
        <f>IF(INDEX(Labels!B:B, MATCH(Summary!$A149, Labels!$A:$A, 0)) = 0, "", INDEX(Labels!B:B, MATCH(Summary!$A149, Labels!$A:$A, 0)))</f>
        <v>{Casing Soil String}</v>
      </c>
      <c r="Q149" s="35" t="str">
        <f>IF(INDEX(Labels!C:C, MATCH(Summary!$A149, Labels!$A:$A, 0)) = 0, "", INDEX(Labels!C:C, MATCH(Summary!$A149, Labels!$A:$A, 0)))</f>
        <v>{Casing 13 3/8in}</v>
      </c>
      <c r="R149" s="33" t="str">
        <f>IF(INDEX(Labels!D:D, MATCH(Summary!$A149, Labels!$A:$A, 0)) = 0, "", INDEX(Labels!D:D, MATCH(Summary!$A149, Labels!$A:$A, 0)))</f>
        <v/>
      </c>
      <c r="S149" s="35" t="str">
        <f>IF(INDEX(Labels!E:E, MATCH(Summary!$A149, Labels!$A:$A, 0)) = 0, "", INDEX(Labels!E:E, MATCH(Summary!$A149, Labels!$A:$A, 0)))</f>
        <v/>
      </c>
      <c r="T149" s="33" t="str">
        <f>IF(INDEX(Labels!F:F, MATCH(Summary!$A149, Labels!$A:$A, 0)) = 0, "", INDEX(Labels!F:F, MATCH(Summary!$A149, Labels!$A:$A, 0)))</f>
        <v/>
      </c>
      <c r="U149" s="35" t="str">
        <f>IF(INDEX(Labels!G:G, MATCH(Summary!$A149, Labels!$A:$A, 0)) = 0, "", INDEX(Labels!G:G, MATCH(Summary!$A149, Labels!$A:$A, 0)))</f>
        <v/>
      </c>
      <c r="V149" s="62" t="str">
        <f>IF(INDEX(Labels!H:H, MATCH(Summary!$A149, Labels!$A:$A, 0)) = 0, "", INDEX(Labels!H:H, MATCH(Summary!$A149, Labels!$A:$A, 0)))</f>
        <v/>
      </c>
      <c r="W149" t="str">
        <f>IF(INDEX(Labels!I:I, MATCH(Summary!$A149, Labels!$A:$A, 0)) = 0, "", INDEX(Labels!I:I, MATCH(Summary!$A149, Labels!$A:$A, 0)))</f>
        <v/>
      </c>
      <c r="X149" t="str">
        <f>IF(INDEX(Labels!J:J, MATCH(Summary!$A149, Labels!$A:$A, 0)) = 0, "", INDEX(Labels!J:J, MATCH(Summary!$A149, Labels!$A:$A, 0)))</f>
        <v/>
      </c>
    </row>
    <row r="150" spans="1:24" x14ac:dyDescent="0.2">
      <c r="A150" s="33">
        <f>Labels!A151</f>
        <v>144</v>
      </c>
      <c r="B150" s="34">
        <f>INDEX(EchoData!B:B, MATCH(Summary!$A150, EchoData!$A:$A, 0))</f>
        <v>146</v>
      </c>
      <c r="C150" s="35">
        <f>INDEX(EchoData!C:C, MATCH(Summary!$A150, EchoData!$A:$A, 0))</f>
        <v>147</v>
      </c>
      <c r="D150" s="42">
        <f>INDEX(Displacements!B:B, MATCH(Summary!$B150, Displacements!$A:$A, 0))</f>
        <v>-40</v>
      </c>
      <c r="E150" s="43">
        <f>INDEX(Displacements!C:C, MATCH(Summary!$B150, Displacements!$A:$A, 0))</f>
        <v>0</v>
      </c>
      <c r="F150" s="44">
        <f>INDEX(Displacements!D:D, MATCH(Summary!$B150, Displacements!$A:$A, 0))</f>
        <v>0</v>
      </c>
      <c r="G150" s="42">
        <f>INDEX(Displacements!B:B, MATCH(Summary!$C150, Displacements!$A:$A, 0))</f>
        <v>-39.5</v>
      </c>
      <c r="H150" s="43">
        <f>INDEX(Displacements!C:C, MATCH(Summary!$C150, Displacements!$A:$A, 0))</f>
        <v>0</v>
      </c>
      <c r="I150" s="44">
        <f>INDEX(Displacements!D:D, MATCH(Summary!$C150, Displacements!$A:$A, 0))</f>
        <v>0</v>
      </c>
      <c r="J150" s="42">
        <f t="shared" si="4"/>
        <v>0.5</v>
      </c>
      <c r="K150" s="49">
        <f t="shared" si="5"/>
        <v>1</v>
      </c>
      <c r="L150" s="54">
        <f>INDEX('Forces+Stresses'!C:C, MATCH(Summary!$A150, 'Forces+Stresses'!$A:$A, 0))</f>
        <v>14.08</v>
      </c>
      <c r="M150" s="55">
        <f>INDEX('Forces+Stresses'!D:D, MATCH(Summary!$A150, 'Forces+Stresses'!$A:$A, 0))</f>
        <v>14.08</v>
      </c>
      <c r="N150" s="55">
        <f>IFERROR(INDEX('Forces+Stresses'!Q:Q, MATCH(Summary!$A150, 'Forces+Stresses'!$A:$A, 0)), INDEX(Flexjoints!D:D, MATCH(Summary!$A150, Flexjoints!$A:$A, 0)))</f>
        <v>2.0409999999999997E-11</v>
      </c>
      <c r="O150" s="56">
        <f>IFERROR(INDEX('Forces+Stresses'!R:R, MATCH(Summary!$A150, 'Forces+Stresses'!$A:$A, 0)), INDEX(Flexjoints!E:E, MATCH(Summary!$A150, Flexjoints!$A:$A, 0)))</f>
        <v>7.1970000000000001E-10</v>
      </c>
      <c r="P150" s="33" t="str">
        <f>IF(INDEX(Labels!B:B, MATCH(Summary!$A150, Labels!$A:$A, 0)) = 0, "", INDEX(Labels!B:B, MATCH(Summary!$A150, Labels!$A:$A, 0)))</f>
        <v>{Casing Soil String}</v>
      </c>
      <c r="Q150" s="35" t="str">
        <f>IF(INDEX(Labels!C:C, MATCH(Summary!$A150, Labels!$A:$A, 0)) = 0, "", INDEX(Labels!C:C, MATCH(Summary!$A150, Labels!$A:$A, 0)))</f>
        <v>{Casing 13 3/8in}</v>
      </c>
      <c r="R150" s="33" t="str">
        <f>IF(INDEX(Labels!D:D, MATCH(Summary!$A150, Labels!$A:$A, 0)) = 0, "", INDEX(Labels!D:D, MATCH(Summary!$A150, Labels!$A:$A, 0)))</f>
        <v/>
      </c>
      <c r="S150" s="35" t="str">
        <f>IF(INDEX(Labels!E:E, MATCH(Summary!$A150, Labels!$A:$A, 0)) = 0, "", INDEX(Labels!E:E, MATCH(Summary!$A150, Labels!$A:$A, 0)))</f>
        <v/>
      </c>
      <c r="T150" s="33" t="str">
        <f>IF(INDEX(Labels!F:F, MATCH(Summary!$A150, Labels!$A:$A, 0)) = 0, "", INDEX(Labels!F:F, MATCH(Summary!$A150, Labels!$A:$A, 0)))</f>
        <v/>
      </c>
      <c r="U150" s="35" t="str">
        <f>IF(INDEX(Labels!G:G, MATCH(Summary!$A150, Labels!$A:$A, 0)) = 0, "", INDEX(Labels!G:G, MATCH(Summary!$A150, Labels!$A:$A, 0)))</f>
        <v/>
      </c>
      <c r="V150" s="62" t="str">
        <f>IF(INDEX(Labels!H:H, MATCH(Summary!$A150, Labels!$A:$A, 0)) = 0, "", INDEX(Labels!H:H, MATCH(Summary!$A150, Labels!$A:$A, 0)))</f>
        <v/>
      </c>
      <c r="W150" t="str">
        <f>IF(INDEX(Labels!I:I, MATCH(Summary!$A150, Labels!$A:$A, 0)) = 0, "", INDEX(Labels!I:I, MATCH(Summary!$A150, Labels!$A:$A, 0)))</f>
        <v/>
      </c>
      <c r="X150" t="str">
        <f>IF(INDEX(Labels!J:J, MATCH(Summary!$A150, Labels!$A:$A, 0)) = 0, "", INDEX(Labels!J:J, MATCH(Summary!$A150, Labels!$A:$A, 0)))</f>
        <v/>
      </c>
    </row>
    <row r="151" spans="1:24" x14ac:dyDescent="0.2">
      <c r="A151" s="33">
        <f>Labels!A152</f>
        <v>145</v>
      </c>
      <c r="B151" s="34">
        <f>INDEX(EchoData!B:B, MATCH(Summary!$A151, EchoData!$A:$A, 0))</f>
        <v>147</v>
      </c>
      <c r="C151" s="35">
        <f>INDEX(EchoData!C:C, MATCH(Summary!$A151, EchoData!$A:$A, 0))</f>
        <v>148</v>
      </c>
      <c r="D151" s="42">
        <f>INDEX(Displacements!B:B, MATCH(Summary!$B151, Displacements!$A:$A, 0))</f>
        <v>-39.5</v>
      </c>
      <c r="E151" s="43">
        <f>INDEX(Displacements!C:C, MATCH(Summary!$B151, Displacements!$A:$A, 0))</f>
        <v>0</v>
      </c>
      <c r="F151" s="44">
        <f>INDEX(Displacements!D:D, MATCH(Summary!$B151, Displacements!$A:$A, 0))</f>
        <v>0</v>
      </c>
      <c r="G151" s="42">
        <f>INDEX(Displacements!B:B, MATCH(Summary!$C151, Displacements!$A:$A, 0))</f>
        <v>-39</v>
      </c>
      <c r="H151" s="43">
        <f>INDEX(Displacements!C:C, MATCH(Summary!$C151, Displacements!$A:$A, 0))</f>
        <v>0</v>
      </c>
      <c r="I151" s="44">
        <f>INDEX(Displacements!D:D, MATCH(Summary!$C151, Displacements!$A:$A, 0))</f>
        <v>0</v>
      </c>
      <c r="J151" s="42">
        <f t="shared" si="4"/>
        <v>0.5</v>
      </c>
      <c r="K151" s="49">
        <f t="shared" si="5"/>
        <v>1</v>
      </c>
      <c r="L151" s="54">
        <f>INDEX('Forces+Stresses'!C:C, MATCH(Summary!$A151, 'Forces+Stresses'!$A:$A, 0))</f>
        <v>14.79</v>
      </c>
      <c r="M151" s="55">
        <f>INDEX('Forces+Stresses'!D:D, MATCH(Summary!$A151, 'Forces+Stresses'!$A:$A, 0))</f>
        <v>14.79</v>
      </c>
      <c r="N151" s="55">
        <f>IFERROR(INDEX('Forces+Stresses'!Q:Q, MATCH(Summary!$A151, 'Forces+Stresses'!$A:$A, 0)), INDEX(Flexjoints!D:D, MATCH(Summary!$A151, Flexjoints!$A:$A, 0)))</f>
        <v>2.1859999999999999E-11</v>
      </c>
      <c r="O151" s="56">
        <f>IFERROR(INDEX('Forces+Stresses'!R:R, MATCH(Summary!$A151, 'Forces+Stresses'!$A:$A, 0)), INDEX(Flexjoints!E:E, MATCH(Summary!$A151, Flexjoints!$A:$A, 0)))</f>
        <v>7.7339999999999993E-10</v>
      </c>
      <c r="P151" s="33" t="str">
        <f>IF(INDEX(Labels!B:B, MATCH(Summary!$A151, Labels!$A:$A, 0)) = 0, "", INDEX(Labels!B:B, MATCH(Summary!$A151, Labels!$A:$A, 0)))</f>
        <v>{Casing Soil String}</v>
      </c>
      <c r="Q151" s="35" t="str">
        <f>IF(INDEX(Labels!C:C, MATCH(Summary!$A151, Labels!$A:$A, 0)) = 0, "", INDEX(Labels!C:C, MATCH(Summary!$A151, Labels!$A:$A, 0)))</f>
        <v>{Casing 13 3/8in}</v>
      </c>
      <c r="R151" s="33" t="str">
        <f>IF(INDEX(Labels!D:D, MATCH(Summary!$A151, Labels!$A:$A, 0)) = 0, "", INDEX(Labels!D:D, MATCH(Summary!$A151, Labels!$A:$A, 0)))</f>
        <v/>
      </c>
      <c r="S151" s="35" t="str">
        <f>IF(INDEX(Labels!E:E, MATCH(Summary!$A151, Labels!$A:$A, 0)) = 0, "", INDEX(Labels!E:E, MATCH(Summary!$A151, Labels!$A:$A, 0)))</f>
        <v/>
      </c>
      <c r="T151" s="33" t="str">
        <f>IF(INDEX(Labels!F:F, MATCH(Summary!$A151, Labels!$A:$A, 0)) = 0, "", INDEX(Labels!F:F, MATCH(Summary!$A151, Labels!$A:$A, 0)))</f>
        <v/>
      </c>
      <c r="U151" s="35" t="str">
        <f>IF(INDEX(Labels!G:G, MATCH(Summary!$A151, Labels!$A:$A, 0)) = 0, "", INDEX(Labels!G:G, MATCH(Summary!$A151, Labels!$A:$A, 0)))</f>
        <v/>
      </c>
      <c r="V151" s="62" t="str">
        <f>IF(INDEX(Labels!H:H, MATCH(Summary!$A151, Labels!$A:$A, 0)) = 0, "", INDEX(Labels!H:H, MATCH(Summary!$A151, Labels!$A:$A, 0)))</f>
        <v/>
      </c>
      <c r="W151" t="str">
        <f>IF(INDEX(Labels!I:I, MATCH(Summary!$A151, Labels!$A:$A, 0)) = 0, "", INDEX(Labels!I:I, MATCH(Summary!$A151, Labels!$A:$A, 0)))</f>
        <v/>
      </c>
      <c r="X151" t="str">
        <f>IF(INDEX(Labels!J:J, MATCH(Summary!$A151, Labels!$A:$A, 0)) = 0, "", INDEX(Labels!J:J, MATCH(Summary!$A151, Labels!$A:$A, 0)))</f>
        <v/>
      </c>
    </row>
    <row r="152" spans="1:24" x14ac:dyDescent="0.2">
      <c r="A152" s="33">
        <f>Labels!A153</f>
        <v>146</v>
      </c>
      <c r="B152" s="34">
        <f>INDEX(EchoData!B:B, MATCH(Summary!$A152, EchoData!$A:$A, 0))</f>
        <v>148</v>
      </c>
      <c r="C152" s="35">
        <f>INDEX(EchoData!C:C, MATCH(Summary!$A152, EchoData!$A:$A, 0))</f>
        <v>149</v>
      </c>
      <c r="D152" s="42">
        <f>INDEX(Displacements!B:B, MATCH(Summary!$B152, Displacements!$A:$A, 0))</f>
        <v>-39</v>
      </c>
      <c r="E152" s="43">
        <f>INDEX(Displacements!C:C, MATCH(Summary!$B152, Displacements!$A:$A, 0))</f>
        <v>0</v>
      </c>
      <c r="F152" s="44">
        <f>INDEX(Displacements!D:D, MATCH(Summary!$B152, Displacements!$A:$A, 0))</f>
        <v>0</v>
      </c>
      <c r="G152" s="42">
        <f>INDEX(Displacements!B:B, MATCH(Summary!$C152, Displacements!$A:$A, 0))</f>
        <v>-38.5</v>
      </c>
      <c r="H152" s="43">
        <f>INDEX(Displacements!C:C, MATCH(Summary!$C152, Displacements!$A:$A, 0))</f>
        <v>0</v>
      </c>
      <c r="I152" s="44">
        <f>INDEX(Displacements!D:D, MATCH(Summary!$C152, Displacements!$A:$A, 0))</f>
        <v>0</v>
      </c>
      <c r="J152" s="42">
        <f t="shared" si="4"/>
        <v>0.5</v>
      </c>
      <c r="K152" s="49">
        <f t="shared" si="5"/>
        <v>1</v>
      </c>
      <c r="L152" s="54">
        <f>INDEX('Forces+Stresses'!C:C, MATCH(Summary!$A152, 'Forces+Stresses'!$A:$A, 0))</f>
        <v>15.49</v>
      </c>
      <c r="M152" s="55">
        <f>INDEX('Forces+Stresses'!D:D, MATCH(Summary!$A152, 'Forces+Stresses'!$A:$A, 0))</f>
        <v>15.49</v>
      </c>
      <c r="N152" s="55">
        <f>IFERROR(INDEX('Forces+Stresses'!Q:Q, MATCH(Summary!$A152, 'Forces+Stresses'!$A:$A, 0)), INDEX(Flexjoints!D:D, MATCH(Summary!$A152, Flexjoints!$A:$A, 0)))</f>
        <v>2.3059999999999999E-11</v>
      </c>
      <c r="O152" s="56">
        <f>IFERROR(INDEX('Forces+Stresses'!R:R, MATCH(Summary!$A152, 'Forces+Stresses'!$A:$A, 0)), INDEX(Flexjoints!E:E, MATCH(Summary!$A152, Flexjoints!$A:$A, 0)))</f>
        <v>8.1940000000000009E-10</v>
      </c>
      <c r="P152" s="33" t="str">
        <f>IF(INDEX(Labels!B:B, MATCH(Summary!$A152, Labels!$A:$A, 0)) = 0, "", INDEX(Labels!B:B, MATCH(Summary!$A152, Labels!$A:$A, 0)))</f>
        <v>{Casing Soil String}</v>
      </c>
      <c r="Q152" s="35" t="str">
        <f>IF(INDEX(Labels!C:C, MATCH(Summary!$A152, Labels!$A:$A, 0)) = 0, "", INDEX(Labels!C:C, MATCH(Summary!$A152, Labels!$A:$A, 0)))</f>
        <v>{Casing 13 3/8in}</v>
      </c>
      <c r="R152" s="33" t="str">
        <f>IF(INDEX(Labels!D:D, MATCH(Summary!$A152, Labels!$A:$A, 0)) = 0, "", INDEX(Labels!D:D, MATCH(Summary!$A152, Labels!$A:$A, 0)))</f>
        <v/>
      </c>
      <c r="S152" s="35" t="str">
        <f>IF(INDEX(Labels!E:E, MATCH(Summary!$A152, Labels!$A:$A, 0)) = 0, "", INDEX(Labels!E:E, MATCH(Summary!$A152, Labels!$A:$A, 0)))</f>
        <v/>
      </c>
      <c r="T152" s="33" t="str">
        <f>IF(INDEX(Labels!F:F, MATCH(Summary!$A152, Labels!$A:$A, 0)) = 0, "", INDEX(Labels!F:F, MATCH(Summary!$A152, Labels!$A:$A, 0)))</f>
        <v/>
      </c>
      <c r="U152" s="35" t="str">
        <f>IF(INDEX(Labels!G:G, MATCH(Summary!$A152, Labels!$A:$A, 0)) = 0, "", INDEX(Labels!G:G, MATCH(Summary!$A152, Labels!$A:$A, 0)))</f>
        <v/>
      </c>
      <c r="V152" s="62" t="str">
        <f>IF(INDEX(Labels!H:H, MATCH(Summary!$A152, Labels!$A:$A, 0)) = 0, "", INDEX(Labels!H:H, MATCH(Summary!$A152, Labels!$A:$A, 0)))</f>
        <v/>
      </c>
      <c r="W152" t="str">
        <f>IF(INDEX(Labels!I:I, MATCH(Summary!$A152, Labels!$A:$A, 0)) = 0, "", INDEX(Labels!I:I, MATCH(Summary!$A152, Labels!$A:$A, 0)))</f>
        <v/>
      </c>
      <c r="X152" t="str">
        <f>IF(INDEX(Labels!J:J, MATCH(Summary!$A152, Labels!$A:$A, 0)) = 0, "", INDEX(Labels!J:J, MATCH(Summary!$A152, Labels!$A:$A, 0)))</f>
        <v/>
      </c>
    </row>
    <row r="153" spans="1:24" x14ac:dyDescent="0.2">
      <c r="A153" s="33">
        <f>Labels!A154</f>
        <v>147</v>
      </c>
      <c r="B153" s="34">
        <f>INDEX(EchoData!B:B, MATCH(Summary!$A153, EchoData!$A:$A, 0))</f>
        <v>149</v>
      </c>
      <c r="C153" s="35">
        <f>INDEX(EchoData!C:C, MATCH(Summary!$A153, EchoData!$A:$A, 0))</f>
        <v>150</v>
      </c>
      <c r="D153" s="42">
        <f>INDEX(Displacements!B:B, MATCH(Summary!$B153, Displacements!$A:$A, 0))</f>
        <v>-38.5</v>
      </c>
      <c r="E153" s="43">
        <f>INDEX(Displacements!C:C, MATCH(Summary!$B153, Displacements!$A:$A, 0))</f>
        <v>0</v>
      </c>
      <c r="F153" s="44">
        <f>INDEX(Displacements!D:D, MATCH(Summary!$B153, Displacements!$A:$A, 0))</f>
        <v>0</v>
      </c>
      <c r="G153" s="42">
        <f>INDEX(Displacements!B:B, MATCH(Summary!$C153, Displacements!$A:$A, 0))</f>
        <v>-38</v>
      </c>
      <c r="H153" s="43">
        <f>INDEX(Displacements!C:C, MATCH(Summary!$C153, Displacements!$A:$A, 0))</f>
        <v>0</v>
      </c>
      <c r="I153" s="44">
        <f>INDEX(Displacements!D:D, MATCH(Summary!$C153, Displacements!$A:$A, 0))</f>
        <v>0</v>
      </c>
      <c r="J153" s="42">
        <f t="shared" si="4"/>
        <v>0.5</v>
      </c>
      <c r="K153" s="49">
        <f t="shared" si="5"/>
        <v>1</v>
      </c>
      <c r="L153" s="54">
        <f>INDEX('Forces+Stresses'!C:C, MATCH(Summary!$A153, 'Forces+Stresses'!$A:$A, 0))</f>
        <v>16.2</v>
      </c>
      <c r="M153" s="55">
        <f>INDEX('Forces+Stresses'!D:D, MATCH(Summary!$A153, 'Forces+Stresses'!$A:$A, 0))</f>
        <v>16.2</v>
      </c>
      <c r="N153" s="55">
        <f>IFERROR(INDEX('Forces+Stresses'!Q:Q, MATCH(Summary!$A153, 'Forces+Stresses'!$A:$A, 0)), INDEX(Flexjoints!D:D, MATCH(Summary!$A153, Flexjoints!$A:$A, 0)))</f>
        <v>2.3949999999999999E-11</v>
      </c>
      <c r="O153" s="56">
        <f>IFERROR(INDEX('Forces+Stresses'!R:R, MATCH(Summary!$A153, 'Forces+Stresses'!$A:$A, 0)), INDEX(Flexjoints!E:E, MATCH(Summary!$A153, Flexjoints!$A:$A, 0)))</f>
        <v>8.5470000000000006E-10</v>
      </c>
      <c r="P153" s="33" t="str">
        <f>IF(INDEX(Labels!B:B, MATCH(Summary!$A153, Labels!$A:$A, 0)) = 0, "", INDEX(Labels!B:B, MATCH(Summary!$A153, Labels!$A:$A, 0)))</f>
        <v>{Casing Soil String}</v>
      </c>
      <c r="Q153" s="35" t="str">
        <f>IF(INDEX(Labels!C:C, MATCH(Summary!$A153, Labels!$A:$A, 0)) = 0, "", INDEX(Labels!C:C, MATCH(Summary!$A153, Labels!$A:$A, 0)))</f>
        <v>{Casing 13 3/8in}</v>
      </c>
      <c r="R153" s="33" t="str">
        <f>IF(INDEX(Labels!D:D, MATCH(Summary!$A153, Labels!$A:$A, 0)) = 0, "", INDEX(Labels!D:D, MATCH(Summary!$A153, Labels!$A:$A, 0)))</f>
        <v/>
      </c>
      <c r="S153" s="35" t="str">
        <f>IF(INDEX(Labels!E:E, MATCH(Summary!$A153, Labels!$A:$A, 0)) = 0, "", INDEX(Labels!E:E, MATCH(Summary!$A153, Labels!$A:$A, 0)))</f>
        <v/>
      </c>
      <c r="T153" s="33" t="str">
        <f>IF(INDEX(Labels!F:F, MATCH(Summary!$A153, Labels!$A:$A, 0)) = 0, "", INDEX(Labels!F:F, MATCH(Summary!$A153, Labels!$A:$A, 0)))</f>
        <v/>
      </c>
      <c r="U153" s="35" t="str">
        <f>IF(INDEX(Labels!G:G, MATCH(Summary!$A153, Labels!$A:$A, 0)) = 0, "", INDEX(Labels!G:G, MATCH(Summary!$A153, Labels!$A:$A, 0)))</f>
        <v/>
      </c>
      <c r="V153" s="62" t="str">
        <f>IF(INDEX(Labels!H:H, MATCH(Summary!$A153, Labels!$A:$A, 0)) = 0, "", INDEX(Labels!H:H, MATCH(Summary!$A153, Labels!$A:$A, 0)))</f>
        <v/>
      </c>
      <c r="W153" t="str">
        <f>IF(INDEX(Labels!I:I, MATCH(Summary!$A153, Labels!$A:$A, 0)) = 0, "", INDEX(Labels!I:I, MATCH(Summary!$A153, Labels!$A:$A, 0)))</f>
        <v/>
      </c>
      <c r="X153" t="str">
        <f>IF(INDEX(Labels!J:J, MATCH(Summary!$A153, Labels!$A:$A, 0)) = 0, "", INDEX(Labels!J:J, MATCH(Summary!$A153, Labels!$A:$A, 0)))</f>
        <v/>
      </c>
    </row>
    <row r="154" spans="1:24" x14ac:dyDescent="0.2">
      <c r="A154" s="33">
        <f>Labels!A155</f>
        <v>148</v>
      </c>
      <c r="B154" s="34">
        <f>INDEX(EchoData!B:B, MATCH(Summary!$A154, EchoData!$A:$A, 0))</f>
        <v>150</v>
      </c>
      <c r="C154" s="35">
        <f>INDEX(EchoData!C:C, MATCH(Summary!$A154, EchoData!$A:$A, 0))</f>
        <v>151</v>
      </c>
      <c r="D154" s="42">
        <f>INDEX(Displacements!B:B, MATCH(Summary!$B154, Displacements!$A:$A, 0))</f>
        <v>-38</v>
      </c>
      <c r="E154" s="43">
        <f>INDEX(Displacements!C:C, MATCH(Summary!$B154, Displacements!$A:$A, 0))</f>
        <v>0</v>
      </c>
      <c r="F154" s="44">
        <f>INDEX(Displacements!D:D, MATCH(Summary!$B154, Displacements!$A:$A, 0))</f>
        <v>0</v>
      </c>
      <c r="G154" s="42">
        <f>INDEX(Displacements!B:B, MATCH(Summary!$C154, Displacements!$A:$A, 0))</f>
        <v>-37.5</v>
      </c>
      <c r="H154" s="43">
        <f>INDEX(Displacements!C:C, MATCH(Summary!$C154, Displacements!$A:$A, 0))</f>
        <v>0</v>
      </c>
      <c r="I154" s="44">
        <f>INDEX(Displacements!D:D, MATCH(Summary!$C154, Displacements!$A:$A, 0))</f>
        <v>0</v>
      </c>
      <c r="J154" s="42">
        <f t="shared" si="4"/>
        <v>0.5</v>
      </c>
      <c r="K154" s="49">
        <f t="shared" si="5"/>
        <v>1</v>
      </c>
      <c r="L154" s="54">
        <f>INDEX('Forces+Stresses'!C:C, MATCH(Summary!$A154, 'Forces+Stresses'!$A:$A, 0))</f>
        <v>16.899999999999999</v>
      </c>
      <c r="M154" s="55">
        <f>INDEX('Forces+Stresses'!D:D, MATCH(Summary!$A154, 'Forces+Stresses'!$A:$A, 0))</f>
        <v>16.899999999999999</v>
      </c>
      <c r="N154" s="55">
        <f>IFERROR(INDEX('Forces+Stresses'!Q:Q, MATCH(Summary!$A154, 'Forces+Stresses'!$A:$A, 0)), INDEX(Flexjoints!D:D, MATCH(Summary!$A154, Flexjoints!$A:$A, 0)))</f>
        <v>2.4410000000000003E-11</v>
      </c>
      <c r="O154" s="56">
        <f>IFERROR(INDEX('Forces+Stresses'!R:R, MATCH(Summary!$A154, 'Forces+Stresses'!$A:$A, 0)), INDEX(Flexjoints!E:E, MATCH(Summary!$A154, Flexjoints!$A:$A, 0)))</f>
        <v>8.7560000000000006E-10</v>
      </c>
      <c r="P154" s="33" t="str">
        <f>IF(INDEX(Labels!B:B, MATCH(Summary!$A154, Labels!$A:$A, 0)) = 0, "", INDEX(Labels!B:B, MATCH(Summary!$A154, Labels!$A:$A, 0)))</f>
        <v>{Casing Soil String}</v>
      </c>
      <c r="Q154" s="35" t="str">
        <f>IF(INDEX(Labels!C:C, MATCH(Summary!$A154, Labels!$A:$A, 0)) = 0, "", INDEX(Labels!C:C, MATCH(Summary!$A154, Labels!$A:$A, 0)))</f>
        <v>{Casing 13 3/8in}</v>
      </c>
      <c r="R154" s="33" t="str">
        <f>IF(INDEX(Labels!D:D, MATCH(Summary!$A154, Labels!$A:$A, 0)) = 0, "", INDEX(Labels!D:D, MATCH(Summary!$A154, Labels!$A:$A, 0)))</f>
        <v/>
      </c>
      <c r="S154" s="35" t="str">
        <f>IF(INDEX(Labels!E:E, MATCH(Summary!$A154, Labels!$A:$A, 0)) = 0, "", INDEX(Labels!E:E, MATCH(Summary!$A154, Labels!$A:$A, 0)))</f>
        <v/>
      </c>
      <c r="T154" s="33" t="str">
        <f>IF(INDEX(Labels!F:F, MATCH(Summary!$A154, Labels!$A:$A, 0)) = 0, "", INDEX(Labels!F:F, MATCH(Summary!$A154, Labels!$A:$A, 0)))</f>
        <v/>
      </c>
      <c r="U154" s="35" t="str">
        <f>IF(INDEX(Labels!G:G, MATCH(Summary!$A154, Labels!$A:$A, 0)) = 0, "", INDEX(Labels!G:G, MATCH(Summary!$A154, Labels!$A:$A, 0)))</f>
        <v/>
      </c>
      <c r="V154" s="62" t="str">
        <f>IF(INDEX(Labels!H:H, MATCH(Summary!$A154, Labels!$A:$A, 0)) = 0, "", INDEX(Labels!H:H, MATCH(Summary!$A154, Labels!$A:$A, 0)))</f>
        <v/>
      </c>
      <c r="W154" t="str">
        <f>IF(INDEX(Labels!I:I, MATCH(Summary!$A154, Labels!$A:$A, 0)) = 0, "", INDEX(Labels!I:I, MATCH(Summary!$A154, Labels!$A:$A, 0)))</f>
        <v/>
      </c>
      <c r="X154" t="str">
        <f>IF(INDEX(Labels!J:J, MATCH(Summary!$A154, Labels!$A:$A, 0)) = 0, "", INDEX(Labels!J:J, MATCH(Summary!$A154, Labels!$A:$A, 0)))</f>
        <v/>
      </c>
    </row>
    <row r="155" spans="1:24" x14ac:dyDescent="0.2">
      <c r="A155" s="33">
        <f>Labels!A156</f>
        <v>149</v>
      </c>
      <c r="B155" s="34">
        <f>INDEX(EchoData!B:B, MATCH(Summary!$A155, EchoData!$A:$A, 0))</f>
        <v>151</v>
      </c>
      <c r="C155" s="35">
        <f>INDEX(EchoData!C:C, MATCH(Summary!$A155, EchoData!$A:$A, 0))</f>
        <v>152</v>
      </c>
      <c r="D155" s="42">
        <f>INDEX(Displacements!B:B, MATCH(Summary!$B155, Displacements!$A:$A, 0))</f>
        <v>-37.5</v>
      </c>
      <c r="E155" s="43">
        <f>INDEX(Displacements!C:C, MATCH(Summary!$B155, Displacements!$A:$A, 0))</f>
        <v>0</v>
      </c>
      <c r="F155" s="44">
        <f>INDEX(Displacements!D:D, MATCH(Summary!$B155, Displacements!$A:$A, 0))</f>
        <v>0</v>
      </c>
      <c r="G155" s="42">
        <f>INDEX(Displacements!B:B, MATCH(Summary!$C155, Displacements!$A:$A, 0))</f>
        <v>-37</v>
      </c>
      <c r="H155" s="43">
        <f>INDEX(Displacements!C:C, MATCH(Summary!$C155, Displacements!$A:$A, 0))</f>
        <v>0</v>
      </c>
      <c r="I155" s="44">
        <f>INDEX(Displacements!D:D, MATCH(Summary!$C155, Displacements!$A:$A, 0))</f>
        <v>0</v>
      </c>
      <c r="J155" s="42">
        <f t="shared" si="4"/>
        <v>0.5</v>
      </c>
      <c r="K155" s="49">
        <f t="shared" si="5"/>
        <v>1</v>
      </c>
      <c r="L155" s="54">
        <f>INDEX('Forces+Stresses'!C:C, MATCH(Summary!$A155, 'Forces+Stresses'!$A:$A, 0))</f>
        <v>17.600000000000001</v>
      </c>
      <c r="M155" s="55">
        <f>INDEX('Forces+Stresses'!D:D, MATCH(Summary!$A155, 'Forces+Stresses'!$A:$A, 0))</f>
        <v>17.600000000000001</v>
      </c>
      <c r="N155" s="55">
        <f>IFERROR(INDEX('Forces+Stresses'!Q:Q, MATCH(Summary!$A155, 'Forces+Stresses'!$A:$A, 0)), INDEX(Flexjoints!D:D, MATCH(Summary!$A155, Flexjoints!$A:$A, 0)))</f>
        <v>2.432E-11</v>
      </c>
      <c r="O155" s="56">
        <f>IFERROR(INDEX('Forces+Stresses'!R:R, MATCH(Summary!$A155, 'Forces+Stresses'!$A:$A, 0)), INDEX(Flexjoints!E:E, MATCH(Summary!$A155, Flexjoints!$A:$A, 0)))</f>
        <v>8.781E-10</v>
      </c>
      <c r="P155" s="33" t="str">
        <f>IF(INDEX(Labels!B:B, MATCH(Summary!$A155, Labels!$A:$A, 0)) = 0, "", INDEX(Labels!B:B, MATCH(Summary!$A155, Labels!$A:$A, 0)))</f>
        <v>{Casing Soil String}</v>
      </c>
      <c r="Q155" s="35" t="str">
        <f>IF(INDEX(Labels!C:C, MATCH(Summary!$A155, Labels!$A:$A, 0)) = 0, "", INDEX(Labels!C:C, MATCH(Summary!$A155, Labels!$A:$A, 0)))</f>
        <v>{Casing 13 3/8in}</v>
      </c>
      <c r="R155" s="33" t="str">
        <f>IF(INDEX(Labels!D:D, MATCH(Summary!$A155, Labels!$A:$A, 0)) = 0, "", INDEX(Labels!D:D, MATCH(Summary!$A155, Labels!$A:$A, 0)))</f>
        <v/>
      </c>
      <c r="S155" s="35" t="str">
        <f>IF(INDEX(Labels!E:E, MATCH(Summary!$A155, Labels!$A:$A, 0)) = 0, "", INDEX(Labels!E:E, MATCH(Summary!$A155, Labels!$A:$A, 0)))</f>
        <v/>
      </c>
      <c r="T155" s="33" t="str">
        <f>IF(INDEX(Labels!F:F, MATCH(Summary!$A155, Labels!$A:$A, 0)) = 0, "", INDEX(Labels!F:F, MATCH(Summary!$A155, Labels!$A:$A, 0)))</f>
        <v/>
      </c>
      <c r="U155" s="35" t="str">
        <f>IF(INDEX(Labels!G:G, MATCH(Summary!$A155, Labels!$A:$A, 0)) = 0, "", INDEX(Labels!G:G, MATCH(Summary!$A155, Labels!$A:$A, 0)))</f>
        <v/>
      </c>
      <c r="V155" s="62" t="str">
        <f>IF(INDEX(Labels!H:H, MATCH(Summary!$A155, Labels!$A:$A, 0)) = 0, "", INDEX(Labels!H:H, MATCH(Summary!$A155, Labels!$A:$A, 0)))</f>
        <v/>
      </c>
      <c r="W155" t="str">
        <f>IF(INDEX(Labels!I:I, MATCH(Summary!$A155, Labels!$A:$A, 0)) = 0, "", INDEX(Labels!I:I, MATCH(Summary!$A155, Labels!$A:$A, 0)))</f>
        <v/>
      </c>
      <c r="X155" t="str">
        <f>IF(INDEX(Labels!J:J, MATCH(Summary!$A155, Labels!$A:$A, 0)) = 0, "", INDEX(Labels!J:J, MATCH(Summary!$A155, Labels!$A:$A, 0)))</f>
        <v/>
      </c>
    </row>
    <row r="156" spans="1:24" x14ac:dyDescent="0.2">
      <c r="A156" s="33">
        <f>Labels!A157</f>
        <v>150</v>
      </c>
      <c r="B156" s="34">
        <f>INDEX(EchoData!B:B, MATCH(Summary!$A156, EchoData!$A:$A, 0))</f>
        <v>152</v>
      </c>
      <c r="C156" s="35">
        <f>INDEX(EchoData!C:C, MATCH(Summary!$A156, EchoData!$A:$A, 0))</f>
        <v>153</v>
      </c>
      <c r="D156" s="42">
        <f>INDEX(Displacements!B:B, MATCH(Summary!$B156, Displacements!$A:$A, 0))</f>
        <v>-37</v>
      </c>
      <c r="E156" s="43">
        <f>INDEX(Displacements!C:C, MATCH(Summary!$B156, Displacements!$A:$A, 0))</f>
        <v>0</v>
      </c>
      <c r="F156" s="44">
        <f>INDEX(Displacements!D:D, MATCH(Summary!$B156, Displacements!$A:$A, 0))</f>
        <v>0</v>
      </c>
      <c r="G156" s="42">
        <f>INDEX(Displacements!B:B, MATCH(Summary!$C156, Displacements!$A:$A, 0))</f>
        <v>-36.5</v>
      </c>
      <c r="H156" s="43">
        <f>INDEX(Displacements!C:C, MATCH(Summary!$C156, Displacements!$A:$A, 0))</f>
        <v>0</v>
      </c>
      <c r="I156" s="44">
        <f>INDEX(Displacements!D:D, MATCH(Summary!$C156, Displacements!$A:$A, 0))</f>
        <v>0</v>
      </c>
      <c r="J156" s="42">
        <f t="shared" si="4"/>
        <v>0.5</v>
      </c>
      <c r="K156" s="49">
        <f t="shared" si="5"/>
        <v>1</v>
      </c>
      <c r="L156" s="54">
        <f>INDEX('Forces+Stresses'!C:C, MATCH(Summary!$A156, 'Forces+Stresses'!$A:$A, 0))</f>
        <v>18.309999999999999</v>
      </c>
      <c r="M156" s="55">
        <f>INDEX('Forces+Stresses'!D:D, MATCH(Summary!$A156, 'Forces+Stresses'!$A:$A, 0))</f>
        <v>18.309999999999999</v>
      </c>
      <c r="N156" s="55">
        <f>IFERROR(INDEX('Forces+Stresses'!Q:Q, MATCH(Summary!$A156, 'Forces+Stresses'!$A:$A, 0)), INDEX(Flexjoints!D:D, MATCH(Summary!$A156, Flexjoints!$A:$A, 0)))</f>
        <v>2.3569999999999999E-11</v>
      </c>
      <c r="O156" s="56">
        <f>IFERROR(INDEX('Forces+Stresses'!R:R, MATCH(Summary!$A156, 'Forces+Stresses'!$A:$A, 0)), INDEX(Flexjoints!E:E, MATCH(Summary!$A156, Flexjoints!$A:$A, 0)))</f>
        <v>8.5769999999999994E-10</v>
      </c>
      <c r="P156" s="33" t="str">
        <f>IF(INDEX(Labels!B:B, MATCH(Summary!$A156, Labels!$A:$A, 0)) = 0, "", INDEX(Labels!B:B, MATCH(Summary!$A156, Labels!$A:$A, 0)))</f>
        <v>{Casing Soil String}</v>
      </c>
      <c r="Q156" s="35" t="str">
        <f>IF(INDEX(Labels!C:C, MATCH(Summary!$A156, Labels!$A:$A, 0)) = 0, "", INDEX(Labels!C:C, MATCH(Summary!$A156, Labels!$A:$A, 0)))</f>
        <v>{Casing 13 3/8in}</v>
      </c>
      <c r="R156" s="33" t="str">
        <f>IF(INDEX(Labels!D:D, MATCH(Summary!$A156, Labels!$A:$A, 0)) = 0, "", INDEX(Labels!D:D, MATCH(Summary!$A156, Labels!$A:$A, 0)))</f>
        <v/>
      </c>
      <c r="S156" s="35" t="str">
        <f>IF(INDEX(Labels!E:E, MATCH(Summary!$A156, Labels!$A:$A, 0)) = 0, "", INDEX(Labels!E:E, MATCH(Summary!$A156, Labels!$A:$A, 0)))</f>
        <v/>
      </c>
      <c r="T156" s="33" t="str">
        <f>IF(INDEX(Labels!F:F, MATCH(Summary!$A156, Labels!$A:$A, 0)) = 0, "", INDEX(Labels!F:F, MATCH(Summary!$A156, Labels!$A:$A, 0)))</f>
        <v/>
      </c>
      <c r="U156" s="35" t="str">
        <f>IF(INDEX(Labels!G:G, MATCH(Summary!$A156, Labels!$A:$A, 0)) = 0, "", INDEX(Labels!G:G, MATCH(Summary!$A156, Labels!$A:$A, 0)))</f>
        <v/>
      </c>
      <c r="V156" s="62" t="str">
        <f>IF(INDEX(Labels!H:H, MATCH(Summary!$A156, Labels!$A:$A, 0)) = 0, "", INDEX(Labels!H:H, MATCH(Summary!$A156, Labels!$A:$A, 0)))</f>
        <v/>
      </c>
      <c r="W156" t="str">
        <f>IF(INDEX(Labels!I:I, MATCH(Summary!$A156, Labels!$A:$A, 0)) = 0, "", INDEX(Labels!I:I, MATCH(Summary!$A156, Labels!$A:$A, 0)))</f>
        <v/>
      </c>
      <c r="X156" t="str">
        <f>IF(INDEX(Labels!J:J, MATCH(Summary!$A156, Labels!$A:$A, 0)) = 0, "", INDEX(Labels!J:J, MATCH(Summary!$A156, Labels!$A:$A, 0)))</f>
        <v/>
      </c>
    </row>
    <row r="157" spans="1:24" x14ac:dyDescent="0.2">
      <c r="A157" s="33">
        <f>Labels!A158</f>
        <v>151</v>
      </c>
      <c r="B157" s="34">
        <f>INDEX(EchoData!B:B, MATCH(Summary!$A157, EchoData!$A:$A, 0))</f>
        <v>153</v>
      </c>
      <c r="C157" s="35">
        <f>INDEX(EchoData!C:C, MATCH(Summary!$A157, EchoData!$A:$A, 0))</f>
        <v>154</v>
      </c>
      <c r="D157" s="42">
        <f>INDEX(Displacements!B:B, MATCH(Summary!$B157, Displacements!$A:$A, 0))</f>
        <v>-36.5</v>
      </c>
      <c r="E157" s="43">
        <f>INDEX(Displacements!C:C, MATCH(Summary!$B157, Displacements!$A:$A, 0))</f>
        <v>0</v>
      </c>
      <c r="F157" s="44">
        <f>INDEX(Displacements!D:D, MATCH(Summary!$B157, Displacements!$A:$A, 0))</f>
        <v>0</v>
      </c>
      <c r="G157" s="42">
        <f>INDEX(Displacements!B:B, MATCH(Summary!$C157, Displacements!$A:$A, 0))</f>
        <v>-36</v>
      </c>
      <c r="H157" s="43">
        <f>INDEX(Displacements!C:C, MATCH(Summary!$C157, Displacements!$A:$A, 0))</f>
        <v>0</v>
      </c>
      <c r="I157" s="44">
        <f>INDEX(Displacements!D:D, MATCH(Summary!$C157, Displacements!$A:$A, 0))</f>
        <v>0</v>
      </c>
      <c r="J157" s="42">
        <f t="shared" si="4"/>
        <v>0.5</v>
      </c>
      <c r="K157" s="49">
        <f t="shared" si="5"/>
        <v>1</v>
      </c>
      <c r="L157" s="54">
        <f>INDEX('Forces+Stresses'!C:C, MATCH(Summary!$A157, 'Forces+Stresses'!$A:$A, 0))</f>
        <v>19.010000000000002</v>
      </c>
      <c r="M157" s="55">
        <f>INDEX('Forces+Stresses'!D:D, MATCH(Summary!$A157, 'Forces+Stresses'!$A:$A, 0))</f>
        <v>19.010000000000002</v>
      </c>
      <c r="N157" s="55">
        <f>IFERROR(INDEX('Forces+Stresses'!Q:Q, MATCH(Summary!$A157, 'Forces+Stresses'!$A:$A, 0)), INDEX(Flexjoints!D:D, MATCH(Summary!$A157, Flexjoints!$A:$A, 0)))</f>
        <v>2.1999999999999998E-11</v>
      </c>
      <c r="O157" s="56">
        <f>IFERROR(INDEX('Forces+Stresses'!R:R, MATCH(Summary!$A157, 'Forces+Stresses'!$A:$A, 0)), INDEX(Flexjoints!E:E, MATCH(Summary!$A157, Flexjoints!$A:$A, 0)))</f>
        <v>8.0920000000000006E-10</v>
      </c>
      <c r="P157" s="33" t="str">
        <f>IF(INDEX(Labels!B:B, MATCH(Summary!$A157, Labels!$A:$A, 0)) = 0, "", INDEX(Labels!B:B, MATCH(Summary!$A157, Labels!$A:$A, 0)))</f>
        <v>{Casing Soil String}</v>
      </c>
      <c r="Q157" s="35" t="str">
        <f>IF(INDEX(Labels!C:C, MATCH(Summary!$A157, Labels!$A:$A, 0)) = 0, "", INDEX(Labels!C:C, MATCH(Summary!$A157, Labels!$A:$A, 0)))</f>
        <v>{Casing 13 3/8in}</v>
      </c>
      <c r="R157" s="33" t="str">
        <f>IF(INDEX(Labels!D:D, MATCH(Summary!$A157, Labels!$A:$A, 0)) = 0, "", INDEX(Labels!D:D, MATCH(Summary!$A157, Labels!$A:$A, 0)))</f>
        <v/>
      </c>
      <c r="S157" s="35" t="str">
        <f>IF(INDEX(Labels!E:E, MATCH(Summary!$A157, Labels!$A:$A, 0)) = 0, "", INDEX(Labels!E:E, MATCH(Summary!$A157, Labels!$A:$A, 0)))</f>
        <v/>
      </c>
      <c r="T157" s="33" t="str">
        <f>IF(INDEX(Labels!F:F, MATCH(Summary!$A157, Labels!$A:$A, 0)) = 0, "", INDEX(Labels!F:F, MATCH(Summary!$A157, Labels!$A:$A, 0)))</f>
        <v/>
      </c>
      <c r="U157" s="35" t="str">
        <f>IF(INDEX(Labels!G:G, MATCH(Summary!$A157, Labels!$A:$A, 0)) = 0, "", INDEX(Labels!G:G, MATCH(Summary!$A157, Labels!$A:$A, 0)))</f>
        <v/>
      </c>
      <c r="V157" s="62" t="str">
        <f>IF(INDEX(Labels!H:H, MATCH(Summary!$A157, Labels!$A:$A, 0)) = 0, "", INDEX(Labels!H:H, MATCH(Summary!$A157, Labels!$A:$A, 0)))</f>
        <v/>
      </c>
      <c r="W157" t="str">
        <f>IF(INDEX(Labels!I:I, MATCH(Summary!$A157, Labels!$A:$A, 0)) = 0, "", INDEX(Labels!I:I, MATCH(Summary!$A157, Labels!$A:$A, 0)))</f>
        <v/>
      </c>
      <c r="X157" t="str">
        <f>IF(INDEX(Labels!J:J, MATCH(Summary!$A157, Labels!$A:$A, 0)) = 0, "", INDEX(Labels!J:J, MATCH(Summary!$A157, Labels!$A:$A, 0)))</f>
        <v/>
      </c>
    </row>
    <row r="158" spans="1:24" x14ac:dyDescent="0.2">
      <c r="A158" s="33">
        <f>Labels!A159</f>
        <v>152</v>
      </c>
      <c r="B158" s="34">
        <f>INDEX(EchoData!B:B, MATCH(Summary!$A158, EchoData!$A:$A, 0))</f>
        <v>154</v>
      </c>
      <c r="C158" s="35">
        <f>INDEX(EchoData!C:C, MATCH(Summary!$A158, EchoData!$A:$A, 0))</f>
        <v>155</v>
      </c>
      <c r="D158" s="42">
        <f>INDEX(Displacements!B:B, MATCH(Summary!$B158, Displacements!$A:$A, 0))</f>
        <v>-36</v>
      </c>
      <c r="E158" s="43">
        <f>INDEX(Displacements!C:C, MATCH(Summary!$B158, Displacements!$A:$A, 0))</f>
        <v>0</v>
      </c>
      <c r="F158" s="44">
        <f>INDEX(Displacements!D:D, MATCH(Summary!$B158, Displacements!$A:$A, 0))</f>
        <v>0</v>
      </c>
      <c r="G158" s="42">
        <f>INDEX(Displacements!B:B, MATCH(Summary!$C158, Displacements!$A:$A, 0))</f>
        <v>-35.5</v>
      </c>
      <c r="H158" s="43">
        <f>INDEX(Displacements!C:C, MATCH(Summary!$C158, Displacements!$A:$A, 0))</f>
        <v>0</v>
      </c>
      <c r="I158" s="44">
        <f>INDEX(Displacements!D:D, MATCH(Summary!$C158, Displacements!$A:$A, 0))</f>
        <v>0</v>
      </c>
      <c r="J158" s="42">
        <f t="shared" si="4"/>
        <v>0.5</v>
      </c>
      <c r="K158" s="49">
        <f t="shared" si="5"/>
        <v>1</v>
      </c>
      <c r="L158" s="54">
        <f>INDEX('Forces+Stresses'!C:C, MATCH(Summary!$A158, 'Forces+Stresses'!$A:$A, 0))</f>
        <v>19.72</v>
      </c>
      <c r="M158" s="55">
        <f>INDEX('Forces+Stresses'!D:D, MATCH(Summary!$A158, 'Forces+Stresses'!$A:$A, 0))</f>
        <v>19.72</v>
      </c>
      <c r="N158" s="55">
        <f>IFERROR(INDEX('Forces+Stresses'!Q:Q, MATCH(Summary!$A158, 'Forces+Stresses'!$A:$A, 0)), INDEX(Flexjoints!D:D, MATCH(Summary!$A158, Flexjoints!$A:$A, 0)))</f>
        <v>1.9449999999999998E-11</v>
      </c>
      <c r="O158" s="56">
        <f>IFERROR(INDEX('Forces+Stresses'!R:R, MATCH(Summary!$A158, 'Forces+Stresses'!$A:$A, 0)), INDEX(Flexjoints!E:E, MATCH(Summary!$A158, Flexjoints!$A:$A, 0)))</f>
        <v>7.271E-10</v>
      </c>
      <c r="P158" s="33" t="str">
        <f>IF(INDEX(Labels!B:B, MATCH(Summary!$A158, Labels!$A:$A, 0)) = 0, "", INDEX(Labels!B:B, MATCH(Summary!$A158, Labels!$A:$A, 0)))</f>
        <v>{Casing Soil String}</v>
      </c>
      <c r="Q158" s="35" t="str">
        <f>IF(INDEX(Labels!C:C, MATCH(Summary!$A158, Labels!$A:$A, 0)) = 0, "", INDEX(Labels!C:C, MATCH(Summary!$A158, Labels!$A:$A, 0)))</f>
        <v>{Casing 13 3/8in}</v>
      </c>
      <c r="R158" s="33" t="str">
        <f>IF(INDEX(Labels!D:D, MATCH(Summary!$A158, Labels!$A:$A, 0)) = 0, "", INDEX(Labels!D:D, MATCH(Summary!$A158, Labels!$A:$A, 0)))</f>
        <v/>
      </c>
      <c r="S158" s="35" t="str">
        <f>IF(INDEX(Labels!E:E, MATCH(Summary!$A158, Labels!$A:$A, 0)) = 0, "", INDEX(Labels!E:E, MATCH(Summary!$A158, Labels!$A:$A, 0)))</f>
        <v/>
      </c>
      <c r="T158" s="33" t="str">
        <f>IF(INDEX(Labels!F:F, MATCH(Summary!$A158, Labels!$A:$A, 0)) = 0, "", INDEX(Labels!F:F, MATCH(Summary!$A158, Labels!$A:$A, 0)))</f>
        <v/>
      </c>
      <c r="U158" s="35" t="str">
        <f>IF(INDEX(Labels!G:G, MATCH(Summary!$A158, Labels!$A:$A, 0)) = 0, "", INDEX(Labels!G:G, MATCH(Summary!$A158, Labels!$A:$A, 0)))</f>
        <v/>
      </c>
      <c r="V158" s="62" t="str">
        <f>IF(INDEX(Labels!H:H, MATCH(Summary!$A158, Labels!$A:$A, 0)) = 0, "", INDEX(Labels!H:H, MATCH(Summary!$A158, Labels!$A:$A, 0)))</f>
        <v/>
      </c>
      <c r="W158" t="str">
        <f>IF(INDEX(Labels!I:I, MATCH(Summary!$A158, Labels!$A:$A, 0)) = 0, "", INDEX(Labels!I:I, MATCH(Summary!$A158, Labels!$A:$A, 0)))</f>
        <v/>
      </c>
      <c r="X158" t="str">
        <f>IF(INDEX(Labels!J:J, MATCH(Summary!$A158, Labels!$A:$A, 0)) = 0, "", INDEX(Labels!J:J, MATCH(Summary!$A158, Labels!$A:$A, 0)))</f>
        <v/>
      </c>
    </row>
    <row r="159" spans="1:24" x14ac:dyDescent="0.2">
      <c r="A159" s="33">
        <f>Labels!A160</f>
        <v>153</v>
      </c>
      <c r="B159" s="34">
        <f>INDEX(EchoData!B:B, MATCH(Summary!$A159, EchoData!$A:$A, 0))</f>
        <v>155</v>
      </c>
      <c r="C159" s="35">
        <f>INDEX(EchoData!C:C, MATCH(Summary!$A159, EchoData!$A:$A, 0))</f>
        <v>156</v>
      </c>
      <c r="D159" s="42">
        <f>INDEX(Displacements!B:B, MATCH(Summary!$B159, Displacements!$A:$A, 0))</f>
        <v>-35.5</v>
      </c>
      <c r="E159" s="43">
        <f>INDEX(Displacements!C:C, MATCH(Summary!$B159, Displacements!$A:$A, 0))</f>
        <v>0</v>
      </c>
      <c r="F159" s="44">
        <f>INDEX(Displacements!D:D, MATCH(Summary!$B159, Displacements!$A:$A, 0))</f>
        <v>0</v>
      </c>
      <c r="G159" s="42">
        <f>INDEX(Displacements!B:B, MATCH(Summary!$C159, Displacements!$A:$A, 0))</f>
        <v>-35</v>
      </c>
      <c r="H159" s="43">
        <f>INDEX(Displacements!C:C, MATCH(Summary!$C159, Displacements!$A:$A, 0))</f>
        <v>0</v>
      </c>
      <c r="I159" s="44">
        <f>INDEX(Displacements!D:D, MATCH(Summary!$C159, Displacements!$A:$A, 0))</f>
        <v>0</v>
      </c>
      <c r="J159" s="42">
        <f t="shared" si="4"/>
        <v>0.5</v>
      </c>
      <c r="K159" s="49">
        <f t="shared" si="5"/>
        <v>1</v>
      </c>
      <c r="L159" s="54">
        <f>INDEX('Forces+Stresses'!C:C, MATCH(Summary!$A159, 'Forces+Stresses'!$A:$A, 0))</f>
        <v>20.420000000000002</v>
      </c>
      <c r="M159" s="55">
        <f>INDEX('Forces+Stresses'!D:D, MATCH(Summary!$A159, 'Forces+Stresses'!$A:$A, 0))</f>
        <v>20.420000000000002</v>
      </c>
      <c r="N159" s="55">
        <f>IFERROR(INDEX('Forces+Stresses'!Q:Q, MATCH(Summary!$A159, 'Forces+Stresses'!$A:$A, 0)), INDEX(Flexjoints!D:D, MATCH(Summary!$A159, Flexjoints!$A:$A, 0)))</f>
        <v>1.5770000000000001E-11</v>
      </c>
      <c r="O159" s="56">
        <f>IFERROR(INDEX('Forces+Stresses'!R:R, MATCH(Summary!$A159, 'Forces+Stresses'!$A:$A, 0)), INDEX(Flexjoints!E:E, MATCH(Summary!$A159, Flexjoints!$A:$A, 0)))</f>
        <v>6.054E-10</v>
      </c>
      <c r="P159" s="33" t="str">
        <f>IF(INDEX(Labels!B:B, MATCH(Summary!$A159, Labels!$A:$A, 0)) = 0, "", INDEX(Labels!B:B, MATCH(Summary!$A159, Labels!$A:$A, 0)))</f>
        <v>{Casing Soil String}</v>
      </c>
      <c r="Q159" s="35" t="str">
        <f>IF(INDEX(Labels!C:C, MATCH(Summary!$A159, Labels!$A:$A, 0)) = 0, "", INDEX(Labels!C:C, MATCH(Summary!$A159, Labels!$A:$A, 0)))</f>
        <v>{Casing 13 3/8in}</v>
      </c>
      <c r="R159" s="33" t="str">
        <f>IF(INDEX(Labels!D:D, MATCH(Summary!$A159, Labels!$A:$A, 0)) = 0, "", INDEX(Labels!D:D, MATCH(Summary!$A159, Labels!$A:$A, 0)))</f>
        <v/>
      </c>
      <c r="S159" s="35" t="str">
        <f>IF(INDEX(Labels!E:E, MATCH(Summary!$A159, Labels!$A:$A, 0)) = 0, "", INDEX(Labels!E:E, MATCH(Summary!$A159, Labels!$A:$A, 0)))</f>
        <v/>
      </c>
      <c r="T159" s="33" t="str">
        <f>IF(INDEX(Labels!F:F, MATCH(Summary!$A159, Labels!$A:$A, 0)) = 0, "", INDEX(Labels!F:F, MATCH(Summary!$A159, Labels!$A:$A, 0)))</f>
        <v/>
      </c>
      <c r="U159" s="35" t="str">
        <f>IF(INDEX(Labels!G:G, MATCH(Summary!$A159, Labels!$A:$A, 0)) = 0, "", INDEX(Labels!G:G, MATCH(Summary!$A159, Labels!$A:$A, 0)))</f>
        <v/>
      </c>
      <c r="V159" s="62" t="str">
        <f>IF(INDEX(Labels!H:H, MATCH(Summary!$A159, Labels!$A:$A, 0)) = 0, "", INDEX(Labels!H:H, MATCH(Summary!$A159, Labels!$A:$A, 0)))</f>
        <v/>
      </c>
      <c r="W159" t="str">
        <f>IF(INDEX(Labels!I:I, MATCH(Summary!$A159, Labels!$A:$A, 0)) = 0, "", INDEX(Labels!I:I, MATCH(Summary!$A159, Labels!$A:$A, 0)))</f>
        <v/>
      </c>
      <c r="X159" t="str">
        <f>IF(INDEX(Labels!J:J, MATCH(Summary!$A159, Labels!$A:$A, 0)) = 0, "", INDEX(Labels!J:J, MATCH(Summary!$A159, Labels!$A:$A, 0)))</f>
        <v/>
      </c>
    </row>
    <row r="160" spans="1:24" x14ac:dyDescent="0.2">
      <c r="A160" s="33">
        <f>Labels!A161</f>
        <v>154</v>
      </c>
      <c r="B160" s="34">
        <f>INDEX(EchoData!B:B, MATCH(Summary!$A160, EchoData!$A:$A, 0))</f>
        <v>156</v>
      </c>
      <c r="C160" s="35">
        <f>INDEX(EchoData!C:C, MATCH(Summary!$A160, EchoData!$A:$A, 0))</f>
        <v>157</v>
      </c>
      <c r="D160" s="42">
        <f>INDEX(Displacements!B:B, MATCH(Summary!$B160, Displacements!$A:$A, 0))</f>
        <v>-35</v>
      </c>
      <c r="E160" s="43">
        <f>INDEX(Displacements!C:C, MATCH(Summary!$B160, Displacements!$A:$A, 0))</f>
        <v>0</v>
      </c>
      <c r="F160" s="44">
        <f>INDEX(Displacements!D:D, MATCH(Summary!$B160, Displacements!$A:$A, 0))</f>
        <v>0</v>
      </c>
      <c r="G160" s="42">
        <f>INDEX(Displacements!B:B, MATCH(Summary!$C160, Displacements!$A:$A, 0))</f>
        <v>-34.5</v>
      </c>
      <c r="H160" s="43">
        <f>INDEX(Displacements!C:C, MATCH(Summary!$C160, Displacements!$A:$A, 0))</f>
        <v>0</v>
      </c>
      <c r="I160" s="44">
        <f>INDEX(Displacements!D:D, MATCH(Summary!$C160, Displacements!$A:$A, 0))</f>
        <v>0</v>
      </c>
      <c r="J160" s="42">
        <f t="shared" si="4"/>
        <v>0.5</v>
      </c>
      <c r="K160" s="49">
        <f t="shared" si="5"/>
        <v>1</v>
      </c>
      <c r="L160" s="54">
        <f>INDEX('Forces+Stresses'!C:C, MATCH(Summary!$A160, 'Forces+Stresses'!$A:$A, 0))</f>
        <v>21.12</v>
      </c>
      <c r="M160" s="55">
        <f>INDEX('Forces+Stresses'!D:D, MATCH(Summary!$A160, 'Forces+Stresses'!$A:$A, 0))</f>
        <v>21.12</v>
      </c>
      <c r="N160" s="55">
        <f>IFERROR(INDEX('Forces+Stresses'!Q:Q, MATCH(Summary!$A160, 'Forces+Stresses'!$A:$A, 0)), INDEX(Flexjoints!D:D, MATCH(Summary!$A160, Flexjoints!$A:$A, 0)))</f>
        <v>1.077E-11</v>
      </c>
      <c r="O160" s="56">
        <f>IFERROR(INDEX('Forces+Stresses'!R:R, MATCH(Summary!$A160, 'Forces+Stresses'!$A:$A, 0)), INDEX(Flexjoints!E:E, MATCH(Summary!$A160, Flexjoints!$A:$A, 0)))</f>
        <v>4.3760000000000002E-10</v>
      </c>
      <c r="P160" s="33" t="str">
        <f>IF(INDEX(Labels!B:B, MATCH(Summary!$A160, Labels!$A:$A, 0)) = 0, "", INDEX(Labels!B:B, MATCH(Summary!$A160, Labels!$A:$A, 0)))</f>
        <v>{Casing Soil String}</v>
      </c>
      <c r="Q160" s="35" t="str">
        <f>IF(INDEX(Labels!C:C, MATCH(Summary!$A160, Labels!$A:$A, 0)) = 0, "", INDEX(Labels!C:C, MATCH(Summary!$A160, Labels!$A:$A, 0)))</f>
        <v>{Casing 13 3/8in}</v>
      </c>
      <c r="R160" s="33" t="str">
        <f>IF(INDEX(Labels!D:D, MATCH(Summary!$A160, Labels!$A:$A, 0)) = 0, "", INDEX(Labels!D:D, MATCH(Summary!$A160, Labels!$A:$A, 0)))</f>
        <v/>
      </c>
      <c r="S160" s="35" t="str">
        <f>IF(INDEX(Labels!E:E, MATCH(Summary!$A160, Labels!$A:$A, 0)) = 0, "", INDEX(Labels!E:E, MATCH(Summary!$A160, Labels!$A:$A, 0)))</f>
        <v/>
      </c>
      <c r="T160" s="33" t="str">
        <f>IF(INDEX(Labels!F:F, MATCH(Summary!$A160, Labels!$A:$A, 0)) = 0, "", INDEX(Labels!F:F, MATCH(Summary!$A160, Labels!$A:$A, 0)))</f>
        <v/>
      </c>
      <c r="U160" s="35" t="str">
        <f>IF(INDEX(Labels!G:G, MATCH(Summary!$A160, Labels!$A:$A, 0)) = 0, "", INDEX(Labels!G:G, MATCH(Summary!$A160, Labels!$A:$A, 0)))</f>
        <v/>
      </c>
      <c r="V160" s="62" t="str">
        <f>IF(INDEX(Labels!H:H, MATCH(Summary!$A160, Labels!$A:$A, 0)) = 0, "", INDEX(Labels!H:H, MATCH(Summary!$A160, Labels!$A:$A, 0)))</f>
        <v/>
      </c>
      <c r="W160" t="str">
        <f>IF(INDEX(Labels!I:I, MATCH(Summary!$A160, Labels!$A:$A, 0)) = 0, "", INDEX(Labels!I:I, MATCH(Summary!$A160, Labels!$A:$A, 0)))</f>
        <v/>
      </c>
      <c r="X160" t="str">
        <f>IF(INDEX(Labels!J:J, MATCH(Summary!$A160, Labels!$A:$A, 0)) = 0, "", INDEX(Labels!J:J, MATCH(Summary!$A160, Labels!$A:$A, 0)))</f>
        <v/>
      </c>
    </row>
    <row r="161" spans="1:24" x14ac:dyDescent="0.2">
      <c r="A161" s="33">
        <f>Labels!A162</f>
        <v>155</v>
      </c>
      <c r="B161" s="34">
        <f>INDEX(EchoData!B:B, MATCH(Summary!$A161, EchoData!$A:$A, 0))</f>
        <v>157</v>
      </c>
      <c r="C161" s="35">
        <f>INDEX(EchoData!C:C, MATCH(Summary!$A161, EchoData!$A:$A, 0))</f>
        <v>158</v>
      </c>
      <c r="D161" s="42">
        <f>INDEX(Displacements!B:B, MATCH(Summary!$B161, Displacements!$A:$A, 0))</f>
        <v>-34.5</v>
      </c>
      <c r="E161" s="43">
        <f>INDEX(Displacements!C:C, MATCH(Summary!$B161, Displacements!$A:$A, 0))</f>
        <v>0</v>
      </c>
      <c r="F161" s="44">
        <f>INDEX(Displacements!D:D, MATCH(Summary!$B161, Displacements!$A:$A, 0))</f>
        <v>0</v>
      </c>
      <c r="G161" s="42">
        <f>INDEX(Displacements!B:B, MATCH(Summary!$C161, Displacements!$A:$A, 0))</f>
        <v>-34</v>
      </c>
      <c r="H161" s="43">
        <f>INDEX(Displacements!C:C, MATCH(Summary!$C161, Displacements!$A:$A, 0))</f>
        <v>0</v>
      </c>
      <c r="I161" s="44">
        <f>INDEX(Displacements!D:D, MATCH(Summary!$C161, Displacements!$A:$A, 0))</f>
        <v>0</v>
      </c>
      <c r="J161" s="42">
        <f t="shared" si="4"/>
        <v>0.5</v>
      </c>
      <c r="K161" s="49">
        <f t="shared" si="5"/>
        <v>1</v>
      </c>
      <c r="L161" s="54">
        <f>INDEX('Forces+Stresses'!C:C, MATCH(Summary!$A161, 'Forces+Stresses'!$A:$A, 0))</f>
        <v>21.83</v>
      </c>
      <c r="M161" s="55">
        <f>INDEX('Forces+Stresses'!D:D, MATCH(Summary!$A161, 'Forces+Stresses'!$A:$A, 0))</f>
        <v>21.83</v>
      </c>
      <c r="N161" s="55">
        <f>IFERROR(INDEX('Forces+Stresses'!Q:Q, MATCH(Summary!$A161, 'Forces+Stresses'!$A:$A, 0)), INDEX(Flexjoints!D:D, MATCH(Summary!$A161, Flexjoints!$A:$A, 0)))</f>
        <v>4.3650000000000001E-12</v>
      </c>
      <c r="O161" s="56">
        <f>IFERROR(INDEX('Forces+Stresses'!R:R, MATCH(Summary!$A161, 'Forces+Stresses'!$A:$A, 0)), INDEX(Flexjoints!E:E, MATCH(Summary!$A161, Flexjoints!$A:$A, 0)))</f>
        <v>2.17E-10</v>
      </c>
      <c r="P161" s="33" t="str">
        <f>IF(INDEX(Labels!B:B, MATCH(Summary!$A161, Labels!$A:$A, 0)) = 0, "", INDEX(Labels!B:B, MATCH(Summary!$A161, Labels!$A:$A, 0)))</f>
        <v>{Casing Soil String}</v>
      </c>
      <c r="Q161" s="35" t="str">
        <f>IF(INDEX(Labels!C:C, MATCH(Summary!$A161, Labels!$A:$A, 0)) = 0, "", INDEX(Labels!C:C, MATCH(Summary!$A161, Labels!$A:$A, 0)))</f>
        <v>{Casing 13 3/8in}</v>
      </c>
      <c r="R161" s="33" t="str">
        <f>IF(INDEX(Labels!D:D, MATCH(Summary!$A161, Labels!$A:$A, 0)) = 0, "", INDEX(Labels!D:D, MATCH(Summary!$A161, Labels!$A:$A, 0)))</f>
        <v/>
      </c>
      <c r="S161" s="35" t="str">
        <f>IF(INDEX(Labels!E:E, MATCH(Summary!$A161, Labels!$A:$A, 0)) = 0, "", INDEX(Labels!E:E, MATCH(Summary!$A161, Labels!$A:$A, 0)))</f>
        <v/>
      </c>
      <c r="T161" s="33" t="str">
        <f>IF(INDEX(Labels!F:F, MATCH(Summary!$A161, Labels!$A:$A, 0)) = 0, "", INDEX(Labels!F:F, MATCH(Summary!$A161, Labels!$A:$A, 0)))</f>
        <v/>
      </c>
      <c r="U161" s="35" t="str">
        <f>IF(INDEX(Labels!G:G, MATCH(Summary!$A161, Labels!$A:$A, 0)) = 0, "", INDEX(Labels!G:G, MATCH(Summary!$A161, Labels!$A:$A, 0)))</f>
        <v/>
      </c>
      <c r="V161" s="62" t="str">
        <f>IF(INDEX(Labels!H:H, MATCH(Summary!$A161, Labels!$A:$A, 0)) = 0, "", INDEX(Labels!H:H, MATCH(Summary!$A161, Labels!$A:$A, 0)))</f>
        <v/>
      </c>
      <c r="W161" t="str">
        <f>IF(INDEX(Labels!I:I, MATCH(Summary!$A161, Labels!$A:$A, 0)) = 0, "", INDEX(Labels!I:I, MATCH(Summary!$A161, Labels!$A:$A, 0)))</f>
        <v/>
      </c>
      <c r="X161" t="str">
        <f>IF(INDEX(Labels!J:J, MATCH(Summary!$A161, Labels!$A:$A, 0)) = 0, "", INDEX(Labels!J:J, MATCH(Summary!$A161, Labels!$A:$A, 0)))</f>
        <v/>
      </c>
    </row>
    <row r="162" spans="1:24" x14ac:dyDescent="0.2">
      <c r="A162" s="33">
        <f>Labels!A163</f>
        <v>156</v>
      </c>
      <c r="B162" s="34">
        <f>INDEX(EchoData!B:B, MATCH(Summary!$A162, EchoData!$A:$A, 0))</f>
        <v>158</v>
      </c>
      <c r="C162" s="35">
        <f>INDEX(EchoData!C:C, MATCH(Summary!$A162, EchoData!$A:$A, 0))</f>
        <v>159</v>
      </c>
      <c r="D162" s="42">
        <f>INDEX(Displacements!B:B, MATCH(Summary!$B162, Displacements!$A:$A, 0))</f>
        <v>-34</v>
      </c>
      <c r="E162" s="43">
        <f>INDEX(Displacements!C:C, MATCH(Summary!$B162, Displacements!$A:$A, 0))</f>
        <v>0</v>
      </c>
      <c r="F162" s="44">
        <f>INDEX(Displacements!D:D, MATCH(Summary!$B162, Displacements!$A:$A, 0))</f>
        <v>0</v>
      </c>
      <c r="G162" s="42">
        <f>INDEX(Displacements!B:B, MATCH(Summary!$C162, Displacements!$A:$A, 0))</f>
        <v>-33.5</v>
      </c>
      <c r="H162" s="43">
        <f>INDEX(Displacements!C:C, MATCH(Summary!$C162, Displacements!$A:$A, 0))</f>
        <v>0</v>
      </c>
      <c r="I162" s="44">
        <f>INDEX(Displacements!D:D, MATCH(Summary!$C162, Displacements!$A:$A, 0))</f>
        <v>0</v>
      </c>
      <c r="J162" s="42">
        <f t="shared" si="4"/>
        <v>0.5</v>
      </c>
      <c r="K162" s="49">
        <f t="shared" si="5"/>
        <v>1</v>
      </c>
      <c r="L162" s="54">
        <f>INDEX('Forces+Stresses'!C:C, MATCH(Summary!$A162, 'Forces+Stresses'!$A:$A, 0))</f>
        <v>22.53</v>
      </c>
      <c r="M162" s="55">
        <f>INDEX('Forces+Stresses'!D:D, MATCH(Summary!$A162, 'Forces+Stresses'!$A:$A, 0))</f>
        <v>22.53</v>
      </c>
      <c r="N162" s="55">
        <f>IFERROR(INDEX('Forces+Stresses'!Q:Q, MATCH(Summary!$A162, 'Forces+Stresses'!$A:$A, 0)), INDEX(Flexjoints!D:D, MATCH(Summary!$A162, Flexjoints!$A:$A, 0)))</f>
        <v>2.088E-12</v>
      </c>
      <c r="O162" s="56">
        <f>IFERROR(INDEX('Forces+Stresses'!R:R, MATCH(Summary!$A162, 'Forces+Stresses'!$A:$A, 0)), INDEX(Flexjoints!E:E, MATCH(Summary!$A162, Flexjoints!$A:$A, 0)))</f>
        <v>6.5029999999999994E-11</v>
      </c>
      <c r="P162" s="33" t="str">
        <f>IF(INDEX(Labels!B:B, MATCH(Summary!$A162, Labels!$A:$A, 0)) = 0, "", INDEX(Labels!B:B, MATCH(Summary!$A162, Labels!$A:$A, 0)))</f>
        <v>{Casing Soil String}</v>
      </c>
      <c r="Q162" s="35" t="str">
        <f>IF(INDEX(Labels!C:C, MATCH(Summary!$A162, Labels!$A:$A, 0)) = 0, "", INDEX(Labels!C:C, MATCH(Summary!$A162, Labels!$A:$A, 0)))</f>
        <v>{Casing 13 3/8in}</v>
      </c>
      <c r="R162" s="33" t="str">
        <f>IF(INDEX(Labels!D:D, MATCH(Summary!$A162, Labels!$A:$A, 0)) = 0, "", INDEX(Labels!D:D, MATCH(Summary!$A162, Labels!$A:$A, 0)))</f>
        <v/>
      </c>
      <c r="S162" s="35" t="str">
        <f>IF(INDEX(Labels!E:E, MATCH(Summary!$A162, Labels!$A:$A, 0)) = 0, "", INDEX(Labels!E:E, MATCH(Summary!$A162, Labels!$A:$A, 0)))</f>
        <v/>
      </c>
      <c r="T162" s="33" t="str">
        <f>IF(INDEX(Labels!F:F, MATCH(Summary!$A162, Labels!$A:$A, 0)) = 0, "", INDEX(Labels!F:F, MATCH(Summary!$A162, Labels!$A:$A, 0)))</f>
        <v/>
      </c>
      <c r="U162" s="35" t="str">
        <f>IF(INDEX(Labels!G:G, MATCH(Summary!$A162, Labels!$A:$A, 0)) = 0, "", INDEX(Labels!G:G, MATCH(Summary!$A162, Labels!$A:$A, 0)))</f>
        <v/>
      </c>
      <c r="V162" s="62" t="str">
        <f>IF(INDEX(Labels!H:H, MATCH(Summary!$A162, Labels!$A:$A, 0)) = 0, "", INDEX(Labels!H:H, MATCH(Summary!$A162, Labels!$A:$A, 0)))</f>
        <v/>
      </c>
      <c r="W162" t="str">
        <f>IF(INDEX(Labels!I:I, MATCH(Summary!$A162, Labels!$A:$A, 0)) = 0, "", INDEX(Labels!I:I, MATCH(Summary!$A162, Labels!$A:$A, 0)))</f>
        <v/>
      </c>
      <c r="X162" t="str">
        <f>IF(INDEX(Labels!J:J, MATCH(Summary!$A162, Labels!$A:$A, 0)) = 0, "", INDEX(Labels!J:J, MATCH(Summary!$A162, Labels!$A:$A, 0)))</f>
        <v/>
      </c>
    </row>
    <row r="163" spans="1:24" x14ac:dyDescent="0.2">
      <c r="A163" s="33">
        <f>Labels!A164</f>
        <v>157</v>
      </c>
      <c r="B163" s="34">
        <f>INDEX(EchoData!B:B, MATCH(Summary!$A163, EchoData!$A:$A, 0))</f>
        <v>159</v>
      </c>
      <c r="C163" s="35">
        <f>INDEX(EchoData!C:C, MATCH(Summary!$A163, EchoData!$A:$A, 0))</f>
        <v>160</v>
      </c>
      <c r="D163" s="42">
        <f>INDEX(Displacements!B:B, MATCH(Summary!$B163, Displacements!$A:$A, 0))</f>
        <v>-33.5</v>
      </c>
      <c r="E163" s="43">
        <f>INDEX(Displacements!C:C, MATCH(Summary!$B163, Displacements!$A:$A, 0))</f>
        <v>0</v>
      </c>
      <c r="F163" s="44">
        <f>INDEX(Displacements!D:D, MATCH(Summary!$B163, Displacements!$A:$A, 0))</f>
        <v>0</v>
      </c>
      <c r="G163" s="42">
        <f>INDEX(Displacements!B:B, MATCH(Summary!$C163, Displacements!$A:$A, 0))</f>
        <v>-33</v>
      </c>
      <c r="H163" s="43">
        <f>INDEX(Displacements!C:C, MATCH(Summary!$C163, Displacements!$A:$A, 0))</f>
        <v>0</v>
      </c>
      <c r="I163" s="44">
        <f>INDEX(Displacements!D:D, MATCH(Summary!$C163, Displacements!$A:$A, 0))</f>
        <v>0</v>
      </c>
      <c r="J163" s="42">
        <f t="shared" si="4"/>
        <v>0.5</v>
      </c>
      <c r="K163" s="49">
        <f t="shared" si="5"/>
        <v>1</v>
      </c>
      <c r="L163" s="54">
        <f>INDEX('Forces+Stresses'!C:C, MATCH(Summary!$A163, 'Forces+Stresses'!$A:$A, 0))</f>
        <v>23.24</v>
      </c>
      <c r="M163" s="55">
        <f>INDEX('Forces+Stresses'!D:D, MATCH(Summary!$A163, 'Forces+Stresses'!$A:$A, 0))</f>
        <v>23.24</v>
      </c>
      <c r="N163" s="55">
        <f>IFERROR(INDEX('Forces+Stresses'!Q:Q, MATCH(Summary!$A163, 'Forces+Stresses'!$A:$A, 0)), INDEX(Flexjoints!D:D, MATCH(Summary!$A163, Flexjoints!$A:$A, 0)))</f>
        <v>1.429E-11</v>
      </c>
      <c r="O163" s="56">
        <f>IFERROR(INDEX('Forces+Stresses'!R:R, MATCH(Summary!$A163, 'Forces+Stresses'!$A:$A, 0)), INDEX(Flexjoints!E:E, MATCH(Summary!$A163, Flexjoints!$A:$A, 0)))</f>
        <v>4.1030000000000002E-10</v>
      </c>
      <c r="P163" s="33" t="str">
        <f>IF(INDEX(Labels!B:B, MATCH(Summary!$A163, Labels!$A:$A, 0)) = 0, "", INDEX(Labels!B:B, MATCH(Summary!$A163, Labels!$A:$A, 0)))</f>
        <v>{Casing Soil String}</v>
      </c>
      <c r="Q163" s="35" t="str">
        <f>IF(INDEX(Labels!C:C, MATCH(Summary!$A163, Labels!$A:$A, 0)) = 0, "", INDEX(Labels!C:C, MATCH(Summary!$A163, Labels!$A:$A, 0)))</f>
        <v>{Casing 13 3/8in}</v>
      </c>
      <c r="R163" s="33" t="str">
        <f>IF(INDEX(Labels!D:D, MATCH(Summary!$A163, Labels!$A:$A, 0)) = 0, "", INDEX(Labels!D:D, MATCH(Summary!$A163, Labels!$A:$A, 0)))</f>
        <v/>
      </c>
      <c r="S163" s="35" t="str">
        <f>IF(INDEX(Labels!E:E, MATCH(Summary!$A163, Labels!$A:$A, 0)) = 0, "", INDEX(Labels!E:E, MATCH(Summary!$A163, Labels!$A:$A, 0)))</f>
        <v/>
      </c>
      <c r="T163" s="33" t="str">
        <f>IF(INDEX(Labels!F:F, MATCH(Summary!$A163, Labels!$A:$A, 0)) = 0, "", INDEX(Labels!F:F, MATCH(Summary!$A163, Labels!$A:$A, 0)))</f>
        <v/>
      </c>
      <c r="U163" s="35" t="str">
        <f>IF(INDEX(Labels!G:G, MATCH(Summary!$A163, Labels!$A:$A, 0)) = 0, "", INDEX(Labels!G:G, MATCH(Summary!$A163, Labels!$A:$A, 0)))</f>
        <v/>
      </c>
      <c r="V163" s="62" t="str">
        <f>IF(INDEX(Labels!H:H, MATCH(Summary!$A163, Labels!$A:$A, 0)) = 0, "", INDEX(Labels!H:H, MATCH(Summary!$A163, Labels!$A:$A, 0)))</f>
        <v/>
      </c>
      <c r="W163" t="str">
        <f>IF(INDEX(Labels!I:I, MATCH(Summary!$A163, Labels!$A:$A, 0)) = 0, "", INDEX(Labels!I:I, MATCH(Summary!$A163, Labels!$A:$A, 0)))</f>
        <v/>
      </c>
      <c r="X163" t="str">
        <f>IF(INDEX(Labels!J:J, MATCH(Summary!$A163, Labels!$A:$A, 0)) = 0, "", INDEX(Labels!J:J, MATCH(Summary!$A163, Labels!$A:$A, 0)))</f>
        <v/>
      </c>
    </row>
    <row r="164" spans="1:24" x14ac:dyDescent="0.2">
      <c r="A164" s="33">
        <f>Labels!A165</f>
        <v>158</v>
      </c>
      <c r="B164" s="34">
        <f>INDEX(EchoData!B:B, MATCH(Summary!$A164, EchoData!$A:$A, 0))</f>
        <v>160</v>
      </c>
      <c r="C164" s="35">
        <f>INDEX(EchoData!C:C, MATCH(Summary!$A164, EchoData!$A:$A, 0))</f>
        <v>161</v>
      </c>
      <c r="D164" s="42">
        <f>INDEX(Displacements!B:B, MATCH(Summary!$B164, Displacements!$A:$A, 0))</f>
        <v>-33</v>
      </c>
      <c r="E164" s="43">
        <f>INDEX(Displacements!C:C, MATCH(Summary!$B164, Displacements!$A:$A, 0))</f>
        <v>0</v>
      </c>
      <c r="F164" s="44">
        <f>INDEX(Displacements!D:D, MATCH(Summary!$B164, Displacements!$A:$A, 0))</f>
        <v>0</v>
      </c>
      <c r="G164" s="42">
        <f>INDEX(Displacements!B:B, MATCH(Summary!$C164, Displacements!$A:$A, 0))</f>
        <v>-32.5</v>
      </c>
      <c r="H164" s="43">
        <f>INDEX(Displacements!C:C, MATCH(Summary!$C164, Displacements!$A:$A, 0))</f>
        <v>0</v>
      </c>
      <c r="I164" s="44">
        <f>INDEX(Displacements!D:D, MATCH(Summary!$C164, Displacements!$A:$A, 0))</f>
        <v>0</v>
      </c>
      <c r="J164" s="42">
        <f t="shared" si="4"/>
        <v>0.5</v>
      </c>
      <c r="K164" s="49">
        <f t="shared" si="5"/>
        <v>1</v>
      </c>
      <c r="L164" s="54">
        <f>INDEX('Forces+Stresses'!C:C, MATCH(Summary!$A164, 'Forces+Stresses'!$A:$A, 0))</f>
        <v>23.94</v>
      </c>
      <c r="M164" s="55">
        <f>INDEX('Forces+Stresses'!D:D, MATCH(Summary!$A164, 'Forces+Stresses'!$A:$A, 0))</f>
        <v>23.94</v>
      </c>
      <c r="N164" s="55">
        <f>IFERROR(INDEX('Forces+Stresses'!Q:Q, MATCH(Summary!$A164, 'Forces+Stresses'!$A:$A, 0)), INDEX(Flexjoints!D:D, MATCH(Summary!$A164, Flexjoints!$A:$A, 0)))</f>
        <v>2.6499999999999999E-11</v>
      </c>
      <c r="O164" s="56">
        <f>IFERROR(INDEX('Forces+Stresses'!R:R, MATCH(Summary!$A164, 'Forces+Stresses'!$A:$A, 0)), INDEX(Flexjoints!E:E, MATCH(Summary!$A164, Flexjoints!$A:$A, 0)))</f>
        <v>8.3089999999999999E-10</v>
      </c>
      <c r="P164" s="33" t="str">
        <f>IF(INDEX(Labels!B:B, MATCH(Summary!$A164, Labels!$A:$A, 0)) = 0, "", INDEX(Labels!B:B, MATCH(Summary!$A164, Labels!$A:$A, 0)))</f>
        <v>{Casing Soil String}</v>
      </c>
      <c r="Q164" s="35" t="str">
        <f>IF(INDEX(Labels!C:C, MATCH(Summary!$A164, Labels!$A:$A, 0)) = 0, "", INDEX(Labels!C:C, MATCH(Summary!$A164, Labels!$A:$A, 0)))</f>
        <v>{Casing 13 3/8in}</v>
      </c>
      <c r="R164" s="33" t="str">
        <f>IF(INDEX(Labels!D:D, MATCH(Summary!$A164, Labels!$A:$A, 0)) = 0, "", INDEX(Labels!D:D, MATCH(Summary!$A164, Labels!$A:$A, 0)))</f>
        <v/>
      </c>
      <c r="S164" s="35" t="str">
        <f>IF(INDEX(Labels!E:E, MATCH(Summary!$A164, Labels!$A:$A, 0)) = 0, "", INDEX(Labels!E:E, MATCH(Summary!$A164, Labels!$A:$A, 0)))</f>
        <v/>
      </c>
      <c r="T164" s="33" t="str">
        <f>IF(INDEX(Labels!F:F, MATCH(Summary!$A164, Labels!$A:$A, 0)) = 0, "", INDEX(Labels!F:F, MATCH(Summary!$A164, Labels!$A:$A, 0)))</f>
        <v/>
      </c>
      <c r="U164" s="35" t="str">
        <f>IF(INDEX(Labels!G:G, MATCH(Summary!$A164, Labels!$A:$A, 0)) = 0, "", INDEX(Labels!G:G, MATCH(Summary!$A164, Labels!$A:$A, 0)))</f>
        <v/>
      </c>
      <c r="V164" s="62" t="str">
        <f>IF(INDEX(Labels!H:H, MATCH(Summary!$A164, Labels!$A:$A, 0)) = 0, "", INDEX(Labels!H:H, MATCH(Summary!$A164, Labels!$A:$A, 0)))</f>
        <v/>
      </c>
      <c r="W164" t="str">
        <f>IF(INDEX(Labels!I:I, MATCH(Summary!$A164, Labels!$A:$A, 0)) = 0, "", INDEX(Labels!I:I, MATCH(Summary!$A164, Labels!$A:$A, 0)))</f>
        <v/>
      </c>
      <c r="X164" t="str">
        <f>IF(INDEX(Labels!J:J, MATCH(Summary!$A164, Labels!$A:$A, 0)) = 0, "", INDEX(Labels!J:J, MATCH(Summary!$A164, Labels!$A:$A, 0)))</f>
        <v/>
      </c>
    </row>
    <row r="165" spans="1:24" x14ac:dyDescent="0.2">
      <c r="A165" s="33">
        <f>Labels!A166</f>
        <v>159</v>
      </c>
      <c r="B165" s="34">
        <f>INDEX(EchoData!B:B, MATCH(Summary!$A165, EchoData!$A:$A, 0))</f>
        <v>161</v>
      </c>
      <c r="C165" s="35">
        <f>INDEX(EchoData!C:C, MATCH(Summary!$A165, EchoData!$A:$A, 0))</f>
        <v>162</v>
      </c>
      <c r="D165" s="42">
        <f>INDEX(Displacements!B:B, MATCH(Summary!$B165, Displacements!$A:$A, 0))</f>
        <v>-32.5</v>
      </c>
      <c r="E165" s="43">
        <f>INDEX(Displacements!C:C, MATCH(Summary!$B165, Displacements!$A:$A, 0))</f>
        <v>0</v>
      </c>
      <c r="F165" s="44">
        <f>INDEX(Displacements!D:D, MATCH(Summary!$B165, Displacements!$A:$A, 0))</f>
        <v>0</v>
      </c>
      <c r="G165" s="42">
        <f>INDEX(Displacements!B:B, MATCH(Summary!$C165, Displacements!$A:$A, 0))</f>
        <v>-32</v>
      </c>
      <c r="H165" s="43">
        <f>INDEX(Displacements!C:C, MATCH(Summary!$C165, Displacements!$A:$A, 0))</f>
        <v>0</v>
      </c>
      <c r="I165" s="44">
        <f>INDEX(Displacements!D:D, MATCH(Summary!$C165, Displacements!$A:$A, 0))</f>
        <v>0</v>
      </c>
      <c r="J165" s="42">
        <f t="shared" si="4"/>
        <v>0.5</v>
      </c>
      <c r="K165" s="49">
        <f t="shared" si="5"/>
        <v>1</v>
      </c>
      <c r="L165" s="54">
        <f>INDEX('Forces+Stresses'!C:C, MATCH(Summary!$A165, 'Forces+Stresses'!$A:$A, 0))</f>
        <v>24.65</v>
      </c>
      <c r="M165" s="55">
        <f>INDEX('Forces+Stresses'!D:D, MATCH(Summary!$A165, 'Forces+Stresses'!$A:$A, 0))</f>
        <v>24.65</v>
      </c>
      <c r="N165" s="55">
        <f>IFERROR(INDEX('Forces+Stresses'!Q:Q, MATCH(Summary!$A165, 'Forces+Stresses'!$A:$A, 0)), INDEX(Flexjoints!D:D, MATCH(Summary!$A165, Flexjoints!$A:$A, 0)))</f>
        <v>4.0989999999999999E-11</v>
      </c>
      <c r="O165" s="56">
        <f>IFERROR(INDEX('Forces+Stresses'!R:R, MATCH(Summary!$A165, 'Forces+Stresses'!$A:$A, 0)), INDEX(Flexjoints!E:E, MATCH(Summary!$A165, Flexjoints!$A:$A, 0)))</f>
        <v>1.3319999999999999E-9</v>
      </c>
      <c r="P165" s="33" t="str">
        <f>IF(INDEX(Labels!B:B, MATCH(Summary!$A165, Labels!$A:$A, 0)) = 0, "", INDEX(Labels!B:B, MATCH(Summary!$A165, Labels!$A:$A, 0)))</f>
        <v>{Casing Soil String}</v>
      </c>
      <c r="Q165" s="35" t="str">
        <f>IF(INDEX(Labels!C:C, MATCH(Summary!$A165, Labels!$A:$A, 0)) = 0, "", INDEX(Labels!C:C, MATCH(Summary!$A165, Labels!$A:$A, 0)))</f>
        <v>{Casing 13 3/8in}</v>
      </c>
      <c r="R165" s="33" t="str">
        <f>IF(INDEX(Labels!D:D, MATCH(Summary!$A165, Labels!$A:$A, 0)) = 0, "", INDEX(Labels!D:D, MATCH(Summary!$A165, Labels!$A:$A, 0)))</f>
        <v/>
      </c>
      <c r="S165" s="35" t="str">
        <f>IF(INDEX(Labels!E:E, MATCH(Summary!$A165, Labels!$A:$A, 0)) = 0, "", INDEX(Labels!E:E, MATCH(Summary!$A165, Labels!$A:$A, 0)))</f>
        <v/>
      </c>
      <c r="T165" s="33" t="str">
        <f>IF(INDEX(Labels!F:F, MATCH(Summary!$A165, Labels!$A:$A, 0)) = 0, "", INDEX(Labels!F:F, MATCH(Summary!$A165, Labels!$A:$A, 0)))</f>
        <v/>
      </c>
      <c r="U165" s="35" t="str">
        <f>IF(INDEX(Labels!G:G, MATCH(Summary!$A165, Labels!$A:$A, 0)) = 0, "", INDEX(Labels!G:G, MATCH(Summary!$A165, Labels!$A:$A, 0)))</f>
        <v/>
      </c>
      <c r="V165" s="62" t="str">
        <f>IF(INDEX(Labels!H:H, MATCH(Summary!$A165, Labels!$A:$A, 0)) = 0, "", INDEX(Labels!H:H, MATCH(Summary!$A165, Labels!$A:$A, 0)))</f>
        <v/>
      </c>
      <c r="W165" t="str">
        <f>IF(INDEX(Labels!I:I, MATCH(Summary!$A165, Labels!$A:$A, 0)) = 0, "", INDEX(Labels!I:I, MATCH(Summary!$A165, Labels!$A:$A, 0)))</f>
        <v/>
      </c>
      <c r="X165" t="str">
        <f>IF(INDEX(Labels!J:J, MATCH(Summary!$A165, Labels!$A:$A, 0)) = 0, "", INDEX(Labels!J:J, MATCH(Summary!$A165, Labels!$A:$A, 0)))</f>
        <v/>
      </c>
    </row>
    <row r="166" spans="1:24" x14ac:dyDescent="0.2">
      <c r="A166" s="33">
        <f>Labels!A167</f>
        <v>160</v>
      </c>
      <c r="B166" s="34">
        <f>INDEX(EchoData!B:B, MATCH(Summary!$A166, EchoData!$A:$A, 0))</f>
        <v>162</v>
      </c>
      <c r="C166" s="35">
        <f>INDEX(EchoData!C:C, MATCH(Summary!$A166, EchoData!$A:$A, 0))</f>
        <v>163</v>
      </c>
      <c r="D166" s="42">
        <f>INDEX(Displacements!B:B, MATCH(Summary!$B166, Displacements!$A:$A, 0))</f>
        <v>-32</v>
      </c>
      <c r="E166" s="43">
        <f>INDEX(Displacements!C:C, MATCH(Summary!$B166, Displacements!$A:$A, 0))</f>
        <v>0</v>
      </c>
      <c r="F166" s="44">
        <f>INDEX(Displacements!D:D, MATCH(Summary!$B166, Displacements!$A:$A, 0))</f>
        <v>0</v>
      </c>
      <c r="G166" s="42">
        <f>INDEX(Displacements!B:B, MATCH(Summary!$C166, Displacements!$A:$A, 0))</f>
        <v>-31.5</v>
      </c>
      <c r="H166" s="43">
        <f>INDEX(Displacements!C:C, MATCH(Summary!$C166, Displacements!$A:$A, 0))</f>
        <v>0</v>
      </c>
      <c r="I166" s="44">
        <f>INDEX(Displacements!D:D, MATCH(Summary!$C166, Displacements!$A:$A, 0))</f>
        <v>0</v>
      </c>
      <c r="J166" s="42">
        <f t="shared" si="4"/>
        <v>0.5</v>
      </c>
      <c r="K166" s="49">
        <f t="shared" si="5"/>
        <v>1</v>
      </c>
      <c r="L166" s="54">
        <f>INDEX('Forces+Stresses'!C:C, MATCH(Summary!$A166, 'Forces+Stresses'!$A:$A, 0))</f>
        <v>25.35</v>
      </c>
      <c r="M166" s="55">
        <f>INDEX('Forces+Stresses'!D:D, MATCH(Summary!$A166, 'Forces+Stresses'!$A:$A, 0))</f>
        <v>25.35</v>
      </c>
      <c r="N166" s="55">
        <f>IFERROR(INDEX('Forces+Stresses'!Q:Q, MATCH(Summary!$A166, 'Forces+Stresses'!$A:$A, 0)), INDEX(Flexjoints!D:D, MATCH(Summary!$A166, Flexjoints!$A:$A, 0)))</f>
        <v>5.7930000000000001E-11</v>
      </c>
      <c r="O166" s="56">
        <f>IFERROR(INDEX('Forces+Stresses'!R:R, MATCH(Summary!$A166, 'Forces+Stresses'!$A:$A, 0)), INDEX(Flexjoints!E:E, MATCH(Summary!$A166, Flexjoints!$A:$A, 0)))</f>
        <v>1.9190000000000001E-9</v>
      </c>
      <c r="P166" s="33" t="str">
        <f>IF(INDEX(Labels!B:B, MATCH(Summary!$A166, Labels!$A:$A, 0)) = 0, "", INDEX(Labels!B:B, MATCH(Summary!$A166, Labels!$A:$A, 0)))</f>
        <v>{Casing Soil String}</v>
      </c>
      <c r="Q166" s="35" t="str">
        <f>IF(INDEX(Labels!C:C, MATCH(Summary!$A166, Labels!$A:$A, 0)) = 0, "", INDEX(Labels!C:C, MATCH(Summary!$A166, Labels!$A:$A, 0)))</f>
        <v>{Casing 13 3/8in}</v>
      </c>
      <c r="R166" s="33" t="str">
        <f>IF(INDEX(Labels!D:D, MATCH(Summary!$A166, Labels!$A:$A, 0)) = 0, "", INDEX(Labels!D:D, MATCH(Summary!$A166, Labels!$A:$A, 0)))</f>
        <v/>
      </c>
      <c r="S166" s="35" t="str">
        <f>IF(INDEX(Labels!E:E, MATCH(Summary!$A166, Labels!$A:$A, 0)) = 0, "", INDEX(Labels!E:E, MATCH(Summary!$A166, Labels!$A:$A, 0)))</f>
        <v/>
      </c>
      <c r="T166" s="33" t="str">
        <f>IF(INDEX(Labels!F:F, MATCH(Summary!$A166, Labels!$A:$A, 0)) = 0, "", INDEX(Labels!F:F, MATCH(Summary!$A166, Labels!$A:$A, 0)))</f>
        <v/>
      </c>
      <c r="U166" s="35" t="str">
        <f>IF(INDEX(Labels!G:G, MATCH(Summary!$A166, Labels!$A:$A, 0)) = 0, "", INDEX(Labels!G:G, MATCH(Summary!$A166, Labels!$A:$A, 0)))</f>
        <v/>
      </c>
      <c r="V166" s="62" t="str">
        <f>IF(INDEX(Labels!H:H, MATCH(Summary!$A166, Labels!$A:$A, 0)) = 0, "", INDEX(Labels!H:H, MATCH(Summary!$A166, Labels!$A:$A, 0)))</f>
        <v/>
      </c>
      <c r="W166" t="str">
        <f>IF(INDEX(Labels!I:I, MATCH(Summary!$A166, Labels!$A:$A, 0)) = 0, "", INDEX(Labels!I:I, MATCH(Summary!$A166, Labels!$A:$A, 0)))</f>
        <v/>
      </c>
      <c r="X166" t="str">
        <f>IF(INDEX(Labels!J:J, MATCH(Summary!$A166, Labels!$A:$A, 0)) = 0, "", INDEX(Labels!J:J, MATCH(Summary!$A166, Labels!$A:$A, 0)))</f>
        <v/>
      </c>
    </row>
    <row r="167" spans="1:24" x14ac:dyDescent="0.2">
      <c r="A167" s="33">
        <f>Labels!A168</f>
        <v>161</v>
      </c>
      <c r="B167" s="34">
        <f>INDEX(EchoData!B:B, MATCH(Summary!$A167, EchoData!$A:$A, 0))</f>
        <v>163</v>
      </c>
      <c r="C167" s="35">
        <f>INDEX(EchoData!C:C, MATCH(Summary!$A167, EchoData!$A:$A, 0))</f>
        <v>164</v>
      </c>
      <c r="D167" s="42">
        <f>INDEX(Displacements!B:B, MATCH(Summary!$B167, Displacements!$A:$A, 0))</f>
        <v>-31.5</v>
      </c>
      <c r="E167" s="43">
        <f>INDEX(Displacements!C:C, MATCH(Summary!$B167, Displacements!$A:$A, 0))</f>
        <v>0</v>
      </c>
      <c r="F167" s="44">
        <f>INDEX(Displacements!D:D, MATCH(Summary!$B167, Displacements!$A:$A, 0))</f>
        <v>0</v>
      </c>
      <c r="G167" s="42">
        <f>INDEX(Displacements!B:B, MATCH(Summary!$C167, Displacements!$A:$A, 0))</f>
        <v>-31</v>
      </c>
      <c r="H167" s="43">
        <f>INDEX(Displacements!C:C, MATCH(Summary!$C167, Displacements!$A:$A, 0))</f>
        <v>0</v>
      </c>
      <c r="I167" s="44">
        <f>INDEX(Displacements!D:D, MATCH(Summary!$C167, Displacements!$A:$A, 0))</f>
        <v>0</v>
      </c>
      <c r="J167" s="42">
        <f t="shared" si="4"/>
        <v>0.5</v>
      </c>
      <c r="K167" s="49">
        <f t="shared" si="5"/>
        <v>1</v>
      </c>
      <c r="L167" s="54">
        <f>INDEX('Forces+Stresses'!C:C, MATCH(Summary!$A167, 'Forces+Stresses'!$A:$A, 0))</f>
        <v>26.05</v>
      </c>
      <c r="M167" s="55">
        <f>INDEX('Forces+Stresses'!D:D, MATCH(Summary!$A167, 'Forces+Stresses'!$A:$A, 0))</f>
        <v>26.05</v>
      </c>
      <c r="N167" s="55">
        <f>IFERROR(INDEX('Forces+Stresses'!Q:Q, MATCH(Summary!$A167, 'Forces+Stresses'!$A:$A, 0)), INDEX(Flexjoints!D:D, MATCH(Summary!$A167, Flexjoints!$A:$A, 0)))</f>
        <v>7.7429999999999998E-11</v>
      </c>
      <c r="O167" s="56">
        <f>IFERROR(INDEX('Forces+Stresses'!R:R, MATCH(Summary!$A167, 'Forces+Stresses'!$A:$A, 0)), INDEX(Flexjoints!E:E, MATCH(Summary!$A167, Flexjoints!$A:$A, 0)))</f>
        <v>2.597E-9</v>
      </c>
      <c r="P167" s="33" t="str">
        <f>IF(INDEX(Labels!B:B, MATCH(Summary!$A167, Labels!$A:$A, 0)) = 0, "", INDEX(Labels!B:B, MATCH(Summary!$A167, Labels!$A:$A, 0)))</f>
        <v>{Casing Soil String}</v>
      </c>
      <c r="Q167" s="35" t="str">
        <f>IF(INDEX(Labels!C:C, MATCH(Summary!$A167, Labels!$A:$A, 0)) = 0, "", INDEX(Labels!C:C, MATCH(Summary!$A167, Labels!$A:$A, 0)))</f>
        <v>{Casing 13 3/8in}</v>
      </c>
      <c r="R167" s="33" t="str">
        <f>IF(INDEX(Labels!D:D, MATCH(Summary!$A167, Labels!$A:$A, 0)) = 0, "", INDEX(Labels!D:D, MATCH(Summary!$A167, Labels!$A:$A, 0)))</f>
        <v/>
      </c>
      <c r="S167" s="35" t="str">
        <f>IF(INDEX(Labels!E:E, MATCH(Summary!$A167, Labels!$A:$A, 0)) = 0, "", INDEX(Labels!E:E, MATCH(Summary!$A167, Labels!$A:$A, 0)))</f>
        <v/>
      </c>
      <c r="T167" s="33" t="str">
        <f>IF(INDEX(Labels!F:F, MATCH(Summary!$A167, Labels!$A:$A, 0)) = 0, "", INDEX(Labels!F:F, MATCH(Summary!$A167, Labels!$A:$A, 0)))</f>
        <v/>
      </c>
      <c r="U167" s="35" t="str">
        <f>IF(INDEX(Labels!G:G, MATCH(Summary!$A167, Labels!$A:$A, 0)) = 0, "", INDEX(Labels!G:G, MATCH(Summary!$A167, Labels!$A:$A, 0)))</f>
        <v/>
      </c>
      <c r="V167" s="62" t="str">
        <f>IF(INDEX(Labels!H:H, MATCH(Summary!$A167, Labels!$A:$A, 0)) = 0, "", INDEX(Labels!H:H, MATCH(Summary!$A167, Labels!$A:$A, 0)))</f>
        <v/>
      </c>
      <c r="W167" t="str">
        <f>IF(INDEX(Labels!I:I, MATCH(Summary!$A167, Labels!$A:$A, 0)) = 0, "", INDEX(Labels!I:I, MATCH(Summary!$A167, Labels!$A:$A, 0)))</f>
        <v/>
      </c>
      <c r="X167" t="str">
        <f>IF(INDEX(Labels!J:J, MATCH(Summary!$A167, Labels!$A:$A, 0)) = 0, "", INDEX(Labels!J:J, MATCH(Summary!$A167, Labels!$A:$A, 0)))</f>
        <v/>
      </c>
    </row>
    <row r="168" spans="1:24" x14ac:dyDescent="0.2">
      <c r="A168" s="33">
        <f>Labels!A169</f>
        <v>162</v>
      </c>
      <c r="B168" s="34">
        <f>INDEX(EchoData!B:B, MATCH(Summary!$A168, EchoData!$A:$A, 0))</f>
        <v>164</v>
      </c>
      <c r="C168" s="35">
        <f>INDEX(EchoData!C:C, MATCH(Summary!$A168, EchoData!$A:$A, 0))</f>
        <v>165</v>
      </c>
      <c r="D168" s="42">
        <f>INDEX(Displacements!B:B, MATCH(Summary!$B168, Displacements!$A:$A, 0))</f>
        <v>-31</v>
      </c>
      <c r="E168" s="43">
        <f>INDEX(Displacements!C:C, MATCH(Summary!$B168, Displacements!$A:$A, 0))</f>
        <v>0</v>
      </c>
      <c r="F168" s="44">
        <f>INDEX(Displacements!D:D, MATCH(Summary!$B168, Displacements!$A:$A, 0))</f>
        <v>0</v>
      </c>
      <c r="G168" s="42">
        <f>INDEX(Displacements!B:B, MATCH(Summary!$C168, Displacements!$A:$A, 0))</f>
        <v>-30.5</v>
      </c>
      <c r="H168" s="43">
        <f>INDEX(Displacements!C:C, MATCH(Summary!$C168, Displacements!$A:$A, 0))</f>
        <v>0</v>
      </c>
      <c r="I168" s="44">
        <f>INDEX(Displacements!D:D, MATCH(Summary!$C168, Displacements!$A:$A, 0))</f>
        <v>0</v>
      </c>
      <c r="J168" s="42">
        <f t="shared" si="4"/>
        <v>0.5</v>
      </c>
      <c r="K168" s="49">
        <f t="shared" si="5"/>
        <v>1</v>
      </c>
      <c r="L168" s="54">
        <f>INDEX('Forces+Stresses'!C:C, MATCH(Summary!$A168, 'Forces+Stresses'!$A:$A, 0))</f>
        <v>26.76</v>
      </c>
      <c r="M168" s="55">
        <f>INDEX('Forces+Stresses'!D:D, MATCH(Summary!$A168, 'Forces+Stresses'!$A:$A, 0))</f>
        <v>26.76</v>
      </c>
      <c r="N168" s="55">
        <f>IFERROR(INDEX('Forces+Stresses'!Q:Q, MATCH(Summary!$A168, 'Forces+Stresses'!$A:$A, 0)), INDEX(Flexjoints!D:D, MATCH(Summary!$A168, Flexjoints!$A:$A, 0)))</f>
        <v>9.960000000000001E-11</v>
      </c>
      <c r="O168" s="56">
        <f>IFERROR(INDEX('Forces+Stresses'!R:R, MATCH(Summary!$A168, 'Forces+Stresses'!$A:$A, 0)), INDEX(Flexjoints!E:E, MATCH(Summary!$A168, Flexjoints!$A:$A, 0)))</f>
        <v>3.371E-9</v>
      </c>
      <c r="P168" s="33" t="str">
        <f>IF(INDEX(Labels!B:B, MATCH(Summary!$A168, Labels!$A:$A, 0)) = 0, "", INDEX(Labels!B:B, MATCH(Summary!$A168, Labels!$A:$A, 0)))</f>
        <v>{Casing Soil String}</v>
      </c>
      <c r="Q168" s="35" t="str">
        <f>IF(INDEX(Labels!C:C, MATCH(Summary!$A168, Labels!$A:$A, 0)) = 0, "", INDEX(Labels!C:C, MATCH(Summary!$A168, Labels!$A:$A, 0)))</f>
        <v>{Casing 13 3/8in}</v>
      </c>
      <c r="R168" s="33" t="str">
        <f>IF(INDEX(Labels!D:D, MATCH(Summary!$A168, Labels!$A:$A, 0)) = 0, "", INDEX(Labels!D:D, MATCH(Summary!$A168, Labels!$A:$A, 0)))</f>
        <v/>
      </c>
      <c r="S168" s="35" t="str">
        <f>IF(INDEX(Labels!E:E, MATCH(Summary!$A168, Labels!$A:$A, 0)) = 0, "", INDEX(Labels!E:E, MATCH(Summary!$A168, Labels!$A:$A, 0)))</f>
        <v/>
      </c>
      <c r="T168" s="33" t="str">
        <f>IF(INDEX(Labels!F:F, MATCH(Summary!$A168, Labels!$A:$A, 0)) = 0, "", INDEX(Labels!F:F, MATCH(Summary!$A168, Labels!$A:$A, 0)))</f>
        <v/>
      </c>
      <c r="U168" s="35" t="str">
        <f>IF(INDEX(Labels!G:G, MATCH(Summary!$A168, Labels!$A:$A, 0)) = 0, "", INDEX(Labels!G:G, MATCH(Summary!$A168, Labels!$A:$A, 0)))</f>
        <v/>
      </c>
      <c r="V168" s="62" t="str">
        <f>IF(INDEX(Labels!H:H, MATCH(Summary!$A168, Labels!$A:$A, 0)) = 0, "", INDEX(Labels!H:H, MATCH(Summary!$A168, Labels!$A:$A, 0)))</f>
        <v/>
      </c>
      <c r="W168" t="str">
        <f>IF(INDEX(Labels!I:I, MATCH(Summary!$A168, Labels!$A:$A, 0)) = 0, "", INDEX(Labels!I:I, MATCH(Summary!$A168, Labels!$A:$A, 0)))</f>
        <v/>
      </c>
      <c r="X168" t="str">
        <f>IF(INDEX(Labels!J:J, MATCH(Summary!$A168, Labels!$A:$A, 0)) = 0, "", INDEX(Labels!J:J, MATCH(Summary!$A168, Labels!$A:$A, 0)))</f>
        <v/>
      </c>
    </row>
    <row r="169" spans="1:24" x14ac:dyDescent="0.2">
      <c r="A169" s="33">
        <f>Labels!A170</f>
        <v>163</v>
      </c>
      <c r="B169" s="34">
        <f>INDEX(EchoData!B:B, MATCH(Summary!$A169, EchoData!$A:$A, 0))</f>
        <v>165</v>
      </c>
      <c r="C169" s="35">
        <f>INDEX(EchoData!C:C, MATCH(Summary!$A169, EchoData!$A:$A, 0))</f>
        <v>166</v>
      </c>
      <c r="D169" s="42">
        <f>INDEX(Displacements!B:B, MATCH(Summary!$B169, Displacements!$A:$A, 0))</f>
        <v>-30.5</v>
      </c>
      <c r="E169" s="43">
        <f>INDEX(Displacements!C:C, MATCH(Summary!$B169, Displacements!$A:$A, 0))</f>
        <v>0</v>
      </c>
      <c r="F169" s="44">
        <f>INDEX(Displacements!D:D, MATCH(Summary!$B169, Displacements!$A:$A, 0))</f>
        <v>0</v>
      </c>
      <c r="G169" s="42">
        <f>INDEX(Displacements!B:B, MATCH(Summary!$C169, Displacements!$A:$A, 0))</f>
        <v>-30</v>
      </c>
      <c r="H169" s="43">
        <f>INDEX(Displacements!C:C, MATCH(Summary!$C169, Displacements!$A:$A, 0))</f>
        <v>0</v>
      </c>
      <c r="I169" s="44">
        <f>INDEX(Displacements!D:D, MATCH(Summary!$C169, Displacements!$A:$A, 0))</f>
        <v>0</v>
      </c>
      <c r="J169" s="42">
        <f t="shared" si="4"/>
        <v>0.5</v>
      </c>
      <c r="K169" s="49">
        <f t="shared" si="5"/>
        <v>1</v>
      </c>
      <c r="L169" s="54">
        <f>INDEX('Forces+Stresses'!C:C, MATCH(Summary!$A169, 'Forces+Stresses'!$A:$A, 0))</f>
        <v>27.46</v>
      </c>
      <c r="M169" s="55">
        <f>INDEX('Forces+Stresses'!D:D, MATCH(Summary!$A169, 'Forces+Stresses'!$A:$A, 0))</f>
        <v>27.46</v>
      </c>
      <c r="N169" s="55">
        <f>IFERROR(INDEX('Forces+Stresses'!Q:Q, MATCH(Summary!$A169, 'Forces+Stresses'!$A:$A, 0)), INDEX(Flexjoints!D:D, MATCH(Summary!$A169, Flexjoints!$A:$A, 0)))</f>
        <v>1.2450000000000001E-10</v>
      </c>
      <c r="O169" s="56">
        <f>IFERROR(INDEX('Forces+Stresses'!R:R, MATCH(Summary!$A169, 'Forces+Stresses'!$A:$A, 0)), INDEX(Flexjoints!E:E, MATCH(Summary!$A169, Flexjoints!$A:$A, 0)))</f>
        <v>4.242E-9</v>
      </c>
      <c r="P169" s="33" t="str">
        <f>IF(INDEX(Labels!B:B, MATCH(Summary!$A169, Labels!$A:$A, 0)) = 0, "", INDEX(Labels!B:B, MATCH(Summary!$A169, Labels!$A:$A, 0)))</f>
        <v>{Casing Soil String}</v>
      </c>
      <c r="Q169" s="35" t="str">
        <f>IF(INDEX(Labels!C:C, MATCH(Summary!$A169, Labels!$A:$A, 0)) = 0, "", INDEX(Labels!C:C, MATCH(Summary!$A169, Labels!$A:$A, 0)))</f>
        <v>{Casing 13 3/8in}</v>
      </c>
      <c r="R169" s="33" t="str">
        <f>IF(INDEX(Labels!D:D, MATCH(Summary!$A169, Labels!$A:$A, 0)) = 0, "", INDEX(Labels!D:D, MATCH(Summary!$A169, Labels!$A:$A, 0)))</f>
        <v/>
      </c>
      <c r="S169" s="35" t="str">
        <f>IF(INDEX(Labels!E:E, MATCH(Summary!$A169, Labels!$A:$A, 0)) = 0, "", INDEX(Labels!E:E, MATCH(Summary!$A169, Labels!$A:$A, 0)))</f>
        <v/>
      </c>
      <c r="T169" s="33" t="str">
        <f>IF(INDEX(Labels!F:F, MATCH(Summary!$A169, Labels!$A:$A, 0)) = 0, "", INDEX(Labels!F:F, MATCH(Summary!$A169, Labels!$A:$A, 0)))</f>
        <v/>
      </c>
      <c r="U169" s="35" t="str">
        <f>IF(INDEX(Labels!G:G, MATCH(Summary!$A169, Labels!$A:$A, 0)) = 0, "", INDEX(Labels!G:G, MATCH(Summary!$A169, Labels!$A:$A, 0)))</f>
        <v/>
      </c>
      <c r="V169" s="62" t="str">
        <f>IF(INDEX(Labels!H:H, MATCH(Summary!$A169, Labels!$A:$A, 0)) = 0, "", INDEX(Labels!H:H, MATCH(Summary!$A169, Labels!$A:$A, 0)))</f>
        <v/>
      </c>
      <c r="W169" t="str">
        <f>IF(INDEX(Labels!I:I, MATCH(Summary!$A169, Labels!$A:$A, 0)) = 0, "", INDEX(Labels!I:I, MATCH(Summary!$A169, Labels!$A:$A, 0)))</f>
        <v/>
      </c>
      <c r="X169" t="str">
        <f>IF(INDEX(Labels!J:J, MATCH(Summary!$A169, Labels!$A:$A, 0)) = 0, "", INDEX(Labels!J:J, MATCH(Summary!$A169, Labels!$A:$A, 0)))</f>
        <v/>
      </c>
    </row>
    <row r="170" spans="1:24" x14ac:dyDescent="0.2">
      <c r="A170" s="33">
        <f>Labels!A171</f>
        <v>164</v>
      </c>
      <c r="B170" s="34">
        <f>INDEX(EchoData!B:B, MATCH(Summary!$A170, EchoData!$A:$A, 0))</f>
        <v>166</v>
      </c>
      <c r="C170" s="35">
        <f>INDEX(EchoData!C:C, MATCH(Summary!$A170, EchoData!$A:$A, 0))</f>
        <v>167</v>
      </c>
      <c r="D170" s="42">
        <f>INDEX(Displacements!B:B, MATCH(Summary!$B170, Displacements!$A:$A, 0))</f>
        <v>-30</v>
      </c>
      <c r="E170" s="43">
        <f>INDEX(Displacements!C:C, MATCH(Summary!$B170, Displacements!$A:$A, 0))</f>
        <v>0</v>
      </c>
      <c r="F170" s="44">
        <f>INDEX(Displacements!D:D, MATCH(Summary!$B170, Displacements!$A:$A, 0))</f>
        <v>0</v>
      </c>
      <c r="G170" s="42">
        <f>INDEX(Displacements!B:B, MATCH(Summary!$C170, Displacements!$A:$A, 0))</f>
        <v>-29.5</v>
      </c>
      <c r="H170" s="43">
        <f>INDEX(Displacements!C:C, MATCH(Summary!$C170, Displacements!$A:$A, 0))</f>
        <v>0</v>
      </c>
      <c r="I170" s="44">
        <f>INDEX(Displacements!D:D, MATCH(Summary!$C170, Displacements!$A:$A, 0))</f>
        <v>0</v>
      </c>
      <c r="J170" s="42">
        <f t="shared" si="4"/>
        <v>0.5</v>
      </c>
      <c r="K170" s="49">
        <f t="shared" si="5"/>
        <v>1</v>
      </c>
      <c r="L170" s="54">
        <f>INDEX('Forces+Stresses'!C:C, MATCH(Summary!$A170, 'Forces+Stresses'!$A:$A, 0))</f>
        <v>28.17</v>
      </c>
      <c r="M170" s="55">
        <f>INDEX('Forces+Stresses'!D:D, MATCH(Summary!$A170, 'Forces+Stresses'!$A:$A, 0))</f>
        <v>28.17</v>
      </c>
      <c r="N170" s="55">
        <f>IFERROR(INDEX('Forces+Stresses'!Q:Q, MATCH(Summary!$A170, 'Forces+Stresses'!$A:$A, 0)), INDEX(Flexjoints!D:D, MATCH(Summary!$A170, Flexjoints!$A:$A, 0)))</f>
        <v>1.521E-10</v>
      </c>
      <c r="O170" s="56">
        <f>IFERROR(INDEX('Forces+Stresses'!R:R, MATCH(Summary!$A170, 'Forces+Stresses'!$A:$A, 0)), INDEX(Flexjoints!E:E, MATCH(Summary!$A170, Flexjoints!$A:$A, 0)))</f>
        <v>5.2109999999999995E-9</v>
      </c>
      <c r="P170" s="33" t="str">
        <f>IF(INDEX(Labels!B:B, MATCH(Summary!$A170, Labels!$A:$A, 0)) = 0, "", INDEX(Labels!B:B, MATCH(Summary!$A170, Labels!$A:$A, 0)))</f>
        <v>{Casing Soil String}</v>
      </c>
      <c r="Q170" s="35" t="str">
        <f>IF(INDEX(Labels!C:C, MATCH(Summary!$A170, Labels!$A:$A, 0)) = 0, "", INDEX(Labels!C:C, MATCH(Summary!$A170, Labels!$A:$A, 0)))</f>
        <v>{Casing 13 3/8in}</v>
      </c>
      <c r="R170" s="33" t="str">
        <f>IF(INDEX(Labels!D:D, MATCH(Summary!$A170, Labels!$A:$A, 0)) = 0, "", INDEX(Labels!D:D, MATCH(Summary!$A170, Labels!$A:$A, 0)))</f>
        <v/>
      </c>
      <c r="S170" s="35" t="str">
        <f>IF(INDEX(Labels!E:E, MATCH(Summary!$A170, Labels!$A:$A, 0)) = 0, "", INDEX(Labels!E:E, MATCH(Summary!$A170, Labels!$A:$A, 0)))</f>
        <v/>
      </c>
      <c r="T170" s="33" t="str">
        <f>IF(INDEX(Labels!F:F, MATCH(Summary!$A170, Labels!$A:$A, 0)) = 0, "", INDEX(Labels!F:F, MATCH(Summary!$A170, Labels!$A:$A, 0)))</f>
        <v/>
      </c>
      <c r="U170" s="35" t="str">
        <f>IF(INDEX(Labels!G:G, MATCH(Summary!$A170, Labels!$A:$A, 0)) = 0, "", INDEX(Labels!G:G, MATCH(Summary!$A170, Labels!$A:$A, 0)))</f>
        <v/>
      </c>
      <c r="V170" s="62" t="str">
        <f>IF(INDEX(Labels!H:H, MATCH(Summary!$A170, Labels!$A:$A, 0)) = 0, "", INDEX(Labels!H:H, MATCH(Summary!$A170, Labels!$A:$A, 0)))</f>
        <v/>
      </c>
      <c r="W170" t="str">
        <f>IF(INDEX(Labels!I:I, MATCH(Summary!$A170, Labels!$A:$A, 0)) = 0, "", INDEX(Labels!I:I, MATCH(Summary!$A170, Labels!$A:$A, 0)))</f>
        <v/>
      </c>
      <c r="X170" t="str">
        <f>IF(INDEX(Labels!J:J, MATCH(Summary!$A170, Labels!$A:$A, 0)) = 0, "", INDEX(Labels!J:J, MATCH(Summary!$A170, Labels!$A:$A, 0)))</f>
        <v/>
      </c>
    </row>
    <row r="171" spans="1:24" x14ac:dyDescent="0.2">
      <c r="A171" s="33">
        <f>Labels!A172</f>
        <v>165</v>
      </c>
      <c r="B171" s="34">
        <f>INDEX(EchoData!B:B, MATCH(Summary!$A171, EchoData!$A:$A, 0))</f>
        <v>167</v>
      </c>
      <c r="C171" s="35">
        <f>INDEX(EchoData!C:C, MATCH(Summary!$A171, EchoData!$A:$A, 0))</f>
        <v>168</v>
      </c>
      <c r="D171" s="42">
        <f>INDEX(Displacements!B:B, MATCH(Summary!$B171, Displacements!$A:$A, 0))</f>
        <v>-29.5</v>
      </c>
      <c r="E171" s="43">
        <f>INDEX(Displacements!C:C, MATCH(Summary!$B171, Displacements!$A:$A, 0))</f>
        <v>0</v>
      </c>
      <c r="F171" s="44">
        <f>INDEX(Displacements!D:D, MATCH(Summary!$B171, Displacements!$A:$A, 0))</f>
        <v>0</v>
      </c>
      <c r="G171" s="42">
        <f>INDEX(Displacements!B:B, MATCH(Summary!$C171, Displacements!$A:$A, 0))</f>
        <v>-29</v>
      </c>
      <c r="H171" s="43">
        <f>INDEX(Displacements!C:C, MATCH(Summary!$C171, Displacements!$A:$A, 0))</f>
        <v>0</v>
      </c>
      <c r="I171" s="44">
        <f>INDEX(Displacements!D:D, MATCH(Summary!$C171, Displacements!$A:$A, 0))</f>
        <v>0</v>
      </c>
      <c r="J171" s="42">
        <f t="shared" si="4"/>
        <v>0.5</v>
      </c>
      <c r="K171" s="49">
        <f t="shared" si="5"/>
        <v>1</v>
      </c>
      <c r="L171" s="54">
        <f>INDEX('Forces+Stresses'!C:C, MATCH(Summary!$A171, 'Forces+Stresses'!$A:$A, 0))</f>
        <v>28.87</v>
      </c>
      <c r="M171" s="55">
        <f>INDEX('Forces+Stresses'!D:D, MATCH(Summary!$A171, 'Forces+Stresses'!$A:$A, 0))</f>
        <v>28.87</v>
      </c>
      <c r="N171" s="55">
        <f>IFERROR(INDEX('Forces+Stresses'!Q:Q, MATCH(Summary!$A171, 'Forces+Stresses'!$A:$A, 0)), INDEX(Flexjoints!D:D, MATCH(Summary!$A171, Flexjoints!$A:$A, 0)))</f>
        <v>1.8230000000000001E-10</v>
      </c>
      <c r="O171" s="56">
        <f>IFERROR(INDEX('Forces+Stresses'!R:R, MATCH(Summary!$A171, 'Forces+Stresses'!$A:$A, 0)), INDEX(Flexjoints!E:E, MATCH(Summary!$A171, Flexjoints!$A:$A, 0)))</f>
        <v>6.2770000000000006E-9</v>
      </c>
      <c r="P171" s="33" t="str">
        <f>IF(INDEX(Labels!B:B, MATCH(Summary!$A171, Labels!$A:$A, 0)) = 0, "", INDEX(Labels!B:B, MATCH(Summary!$A171, Labels!$A:$A, 0)))</f>
        <v>{Casing Soil String}</v>
      </c>
      <c r="Q171" s="35" t="str">
        <f>IF(INDEX(Labels!C:C, MATCH(Summary!$A171, Labels!$A:$A, 0)) = 0, "", INDEX(Labels!C:C, MATCH(Summary!$A171, Labels!$A:$A, 0)))</f>
        <v>{Casing 13 3/8in}</v>
      </c>
      <c r="R171" s="33" t="str">
        <f>IF(INDEX(Labels!D:D, MATCH(Summary!$A171, Labels!$A:$A, 0)) = 0, "", INDEX(Labels!D:D, MATCH(Summary!$A171, Labels!$A:$A, 0)))</f>
        <v/>
      </c>
      <c r="S171" s="35" t="str">
        <f>IF(INDEX(Labels!E:E, MATCH(Summary!$A171, Labels!$A:$A, 0)) = 0, "", INDEX(Labels!E:E, MATCH(Summary!$A171, Labels!$A:$A, 0)))</f>
        <v/>
      </c>
      <c r="T171" s="33" t="str">
        <f>IF(INDEX(Labels!F:F, MATCH(Summary!$A171, Labels!$A:$A, 0)) = 0, "", INDEX(Labels!F:F, MATCH(Summary!$A171, Labels!$A:$A, 0)))</f>
        <v/>
      </c>
      <c r="U171" s="35" t="str">
        <f>IF(INDEX(Labels!G:G, MATCH(Summary!$A171, Labels!$A:$A, 0)) = 0, "", INDEX(Labels!G:G, MATCH(Summary!$A171, Labels!$A:$A, 0)))</f>
        <v/>
      </c>
      <c r="V171" s="62" t="str">
        <f>IF(INDEX(Labels!H:H, MATCH(Summary!$A171, Labels!$A:$A, 0)) = 0, "", INDEX(Labels!H:H, MATCH(Summary!$A171, Labels!$A:$A, 0)))</f>
        <v/>
      </c>
      <c r="W171" t="str">
        <f>IF(INDEX(Labels!I:I, MATCH(Summary!$A171, Labels!$A:$A, 0)) = 0, "", INDEX(Labels!I:I, MATCH(Summary!$A171, Labels!$A:$A, 0)))</f>
        <v/>
      </c>
      <c r="X171" t="str">
        <f>IF(INDEX(Labels!J:J, MATCH(Summary!$A171, Labels!$A:$A, 0)) = 0, "", INDEX(Labels!J:J, MATCH(Summary!$A171, Labels!$A:$A, 0)))</f>
        <v/>
      </c>
    </row>
    <row r="172" spans="1:24" x14ac:dyDescent="0.2">
      <c r="A172" s="33">
        <f>Labels!A173</f>
        <v>166</v>
      </c>
      <c r="B172" s="34">
        <f>INDEX(EchoData!B:B, MATCH(Summary!$A172, EchoData!$A:$A, 0))</f>
        <v>168</v>
      </c>
      <c r="C172" s="35">
        <f>INDEX(EchoData!C:C, MATCH(Summary!$A172, EchoData!$A:$A, 0))</f>
        <v>169</v>
      </c>
      <c r="D172" s="42">
        <f>INDEX(Displacements!B:B, MATCH(Summary!$B172, Displacements!$A:$A, 0))</f>
        <v>-29</v>
      </c>
      <c r="E172" s="43">
        <f>INDEX(Displacements!C:C, MATCH(Summary!$B172, Displacements!$A:$A, 0))</f>
        <v>0</v>
      </c>
      <c r="F172" s="44">
        <f>INDEX(Displacements!D:D, MATCH(Summary!$B172, Displacements!$A:$A, 0))</f>
        <v>0</v>
      </c>
      <c r="G172" s="42">
        <f>INDEX(Displacements!B:B, MATCH(Summary!$C172, Displacements!$A:$A, 0))</f>
        <v>-28.5</v>
      </c>
      <c r="H172" s="43">
        <f>INDEX(Displacements!C:C, MATCH(Summary!$C172, Displacements!$A:$A, 0))</f>
        <v>0</v>
      </c>
      <c r="I172" s="44">
        <f>INDEX(Displacements!D:D, MATCH(Summary!$C172, Displacements!$A:$A, 0))</f>
        <v>0</v>
      </c>
      <c r="J172" s="42">
        <f t="shared" si="4"/>
        <v>0.5</v>
      </c>
      <c r="K172" s="49">
        <f t="shared" si="5"/>
        <v>1</v>
      </c>
      <c r="L172" s="54">
        <f>INDEX('Forces+Stresses'!C:C, MATCH(Summary!$A172, 'Forces+Stresses'!$A:$A, 0))</f>
        <v>29.57</v>
      </c>
      <c r="M172" s="55">
        <f>INDEX('Forces+Stresses'!D:D, MATCH(Summary!$A172, 'Forces+Stresses'!$A:$A, 0))</f>
        <v>29.57</v>
      </c>
      <c r="N172" s="55">
        <f>IFERROR(INDEX('Forces+Stresses'!Q:Q, MATCH(Summary!$A172, 'Forces+Stresses'!$A:$A, 0)), INDEX(Flexjoints!D:D, MATCH(Summary!$A172, Flexjoints!$A:$A, 0)))</f>
        <v>2.1500000000000001E-10</v>
      </c>
      <c r="O172" s="56">
        <f>IFERROR(INDEX('Forces+Stresses'!R:R, MATCH(Summary!$A172, 'Forces+Stresses'!$A:$A, 0)), INDEX(Flexjoints!E:E, MATCH(Summary!$A172, Flexjoints!$A:$A, 0)))</f>
        <v>7.4329999999999995E-9</v>
      </c>
      <c r="P172" s="33" t="str">
        <f>IF(INDEX(Labels!B:B, MATCH(Summary!$A172, Labels!$A:$A, 0)) = 0, "", INDEX(Labels!B:B, MATCH(Summary!$A172, Labels!$A:$A, 0)))</f>
        <v>{Casing Soil String}</v>
      </c>
      <c r="Q172" s="35" t="str">
        <f>IF(INDEX(Labels!C:C, MATCH(Summary!$A172, Labels!$A:$A, 0)) = 0, "", INDEX(Labels!C:C, MATCH(Summary!$A172, Labels!$A:$A, 0)))</f>
        <v>{Casing 13 3/8in}</v>
      </c>
      <c r="R172" s="33" t="str">
        <f>IF(INDEX(Labels!D:D, MATCH(Summary!$A172, Labels!$A:$A, 0)) = 0, "", INDEX(Labels!D:D, MATCH(Summary!$A172, Labels!$A:$A, 0)))</f>
        <v/>
      </c>
      <c r="S172" s="35" t="str">
        <f>IF(INDEX(Labels!E:E, MATCH(Summary!$A172, Labels!$A:$A, 0)) = 0, "", INDEX(Labels!E:E, MATCH(Summary!$A172, Labels!$A:$A, 0)))</f>
        <v/>
      </c>
      <c r="T172" s="33" t="str">
        <f>IF(INDEX(Labels!F:F, MATCH(Summary!$A172, Labels!$A:$A, 0)) = 0, "", INDEX(Labels!F:F, MATCH(Summary!$A172, Labels!$A:$A, 0)))</f>
        <v/>
      </c>
      <c r="U172" s="35" t="str">
        <f>IF(INDEX(Labels!G:G, MATCH(Summary!$A172, Labels!$A:$A, 0)) = 0, "", INDEX(Labels!G:G, MATCH(Summary!$A172, Labels!$A:$A, 0)))</f>
        <v/>
      </c>
      <c r="V172" s="62" t="str">
        <f>IF(INDEX(Labels!H:H, MATCH(Summary!$A172, Labels!$A:$A, 0)) = 0, "", INDEX(Labels!H:H, MATCH(Summary!$A172, Labels!$A:$A, 0)))</f>
        <v/>
      </c>
      <c r="W172" t="str">
        <f>IF(INDEX(Labels!I:I, MATCH(Summary!$A172, Labels!$A:$A, 0)) = 0, "", INDEX(Labels!I:I, MATCH(Summary!$A172, Labels!$A:$A, 0)))</f>
        <v/>
      </c>
      <c r="X172" t="str">
        <f>IF(INDEX(Labels!J:J, MATCH(Summary!$A172, Labels!$A:$A, 0)) = 0, "", INDEX(Labels!J:J, MATCH(Summary!$A172, Labels!$A:$A, 0)))</f>
        <v/>
      </c>
    </row>
    <row r="173" spans="1:24" x14ac:dyDescent="0.2">
      <c r="A173" s="33">
        <f>Labels!A174</f>
        <v>167</v>
      </c>
      <c r="B173" s="34">
        <f>INDEX(EchoData!B:B, MATCH(Summary!$A173, EchoData!$A:$A, 0))</f>
        <v>169</v>
      </c>
      <c r="C173" s="35">
        <f>INDEX(EchoData!C:C, MATCH(Summary!$A173, EchoData!$A:$A, 0))</f>
        <v>170</v>
      </c>
      <c r="D173" s="42">
        <f>INDEX(Displacements!B:B, MATCH(Summary!$B173, Displacements!$A:$A, 0))</f>
        <v>-28.5</v>
      </c>
      <c r="E173" s="43">
        <f>INDEX(Displacements!C:C, MATCH(Summary!$B173, Displacements!$A:$A, 0))</f>
        <v>0</v>
      </c>
      <c r="F173" s="44">
        <f>INDEX(Displacements!D:D, MATCH(Summary!$B173, Displacements!$A:$A, 0))</f>
        <v>0</v>
      </c>
      <c r="G173" s="42">
        <f>INDEX(Displacements!B:B, MATCH(Summary!$C173, Displacements!$A:$A, 0))</f>
        <v>-28</v>
      </c>
      <c r="H173" s="43">
        <f>INDEX(Displacements!C:C, MATCH(Summary!$C173, Displacements!$A:$A, 0))</f>
        <v>0</v>
      </c>
      <c r="I173" s="44">
        <f>INDEX(Displacements!D:D, MATCH(Summary!$C173, Displacements!$A:$A, 0))</f>
        <v>0</v>
      </c>
      <c r="J173" s="42">
        <f t="shared" si="4"/>
        <v>0.5</v>
      </c>
      <c r="K173" s="49">
        <f t="shared" si="5"/>
        <v>1</v>
      </c>
      <c r="L173" s="54">
        <f>INDEX('Forces+Stresses'!C:C, MATCH(Summary!$A173, 'Forces+Stresses'!$A:$A, 0))</f>
        <v>30.28</v>
      </c>
      <c r="M173" s="55">
        <f>INDEX('Forces+Stresses'!D:D, MATCH(Summary!$A173, 'Forces+Stresses'!$A:$A, 0))</f>
        <v>30.28</v>
      </c>
      <c r="N173" s="55">
        <f>IFERROR(INDEX('Forces+Stresses'!Q:Q, MATCH(Summary!$A173, 'Forces+Stresses'!$A:$A, 0)), INDEX(Flexjoints!D:D, MATCH(Summary!$A173, Flexjoints!$A:$A, 0)))</f>
        <v>2.4989999999999998E-10</v>
      </c>
      <c r="O173" s="56">
        <f>IFERROR(INDEX('Forces+Stresses'!R:R, MATCH(Summary!$A173, 'Forces+Stresses'!$A:$A, 0)), INDEX(Flexjoints!E:E, MATCH(Summary!$A173, Flexjoints!$A:$A, 0)))</f>
        <v>8.6699999999999992E-9</v>
      </c>
      <c r="P173" s="33" t="str">
        <f>IF(INDEX(Labels!B:B, MATCH(Summary!$A173, Labels!$A:$A, 0)) = 0, "", INDEX(Labels!B:B, MATCH(Summary!$A173, Labels!$A:$A, 0)))</f>
        <v>{Casing Soil String}</v>
      </c>
      <c r="Q173" s="35" t="str">
        <f>IF(INDEX(Labels!C:C, MATCH(Summary!$A173, Labels!$A:$A, 0)) = 0, "", INDEX(Labels!C:C, MATCH(Summary!$A173, Labels!$A:$A, 0)))</f>
        <v>{Casing 13 3/8in}</v>
      </c>
      <c r="R173" s="33" t="str">
        <f>IF(INDEX(Labels!D:D, MATCH(Summary!$A173, Labels!$A:$A, 0)) = 0, "", INDEX(Labels!D:D, MATCH(Summary!$A173, Labels!$A:$A, 0)))</f>
        <v/>
      </c>
      <c r="S173" s="35" t="str">
        <f>IF(INDEX(Labels!E:E, MATCH(Summary!$A173, Labels!$A:$A, 0)) = 0, "", INDEX(Labels!E:E, MATCH(Summary!$A173, Labels!$A:$A, 0)))</f>
        <v/>
      </c>
      <c r="T173" s="33" t="str">
        <f>IF(INDEX(Labels!F:F, MATCH(Summary!$A173, Labels!$A:$A, 0)) = 0, "", INDEX(Labels!F:F, MATCH(Summary!$A173, Labels!$A:$A, 0)))</f>
        <v/>
      </c>
      <c r="U173" s="35" t="str">
        <f>IF(INDEX(Labels!G:G, MATCH(Summary!$A173, Labels!$A:$A, 0)) = 0, "", INDEX(Labels!G:G, MATCH(Summary!$A173, Labels!$A:$A, 0)))</f>
        <v/>
      </c>
      <c r="V173" s="62" t="str">
        <f>IF(INDEX(Labels!H:H, MATCH(Summary!$A173, Labels!$A:$A, 0)) = 0, "", INDEX(Labels!H:H, MATCH(Summary!$A173, Labels!$A:$A, 0)))</f>
        <v/>
      </c>
      <c r="W173" t="str">
        <f>IF(INDEX(Labels!I:I, MATCH(Summary!$A173, Labels!$A:$A, 0)) = 0, "", INDEX(Labels!I:I, MATCH(Summary!$A173, Labels!$A:$A, 0)))</f>
        <v/>
      </c>
      <c r="X173" t="str">
        <f>IF(INDEX(Labels!J:J, MATCH(Summary!$A173, Labels!$A:$A, 0)) = 0, "", INDEX(Labels!J:J, MATCH(Summary!$A173, Labels!$A:$A, 0)))</f>
        <v/>
      </c>
    </row>
    <row r="174" spans="1:24" x14ac:dyDescent="0.2">
      <c r="A174" s="33">
        <f>Labels!A175</f>
        <v>168</v>
      </c>
      <c r="B174" s="34">
        <f>INDEX(EchoData!B:B, MATCH(Summary!$A174, EchoData!$A:$A, 0))</f>
        <v>170</v>
      </c>
      <c r="C174" s="35">
        <f>INDEX(EchoData!C:C, MATCH(Summary!$A174, EchoData!$A:$A, 0))</f>
        <v>171</v>
      </c>
      <c r="D174" s="42">
        <f>INDEX(Displacements!B:B, MATCH(Summary!$B174, Displacements!$A:$A, 0))</f>
        <v>-28</v>
      </c>
      <c r="E174" s="43">
        <f>INDEX(Displacements!C:C, MATCH(Summary!$B174, Displacements!$A:$A, 0))</f>
        <v>0</v>
      </c>
      <c r="F174" s="44">
        <f>INDEX(Displacements!D:D, MATCH(Summary!$B174, Displacements!$A:$A, 0))</f>
        <v>0</v>
      </c>
      <c r="G174" s="42">
        <f>INDEX(Displacements!B:B, MATCH(Summary!$C174, Displacements!$A:$A, 0))</f>
        <v>-27.5</v>
      </c>
      <c r="H174" s="43">
        <f>INDEX(Displacements!C:C, MATCH(Summary!$C174, Displacements!$A:$A, 0))</f>
        <v>0</v>
      </c>
      <c r="I174" s="44">
        <f>INDEX(Displacements!D:D, MATCH(Summary!$C174, Displacements!$A:$A, 0))</f>
        <v>0</v>
      </c>
      <c r="J174" s="42">
        <f t="shared" si="4"/>
        <v>0.5</v>
      </c>
      <c r="K174" s="49">
        <f t="shared" si="5"/>
        <v>1</v>
      </c>
      <c r="L174" s="54">
        <f>INDEX('Forces+Stresses'!C:C, MATCH(Summary!$A174, 'Forces+Stresses'!$A:$A, 0))</f>
        <v>30.98</v>
      </c>
      <c r="M174" s="55">
        <f>INDEX('Forces+Stresses'!D:D, MATCH(Summary!$A174, 'Forces+Stresses'!$A:$A, 0))</f>
        <v>30.98</v>
      </c>
      <c r="N174" s="55">
        <f>IFERROR(INDEX('Forces+Stresses'!Q:Q, MATCH(Summary!$A174, 'Forces+Stresses'!$A:$A, 0)), INDEX(Flexjoints!D:D, MATCH(Summary!$A174, Flexjoints!$A:$A, 0)))</f>
        <v>2.8659999999999997E-10</v>
      </c>
      <c r="O174" s="56">
        <f>IFERROR(INDEX('Forces+Stresses'!R:R, MATCH(Summary!$A174, 'Forces+Stresses'!$A:$A, 0)), INDEX(Flexjoints!E:E, MATCH(Summary!$A174, Flexjoints!$A:$A, 0)))</f>
        <v>9.9760000000000011E-9</v>
      </c>
      <c r="P174" s="33" t="str">
        <f>IF(INDEX(Labels!B:B, MATCH(Summary!$A174, Labels!$A:$A, 0)) = 0, "", INDEX(Labels!B:B, MATCH(Summary!$A174, Labels!$A:$A, 0)))</f>
        <v>{Casing Soil String}</v>
      </c>
      <c r="Q174" s="35" t="str">
        <f>IF(INDEX(Labels!C:C, MATCH(Summary!$A174, Labels!$A:$A, 0)) = 0, "", INDEX(Labels!C:C, MATCH(Summary!$A174, Labels!$A:$A, 0)))</f>
        <v>{Casing 13 3/8in}</v>
      </c>
      <c r="R174" s="33" t="str">
        <f>IF(INDEX(Labels!D:D, MATCH(Summary!$A174, Labels!$A:$A, 0)) = 0, "", INDEX(Labels!D:D, MATCH(Summary!$A174, Labels!$A:$A, 0)))</f>
        <v/>
      </c>
      <c r="S174" s="35" t="str">
        <f>IF(INDEX(Labels!E:E, MATCH(Summary!$A174, Labels!$A:$A, 0)) = 0, "", INDEX(Labels!E:E, MATCH(Summary!$A174, Labels!$A:$A, 0)))</f>
        <v/>
      </c>
      <c r="T174" s="33" t="str">
        <f>IF(INDEX(Labels!F:F, MATCH(Summary!$A174, Labels!$A:$A, 0)) = 0, "", INDEX(Labels!F:F, MATCH(Summary!$A174, Labels!$A:$A, 0)))</f>
        <v/>
      </c>
      <c r="U174" s="35" t="str">
        <f>IF(INDEX(Labels!G:G, MATCH(Summary!$A174, Labels!$A:$A, 0)) = 0, "", INDEX(Labels!G:G, MATCH(Summary!$A174, Labels!$A:$A, 0)))</f>
        <v/>
      </c>
      <c r="V174" s="62" t="str">
        <f>IF(INDEX(Labels!H:H, MATCH(Summary!$A174, Labels!$A:$A, 0)) = 0, "", INDEX(Labels!H:H, MATCH(Summary!$A174, Labels!$A:$A, 0)))</f>
        <v/>
      </c>
      <c r="W174" t="str">
        <f>IF(INDEX(Labels!I:I, MATCH(Summary!$A174, Labels!$A:$A, 0)) = 0, "", INDEX(Labels!I:I, MATCH(Summary!$A174, Labels!$A:$A, 0)))</f>
        <v/>
      </c>
      <c r="X174" t="str">
        <f>IF(INDEX(Labels!J:J, MATCH(Summary!$A174, Labels!$A:$A, 0)) = 0, "", INDEX(Labels!J:J, MATCH(Summary!$A174, Labels!$A:$A, 0)))</f>
        <v/>
      </c>
    </row>
    <row r="175" spans="1:24" x14ac:dyDescent="0.2">
      <c r="A175" s="33">
        <f>Labels!A176</f>
        <v>169</v>
      </c>
      <c r="B175" s="34">
        <f>INDEX(EchoData!B:B, MATCH(Summary!$A175, EchoData!$A:$A, 0))</f>
        <v>171</v>
      </c>
      <c r="C175" s="35">
        <f>INDEX(EchoData!C:C, MATCH(Summary!$A175, EchoData!$A:$A, 0))</f>
        <v>172</v>
      </c>
      <c r="D175" s="42">
        <f>INDEX(Displacements!B:B, MATCH(Summary!$B175, Displacements!$A:$A, 0))</f>
        <v>-27.5</v>
      </c>
      <c r="E175" s="43">
        <f>INDEX(Displacements!C:C, MATCH(Summary!$B175, Displacements!$A:$A, 0))</f>
        <v>0</v>
      </c>
      <c r="F175" s="44">
        <f>INDEX(Displacements!D:D, MATCH(Summary!$B175, Displacements!$A:$A, 0))</f>
        <v>0</v>
      </c>
      <c r="G175" s="42">
        <f>INDEX(Displacements!B:B, MATCH(Summary!$C175, Displacements!$A:$A, 0))</f>
        <v>-27</v>
      </c>
      <c r="H175" s="43">
        <f>INDEX(Displacements!C:C, MATCH(Summary!$C175, Displacements!$A:$A, 0))</f>
        <v>0</v>
      </c>
      <c r="I175" s="44">
        <f>INDEX(Displacements!D:D, MATCH(Summary!$C175, Displacements!$A:$A, 0))</f>
        <v>0</v>
      </c>
      <c r="J175" s="42">
        <f t="shared" si="4"/>
        <v>0.5</v>
      </c>
      <c r="K175" s="49">
        <f t="shared" si="5"/>
        <v>1</v>
      </c>
      <c r="L175" s="54">
        <f>INDEX('Forces+Stresses'!C:C, MATCH(Summary!$A175, 'Forces+Stresses'!$A:$A, 0))</f>
        <v>31.69</v>
      </c>
      <c r="M175" s="55">
        <f>INDEX('Forces+Stresses'!D:D, MATCH(Summary!$A175, 'Forces+Stresses'!$A:$A, 0))</f>
        <v>31.69</v>
      </c>
      <c r="N175" s="55">
        <f>IFERROR(INDEX('Forces+Stresses'!Q:Q, MATCH(Summary!$A175, 'Forces+Stresses'!$A:$A, 0)), INDEX(Flexjoints!D:D, MATCH(Summary!$A175, Flexjoints!$A:$A, 0)))</f>
        <v>3.2449999999999997E-10</v>
      </c>
      <c r="O175" s="56">
        <f>IFERROR(INDEX('Forces+Stresses'!R:R, MATCH(Summary!$A175, 'Forces+Stresses'!$A:$A, 0)), INDEX(Flexjoints!E:E, MATCH(Summary!$A175, Flexjoints!$A:$A, 0)))</f>
        <v>1.133E-8</v>
      </c>
      <c r="P175" s="33" t="str">
        <f>IF(INDEX(Labels!B:B, MATCH(Summary!$A175, Labels!$A:$A, 0)) = 0, "", INDEX(Labels!B:B, MATCH(Summary!$A175, Labels!$A:$A, 0)))</f>
        <v>{Casing Soil String}</v>
      </c>
      <c r="Q175" s="35" t="str">
        <f>IF(INDEX(Labels!C:C, MATCH(Summary!$A175, Labels!$A:$A, 0)) = 0, "", INDEX(Labels!C:C, MATCH(Summary!$A175, Labels!$A:$A, 0)))</f>
        <v>{Casing 13 3/8in}</v>
      </c>
      <c r="R175" s="33" t="str">
        <f>IF(INDEX(Labels!D:D, MATCH(Summary!$A175, Labels!$A:$A, 0)) = 0, "", INDEX(Labels!D:D, MATCH(Summary!$A175, Labels!$A:$A, 0)))</f>
        <v/>
      </c>
      <c r="S175" s="35" t="str">
        <f>IF(INDEX(Labels!E:E, MATCH(Summary!$A175, Labels!$A:$A, 0)) = 0, "", INDEX(Labels!E:E, MATCH(Summary!$A175, Labels!$A:$A, 0)))</f>
        <v/>
      </c>
      <c r="T175" s="33" t="str">
        <f>IF(INDEX(Labels!F:F, MATCH(Summary!$A175, Labels!$A:$A, 0)) = 0, "", INDEX(Labels!F:F, MATCH(Summary!$A175, Labels!$A:$A, 0)))</f>
        <v/>
      </c>
      <c r="U175" s="35" t="str">
        <f>IF(INDEX(Labels!G:G, MATCH(Summary!$A175, Labels!$A:$A, 0)) = 0, "", INDEX(Labels!G:G, MATCH(Summary!$A175, Labels!$A:$A, 0)))</f>
        <v/>
      </c>
      <c r="V175" s="62" t="str">
        <f>IF(INDEX(Labels!H:H, MATCH(Summary!$A175, Labels!$A:$A, 0)) = 0, "", INDEX(Labels!H:H, MATCH(Summary!$A175, Labels!$A:$A, 0)))</f>
        <v/>
      </c>
      <c r="W175" t="str">
        <f>IF(INDEX(Labels!I:I, MATCH(Summary!$A175, Labels!$A:$A, 0)) = 0, "", INDEX(Labels!I:I, MATCH(Summary!$A175, Labels!$A:$A, 0)))</f>
        <v/>
      </c>
      <c r="X175" t="str">
        <f>IF(INDEX(Labels!J:J, MATCH(Summary!$A175, Labels!$A:$A, 0)) = 0, "", INDEX(Labels!J:J, MATCH(Summary!$A175, Labels!$A:$A, 0)))</f>
        <v/>
      </c>
    </row>
    <row r="176" spans="1:24" x14ac:dyDescent="0.2">
      <c r="A176" s="33">
        <f>Labels!A177</f>
        <v>170</v>
      </c>
      <c r="B176" s="34">
        <f>INDEX(EchoData!B:B, MATCH(Summary!$A176, EchoData!$A:$A, 0))</f>
        <v>172</v>
      </c>
      <c r="C176" s="35">
        <f>INDEX(EchoData!C:C, MATCH(Summary!$A176, EchoData!$A:$A, 0))</f>
        <v>173</v>
      </c>
      <c r="D176" s="42">
        <f>INDEX(Displacements!B:B, MATCH(Summary!$B176, Displacements!$A:$A, 0))</f>
        <v>-27</v>
      </c>
      <c r="E176" s="43">
        <f>INDEX(Displacements!C:C, MATCH(Summary!$B176, Displacements!$A:$A, 0))</f>
        <v>0</v>
      </c>
      <c r="F176" s="44">
        <f>INDEX(Displacements!D:D, MATCH(Summary!$B176, Displacements!$A:$A, 0))</f>
        <v>0</v>
      </c>
      <c r="G176" s="42">
        <f>INDEX(Displacements!B:B, MATCH(Summary!$C176, Displacements!$A:$A, 0))</f>
        <v>-26.5</v>
      </c>
      <c r="H176" s="43">
        <f>INDEX(Displacements!C:C, MATCH(Summary!$C176, Displacements!$A:$A, 0))</f>
        <v>0</v>
      </c>
      <c r="I176" s="44">
        <f>INDEX(Displacements!D:D, MATCH(Summary!$C176, Displacements!$A:$A, 0))</f>
        <v>0</v>
      </c>
      <c r="J176" s="42">
        <f t="shared" si="4"/>
        <v>0.5</v>
      </c>
      <c r="K176" s="49">
        <f t="shared" si="5"/>
        <v>1</v>
      </c>
      <c r="L176" s="54">
        <f>INDEX('Forces+Stresses'!C:C, MATCH(Summary!$A176, 'Forces+Stresses'!$A:$A, 0))</f>
        <v>32.39</v>
      </c>
      <c r="M176" s="55">
        <f>INDEX('Forces+Stresses'!D:D, MATCH(Summary!$A176, 'Forces+Stresses'!$A:$A, 0))</f>
        <v>32.39</v>
      </c>
      <c r="N176" s="55">
        <f>IFERROR(INDEX('Forces+Stresses'!Q:Q, MATCH(Summary!$A176, 'Forces+Stresses'!$A:$A, 0)), INDEX(Flexjoints!D:D, MATCH(Summary!$A176, Flexjoints!$A:$A, 0)))</f>
        <v>3.6290000000000001E-10</v>
      </c>
      <c r="O176" s="56">
        <f>IFERROR(INDEX('Forces+Stresses'!R:R, MATCH(Summary!$A176, 'Forces+Stresses'!$A:$A, 0)), INDEX(Flexjoints!E:E, MATCH(Summary!$A176, Flexjoints!$A:$A, 0)))</f>
        <v>1.2710000000000001E-8</v>
      </c>
      <c r="P176" s="33" t="str">
        <f>IF(INDEX(Labels!B:B, MATCH(Summary!$A176, Labels!$A:$A, 0)) = 0, "", INDEX(Labels!B:B, MATCH(Summary!$A176, Labels!$A:$A, 0)))</f>
        <v>{Casing Soil String}</v>
      </c>
      <c r="Q176" s="35" t="str">
        <f>IF(INDEX(Labels!C:C, MATCH(Summary!$A176, Labels!$A:$A, 0)) = 0, "", INDEX(Labels!C:C, MATCH(Summary!$A176, Labels!$A:$A, 0)))</f>
        <v>{Casing 13 3/8in}</v>
      </c>
      <c r="R176" s="33" t="str">
        <f>IF(INDEX(Labels!D:D, MATCH(Summary!$A176, Labels!$A:$A, 0)) = 0, "", INDEX(Labels!D:D, MATCH(Summary!$A176, Labels!$A:$A, 0)))</f>
        <v/>
      </c>
      <c r="S176" s="35" t="str">
        <f>IF(INDEX(Labels!E:E, MATCH(Summary!$A176, Labels!$A:$A, 0)) = 0, "", INDEX(Labels!E:E, MATCH(Summary!$A176, Labels!$A:$A, 0)))</f>
        <v/>
      </c>
      <c r="T176" s="33" t="str">
        <f>IF(INDEX(Labels!F:F, MATCH(Summary!$A176, Labels!$A:$A, 0)) = 0, "", INDEX(Labels!F:F, MATCH(Summary!$A176, Labels!$A:$A, 0)))</f>
        <v/>
      </c>
      <c r="U176" s="35" t="str">
        <f>IF(INDEX(Labels!G:G, MATCH(Summary!$A176, Labels!$A:$A, 0)) = 0, "", INDEX(Labels!G:G, MATCH(Summary!$A176, Labels!$A:$A, 0)))</f>
        <v/>
      </c>
      <c r="V176" s="62" t="str">
        <f>IF(INDEX(Labels!H:H, MATCH(Summary!$A176, Labels!$A:$A, 0)) = 0, "", INDEX(Labels!H:H, MATCH(Summary!$A176, Labels!$A:$A, 0)))</f>
        <v/>
      </c>
      <c r="W176" t="str">
        <f>IF(INDEX(Labels!I:I, MATCH(Summary!$A176, Labels!$A:$A, 0)) = 0, "", INDEX(Labels!I:I, MATCH(Summary!$A176, Labels!$A:$A, 0)))</f>
        <v/>
      </c>
      <c r="X176" t="str">
        <f>IF(INDEX(Labels!J:J, MATCH(Summary!$A176, Labels!$A:$A, 0)) = 0, "", INDEX(Labels!J:J, MATCH(Summary!$A176, Labels!$A:$A, 0)))</f>
        <v/>
      </c>
    </row>
    <row r="177" spans="1:24" x14ac:dyDescent="0.2">
      <c r="A177" s="33">
        <f>Labels!A178</f>
        <v>171</v>
      </c>
      <c r="B177" s="34">
        <f>INDEX(EchoData!B:B, MATCH(Summary!$A177, EchoData!$A:$A, 0))</f>
        <v>173</v>
      </c>
      <c r="C177" s="35">
        <f>INDEX(EchoData!C:C, MATCH(Summary!$A177, EchoData!$A:$A, 0))</f>
        <v>174</v>
      </c>
      <c r="D177" s="42">
        <f>INDEX(Displacements!B:B, MATCH(Summary!$B177, Displacements!$A:$A, 0))</f>
        <v>-26.5</v>
      </c>
      <c r="E177" s="43">
        <f>INDEX(Displacements!C:C, MATCH(Summary!$B177, Displacements!$A:$A, 0))</f>
        <v>0</v>
      </c>
      <c r="F177" s="44">
        <f>INDEX(Displacements!D:D, MATCH(Summary!$B177, Displacements!$A:$A, 0))</f>
        <v>0</v>
      </c>
      <c r="G177" s="42">
        <f>INDEX(Displacements!B:B, MATCH(Summary!$C177, Displacements!$A:$A, 0))</f>
        <v>-26</v>
      </c>
      <c r="H177" s="43">
        <f>INDEX(Displacements!C:C, MATCH(Summary!$C177, Displacements!$A:$A, 0))</f>
        <v>0</v>
      </c>
      <c r="I177" s="44">
        <f>INDEX(Displacements!D:D, MATCH(Summary!$C177, Displacements!$A:$A, 0))</f>
        <v>0</v>
      </c>
      <c r="J177" s="42">
        <f t="shared" si="4"/>
        <v>0.5</v>
      </c>
      <c r="K177" s="49">
        <f t="shared" si="5"/>
        <v>1</v>
      </c>
      <c r="L177" s="54">
        <f>INDEX('Forces+Stresses'!C:C, MATCH(Summary!$A177, 'Forces+Stresses'!$A:$A, 0))</f>
        <v>33.090000000000003</v>
      </c>
      <c r="M177" s="55">
        <f>INDEX('Forces+Stresses'!D:D, MATCH(Summary!$A177, 'Forces+Stresses'!$A:$A, 0))</f>
        <v>33.090000000000003</v>
      </c>
      <c r="N177" s="55">
        <f>IFERROR(INDEX('Forces+Stresses'!Q:Q, MATCH(Summary!$A177, 'Forces+Stresses'!$A:$A, 0)), INDEX(Flexjoints!D:D, MATCH(Summary!$A177, Flexjoints!$A:$A, 0)))</f>
        <v>4.0100000000000001E-10</v>
      </c>
      <c r="O177" s="56">
        <f>IFERROR(INDEX('Forces+Stresses'!R:R, MATCH(Summary!$A177, 'Forces+Stresses'!$A:$A, 0)), INDEX(Flexjoints!E:E, MATCH(Summary!$A177, Flexjoints!$A:$A, 0)))</f>
        <v>1.4090000000000001E-8</v>
      </c>
      <c r="P177" s="33" t="str">
        <f>IF(INDEX(Labels!B:B, MATCH(Summary!$A177, Labels!$A:$A, 0)) = 0, "", INDEX(Labels!B:B, MATCH(Summary!$A177, Labels!$A:$A, 0)))</f>
        <v>{Casing Soil String}</v>
      </c>
      <c r="Q177" s="35" t="str">
        <f>IF(INDEX(Labels!C:C, MATCH(Summary!$A177, Labels!$A:$A, 0)) = 0, "", INDEX(Labels!C:C, MATCH(Summary!$A177, Labels!$A:$A, 0)))</f>
        <v>{Casing 13 3/8in}</v>
      </c>
      <c r="R177" s="33" t="str">
        <f>IF(INDEX(Labels!D:D, MATCH(Summary!$A177, Labels!$A:$A, 0)) = 0, "", INDEX(Labels!D:D, MATCH(Summary!$A177, Labels!$A:$A, 0)))</f>
        <v/>
      </c>
      <c r="S177" s="35" t="str">
        <f>IF(INDEX(Labels!E:E, MATCH(Summary!$A177, Labels!$A:$A, 0)) = 0, "", INDEX(Labels!E:E, MATCH(Summary!$A177, Labels!$A:$A, 0)))</f>
        <v/>
      </c>
      <c r="T177" s="33" t="str">
        <f>IF(INDEX(Labels!F:F, MATCH(Summary!$A177, Labels!$A:$A, 0)) = 0, "", INDEX(Labels!F:F, MATCH(Summary!$A177, Labels!$A:$A, 0)))</f>
        <v/>
      </c>
      <c r="U177" s="35" t="str">
        <f>IF(INDEX(Labels!G:G, MATCH(Summary!$A177, Labels!$A:$A, 0)) = 0, "", INDEX(Labels!G:G, MATCH(Summary!$A177, Labels!$A:$A, 0)))</f>
        <v/>
      </c>
      <c r="V177" s="62" t="str">
        <f>IF(INDEX(Labels!H:H, MATCH(Summary!$A177, Labels!$A:$A, 0)) = 0, "", INDEX(Labels!H:H, MATCH(Summary!$A177, Labels!$A:$A, 0)))</f>
        <v/>
      </c>
      <c r="W177" t="str">
        <f>IF(INDEX(Labels!I:I, MATCH(Summary!$A177, Labels!$A:$A, 0)) = 0, "", INDEX(Labels!I:I, MATCH(Summary!$A177, Labels!$A:$A, 0)))</f>
        <v/>
      </c>
      <c r="X177" t="str">
        <f>IF(INDEX(Labels!J:J, MATCH(Summary!$A177, Labels!$A:$A, 0)) = 0, "", INDEX(Labels!J:J, MATCH(Summary!$A177, Labels!$A:$A, 0)))</f>
        <v/>
      </c>
    </row>
    <row r="178" spans="1:24" x14ac:dyDescent="0.2">
      <c r="A178" s="33">
        <f>Labels!A179</f>
        <v>172</v>
      </c>
      <c r="B178" s="34">
        <f>INDEX(EchoData!B:B, MATCH(Summary!$A178, EchoData!$A:$A, 0))</f>
        <v>174</v>
      </c>
      <c r="C178" s="35">
        <f>INDEX(EchoData!C:C, MATCH(Summary!$A178, EchoData!$A:$A, 0))</f>
        <v>175</v>
      </c>
      <c r="D178" s="42">
        <f>INDEX(Displacements!B:B, MATCH(Summary!$B178, Displacements!$A:$A, 0))</f>
        <v>-26</v>
      </c>
      <c r="E178" s="43">
        <f>INDEX(Displacements!C:C, MATCH(Summary!$B178, Displacements!$A:$A, 0))</f>
        <v>0</v>
      </c>
      <c r="F178" s="44">
        <f>INDEX(Displacements!D:D, MATCH(Summary!$B178, Displacements!$A:$A, 0))</f>
        <v>0</v>
      </c>
      <c r="G178" s="42">
        <f>INDEX(Displacements!B:B, MATCH(Summary!$C178, Displacements!$A:$A, 0))</f>
        <v>-25.5</v>
      </c>
      <c r="H178" s="43">
        <f>INDEX(Displacements!C:C, MATCH(Summary!$C178, Displacements!$A:$A, 0))</f>
        <v>0</v>
      </c>
      <c r="I178" s="44">
        <f>INDEX(Displacements!D:D, MATCH(Summary!$C178, Displacements!$A:$A, 0))</f>
        <v>0</v>
      </c>
      <c r="J178" s="42">
        <f t="shared" si="4"/>
        <v>0.5</v>
      </c>
      <c r="K178" s="49">
        <f t="shared" si="5"/>
        <v>1</v>
      </c>
      <c r="L178" s="54">
        <f>INDEX('Forces+Stresses'!C:C, MATCH(Summary!$A178, 'Forces+Stresses'!$A:$A, 0))</f>
        <v>33.799999999999997</v>
      </c>
      <c r="M178" s="55">
        <f>INDEX('Forces+Stresses'!D:D, MATCH(Summary!$A178, 'Forces+Stresses'!$A:$A, 0))</f>
        <v>33.799999999999997</v>
      </c>
      <c r="N178" s="55">
        <f>IFERROR(INDEX('Forces+Stresses'!Q:Q, MATCH(Summary!$A178, 'Forces+Stresses'!$A:$A, 0)), INDEX(Flexjoints!D:D, MATCH(Summary!$A178, Flexjoints!$A:$A, 0)))</f>
        <v>4.3760000000000002E-10</v>
      </c>
      <c r="O178" s="56">
        <f>IFERROR(INDEX('Forces+Stresses'!R:R, MATCH(Summary!$A178, 'Forces+Stresses'!$A:$A, 0)), INDEX(Flexjoints!E:E, MATCH(Summary!$A178, Flexjoints!$A:$A, 0)))</f>
        <v>1.543E-8</v>
      </c>
      <c r="P178" s="33" t="str">
        <f>IF(INDEX(Labels!B:B, MATCH(Summary!$A178, Labels!$A:$A, 0)) = 0, "", INDEX(Labels!B:B, MATCH(Summary!$A178, Labels!$A:$A, 0)))</f>
        <v>{Casing Soil String}</v>
      </c>
      <c r="Q178" s="35" t="str">
        <f>IF(INDEX(Labels!C:C, MATCH(Summary!$A178, Labels!$A:$A, 0)) = 0, "", INDEX(Labels!C:C, MATCH(Summary!$A178, Labels!$A:$A, 0)))</f>
        <v>{Casing 13 3/8in}</v>
      </c>
      <c r="R178" s="33" t="str">
        <f>IF(INDEX(Labels!D:D, MATCH(Summary!$A178, Labels!$A:$A, 0)) = 0, "", INDEX(Labels!D:D, MATCH(Summary!$A178, Labels!$A:$A, 0)))</f>
        <v/>
      </c>
      <c r="S178" s="35" t="str">
        <f>IF(INDEX(Labels!E:E, MATCH(Summary!$A178, Labels!$A:$A, 0)) = 0, "", INDEX(Labels!E:E, MATCH(Summary!$A178, Labels!$A:$A, 0)))</f>
        <v/>
      </c>
      <c r="T178" s="33" t="str">
        <f>IF(INDEX(Labels!F:F, MATCH(Summary!$A178, Labels!$A:$A, 0)) = 0, "", INDEX(Labels!F:F, MATCH(Summary!$A178, Labels!$A:$A, 0)))</f>
        <v/>
      </c>
      <c r="U178" s="35" t="str">
        <f>IF(INDEX(Labels!G:G, MATCH(Summary!$A178, Labels!$A:$A, 0)) = 0, "", INDEX(Labels!G:G, MATCH(Summary!$A178, Labels!$A:$A, 0)))</f>
        <v/>
      </c>
      <c r="V178" s="62" t="str">
        <f>IF(INDEX(Labels!H:H, MATCH(Summary!$A178, Labels!$A:$A, 0)) = 0, "", INDEX(Labels!H:H, MATCH(Summary!$A178, Labels!$A:$A, 0)))</f>
        <v/>
      </c>
      <c r="W178" t="str">
        <f>IF(INDEX(Labels!I:I, MATCH(Summary!$A178, Labels!$A:$A, 0)) = 0, "", INDEX(Labels!I:I, MATCH(Summary!$A178, Labels!$A:$A, 0)))</f>
        <v/>
      </c>
      <c r="X178" t="str">
        <f>IF(INDEX(Labels!J:J, MATCH(Summary!$A178, Labels!$A:$A, 0)) = 0, "", INDEX(Labels!J:J, MATCH(Summary!$A178, Labels!$A:$A, 0)))</f>
        <v/>
      </c>
    </row>
    <row r="179" spans="1:24" x14ac:dyDescent="0.2">
      <c r="A179" s="33">
        <f>Labels!A180</f>
        <v>173</v>
      </c>
      <c r="B179" s="34">
        <f>INDEX(EchoData!B:B, MATCH(Summary!$A179, EchoData!$A:$A, 0))</f>
        <v>175</v>
      </c>
      <c r="C179" s="35">
        <f>INDEX(EchoData!C:C, MATCH(Summary!$A179, EchoData!$A:$A, 0))</f>
        <v>176</v>
      </c>
      <c r="D179" s="42">
        <f>INDEX(Displacements!B:B, MATCH(Summary!$B179, Displacements!$A:$A, 0))</f>
        <v>-25.5</v>
      </c>
      <c r="E179" s="43">
        <f>INDEX(Displacements!C:C, MATCH(Summary!$B179, Displacements!$A:$A, 0))</f>
        <v>0</v>
      </c>
      <c r="F179" s="44">
        <f>INDEX(Displacements!D:D, MATCH(Summary!$B179, Displacements!$A:$A, 0))</f>
        <v>0</v>
      </c>
      <c r="G179" s="42">
        <f>INDEX(Displacements!B:B, MATCH(Summary!$C179, Displacements!$A:$A, 0))</f>
        <v>-25</v>
      </c>
      <c r="H179" s="43">
        <f>INDEX(Displacements!C:C, MATCH(Summary!$C179, Displacements!$A:$A, 0))</f>
        <v>0</v>
      </c>
      <c r="I179" s="44">
        <f>INDEX(Displacements!D:D, MATCH(Summary!$C179, Displacements!$A:$A, 0))</f>
        <v>0</v>
      </c>
      <c r="J179" s="42">
        <f t="shared" si="4"/>
        <v>0.5</v>
      </c>
      <c r="K179" s="49">
        <f t="shared" si="5"/>
        <v>1</v>
      </c>
      <c r="L179" s="54">
        <f>INDEX('Forces+Stresses'!C:C, MATCH(Summary!$A179, 'Forces+Stresses'!$A:$A, 0))</f>
        <v>34.5</v>
      </c>
      <c r="M179" s="55">
        <f>INDEX('Forces+Stresses'!D:D, MATCH(Summary!$A179, 'Forces+Stresses'!$A:$A, 0))</f>
        <v>34.5</v>
      </c>
      <c r="N179" s="55">
        <f>IFERROR(INDEX('Forces+Stresses'!Q:Q, MATCH(Summary!$A179, 'Forces+Stresses'!$A:$A, 0)), INDEX(Flexjoints!D:D, MATCH(Summary!$A179, Flexjoints!$A:$A, 0)))</f>
        <v>4.7119999999999999E-10</v>
      </c>
      <c r="O179" s="56">
        <f>IFERROR(INDEX('Forces+Stresses'!R:R, MATCH(Summary!$A179, 'Forces+Stresses'!$A:$A, 0)), INDEX(Flexjoints!E:E, MATCH(Summary!$A179, Flexjoints!$A:$A, 0)))</f>
        <v>1.667E-8</v>
      </c>
      <c r="P179" s="33" t="str">
        <f>IF(INDEX(Labels!B:B, MATCH(Summary!$A179, Labels!$A:$A, 0)) = 0, "", INDEX(Labels!B:B, MATCH(Summary!$A179, Labels!$A:$A, 0)))</f>
        <v>{Casing Soil String}</v>
      </c>
      <c r="Q179" s="35" t="str">
        <f>IF(INDEX(Labels!C:C, MATCH(Summary!$A179, Labels!$A:$A, 0)) = 0, "", INDEX(Labels!C:C, MATCH(Summary!$A179, Labels!$A:$A, 0)))</f>
        <v>{Casing 13 3/8in}</v>
      </c>
      <c r="R179" s="33" t="str">
        <f>IF(INDEX(Labels!D:D, MATCH(Summary!$A179, Labels!$A:$A, 0)) = 0, "", INDEX(Labels!D:D, MATCH(Summary!$A179, Labels!$A:$A, 0)))</f>
        <v/>
      </c>
      <c r="S179" s="35" t="str">
        <f>IF(INDEX(Labels!E:E, MATCH(Summary!$A179, Labels!$A:$A, 0)) = 0, "", INDEX(Labels!E:E, MATCH(Summary!$A179, Labels!$A:$A, 0)))</f>
        <v/>
      </c>
      <c r="T179" s="33" t="str">
        <f>IF(INDEX(Labels!F:F, MATCH(Summary!$A179, Labels!$A:$A, 0)) = 0, "", INDEX(Labels!F:F, MATCH(Summary!$A179, Labels!$A:$A, 0)))</f>
        <v/>
      </c>
      <c r="U179" s="35" t="str">
        <f>IF(INDEX(Labels!G:G, MATCH(Summary!$A179, Labels!$A:$A, 0)) = 0, "", INDEX(Labels!G:G, MATCH(Summary!$A179, Labels!$A:$A, 0)))</f>
        <v/>
      </c>
      <c r="V179" s="62" t="str">
        <f>IF(INDEX(Labels!H:H, MATCH(Summary!$A179, Labels!$A:$A, 0)) = 0, "", INDEX(Labels!H:H, MATCH(Summary!$A179, Labels!$A:$A, 0)))</f>
        <v/>
      </c>
      <c r="W179" t="str">
        <f>IF(INDEX(Labels!I:I, MATCH(Summary!$A179, Labels!$A:$A, 0)) = 0, "", INDEX(Labels!I:I, MATCH(Summary!$A179, Labels!$A:$A, 0)))</f>
        <v/>
      </c>
      <c r="X179" t="str">
        <f>IF(INDEX(Labels!J:J, MATCH(Summary!$A179, Labels!$A:$A, 0)) = 0, "", INDEX(Labels!J:J, MATCH(Summary!$A179, Labels!$A:$A, 0)))</f>
        <v/>
      </c>
    </row>
    <row r="180" spans="1:24" x14ac:dyDescent="0.2">
      <c r="A180" s="33">
        <f>Labels!A181</f>
        <v>174</v>
      </c>
      <c r="B180" s="34">
        <f>INDEX(EchoData!B:B, MATCH(Summary!$A180, EchoData!$A:$A, 0))</f>
        <v>176</v>
      </c>
      <c r="C180" s="35">
        <f>INDEX(EchoData!C:C, MATCH(Summary!$A180, EchoData!$A:$A, 0))</f>
        <v>177</v>
      </c>
      <c r="D180" s="42">
        <f>INDEX(Displacements!B:B, MATCH(Summary!$B180, Displacements!$A:$A, 0))</f>
        <v>-25</v>
      </c>
      <c r="E180" s="43">
        <f>INDEX(Displacements!C:C, MATCH(Summary!$B180, Displacements!$A:$A, 0))</f>
        <v>0</v>
      </c>
      <c r="F180" s="44">
        <f>INDEX(Displacements!D:D, MATCH(Summary!$B180, Displacements!$A:$A, 0))</f>
        <v>0</v>
      </c>
      <c r="G180" s="42">
        <f>INDEX(Displacements!B:B, MATCH(Summary!$C180, Displacements!$A:$A, 0))</f>
        <v>-24.5</v>
      </c>
      <c r="H180" s="43">
        <f>INDEX(Displacements!C:C, MATCH(Summary!$C180, Displacements!$A:$A, 0))</f>
        <v>0</v>
      </c>
      <c r="I180" s="44">
        <f>INDEX(Displacements!D:D, MATCH(Summary!$C180, Displacements!$A:$A, 0))</f>
        <v>0</v>
      </c>
      <c r="J180" s="42">
        <f t="shared" si="4"/>
        <v>0.5</v>
      </c>
      <c r="K180" s="49">
        <f t="shared" si="5"/>
        <v>1</v>
      </c>
      <c r="L180" s="54">
        <f>INDEX('Forces+Stresses'!C:C, MATCH(Summary!$A180, 'Forces+Stresses'!$A:$A, 0))</f>
        <v>35.21</v>
      </c>
      <c r="M180" s="55">
        <f>INDEX('Forces+Stresses'!D:D, MATCH(Summary!$A180, 'Forces+Stresses'!$A:$A, 0))</f>
        <v>35.21</v>
      </c>
      <c r="N180" s="55">
        <f>IFERROR(INDEX('Forces+Stresses'!Q:Q, MATCH(Summary!$A180, 'Forces+Stresses'!$A:$A, 0)), INDEX(Flexjoints!D:D, MATCH(Summary!$A180, Flexjoints!$A:$A, 0)))</f>
        <v>5.0040000000000005E-10</v>
      </c>
      <c r="O180" s="56">
        <f>IFERROR(INDEX('Forces+Stresses'!R:R, MATCH(Summary!$A180, 'Forces+Stresses'!$A:$A, 0)), INDEX(Flexjoints!E:E, MATCH(Summary!$A180, Flexjoints!$A:$A, 0)))</f>
        <v>1.777E-8</v>
      </c>
      <c r="P180" s="33" t="str">
        <f>IF(INDEX(Labels!B:B, MATCH(Summary!$A180, Labels!$A:$A, 0)) = 0, "", INDEX(Labels!B:B, MATCH(Summary!$A180, Labels!$A:$A, 0)))</f>
        <v>{Casing Soil String}</v>
      </c>
      <c r="Q180" s="35" t="str">
        <f>IF(INDEX(Labels!C:C, MATCH(Summary!$A180, Labels!$A:$A, 0)) = 0, "", INDEX(Labels!C:C, MATCH(Summary!$A180, Labels!$A:$A, 0)))</f>
        <v>{Casing 13 3/8in}</v>
      </c>
      <c r="R180" s="33" t="str">
        <f>IF(INDEX(Labels!D:D, MATCH(Summary!$A180, Labels!$A:$A, 0)) = 0, "", INDEX(Labels!D:D, MATCH(Summary!$A180, Labels!$A:$A, 0)))</f>
        <v/>
      </c>
      <c r="S180" s="35" t="str">
        <f>IF(INDEX(Labels!E:E, MATCH(Summary!$A180, Labels!$A:$A, 0)) = 0, "", INDEX(Labels!E:E, MATCH(Summary!$A180, Labels!$A:$A, 0)))</f>
        <v/>
      </c>
      <c r="T180" s="33" t="str">
        <f>IF(INDEX(Labels!F:F, MATCH(Summary!$A180, Labels!$A:$A, 0)) = 0, "", INDEX(Labels!F:F, MATCH(Summary!$A180, Labels!$A:$A, 0)))</f>
        <v/>
      </c>
      <c r="U180" s="35" t="str">
        <f>IF(INDEX(Labels!G:G, MATCH(Summary!$A180, Labels!$A:$A, 0)) = 0, "", INDEX(Labels!G:G, MATCH(Summary!$A180, Labels!$A:$A, 0)))</f>
        <v/>
      </c>
      <c r="V180" s="62" t="str">
        <f>IF(INDEX(Labels!H:H, MATCH(Summary!$A180, Labels!$A:$A, 0)) = 0, "", INDEX(Labels!H:H, MATCH(Summary!$A180, Labels!$A:$A, 0)))</f>
        <v/>
      </c>
      <c r="W180" t="str">
        <f>IF(INDEX(Labels!I:I, MATCH(Summary!$A180, Labels!$A:$A, 0)) = 0, "", INDEX(Labels!I:I, MATCH(Summary!$A180, Labels!$A:$A, 0)))</f>
        <v/>
      </c>
      <c r="X180" t="str">
        <f>IF(INDEX(Labels!J:J, MATCH(Summary!$A180, Labels!$A:$A, 0)) = 0, "", INDEX(Labels!J:J, MATCH(Summary!$A180, Labels!$A:$A, 0)))</f>
        <v/>
      </c>
    </row>
    <row r="181" spans="1:24" x14ac:dyDescent="0.2">
      <c r="A181" s="33">
        <f>Labels!A182</f>
        <v>175</v>
      </c>
      <c r="B181" s="34">
        <f>INDEX(EchoData!B:B, MATCH(Summary!$A181, EchoData!$A:$A, 0))</f>
        <v>177</v>
      </c>
      <c r="C181" s="35">
        <f>INDEX(EchoData!C:C, MATCH(Summary!$A181, EchoData!$A:$A, 0))</f>
        <v>178</v>
      </c>
      <c r="D181" s="42">
        <f>INDEX(Displacements!B:B, MATCH(Summary!$B181, Displacements!$A:$A, 0))</f>
        <v>-24.5</v>
      </c>
      <c r="E181" s="43">
        <f>INDEX(Displacements!C:C, MATCH(Summary!$B181, Displacements!$A:$A, 0))</f>
        <v>0</v>
      </c>
      <c r="F181" s="44">
        <f>INDEX(Displacements!D:D, MATCH(Summary!$B181, Displacements!$A:$A, 0))</f>
        <v>0</v>
      </c>
      <c r="G181" s="42">
        <f>INDEX(Displacements!B:B, MATCH(Summary!$C181, Displacements!$A:$A, 0))</f>
        <v>-24</v>
      </c>
      <c r="H181" s="43">
        <f>INDEX(Displacements!C:C, MATCH(Summary!$C181, Displacements!$A:$A, 0))</f>
        <v>0</v>
      </c>
      <c r="I181" s="44">
        <f>INDEX(Displacements!D:D, MATCH(Summary!$C181, Displacements!$A:$A, 0))</f>
        <v>0</v>
      </c>
      <c r="J181" s="42">
        <f t="shared" si="4"/>
        <v>0.5</v>
      </c>
      <c r="K181" s="49">
        <f t="shared" si="5"/>
        <v>1</v>
      </c>
      <c r="L181" s="54">
        <f>INDEX('Forces+Stresses'!C:C, MATCH(Summary!$A181, 'Forces+Stresses'!$A:$A, 0))</f>
        <v>35.909999999999997</v>
      </c>
      <c r="M181" s="55">
        <f>INDEX('Forces+Stresses'!D:D, MATCH(Summary!$A181, 'Forces+Stresses'!$A:$A, 0))</f>
        <v>35.909999999999997</v>
      </c>
      <c r="N181" s="55">
        <f>IFERROR(INDEX('Forces+Stresses'!Q:Q, MATCH(Summary!$A181, 'Forces+Stresses'!$A:$A, 0)), INDEX(Flexjoints!D:D, MATCH(Summary!$A181, Flexjoints!$A:$A, 0)))</f>
        <v>5.2409999999999998E-10</v>
      </c>
      <c r="O181" s="56">
        <f>IFERROR(INDEX('Forces+Stresses'!R:R, MATCH(Summary!$A181, 'Forces+Stresses'!$A:$A, 0)), INDEX(Flexjoints!E:E, MATCH(Summary!$A181, Flexjoints!$A:$A, 0)))</f>
        <v>1.8679999999999999E-8</v>
      </c>
      <c r="P181" s="33" t="str">
        <f>IF(INDEX(Labels!B:B, MATCH(Summary!$A181, Labels!$A:$A, 0)) = 0, "", INDEX(Labels!B:B, MATCH(Summary!$A181, Labels!$A:$A, 0)))</f>
        <v>{Casing Soil String}</v>
      </c>
      <c r="Q181" s="35" t="str">
        <f>IF(INDEX(Labels!C:C, MATCH(Summary!$A181, Labels!$A:$A, 0)) = 0, "", INDEX(Labels!C:C, MATCH(Summary!$A181, Labels!$A:$A, 0)))</f>
        <v>{Casing 13 3/8in}</v>
      </c>
      <c r="R181" s="33" t="str">
        <f>IF(INDEX(Labels!D:D, MATCH(Summary!$A181, Labels!$A:$A, 0)) = 0, "", INDEX(Labels!D:D, MATCH(Summary!$A181, Labels!$A:$A, 0)))</f>
        <v/>
      </c>
      <c r="S181" s="35" t="str">
        <f>IF(INDEX(Labels!E:E, MATCH(Summary!$A181, Labels!$A:$A, 0)) = 0, "", INDEX(Labels!E:E, MATCH(Summary!$A181, Labels!$A:$A, 0)))</f>
        <v/>
      </c>
      <c r="T181" s="33" t="str">
        <f>IF(INDEX(Labels!F:F, MATCH(Summary!$A181, Labels!$A:$A, 0)) = 0, "", INDEX(Labels!F:F, MATCH(Summary!$A181, Labels!$A:$A, 0)))</f>
        <v/>
      </c>
      <c r="U181" s="35" t="str">
        <f>IF(INDEX(Labels!G:G, MATCH(Summary!$A181, Labels!$A:$A, 0)) = 0, "", INDEX(Labels!G:G, MATCH(Summary!$A181, Labels!$A:$A, 0)))</f>
        <v/>
      </c>
      <c r="V181" s="62" t="str">
        <f>IF(INDEX(Labels!H:H, MATCH(Summary!$A181, Labels!$A:$A, 0)) = 0, "", INDEX(Labels!H:H, MATCH(Summary!$A181, Labels!$A:$A, 0)))</f>
        <v/>
      </c>
      <c r="W181" t="str">
        <f>IF(INDEX(Labels!I:I, MATCH(Summary!$A181, Labels!$A:$A, 0)) = 0, "", INDEX(Labels!I:I, MATCH(Summary!$A181, Labels!$A:$A, 0)))</f>
        <v/>
      </c>
      <c r="X181" t="str">
        <f>IF(INDEX(Labels!J:J, MATCH(Summary!$A181, Labels!$A:$A, 0)) = 0, "", INDEX(Labels!J:J, MATCH(Summary!$A181, Labels!$A:$A, 0)))</f>
        <v/>
      </c>
    </row>
    <row r="182" spans="1:24" x14ac:dyDescent="0.2">
      <c r="A182" s="33">
        <f>Labels!A183</f>
        <v>176</v>
      </c>
      <c r="B182" s="34">
        <f>INDEX(EchoData!B:B, MATCH(Summary!$A182, EchoData!$A:$A, 0))</f>
        <v>178</v>
      </c>
      <c r="C182" s="35">
        <f>INDEX(EchoData!C:C, MATCH(Summary!$A182, EchoData!$A:$A, 0))</f>
        <v>179</v>
      </c>
      <c r="D182" s="42">
        <f>INDEX(Displacements!B:B, MATCH(Summary!$B182, Displacements!$A:$A, 0))</f>
        <v>-24</v>
      </c>
      <c r="E182" s="43">
        <f>INDEX(Displacements!C:C, MATCH(Summary!$B182, Displacements!$A:$A, 0))</f>
        <v>0</v>
      </c>
      <c r="F182" s="44">
        <f>INDEX(Displacements!D:D, MATCH(Summary!$B182, Displacements!$A:$A, 0))</f>
        <v>0</v>
      </c>
      <c r="G182" s="42">
        <f>INDEX(Displacements!B:B, MATCH(Summary!$C182, Displacements!$A:$A, 0))</f>
        <v>-23.5</v>
      </c>
      <c r="H182" s="43">
        <f>INDEX(Displacements!C:C, MATCH(Summary!$C182, Displacements!$A:$A, 0))</f>
        <v>0</v>
      </c>
      <c r="I182" s="44">
        <f>INDEX(Displacements!D:D, MATCH(Summary!$C182, Displacements!$A:$A, 0))</f>
        <v>0</v>
      </c>
      <c r="J182" s="42">
        <f t="shared" si="4"/>
        <v>0.5</v>
      </c>
      <c r="K182" s="49">
        <f t="shared" si="5"/>
        <v>1</v>
      </c>
      <c r="L182" s="54">
        <f>INDEX('Forces+Stresses'!C:C, MATCH(Summary!$A182, 'Forces+Stresses'!$A:$A, 0))</f>
        <v>36.619999999999997</v>
      </c>
      <c r="M182" s="55">
        <f>INDEX('Forces+Stresses'!D:D, MATCH(Summary!$A182, 'Forces+Stresses'!$A:$A, 0))</f>
        <v>36.619999999999997</v>
      </c>
      <c r="N182" s="55">
        <f>IFERROR(INDEX('Forces+Stresses'!Q:Q, MATCH(Summary!$A182, 'Forces+Stresses'!$A:$A, 0)), INDEX(Flexjoints!D:D, MATCH(Summary!$A182, Flexjoints!$A:$A, 0)))</f>
        <v>5.4250000000000004E-10</v>
      </c>
      <c r="O182" s="56">
        <f>IFERROR(INDEX('Forces+Stresses'!R:R, MATCH(Summary!$A182, 'Forces+Stresses'!$A:$A, 0)), INDEX(Flexjoints!E:E, MATCH(Summary!$A182, Flexjoints!$A:$A, 0)))</f>
        <v>1.9420000000000001E-8</v>
      </c>
      <c r="P182" s="33" t="str">
        <f>IF(INDEX(Labels!B:B, MATCH(Summary!$A182, Labels!$A:$A, 0)) = 0, "", INDEX(Labels!B:B, MATCH(Summary!$A182, Labels!$A:$A, 0)))</f>
        <v>{Casing Soil String}</v>
      </c>
      <c r="Q182" s="35" t="str">
        <f>IF(INDEX(Labels!C:C, MATCH(Summary!$A182, Labels!$A:$A, 0)) = 0, "", INDEX(Labels!C:C, MATCH(Summary!$A182, Labels!$A:$A, 0)))</f>
        <v>{Casing 13 3/8in}</v>
      </c>
      <c r="R182" s="33" t="str">
        <f>IF(INDEX(Labels!D:D, MATCH(Summary!$A182, Labels!$A:$A, 0)) = 0, "", INDEX(Labels!D:D, MATCH(Summary!$A182, Labels!$A:$A, 0)))</f>
        <v/>
      </c>
      <c r="S182" s="35" t="str">
        <f>IF(INDEX(Labels!E:E, MATCH(Summary!$A182, Labels!$A:$A, 0)) = 0, "", INDEX(Labels!E:E, MATCH(Summary!$A182, Labels!$A:$A, 0)))</f>
        <v/>
      </c>
      <c r="T182" s="33" t="str">
        <f>IF(INDEX(Labels!F:F, MATCH(Summary!$A182, Labels!$A:$A, 0)) = 0, "", INDEX(Labels!F:F, MATCH(Summary!$A182, Labels!$A:$A, 0)))</f>
        <v/>
      </c>
      <c r="U182" s="35" t="str">
        <f>IF(INDEX(Labels!G:G, MATCH(Summary!$A182, Labels!$A:$A, 0)) = 0, "", INDEX(Labels!G:G, MATCH(Summary!$A182, Labels!$A:$A, 0)))</f>
        <v/>
      </c>
      <c r="V182" s="62" t="str">
        <f>IF(INDEX(Labels!H:H, MATCH(Summary!$A182, Labels!$A:$A, 0)) = 0, "", INDEX(Labels!H:H, MATCH(Summary!$A182, Labels!$A:$A, 0)))</f>
        <v/>
      </c>
      <c r="W182" t="str">
        <f>IF(INDEX(Labels!I:I, MATCH(Summary!$A182, Labels!$A:$A, 0)) = 0, "", INDEX(Labels!I:I, MATCH(Summary!$A182, Labels!$A:$A, 0)))</f>
        <v/>
      </c>
      <c r="X182" t="str">
        <f>IF(INDEX(Labels!J:J, MATCH(Summary!$A182, Labels!$A:$A, 0)) = 0, "", INDEX(Labels!J:J, MATCH(Summary!$A182, Labels!$A:$A, 0)))</f>
        <v/>
      </c>
    </row>
    <row r="183" spans="1:24" x14ac:dyDescent="0.2">
      <c r="A183" s="33">
        <f>Labels!A184</f>
        <v>177</v>
      </c>
      <c r="B183" s="34">
        <f>INDEX(EchoData!B:B, MATCH(Summary!$A183, EchoData!$A:$A, 0))</f>
        <v>179</v>
      </c>
      <c r="C183" s="35">
        <f>INDEX(EchoData!C:C, MATCH(Summary!$A183, EchoData!$A:$A, 0))</f>
        <v>180</v>
      </c>
      <c r="D183" s="42">
        <f>INDEX(Displacements!B:B, MATCH(Summary!$B183, Displacements!$A:$A, 0))</f>
        <v>-23.5</v>
      </c>
      <c r="E183" s="43">
        <f>INDEX(Displacements!C:C, MATCH(Summary!$B183, Displacements!$A:$A, 0))</f>
        <v>0</v>
      </c>
      <c r="F183" s="44">
        <f>INDEX(Displacements!D:D, MATCH(Summary!$B183, Displacements!$A:$A, 0))</f>
        <v>0</v>
      </c>
      <c r="G183" s="42">
        <f>INDEX(Displacements!B:B, MATCH(Summary!$C183, Displacements!$A:$A, 0))</f>
        <v>-23.413</v>
      </c>
      <c r="H183" s="43">
        <f>INDEX(Displacements!C:C, MATCH(Summary!$C183, Displacements!$A:$A, 0))</f>
        <v>0</v>
      </c>
      <c r="I183" s="44">
        <f>INDEX(Displacements!D:D, MATCH(Summary!$C183, Displacements!$A:$A, 0))</f>
        <v>0</v>
      </c>
      <c r="J183" s="42">
        <f t="shared" si="4"/>
        <v>8.6999999999999744E-2</v>
      </c>
      <c r="K183" s="49">
        <f t="shared" si="5"/>
        <v>0.17399999999999949</v>
      </c>
      <c r="L183" s="54">
        <f>INDEX('Forces+Stresses'!C:C, MATCH(Summary!$A183, 'Forces+Stresses'!$A:$A, 0))</f>
        <v>37.32</v>
      </c>
      <c r="M183" s="55">
        <f>INDEX('Forces+Stresses'!D:D, MATCH(Summary!$A183, 'Forces+Stresses'!$A:$A, 0))</f>
        <v>37.32</v>
      </c>
      <c r="N183" s="55">
        <f>IFERROR(INDEX('Forces+Stresses'!Q:Q, MATCH(Summary!$A183, 'Forces+Stresses'!$A:$A, 0)), INDEX(Flexjoints!D:D, MATCH(Summary!$A183, Flexjoints!$A:$A, 0)))</f>
        <v>5.5660000000000002E-10</v>
      </c>
      <c r="O183" s="56">
        <f>IFERROR(INDEX('Forces+Stresses'!R:R, MATCH(Summary!$A183, 'Forces+Stresses'!$A:$A, 0)), INDEX(Flexjoints!E:E, MATCH(Summary!$A183, Flexjoints!$A:$A, 0)))</f>
        <v>2.0009999999999999E-8</v>
      </c>
      <c r="P183" s="33" t="str">
        <f>IF(INDEX(Labels!B:B, MATCH(Summary!$A183, Labels!$A:$A, 0)) = 0, "", INDEX(Labels!B:B, MATCH(Summary!$A183, Labels!$A:$A, 0)))</f>
        <v>{Casing Soil String}</v>
      </c>
      <c r="Q183" s="35" t="str">
        <f>IF(INDEX(Labels!C:C, MATCH(Summary!$A183, Labels!$A:$A, 0)) = 0, "", INDEX(Labels!C:C, MATCH(Summary!$A183, Labels!$A:$A, 0)))</f>
        <v>{Casing 13 3/8in}</v>
      </c>
      <c r="R183" s="33" t="str">
        <f>IF(INDEX(Labels!D:D, MATCH(Summary!$A183, Labels!$A:$A, 0)) = 0, "", INDEX(Labels!D:D, MATCH(Summary!$A183, Labels!$A:$A, 0)))</f>
        <v/>
      </c>
      <c r="S183" s="35" t="str">
        <f>IF(INDEX(Labels!E:E, MATCH(Summary!$A183, Labels!$A:$A, 0)) = 0, "", INDEX(Labels!E:E, MATCH(Summary!$A183, Labels!$A:$A, 0)))</f>
        <v/>
      </c>
      <c r="T183" s="33" t="str">
        <f>IF(INDEX(Labels!F:F, MATCH(Summary!$A183, Labels!$A:$A, 0)) = 0, "", INDEX(Labels!F:F, MATCH(Summary!$A183, Labels!$A:$A, 0)))</f>
        <v/>
      </c>
      <c r="U183" s="35" t="str">
        <f>IF(INDEX(Labels!G:G, MATCH(Summary!$A183, Labels!$A:$A, 0)) = 0, "", INDEX(Labels!G:G, MATCH(Summary!$A183, Labels!$A:$A, 0)))</f>
        <v/>
      </c>
      <c r="V183" s="62" t="str">
        <f>IF(INDEX(Labels!H:H, MATCH(Summary!$A183, Labels!$A:$A, 0)) = 0, "", INDEX(Labels!H:H, MATCH(Summary!$A183, Labels!$A:$A, 0)))</f>
        <v>{Cas_Conn_2_Weld_Base_Before}</v>
      </c>
      <c r="W183" t="str">
        <f>IF(INDEX(Labels!I:I, MATCH(Summary!$A183, Labels!$A:$A, 0)) = 0, "", INDEX(Labels!I:I, MATCH(Summary!$A183, Labels!$A:$A, 0)))</f>
        <v/>
      </c>
      <c r="X183" t="str">
        <f>IF(INDEX(Labels!J:J, MATCH(Summary!$A183, Labels!$A:$A, 0)) = 0, "", INDEX(Labels!J:J, MATCH(Summary!$A183, Labels!$A:$A, 0)))</f>
        <v/>
      </c>
    </row>
    <row r="184" spans="1:24" x14ac:dyDescent="0.2">
      <c r="A184" s="33">
        <f>Labels!A185</f>
        <v>178</v>
      </c>
      <c r="B184" s="34">
        <f>INDEX(EchoData!B:B, MATCH(Summary!$A184, EchoData!$A:$A, 0))</f>
        <v>180</v>
      </c>
      <c r="C184" s="35">
        <f>INDEX(EchoData!C:C, MATCH(Summary!$A184, EchoData!$A:$A, 0))</f>
        <v>181</v>
      </c>
      <c r="D184" s="42">
        <f>INDEX(Displacements!B:B, MATCH(Summary!$B184, Displacements!$A:$A, 0))</f>
        <v>-23.413</v>
      </c>
      <c r="E184" s="43">
        <f>INDEX(Displacements!C:C, MATCH(Summary!$B184, Displacements!$A:$A, 0))</f>
        <v>0</v>
      </c>
      <c r="F184" s="44">
        <f>INDEX(Displacements!D:D, MATCH(Summary!$B184, Displacements!$A:$A, 0))</f>
        <v>0</v>
      </c>
      <c r="G184" s="42">
        <f>INDEX(Displacements!B:B, MATCH(Summary!$C184, Displacements!$A:$A, 0))</f>
        <v>-23.213000000000001</v>
      </c>
      <c r="H184" s="43">
        <f>INDEX(Displacements!C:C, MATCH(Summary!$C184, Displacements!$A:$A, 0))</f>
        <v>0</v>
      </c>
      <c r="I184" s="44">
        <f>INDEX(Displacements!D:D, MATCH(Summary!$C184, Displacements!$A:$A, 0))</f>
        <v>0</v>
      </c>
      <c r="J184" s="42">
        <f t="shared" si="4"/>
        <v>0.19999999999999929</v>
      </c>
      <c r="K184" s="49">
        <f t="shared" si="5"/>
        <v>2.2988505747126422</v>
      </c>
      <c r="L184" s="54">
        <f>INDEX('Forces+Stresses'!C:C, MATCH(Summary!$A184, 'Forces+Stresses'!$A:$A, 0))</f>
        <v>37.44</v>
      </c>
      <c r="M184" s="55">
        <f>INDEX('Forces+Stresses'!D:D, MATCH(Summary!$A184, 'Forces+Stresses'!$A:$A, 0))</f>
        <v>37.44</v>
      </c>
      <c r="N184" s="55">
        <f>IFERROR(INDEX('Forces+Stresses'!Q:Q, MATCH(Summary!$A184, 'Forces+Stresses'!$A:$A, 0)), INDEX(Flexjoints!D:D, MATCH(Summary!$A184, Flexjoints!$A:$A, 0)))</f>
        <v>5.582E-10</v>
      </c>
      <c r="O184" s="56">
        <f>IFERROR(INDEX('Forces+Stresses'!R:R, MATCH(Summary!$A184, 'Forces+Stresses'!$A:$A, 0)), INDEX(Flexjoints!E:E, MATCH(Summary!$A184, Flexjoints!$A:$A, 0)))</f>
        <v>2.009E-8</v>
      </c>
      <c r="P184" s="33" t="str">
        <f>IF(INDEX(Labels!B:B, MATCH(Summary!$A184, Labels!$A:$A, 0)) = 0, "", INDEX(Labels!B:B, MATCH(Summary!$A184, Labels!$A:$A, 0)))</f>
        <v>{Casing Soil String}</v>
      </c>
      <c r="Q184" s="35" t="str">
        <f>IF(INDEX(Labels!C:C, MATCH(Summary!$A184, Labels!$A:$A, 0)) = 0, "", INDEX(Labels!C:C, MATCH(Summary!$A184, Labels!$A:$A, 0)))</f>
        <v>{Casing 13 3/8in}</v>
      </c>
      <c r="R184" s="33" t="str">
        <f>IF(INDEX(Labels!D:D, MATCH(Summary!$A184, Labels!$A:$A, 0)) = 0, "", INDEX(Labels!D:D, MATCH(Summary!$A184, Labels!$A:$A, 0)))</f>
        <v/>
      </c>
      <c r="S184" s="35" t="str">
        <f>IF(INDEX(Labels!E:E, MATCH(Summary!$A184, Labels!$A:$A, 0)) = 0, "", INDEX(Labels!E:E, MATCH(Summary!$A184, Labels!$A:$A, 0)))</f>
        <v/>
      </c>
      <c r="T184" s="33" t="str">
        <f>IF(INDEX(Labels!F:F, MATCH(Summary!$A184, Labels!$A:$A, 0)) = 0, "", INDEX(Labels!F:F, MATCH(Summary!$A184, Labels!$A:$A, 0)))</f>
        <v/>
      </c>
      <c r="U184" s="35" t="str">
        <f>IF(INDEX(Labels!G:G, MATCH(Summary!$A184, Labels!$A:$A, 0)) = 0, "", INDEX(Labels!G:G, MATCH(Summary!$A184, Labels!$A:$A, 0)))</f>
        <v/>
      </c>
      <c r="V184" s="62" t="str">
        <f>IF(INDEX(Labels!H:H, MATCH(Summary!$A184, Labels!$A:$A, 0)) = 0, "", INDEX(Labels!H:H, MATCH(Summary!$A184, Labels!$A:$A, 0)))</f>
        <v>{Cas_Conn_2_Weld_Base_After}</v>
      </c>
      <c r="W184" t="str">
        <f>IF(INDEX(Labels!I:I, MATCH(Summary!$A184, Labels!$A:$A, 0)) = 0, "", INDEX(Labels!I:I, MATCH(Summary!$A184, Labels!$A:$A, 0)))</f>
        <v>{Cas_Conn_2_Body_Before}</v>
      </c>
      <c r="X184" t="str">
        <f>IF(INDEX(Labels!J:J, MATCH(Summary!$A184, Labels!$A:$A, 0)) = 0, "", INDEX(Labels!J:J, MATCH(Summary!$A184, Labels!$A:$A, 0)))</f>
        <v/>
      </c>
    </row>
    <row r="185" spans="1:24" x14ac:dyDescent="0.2">
      <c r="A185" s="33">
        <f>Labels!A186</f>
        <v>179</v>
      </c>
      <c r="B185" s="34">
        <f>INDEX(EchoData!B:B, MATCH(Summary!$A185, EchoData!$A:$A, 0))</f>
        <v>181</v>
      </c>
      <c r="C185" s="35">
        <f>INDEX(EchoData!C:C, MATCH(Summary!$A185, EchoData!$A:$A, 0))</f>
        <v>182</v>
      </c>
      <c r="D185" s="42">
        <f>INDEX(Displacements!B:B, MATCH(Summary!$B185, Displacements!$A:$A, 0))</f>
        <v>-23.213000000000001</v>
      </c>
      <c r="E185" s="43">
        <f>INDEX(Displacements!C:C, MATCH(Summary!$B185, Displacements!$A:$A, 0))</f>
        <v>0</v>
      </c>
      <c r="F185" s="44">
        <f>INDEX(Displacements!D:D, MATCH(Summary!$B185, Displacements!$A:$A, 0))</f>
        <v>0</v>
      </c>
      <c r="G185" s="42">
        <f>INDEX(Displacements!B:B, MATCH(Summary!$C185, Displacements!$A:$A, 0))</f>
        <v>-23.013000000000002</v>
      </c>
      <c r="H185" s="43">
        <f>INDEX(Displacements!C:C, MATCH(Summary!$C185, Displacements!$A:$A, 0))</f>
        <v>0</v>
      </c>
      <c r="I185" s="44">
        <f>INDEX(Displacements!D:D, MATCH(Summary!$C185, Displacements!$A:$A, 0))</f>
        <v>0</v>
      </c>
      <c r="J185" s="42">
        <f t="shared" si="4"/>
        <v>0.19999999999999929</v>
      </c>
      <c r="K185" s="49">
        <f t="shared" si="5"/>
        <v>1</v>
      </c>
      <c r="L185" s="54">
        <f>INDEX('Forces+Stresses'!C:C, MATCH(Summary!$A185, 'Forces+Stresses'!$A:$A, 0))</f>
        <v>37.72</v>
      </c>
      <c r="M185" s="55">
        <f>INDEX('Forces+Stresses'!D:D, MATCH(Summary!$A185, 'Forces+Stresses'!$A:$A, 0))</f>
        <v>37.72</v>
      </c>
      <c r="N185" s="55">
        <f>IFERROR(INDEX('Forces+Stresses'!Q:Q, MATCH(Summary!$A185, 'Forces+Stresses'!$A:$A, 0)), INDEX(Flexjoints!D:D, MATCH(Summary!$A185, Flexjoints!$A:$A, 0)))</f>
        <v>5.6200000000000002E-10</v>
      </c>
      <c r="O185" s="56">
        <f>IFERROR(INDEX('Forces+Stresses'!R:R, MATCH(Summary!$A185, 'Forces+Stresses'!$A:$A, 0)), INDEX(Flexjoints!E:E, MATCH(Summary!$A185, Flexjoints!$A:$A, 0)))</f>
        <v>2.0260000000000001E-8</v>
      </c>
      <c r="P185" s="33" t="str">
        <f>IF(INDEX(Labels!B:B, MATCH(Summary!$A185, Labels!$A:$A, 0)) = 0, "", INDEX(Labels!B:B, MATCH(Summary!$A185, Labels!$A:$A, 0)))</f>
        <v>{Casing Soil String}</v>
      </c>
      <c r="Q185" s="35" t="str">
        <f>IF(INDEX(Labels!C:C, MATCH(Summary!$A185, Labels!$A:$A, 0)) = 0, "", INDEX(Labels!C:C, MATCH(Summary!$A185, Labels!$A:$A, 0)))</f>
        <v>{Casing 13 3/8in}</v>
      </c>
      <c r="R185" s="33" t="str">
        <f>IF(INDEX(Labels!D:D, MATCH(Summary!$A185, Labels!$A:$A, 0)) = 0, "", INDEX(Labels!D:D, MATCH(Summary!$A185, Labels!$A:$A, 0)))</f>
        <v/>
      </c>
      <c r="S185" s="35" t="str">
        <f>IF(INDEX(Labels!E:E, MATCH(Summary!$A185, Labels!$A:$A, 0)) = 0, "", INDEX(Labels!E:E, MATCH(Summary!$A185, Labels!$A:$A, 0)))</f>
        <v/>
      </c>
      <c r="T185" s="33" t="str">
        <f>IF(INDEX(Labels!F:F, MATCH(Summary!$A185, Labels!$A:$A, 0)) = 0, "", INDEX(Labels!F:F, MATCH(Summary!$A185, Labels!$A:$A, 0)))</f>
        <v/>
      </c>
      <c r="U185" s="35" t="str">
        <f>IF(INDEX(Labels!G:G, MATCH(Summary!$A185, Labels!$A:$A, 0)) = 0, "", INDEX(Labels!G:G, MATCH(Summary!$A185, Labels!$A:$A, 0)))</f>
        <v/>
      </c>
      <c r="V185" s="62" t="str">
        <f>IF(INDEX(Labels!H:H, MATCH(Summary!$A185, Labels!$A:$A, 0)) = 0, "", INDEX(Labels!H:H, MATCH(Summary!$A185, Labels!$A:$A, 0)))</f>
        <v>{Cas_Conn_2_Weld_Top_Before}</v>
      </c>
      <c r="W185" t="str">
        <f>IF(INDEX(Labels!I:I, MATCH(Summary!$A185, Labels!$A:$A, 0)) = 0, "", INDEX(Labels!I:I, MATCH(Summary!$A185, Labels!$A:$A, 0)))</f>
        <v>{Cas_Conn_2_Body_After}</v>
      </c>
      <c r="X185" t="str">
        <f>IF(INDEX(Labels!J:J, MATCH(Summary!$A185, Labels!$A:$A, 0)) = 0, "", INDEX(Labels!J:J, MATCH(Summary!$A185, Labels!$A:$A, 0)))</f>
        <v/>
      </c>
    </row>
    <row r="186" spans="1:24" x14ac:dyDescent="0.2">
      <c r="A186" s="33">
        <f>Labels!A187</f>
        <v>180</v>
      </c>
      <c r="B186" s="34">
        <f>INDEX(EchoData!B:B, MATCH(Summary!$A186, EchoData!$A:$A, 0))</f>
        <v>182</v>
      </c>
      <c r="C186" s="35">
        <f>INDEX(EchoData!C:C, MATCH(Summary!$A186, EchoData!$A:$A, 0))</f>
        <v>183</v>
      </c>
      <c r="D186" s="42">
        <f>INDEX(Displacements!B:B, MATCH(Summary!$B186, Displacements!$A:$A, 0))</f>
        <v>-23.013000000000002</v>
      </c>
      <c r="E186" s="43">
        <f>INDEX(Displacements!C:C, MATCH(Summary!$B186, Displacements!$A:$A, 0))</f>
        <v>0</v>
      </c>
      <c r="F186" s="44">
        <f>INDEX(Displacements!D:D, MATCH(Summary!$B186, Displacements!$A:$A, 0))</f>
        <v>0</v>
      </c>
      <c r="G186" s="42">
        <f>INDEX(Displacements!B:B, MATCH(Summary!$C186, Displacements!$A:$A, 0))</f>
        <v>-23</v>
      </c>
      <c r="H186" s="43">
        <f>INDEX(Displacements!C:C, MATCH(Summary!$C186, Displacements!$A:$A, 0))</f>
        <v>0</v>
      </c>
      <c r="I186" s="44">
        <f>INDEX(Displacements!D:D, MATCH(Summary!$C186, Displacements!$A:$A, 0))</f>
        <v>0</v>
      </c>
      <c r="J186" s="42">
        <f t="shared" si="4"/>
        <v>1.3000000000001677E-2</v>
      </c>
      <c r="K186" s="49">
        <f t="shared" si="5"/>
        <v>6.500000000000862E-2</v>
      </c>
      <c r="L186" s="54">
        <f>INDEX('Forces+Stresses'!C:C, MATCH(Summary!$A186, 'Forces+Stresses'!$A:$A, 0))</f>
        <v>38.01</v>
      </c>
      <c r="M186" s="55">
        <f>INDEX('Forces+Stresses'!D:D, MATCH(Summary!$A186, 'Forces+Stresses'!$A:$A, 0))</f>
        <v>38.01</v>
      </c>
      <c r="N186" s="55">
        <f>IFERROR(INDEX('Forces+Stresses'!Q:Q, MATCH(Summary!$A186, 'Forces+Stresses'!$A:$A, 0)), INDEX(Flexjoints!D:D, MATCH(Summary!$A186, Flexjoints!$A:$A, 0)))</f>
        <v>5.6589999999999998E-10</v>
      </c>
      <c r="O186" s="56">
        <f>IFERROR(INDEX('Forces+Stresses'!R:R, MATCH(Summary!$A186, 'Forces+Stresses'!$A:$A, 0)), INDEX(Flexjoints!E:E, MATCH(Summary!$A186, Flexjoints!$A:$A, 0)))</f>
        <v>2.044E-8</v>
      </c>
      <c r="P186" s="33" t="str">
        <f>IF(INDEX(Labels!B:B, MATCH(Summary!$A186, Labels!$A:$A, 0)) = 0, "", INDEX(Labels!B:B, MATCH(Summary!$A186, Labels!$A:$A, 0)))</f>
        <v>{Casing Soil String}</v>
      </c>
      <c r="Q186" s="35" t="str">
        <f>IF(INDEX(Labels!C:C, MATCH(Summary!$A186, Labels!$A:$A, 0)) = 0, "", INDEX(Labels!C:C, MATCH(Summary!$A186, Labels!$A:$A, 0)))</f>
        <v>{Casing 13 3/8in}</v>
      </c>
      <c r="R186" s="33" t="str">
        <f>IF(INDEX(Labels!D:D, MATCH(Summary!$A186, Labels!$A:$A, 0)) = 0, "", INDEX(Labels!D:D, MATCH(Summary!$A186, Labels!$A:$A, 0)))</f>
        <v/>
      </c>
      <c r="S186" s="35" t="str">
        <f>IF(INDEX(Labels!E:E, MATCH(Summary!$A186, Labels!$A:$A, 0)) = 0, "", INDEX(Labels!E:E, MATCH(Summary!$A186, Labels!$A:$A, 0)))</f>
        <v/>
      </c>
      <c r="T186" s="33" t="str">
        <f>IF(INDEX(Labels!F:F, MATCH(Summary!$A186, Labels!$A:$A, 0)) = 0, "", INDEX(Labels!F:F, MATCH(Summary!$A186, Labels!$A:$A, 0)))</f>
        <v/>
      </c>
      <c r="U186" s="35" t="str">
        <f>IF(INDEX(Labels!G:G, MATCH(Summary!$A186, Labels!$A:$A, 0)) = 0, "", INDEX(Labels!G:G, MATCH(Summary!$A186, Labels!$A:$A, 0)))</f>
        <v/>
      </c>
      <c r="V186" s="62" t="str">
        <f>IF(INDEX(Labels!H:H, MATCH(Summary!$A186, Labels!$A:$A, 0)) = 0, "", INDEX(Labels!H:H, MATCH(Summary!$A186, Labels!$A:$A, 0)))</f>
        <v>{Cas_Conn_2_Weld_Top_After}</v>
      </c>
      <c r="W186" t="str">
        <f>IF(INDEX(Labels!I:I, MATCH(Summary!$A186, Labels!$A:$A, 0)) = 0, "", INDEX(Labels!I:I, MATCH(Summary!$A186, Labels!$A:$A, 0)))</f>
        <v/>
      </c>
      <c r="X186" t="str">
        <f>IF(INDEX(Labels!J:J, MATCH(Summary!$A186, Labels!$A:$A, 0)) = 0, "", INDEX(Labels!J:J, MATCH(Summary!$A186, Labels!$A:$A, 0)))</f>
        <v/>
      </c>
    </row>
    <row r="187" spans="1:24" x14ac:dyDescent="0.2">
      <c r="A187" s="33">
        <f>Labels!A188</f>
        <v>181</v>
      </c>
      <c r="B187" s="34">
        <f>INDEX(EchoData!B:B, MATCH(Summary!$A187, EchoData!$A:$A, 0))</f>
        <v>183</v>
      </c>
      <c r="C187" s="35">
        <f>INDEX(EchoData!C:C, MATCH(Summary!$A187, EchoData!$A:$A, 0))</f>
        <v>184</v>
      </c>
      <c r="D187" s="42">
        <f>INDEX(Displacements!B:B, MATCH(Summary!$B187, Displacements!$A:$A, 0))</f>
        <v>-23</v>
      </c>
      <c r="E187" s="43">
        <f>INDEX(Displacements!C:C, MATCH(Summary!$B187, Displacements!$A:$A, 0))</f>
        <v>0</v>
      </c>
      <c r="F187" s="44">
        <f>INDEX(Displacements!D:D, MATCH(Summary!$B187, Displacements!$A:$A, 0))</f>
        <v>0</v>
      </c>
      <c r="G187" s="42">
        <f>INDEX(Displacements!B:B, MATCH(Summary!$C187, Displacements!$A:$A, 0))</f>
        <v>-22.5</v>
      </c>
      <c r="H187" s="43">
        <f>INDEX(Displacements!C:C, MATCH(Summary!$C187, Displacements!$A:$A, 0))</f>
        <v>0</v>
      </c>
      <c r="I187" s="44">
        <f>INDEX(Displacements!D:D, MATCH(Summary!$C187, Displacements!$A:$A, 0))</f>
        <v>0</v>
      </c>
      <c r="J187" s="42">
        <f t="shared" si="4"/>
        <v>0.5</v>
      </c>
      <c r="K187" s="49">
        <f t="shared" si="5"/>
        <v>38.4615384615335</v>
      </c>
      <c r="L187" s="54">
        <f>INDEX('Forces+Stresses'!C:C, MATCH(Summary!$A187, 'Forces+Stresses'!$A:$A, 0))</f>
        <v>38.020000000000003</v>
      </c>
      <c r="M187" s="55">
        <f>INDEX('Forces+Stresses'!D:D, MATCH(Summary!$A187, 'Forces+Stresses'!$A:$A, 0))</f>
        <v>38.020000000000003</v>
      </c>
      <c r="N187" s="55">
        <f>IFERROR(INDEX('Forces+Stresses'!Q:Q, MATCH(Summary!$A187, 'Forces+Stresses'!$A:$A, 0)), INDEX(Flexjoints!D:D, MATCH(Summary!$A187, Flexjoints!$A:$A, 0)))</f>
        <v>5.6609999999999994E-10</v>
      </c>
      <c r="O187" s="56">
        <f>IFERROR(INDEX('Forces+Stresses'!R:R, MATCH(Summary!$A187, 'Forces+Stresses'!$A:$A, 0)), INDEX(Flexjoints!E:E, MATCH(Summary!$A187, Flexjoints!$A:$A, 0)))</f>
        <v>2.0449999999999998E-8</v>
      </c>
      <c r="P187" s="33" t="str">
        <f>IF(INDEX(Labels!B:B, MATCH(Summary!$A187, Labels!$A:$A, 0)) = 0, "", INDEX(Labels!B:B, MATCH(Summary!$A187, Labels!$A:$A, 0)))</f>
        <v>{Casing Soil String}</v>
      </c>
      <c r="Q187" s="35" t="str">
        <f>IF(INDEX(Labels!C:C, MATCH(Summary!$A187, Labels!$A:$A, 0)) = 0, "", INDEX(Labels!C:C, MATCH(Summary!$A187, Labels!$A:$A, 0)))</f>
        <v>{Casing 13 3/8in}</v>
      </c>
      <c r="R187" s="33" t="str">
        <f>IF(INDEX(Labels!D:D, MATCH(Summary!$A187, Labels!$A:$A, 0)) = 0, "", INDEX(Labels!D:D, MATCH(Summary!$A187, Labels!$A:$A, 0)))</f>
        <v/>
      </c>
      <c r="S187" s="35" t="str">
        <f>IF(INDEX(Labels!E:E, MATCH(Summary!$A187, Labels!$A:$A, 0)) = 0, "", INDEX(Labels!E:E, MATCH(Summary!$A187, Labels!$A:$A, 0)))</f>
        <v/>
      </c>
      <c r="T187" s="33" t="str">
        <f>IF(INDEX(Labels!F:F, MATCH(Summary!$A187, Labels!$A:$A, 0)) = 0, "", INDEX(Labels!F:F, MATCH(Summary!$A187, Labels!$A:$A, 0)))</f>
        <v/>
      </c>
      <c r="U187" s="35" t="str">
        <f>IF(INDEX(Labels!G:G, MATCH(Summary!$A187, Labels!$A:$A, 0)) = 0, "", INDEX(Labels!G:G, MATCH(Summary!$A187, Labels!$A:$A, 0)))</f>
        <v/>
      </c>
      <c r="V187" s="62" t="str">
        <f>IF(INDEX(Labels!H:H, MATCH(Summary!$A187, Labels!$A:$A, 0)) = 0, "", INDEX(Labels!H:H, MATCH(Summary!$A187, Labels!$A:$A, 0)))</f>
        <v/>
      </c>
      <c r="W187" t="str">
        <f>IF(INDEX(Labels!I:I, MATCH(Summary!$A187, Labels!$A:$A, 0)) = 0, "", INDEX(Labels!I:I, MATCH(Summary!$A187, Labels!$A:$A, 0)))</f>
        <v/>
      </c>
      <c r="X187" t="str">
        <f>IF(INDEX(Labels!J:J, MATCH(Summary!$A187, Labels!$A:$A, 0)) = 0, "", INDEX(Labels!J:J, MATCH(Summary!$A187, Labels!$A:$A, 0)))</f>
        <v/>
      </c>
    </row>
    <row r="188" spans="1:24" x14ac:dyDescent="0.2">
      <c r="A188" s="33">
        <f>Labels!A189</f>
        <v>182</v>
      </c>
      <c r="B188" s="34">
        <f>INDEX(EchoData!B:B, MATCH(Summary!$A188, EchoData!$A:$A, 0))</f>
        <v>184</v>
      </c>
      <c r="C188" s="35">
        <f>INDEX(EchoData!C:C, MATCH(Summary!$A188, EchoData!$A:$A, 0))</f>
        <v>185</v>
      </c>
      <c r="D188" s="42">
        <f>INDEX(Displacements!B:B, MATCH(Summary!$B188, Displacements!$A:$A, 0))</f>
        <v>-22.5</v>
      </c>
      <c r="E188" s="43">
        <f>INDEX(Displacements!C:C, MATCH(Summary!$B188, Displacements!$A:$A, 0))</f>
        <v>0</v>
      </c>
      <c r="F188" s="44">
        <f>INDEX(Displacements!D:D, MATCH(Summary!$B188, Displacements!$A:$A, 0))</f>
        <v>0</v>
      </c>
      <c r="G188" s="42">
        <f>INDEX(Displacements!B:B, MATCH(Summary!$C188, Displacements!$A:$A, 0))</f>
        <v>-22</v>
      </c>
      <c r="H188" s="43">
        <f>INDEX(Displacements!C:C, MATCH(Summary!$C188, Displacements!$A:$A, 0))</f>
        <v>0</v>
      </c>
      <c r="I188" s="44">
        <f>INDEX(Displacements!D:D, MATCH(Summary!$C188, Displacements!$A:$A, 0))</f>
        <v>0</v>
      </c>
      <c r="J188" s="42">
        <f t="shared" si="4"/>
        <v>0.5</v>
      </c>
      <c r="K188" s="49">
        <f t="shared" si="5"/>
        <v>1</v>
      </c>
      <c r="L188" s="54">
        <f>INDEX('Forces+Stresses'!C:C, MATCH(Summary!$A188, 'Forces+Stresses'!$A:$A, 0))</f>
        <v>38.729999999999997</v>
      </c>
      <c r="M188" s="55">
        <f>INDEX('Forces+Stresses'!D:D, MATCH(Summary!$A188, 'Forces+Stresses'!$A:$A, 0))</f>
        <v>38.729999999999997</v>
      </c>
      <c r="N188" s="55">
        <f>IFERROR(INDEX('Forces+Stresses'!Q:Q, MATCH(Summary!$A188, 'Forces+Stresses'!$A:$A, 0)), INDEX(Flexjoints!D:D, MATCH(Summary!$A188, Flexjoints!$A:$A, 0)))</f>
        <v>5.7059999999999997E-10</v>
      </c>
      <c r="O188" s="56">
        <f>IFERROR(INDEX('Forces+Stresses'!R:R, MATCH(Summary!$A188, 'Forces+Stresses'!$A:$A, 0)), INDEX(Flexjoints!E:E, MATCH(Summary!$A188, Flexjoints!$A:$A, 0)))</f>
        <v>2.0710000000000001E-8</v>
      </c>
      <c r="P188" s="33" t="str">
        <f>IF(INDEX(Labels!B:B, MATCH(Summary!$A188, Labels!$A:$A, 0)) = 0, "", INDEX(Labels!B:B, MATCH(Summary!$A188, Labels!$A:$A, 0)))</f>
        <v>{Casing Soil String}</v>
      </c>
      <c r="Q188" s="35" t="str">
        <f>IF(INDEX(Labels!C:C, MATCH(Summary!$A188, Labels!$A:$A, 0)) = 0, "", INDEX(Labels!C:C, MATCH(Summary!$A188, Labels!$A:$A, 0)))</f>
        <v>{Casing 13 3/8in}</v>
      </c>
      <c r="R188" s="33" t="str">
        <f>IF(INDEX(Labels!D:D, MATCH(Summary!$A188, Labels!$A:$A, 0)) = 0, "", INDEX(Labels!D:D, MATCH(Summary!$A188, Labels!$A:$A, 0)))</f>
        <v/>
      </c>
      <c r="S188" s="35" t="str">
        <f>IF(INDEX(Labels!E:E, MATCH(Summary!$A188, Labels!$A:$A, 0)) = 0, "", INDEX(Labels!E:E, MATCH(Summary!$A188, Labels!$A:$A, 0)))</f>
        <v/>
      </c>
      <c r="T188" s="33" t="str">
        <f>IF(INDEX(Labels!F:F, MATCH(Summary!$A188, Labels!$A:$A, 0)) = 0, "", INDEX(Labels!F:F, MATCH(Summary!$A188, Labels!$A:$A, 0)))</f>
        <v/>
      </c>
      <c r="U188" s="35" t="str">
        <f>IF(INDEX(Labels!G:G, MATCH(Summary!$A188, Labels!$A:$A, 0)) = 0, "", INDEX(Labels!G:G, MATCH(Summary!$A188, Labels!$A:$A, 0)))</f>
        <v/>
      </c>
      <c r="V188" s="62" t="str">
        <f>IF(INDEX(Labels!H:H, MATCH(Summary!$A188, Labels!$A:$A, 0)) = 0, "", INDEX(Labels!H:H, MATCH(Summary!$A188, Labels!$A:$A, 0)))</f>
        <v/>
      </c>
      <c r="W188" t="str">
        <f>IF(INDEX(Labels!I:I, MATCH(Summary!$A188, Labels!$A:$A, 0)) = 0, "", INDEX(Labels!I:I, MATCH(Summary!$A188, Labels!$A:$A, 0)))</f>
        <v/>
      </c>
      <c r="X188" t="str">
        <f>IF(INDEX(Labels!J:J, MATCH(Summary!$A188, Labels!$A:$A, 0)) = 0, "", INDEX(Labels!J:J, MATCH(Summary!$A188, Labels!$A:$A, 0)))</f>
        <v/>
      </c>
    </row>
    <row r="189" spans="1:24" x14ac:dyDescent="0.2">
      <c r="A189" s="33">
        <f>Labels!A190</f>
        <v>183</v>
      </c>
      <c r="B189" s="34">
        <f>INDEX(EchoData!B:B, MATCH(Summary!$A189, EchoData!$A:$A, 0))</f>
        <v>185</v>
      </c>
      <c r="C189" s="35">
        <f>INDEX(EchoData!C:C, MATCH(Summary!$A189, EchoData!$A:$A, 0))</f>
        <v>186</v>
      </c>
      <c r="D189" s="42">
        <f>INDEX(Displacements!B:B, MATCH(Summary!$B189, Displacements!$A:$A, 0))</f>
        <v>-22</v>
      </c>
      <c r="E189" s="43">
        <f>INDEX(Displacements!C:C, MATCH(Summary!$B189, Displacements!$A:$A, 0))</f>
        <v>0</v>
      </c>
      <c r="F189" s="44">
        <f>INDEX(Displacements!D:D, MATCH(Summary!$B189, Displacements!$A:$A, 0))</f>
        <v>0</v>
      </c>
      <c r="G189" s="42">
        <f>INDEX(Displacements!B:B, MATCH(Summary!$C189, Displacements!$A:$A, 0))</f>
        <v>-21.5</v>
      </c>
      <c r="H189" s="43">
        <f>INDEX(Displacements!C:C, MATCH(Summary!$C189, Displacements!$A:$A, 0))</f>
        <v>0</v>
      </c>
      <c r="I189" s="44">
        <f>INDEX(Displacements!D:D, MATCH(Summary!$C189, Displacements!$A:$A, 0))</f>
        <v>0</v>
      </c>
      <c r="J189" s="42">
        <f t="shared" si="4"/>
        <v>0.5</v>
      </c>
      <c r="K189" s="49">
        <f t="shared" si="5"/>
        <v>1</v>
      </c>
      <c r="L189" s="54">
        <f>INDEX('Forces+Stresses'!C:C, MATCH(Summary!$A189, 'Forces+Stresses'!$A:$A, 0))</f>
        <v>39.43</v>
      </c>
      <c r="M189" s="55">
        <f>INDEX('Forces+Stresses'!D:D, MATCH(Summary!$A189, 'Forces+Stresses'!$A:$A, 0))</f>
        <v>39.43</v>
      </c>
      <c r="N189" s="55">
        <f>IFERROR(INDEX('Forces+Stresses'!Q:Q, MATCH(Summary!$A189, 'Forces+Stresses'!$A:$A, 0)), INDEX(Flexjoints!D:D, MATCH(Summary!$A189, Flexjoints!$A:$A, 0)))</f>
        <v>5.6929999999999999E-10</v>
      </c>
      <c r="O189" s="56">
        <f>IFERROR(INDEX('Forces+Stresses'!R:R, MATCH(Summary!$A189, 'Forces+Stresses'!$A:$A, 0)), INDEX(Flexjoints!E:E, MATCH(Summary!$A189, Flexjoints!$A:$A, 0)))</f>
        <v>2.077E-8</v>
      </c>
      <c r="P189" s="33" t="str">
        <f>IF(INDEX(Labels!B:B, MATCH(Summary!$A189, Labels!$A:$A, 0)) = 0, "", INDEX(Labels!B:B, MATCH(Summary!$A189, Labels!$A:$A, 0)))</f>
        <v>{Casing Soil String}</v>
      </c>
      <c r="Q189" s="35" t="str">
        <f>IF(INDEX(Labels!C:C, MATCH(Summary!$A189, Labels!$A:$A, 0)) = 0, "", INDEX(Labels!C:C, MATCH(Summary!$A189, Labels!$A:$A, 0)))</f>
        <v>{Casing 13 3/8in}</v>
      </c>
      <c r="R189" s="33" t="str">
        <f>IF(INDEX(Labels!D:D, MATCH(Summary!$A189, Labels!$A:$A, 0)) = 0, "", INDEX(Labels!D:D, MATCH(Summary!$A189, Labels!$A:$A, 0)))</f>
        <v/>
      </c>
      <c r="S189" s="35" t="str">
        <f>IF(INDEX(Labels!E:E, MATCH(Summary!$A189, Labels!$A:$A, 0)) = 0, "", INDEX(Labels!E:E, MATCH(Summary!$A189, Labels!$A:$A, 0)))</f>
        <v/>
      </c>
      <c r="T189" s="33" t="str">
        <f>IF(INDEX(Labels!F:F, MATCH(Summary!$A189, Labels!$A:$A, 0)) = 0, "", INDEX(Labels!F:F, MATCH(Summary!$A189, Labels!$A:$A, 0)))</f>
        <v/>
      </c>
      <c r="U189" s="35" t="str">
        <f>IF(INDEX(Labels!G:G, MATCH(Summary!$A189, Labels!$A:$A, 0)) = 0, "", INDEX(Labels!G:G, MATCH(Summary!$A189, Labels!$A:$A, 0)))</f>
        <v/>
      </c>
      <c r="V189" s="62" t="str">
        <f>IF(INDEX(Labels!H:H, MATCH(Summary!$A189, Labels!$A:$A, 0)) = 0, "", INDEX(Labels!H:H, MATCH(Summary!$A189, Labels!$A:$A, 0)))</f>
        <v/>
      </c>
      <c r="W189" t="str">
        <f>IF(INDEX(Labels!I:I, MATCH(Summary!$A189, Labels!$A:$A, 0)) = 0, "", INDEX(Labels!I:I, MATCH(Summary!$A189, Labels!$A:$A, 0)))</f>
        <v/>
      </c>
      <c r="X189" t="str">
        <f>IF(INDEX(Labels!J:J, MATCH(Summary!$A189, Labels!$A:$A, 0)) = 0, "", INDEX(Labels!J:J, MATCH(Summary!$A189, Labels!$A:$A, 0)))</f>
        <v/>
      </c>
    </row>
    <row r="190" spans="1:24" x14ac:dyDescent="0.2">
      <c r="A190" s="33">
        <f>Labels!A191</f>
        <v>184</v>
      </c>
      <c r="B190" s="34">
        <f>INDEX(EchoData!B:B, MATCH(Summary!$A190, EchoData!$A:$A, 0))</f>
        <v>186</v>
      </c>
      <c r="C190" s="35">
        <f>INDEX(EchoData!C:C, MATCH(Summary!$A190, EchoData!$A:$A, 0))</f>
        <v>187</v>
      </c>
      <c r="D190" s="42">
        <f>INDEX(Displacements!B:B, MATCH(Summary!$B190, Displacements!$A:$A, 0))</f>
        <v>-21.5</v>
      </c>
      <c r="E190" s="43">
        <f>INDEX(Displacements!C:C, MATCH(Summary!$B190, Displacements!$A:$A, 0))</f>
        <v>0</v>
      </c>
      <c r="F190" s="44">
        <f>INDEX(Displacements!D:D, MATCH(Summary!$B190, Displacements!$A:$A, 0))</f>
        <v>0</v>
      </c>
      <c r="G190" s="42">
        <f>INDEX(Displacements!B:B, MATCH(Summary!$C190, Displacements!$A:$A, 0))</f>
        <v>-21</v>
      </c>
      <c r="H190" s="43">
        <f>INDEX(Displacements!C:C, MATCH(Summary!$C190, Displacements!$A:$A, 0))</f>
        <v>0</v>
      </c>
      <c r="I190" s="44">
        <f>INDEX(Displacements!D:D, MATCH(Summary!$C190, Displacements!$A:$A, 0))</f>
        <v>0</v>
      </c>
      <c r="J190" s="42">
        <f t="shared" si="4"/>
        <v>0.5</v>
      </c>
      <c r="K190" s="49">
        <f t="shared" si="5"/>
        <v>1</v>
      </c>
      <c r="L190" s="54">
        <f>INDEX('Forces+Stresses'!C:C, MATCH(Summary!$A190, 'Forces+Stresses'!$A:$A, 0))</f>
        <v>40.14</v>
      </c>
      <c r="M190" s="55">
        <f>INDEX('Forces+Stresses'!D:D, MATCH(Summary!$A190, 'Forces+Stresses'!$A:$A, 0))</f>
        <v>40.14</v>
      </c>
      <c r="N190" s="55">
        <f>IFERROR(INDEX('Forces+Stresses'!Q:Q, MATCH(Summary!$A190, 'Forces+Stresses'!$A:$A, 0)), INDEX(Flexjoints!D:D, MATCH(Summary!$A190, Flexjoints!$A:$A, 0)))</f>
        <v>5.6169999999999993E-10</v>
      </c>
      <c r="O190" s="56">
        <f>IFERROR(INDEX('Forces+Stresses'!R:R, MATCH(Summary!$A190, 'Forces+Stresses'!$A:$A, 0)), INDEX(Flexjoints!E:E, MATCH(Summary!$A190, Flexjoints!$A:$A, 0)))</f>
        <v>2.0610000000000001E-8</v>
      </c>
      <c r="P190" s="33" t="str">
        <f>IF(INDEX(Labels!B:B, MATCH(Summary!$A190, Labels!$A:$A, 0)) = 0, "", INDEX(Labels!B:B, MATCH(Summary!$A190, Labels!$A:$A, 0)))</f>
        <v>{Casing Soil String}</v>
      </c>
      <c r="Q190" s="35" t="str">
        <f>IF(INDEX(Labels!C:C, MATCH(Summary!$A190, Labels!$A:$A, 0)) = 0, "", INDEX(Labels!C:C, MATCH(Summary!$A190, Labels!$A:$A, 0)))</f>
        <v>{Casing 13 3/8in}</v>
      </c>
      <c r="R190" s="33" t="str">
        <f>IF(INDEX(Labels!D:D, MATCH(Summary!$A190, Labels!$A:$A, 0)) = 0, "", INDEX(Labels!D:D, MATCH(Summary!$A190, Labels!$A:$A, 0)))</f>
        <v/>
      </c>
      <c r="S190" s="35" t="str">
        <f>IF(INDEX(Labels!E:E, MATCH(Summary!$A190, Labels!$A:$A, 0)) = 0, "", INDEX(Labels!E:E, MATCH(Summary!$A190, Labels!$A:$A, 0)))</f>
        <v/>
      </c>
      <c r="T190" s="33" t="str">
        <f>IF(INDEX(Labels!F:F, MATCH(Summary!$A190, Labels!$A:$A, 0)) = 0, "", INDEX(Labels!F:F, MATCH(Summary!$A190, Labels!$A:$A, 0)))</f>
        <v/>
      </c>
      <c r="U190" s="35" t="str">
        <f>IF(INDEX(Labels!G:G, MATCH(Summary!$A190, Labels!$A:$A, 0)) = 0, "", INDEX(Labels!G:G, MATCH(Summary!$A190, Labels!$A:$A, 0)))</f>
        <v/>
      </c>
      <c r="V190" s="62" t="str">
        <f>IF(INDEX(Labels!H:H, MATCH(Summary!$A190, Labels!$A:$A, 0)) = 0, "", INDEX(Labels!H:H, MATCH(Summary!$A190, Labels!$A:$A, 0)))</f>
        <v/>
      </c>
      <c r="W190" t="str">
        <f>IF(INDEX(Labels!I:I, MATCH(Summary!$A190, Labels!$A:$A, 0)) = 0, "", INDEX(Labels!I:I, MATCH(Summary!$A190, Labels!$A:$A, 0)))</f>
        <v/>
      </c>
      <c r="X190" t="str">
        <f>IF(INDEX(Labels!J:J, MATCH(Summary!$A190, Labels!$A:$A, 0)) = 0, "", INDEX(Labels!J:J, MATCH(Summary!$A190, Labels!$A:$A, 0)))</f>
        <v/>
      </c>
    </row>
    <row r="191" spans="1:24" x14ac:dyDescent="0.2">
      <c r="A191" s="33">
        <f>Labels!A192</f>
        <v>185</v>
      </c>
      <c r="B191" s="34">
        <f>INDEX(EchoData!B:B, MATCH(Summary!$A191, EchoData!$A:$A, 0))</f>
        <v>187</v>
      </c>
      <c r="C191" s="35">
        <f>INDEX(EchoData!C:C, MATCH(Summary!$A191, EchoData!$A:$A, 0))</f>
        <v>188</v>
      </c>
      <c r="D191" s="42">
        <f>INDEX(Displacements!B:B, MATCH(Summary!$B191, Displacements!$A:$A, 0))</f>
        <v>-21</v>
      </c>
      <c r="E191" s="43">
        <f>INDEX(Displacements!C:C, MATCH(Summary!$B191, Displacements!$A:$A, 0))</f>
        <v>0</v>
      </c>
      <c r="F191" s="44">
        <f>INDEX(Displacements!D:D, MATCH(Summary!$B191, Displacements!$A:$A, 0))</f>
        <v>0</v>
      </c>
      <c r="G191" s="42">
        <f>INDEX(Displacements!B:B, MATCH(Summary!$C191, Displacements!$A:$A, 0))</f>
        <v>-20.5</v>
      </c>
      <c r="H191" s="43">
        <f>INDEX(Displacements!C:C, MATCH(Summary!$C191, Displacements!$A:$A, 0))</f>
        <v>0</v>
      </c>
      <c r="I191" s="44">
        <f>INDEX(Displacements!D:D, MATCH(Summary!$C191, Displacements!$A:$A, 0))</f>
        <v>0</v>
      </c>
      <c r="J191" s="42">
        <f t="shared" si="4"/>
        <v>0.5</v>
      </c>
      <c r="K191" s="49">
        <f t="shared" si="5"/>
        <v>1</v>
      </c>
      <c r="L191" s="54">
        <f>INDEX('Forces+Stresses'!C:C, MATCH(Summary!$A191, 'Forces+Stresses'!$A:$A, 0))</f>
        <v>40.840000000000003</v>
      </c>
      <c r="M191" s="55">
        <f>INDEX('Forces+Stresses'!D:D, MATCH(Summary!$A191, 'Forces+Stresses'!$A:$A, 0))</f>
        <v>40.840000000000003</v>
      </c>
      <c r="N191" s="55">
        <f>IFERROR(INDEX('Forces+Stresses'!Q:Q, MATCH(Summary!$A191, 'Forces+Stresses'!$A:$A, 0)), INDEX(Flexjoints!D:D, MATCH(Summary!$A191, Flexjoints!$A:$A, 0)))</f>
        <v>5.4680000000000001E-10</v>
      </c>
      <c r="O191" s="56">
        <f>IFERROR(INDEX('Forces+Stresses'!R:R, MATCH(Summary!$A191, 'Forces+Stresses'!$A:$A, 0)), INDEX(Flexjoints!E:E, MATCH(Summary!$A191, Flexjoints!$A:$A, 0)))</f>
        <v>2.0199999999999999E-8</v>
      </c>
      <c r="P191" s="33" t="str">
        <f>IF(INDEX(Labels!B:B, MATCH(Summary!$A191, Labels!$A:$A, 0)) = 0, "", INDEX(Labels!B:B, MATCH(Summary!$A191, Labels!$A:$A, 0)))</f>
        <v>{Casing Soil String}</v>
      </c>
      <c r="Q191" s="35" t="str">
        <f>IF(INDEX(Labels!C:C, MATCH(Summary!$A191, Labels!$A:$A, 0)) = 0, "", INDEX(Labels!C:C, MATCH(Summary!$A191, Labels!$A:$A, 0)))</f>
        <v>{Casing 13 3/8in}</v>
      </c>
      <c r="R191" s="33" t="str">
        <f>IF(INDEX(Labels!D:D, MATCH(Summary!$A191, Labels!$A:$A, 0)) = 0, "", INDEX(Labels!D:D, MATCH(Summary!$A191, Labels!$A:$A, 0)))</f>
        <v/>
      </c>
      <c r="S191" s="35" t="str">
        <f>IF(INDEX(Labels!E:E, MATCH(Summary!$A191, Labels!$A:$A, 0)) = 0, "", INDEX(Labels!E:E, MATCH(Summary!$A191, Labels!$A:$A, 0)))</f>
        <v/>
      </c>
      <c r="T191" s="33" t="str">
        <f>IF(INDEX(Labels!F:F, MATCH(Summary!$A191, Labels!$A:$A, 0)) = 0, "", INDEX(Labels!F:F, MATCH(Summary!$A191, Labels!$A:$A, 0)))</f>
        <v/>
      </c>
      <c r="U191" s="35" t="str">
        <f>IF(INDEX(Labels!G:G, MATCH(Summary!$A191, Labels!$A:$A, 0)) = 0, "", INDEX(Labels!G:G, MATCH(Summary!$A191, Labels!$A:$A, 0)))</f>
        <v/>
      </c>
      <c r="V191" s="62" t="str">
        <f>IF(INDEX(Labels!H:H, MATCH(Summary!$A191, Labels!$A:$A, 0)) = 0, "", INDEX(Labels!H:H, MATCH(Summary!$A191, Labels!$A:$A, 0)))</f>
        <v/>
      </c>
      <c r="W191" t="str">
        <f>IF(INDEX(Labels!I:I, MATCH(Summary!$A191, Labels!$A:$A, 0)) = 0, "", INDEX(Labels!I:I, MATCH(Summary!$A191, Labels!$A:$A, 0)))</f>
        <v/>
      </c>
      <c r="X191" t="str">
        <f>IF(INDEX(Labels!J:J, MATCH(Summary!$A191, Labels!$A:$A, 0)) = 0, "", INDEX(Labels!J:J, MATCH(Summary!$A191, Labels!$A:$A, 0)))</f>
        <v/>
      </c>
    </row>
    <row r="192" spans="1:24" x14ac:dyDescent="0.2">
      <c r="A192" s="33">
        <f>Labels!A193</f>
        <v>186</v>
      </c>
      <c r="B192" s="34">
        <f>INDEX(EchoData!B:B, MATCH(Summary!$A192, EchoData!$A:$A, 0))</f>
        <v>188</v>
      </c>
      <c r="C192" s="35">
        <f>INDEX(EchoData!C:C, MATCH(Summary!$A192, EchoData!$A:$A, 0))</f>
        <v>189</v>
      </c>
      <c r="D192" s="42">
        <f>INDEX(Displacements!B:B, MATCH(Summary!$B192, Displacements!$A:$A, 0))</f>
        <v>-20.5</v>
      </c>
      <c r="E192" s="43">
        <f>INDEX(Displacements!C:C, MATCH(Summary!$B192, Displacements!$A:$A, 0))</f>
        <v>0</v>
      </c>
      <c r="F192" s="44">
        <f>INDEX(Displacements!D:D, MATCH(Summary!$B192, Displacements!$A:$A, 0))</f>
        <v>0</v>
      </c>
      <c r="G192" s="42">
        <f>INDEX(Displacements!B:B, MATCH(Summary!$C192, Displacements!$A:$A, 0))</f>
        <v>-20</v>
      </c>
      <c r="H192" s="43">
        <f>INDEX(Displacements!C:C, MATCH(Summary!$C192, Displacements!$A:$A, 0))</f>
        <v>0</v>
      </c>
      <c r="I192" s="44">
        <f>INDEX(Displacements!D:D, MATCH(Summary!$C192, Displacements!$A:$A, 0))</f>
        <v>0</v>
      </c>
      <c r="J192" s="42">
        <f t="shared" si="4"/>
        <v>0.5</v>
      </c>
      <c r="K192" s="49">
        <f t="shared" si="5"/>
        <v>1</v>
      </c>
      <c r="L192" s="54">
        <f>INDEX('Forces+Stresses'!C:C, MATCH(Summary!$A192, 'Forces+Stresses'!$A:$A, 0))</f>
        <v>41.54</v>
      </c>
      <c r="M192" s="55">
        <f>INDEX('Forces+Stresses'!D:D, MATCH(Summary!$A192, 'Forces+Stresses'!$A:$A, 0))</f>
        <v>41.54</v>
      </c>
      <c r="N192" s="55">
        <f>IFERROR(INDEX('Forces+Stresses'!Q:Q, MATCH(Summary!$A192, 'Forces+Stresses'!$A:$A, 0)), INDEX(Flexjoints!D:D, MATCH(Summary!$A192, Flexjoints!$A:$A, 0)))</f>
        <v>5.2399999999999995E-10</v>
      </c>
      <c r="O192" s="56">
        <f>IFERROR(INDEX('Forces+Stresses'!R:R, MATCH(Summary!$A192, 'Forces+Stresses'!$A:$A, 0)), INDEX(Flexjoints!E:E, MATCH(Summary!$A192, Flexjoints!$A:$A, 0)))</f>
        <v>1.9510000000000001E-8</v>
      </c>
      <c r="P192" s="33" t="str">
        <f>IF(INDEX(Labels!B:B, MATCH(Summary!$A192, Labels!$A:$A, 0)) = 0, "", INDEX(Labels!B:B, MATCH(Summary!$A192, Labels!$A:$A, 0)))</f>
        <v>{Casing Soil String}</v>
      </c>
      <c r="Q192" s="35" t="str">
        <f>IF(INDEX(Labels!C:C, MATCH(Summary!$A192, Labels!$A:$A, 0)) = 0, "", INDEX(Labels!C:C, MATCH(Summary!$A192, Labels!$A:$A, 0)))</f>
        <v>{Casing 13 3/8in}</v>
      </c>
      <c r="R192" s="33" t="str">
        <f>IF(INDEX(Labels!D:D, MATCH(Summary!$A192, Labels!$A:$A, 0)) = 0, "", INDEX(Labels!D:D, MATCH(Summary!$A192, Labels!$A:$A, 0)))</f>
        <v/>
      </c>
      <c r="S192" s="35" t="str">
        <f>IF(INDEX(Labels!E:E, MATCH(Summary!$A192, Labels!$A:$A, 0)) = 0, "", INDEX(Labels!E:E, MATCH(Summary!$A192, Labels!$A:$A, 0)))</f>
        <v/>
      </c>
      <c r="T192" s="33" t="str">
        <f>IF(INDEX(Labels!F:F, MATCH(Summary!$A192, Labels!$A:$A, 0)) = 0, "", INDEX(Labels!F:F, MATCH(Summary!$A192, Labels!$A:$A, 0)))</f>
        <v/>
      </c>
      <c r="U192" s="35" t="str">
        <f>IF(INDEX(Labels!G:G, MATCH(Summary!$A192, Labels!$A:$A, 0)) = 0, "", INDEX(Labels!G:G, MATCH(Summary!$A192, Labels!$A:$A, 0)))</f>
        <v/>
      </c>
      <c r="V192" s="62" t="str">
        <f>IF(INDEX(Labels!H:H, MATCH(Summary!$A192, Labels!$A:$A, 0)) = 0, "", INDEX(Labels!H:H, MATCH(Summary!$A192, Labels!$A:$A, 0)))</f>
        <v/>
      </c>
      <c r="W192" t="str">
        <f>IF(INDEX(Labels!I:I, MATCH(Summary!$A192, Labels!$A:$A, 0)) = 0, "", INDEX(Labels!I:I, MATCH(Summary!$A192, Labels!$A:$A, 0)))</f>
        <v/>
      </c>
      <c r="X192" t="str">
        <f>IF(INDEX(Labels!J:J, MATCH(Summary!$A192, Labels!$A:$A, 0)) = 0, "", INDEX(Labels!J:J, MATCH(Summary!$A192, Labels!$A:$A, 0)))</f>
        <v/>
      </c>
    </row>
    <row r="193" spans="1:24" x14ac:dyDescent="0.2">
      <c r="A193" s="33">
        <f>Labels!A194</f>
        <v>187</v>
      </c>
      <c r="B193" s="34">
        <f>INDEX(EchoData!B:B, MATCH(Summary!$A193, EchoData!$A:$A, 0))</f>
        <v>189</v>
      </c>
      <c r="C193" s="35">
        <f>INDEX(EchoData!C:C, MATCH(Summary!$A193, EchoData!$A:$A, 0))</f>
        <v>190</v>
      </c>
      <c r="D193" s="42">
        <f>INDEX(Displacements!B:B, MATCH(Summary!$B193, Displacements!$A:$A, 0))</f>
        <v>-20</v>
      </c>
      <c r="E193" s="43">
        <f>INDEX(Displacements!C:C, MATCH(Summary!$B193, Displacements!$A:$A, 0))</f>
        <v>0</v>
      </c>
      <c r="F193" s="44">
        <f>INDEX(Displacements!D:D, MATCH(Summary!$B193, Displacements!$A:$A, 0))</f>
        <v>0</v>
      </c>
      <c r="G193" s="42">
        <f>INDEX(Displacements!B:B, MATCH(Summary!$C193, Displacements!$A:$A, 0))</f>
        <v>-19.5</v>
      </c>
      <c r="H193" s="43">
        <f>INDEX(Displacements!C:C, MATCH(Summary!$C193, Displacements!$A:$A, 0))</f>
        <v>0</v>
      </c>
      <c r="I193" s="44">
        <f>INDEX(Displacements!D:D, MATCH(Summary!$C193, Displacements!$A:$A, 0))</f>
        <v>0</v>
      </c>
      <c r="J193" s="42">
        <f t="shared" si="4"/>
        <v>0.5</v>
      </c>
      <c r="K193" s="49">
        <f t="shared" si="5"/>
        <v>1</v>
      </c>
      <c r="L193" s="54">
        <f>INDEX('Forces+Stresses'!C:C, MATCH(Summary!$A193, 'Forces+Stresses'!$A:$A, 0))</f>
        <v>42.25</v>
      </c>
      <c r="M193" s="55">
        <f>INDEX('Forces+Stresses'!D:D, MATCH(Summary!$A193, 'Forces+Stresses'!$A:$A, 0))</f>
        <v>42.25</v>
      </c>
      <c r="N193" s="55">
        <f>IFERROR(INDEX('Forces+Stresses'!Q:Q, MATCH(Summary!$A193, 'Forces+Stresses'!$A:$A, 0)), INDEX(Flexjoints!D:D, MATCH(Summary!$A193, Flexjoints!$A:$A, 0)))</f>
        <v>4.9269999999999996E-10</v>
      </c>
      <c r="O193" s="56">
        <f>IFERROR(INDEX('Forces+Stresses'!R:R, MATCH(Summary!$A193, 'Forces+Stresses'!$A:$A, 0)), INDEX(Flexjoints!E:E, MATCH(Summary!$A193, Flexjoints!$A:$A, 0)))</f>
        <v>1.852E-8</v>
      </c>
      <c r="P193" s="33" t="str">
        <f>IF(INDEX(Labels!B:B, MATCH(Summary!$A193, Labels!$A:$A, 0)) = 0, "", INDEX(Labels!B:B, MATCH(Summary!$A193, Labels!$A:$A, 0)))</f>
        <v>{Casing Soil String}</v>
      </c>
      <c r="Q193" s="35" t="str">
        <f>IF(INDEX(Labels!C:C, MATCH(Summary!$A193, Labels!$A:$A, 0)) = 0, "", INDEX(Labels!C:C, MATCH(Summary!$A193, Labels!$A:$A, 0)))</f>
        <v>{Casing 13 3/8in}</v>
      </c>
      <c r="R193" s="33" t="str">
        <f>IF(INDEX(Labels!D:D, MATCH(Summary!$A193, Labels!$A:$A, 0)) = 0, "", INDEX(Labels!D:D, MATCH(Summary!$A193, Labels!$A:$A, 0)))</f>
        <v/>
      </c>
      <c r="S193" s="35" t="str">
        <f>IF(INDEX(Labels!E:E, MATCH(Summary!$A193, Labels!$A:$A, 0)) = 0, "", INDEX(Labels!E:E, MATCH(Summary!$A193, Labels!$A:$A, 0)))</f>
        <v/>
      </c>
      <c r="T193" s="33" t="str">
        <f>IF(INDEX(Labels!F:F, MATCH(Summary!$A193, Labels!$A:$A, 0)) = 0, "", INDEX(Labels!F:F, MATCH(Summary!$A193, Labels!$A:$A, 0)))</f>
        <v/>
      </c>
      <c r="U193" s="35" t="str">
        <f>IF(INDEX(Labels!G:G, MATCH(Summary!$A193, Labels!$A:$A, 0)) = 0, "", INDEX(Labels!G:G, MATCH(Summary!$A193, Labels!$A:$A, 0)))</f>
        <v/>
      </c>
      <c r="V193" s="62" t="str">
        <f>IF(INDEX(Labels!H:H, MATCH(Summary!$A193, Labels!$A:$A, 0)) = 0, "", INDEX(Labels!H:H, MATCH(Summary!$A193, Labels!$A:$A, 0)))</f>
        <v/>
      </c>
      <c r="W193" t="str">
        <f>IF(INDEX(Labels!I:I, MATCH(Summary!$A193, Labels!$A:$A, 0)) = 0, "", INDEX(Labels!I:I, MATCH(Summary!$A193, Labels!$A:$A, 0)))</f>
        <v/>
      </c>
      <c r="X193" t="str">
        <f>IF(INDEX(Labels!J:J, MATCH(Summary!$A193, Labels!$A:$A, 0)) = 0, "", INDEX(Labels!J:J, MATCH(Summary!$A193, Labels!$A:$A, 0)))</f>
        <v/>
      </c>
    </row>
    <row r="194" spans="1:24" x14ac:dyDescent="0.2">
      <c r="A194" s="33">
        <f>Labels!A195</f>
        <v>188</v>
      </c>
      <c r="B194" s="34">
        <f>INDEX(EchoData!B:B, MATCH(Summary!$A194, EchoData!$A:$A, 0))</f>
        <v>190</v>
      </c>
      <c r="C194" s="35">
        <f>INDEX(EchoData!C:C, MATCH(Summary!$A194, EchoData!$A:$A, 0))</f>
        <v>191</v>
      </c>
      <c r="D194" s="42">
        <f>INDEX(Displacements!B:B, MATCH(Summary!$B194, Displacements!$A:$A, 0))</f>
        <v>-19.5</v>
      </c>
      <c r="E194" s="43">
        <f>INDEX(Displacements!C:C, MATCH(Summary!$B194, Displacements!$A:$A, 0))</f>
        <v>0</v>
      </c>
      <c r="F194" s="44">
        <f>INDEX(Displacements!D:D, MATCH(Summary!$B194, Displacements!$A:$A, 0))</f>
        <v>0</v>
      </c>
      <c r="G194" s="42">
        <f>INDEX(Displacements!B:B, MATCH(Summary!$C194, Displacements!$A:$A, 0))</f>
        <v>-19</v>
      </c>
      <c r="H194" s="43">
        <f>INDEX(Displacements!C:C, MATCH(Summary!$C194, Displacements!$A:$A, 0))</f>
        <v>0</v>
      </c>
      <c r="I194" s="44">
        <f>INDEX(Displacements!D:D, MATCH(Summary!$C194, Displacements!$A:$A, 0))</f>
        <v>0</v>
      </c>
      <c r="J194" s="42">
        <f t="shared" si="4"/>
        <v>0.5</v>
      </c>
      <c r="K194" s="49">
        <f t="shared" si="5"/>
        <v>1</v>
      </c>
      <c r="L194" s="54">
        <f>INDEX('Forces+Stresses'!C:C, MATCH(Summary!$A194, 'Forces+Stresses'!$A:$A, 0))</f>
        <v>42.95</v>
      </c>
      <c r="M194" s="55">
        <f>INDEX('Forces+Stresses'!D:D, MATCH(Summary!$A194, 'Forces+Stresses'!$A:$A, 0))</f>
        <v>42.95</v>
      </c>
      <c r="N194" s="55">
        <f>IFERROR(INDEX('Forces+Stresses'!Q:Q, MATCH(Summary!$A194, 'Forces+Stresses'!$A:$A, 0)), INDEX(Flexjoints!D:D, MATCH(Summary!$A194, Flexjoints!$A:$A, 0)))</f>
        <v>4.5209999999999997E-10</v>
      </c>
      <c r="O194" s="56">
        <f>IFERROR(INDEX('Forces+Stresses'!R:R, MATCH(Summary!$A194, 'Forces+Stresses'!$A:$A, 0)), INDEX(Flexjoints!E:E, MATCH(Summary!$A194, Flexjoints!$A:$A, 0)))</f>
        <v>1.7200000000000002E-8</v>
      </c>
      <c r="P194" s="33" t="str">
        <f>IF(INDEX(Labels!B:B, MATCH(Summary!$A194, Labels!$A:$A, 0)) = 0, "", INDEX(Labels!B:B, MATCH(Summary!$A194, Labels!$A:$A, 0)))</f>
        <v>{Casing Soil String}</v>
      </c>
      <c r="Q194" s="35" t="str">
        <f>IF(INDEX(Labels!C:C, MATCH(Summary!$A194, Labels!$A:$A, 0)) = 0, "", INDEX(Labels!C:C, MATCH(Summary!$A194, Labels!$A:$A, 0)))</f>
        <v>{Casing 13 3/8in}</v>
      </c>
      <c r="R194" s="33" t="str">
        <f>IF(INDEX(Labels!D:D, MATCH(Summary!$A194, Labels!$A:$A, 0)) = 0, "", INDEX(Labels!D:D, MATCH(Summary!$A194, Labels!$A:$A, 0)))</f>
        <v/>
      </c>
      <c r="S194" s="35" t="str">
        <f>IF(INDEX(Labels!E:E, MATCH(Summary!$A194, Labels!$A:$A, 0)) = 0, "", INDEX(Labels!E:E, MATCH(Summary!$A194, Labels!$A:$A, 0)))</f>
        <v/>
      </c>
      <c r="T194" s="33" t="str">
        <f>IF(INDEX(Labels!F:F, MATCH(Summary!$A194, Labels!$A:$A, 0)) = 0, "", INDEX(Labels!F:F, MATCH(Summary!$A194, Labels!$A:$A, 0)))</f>
        <v/>
      </c>
      <c r="U194" s="35" t="str">
        <f>IF(INDEX(Labels!G:G, MATCH(Summary!$A194, Labels!$A:$A, 0)) = 0, "", INDEX(Labels!G:G, MATCH(Summary!$A194, Labels!$A:$A, 0)))</f>
        <v/>
      </c>
      <c r="V194" s="62" t="str">
        <f>IF(INDEX(Labels!H:H, MATCH(Summary!$A194, Labels!$A:$A, 0)) = 0, "", INDEX(Labels!H:H, MATCH(Summary!$A194, Labels!$A:$A, 0)))</f>
        <v/>
      </c>
      <c r="W194" t="str">
        <f>IF(INDEX(Labels!I:I, MATCH(Summary!$A194, Labels!$A:$A, 0)) = 0, "", INDEX(Labels!I:I, MATCH(Summary!$A194, Labels!$A:$A, 0)))</f>
        <v/>
      </c>
      <c r="X194" t="str">
        <f>IF(INDEX(Labels!J:J, MATCH(Summary!$A194, Labels!$A:$A, 0)) = 0, "", INDEX(Labels!J:J, MATCH(Summary!$A194, Labels!$A:$A, 0)))</f>
        <v/>
      </c>
    </row>
    <row r="195" spans="1:24" x14ac:dyDescent="0.2">
      <c r="A195" s="33">
        <f>Labels!A196</f>
        <v>189</v>
      </c>
      <c r="B195" s="34">
        <f>INDEX(EchoData!B:B, MATCH(Summary!$A195, EchoData!$A:$A, 0))</f>
        <v>191</v>
      </c>
      <c r="C195" s="35">
        <f>INDEX(EchoData!C:C, MATCH(Summary!$A195, EchoData!$A:$A, 0))</f>
        <v>192</v>
      </c>
      <c r="D195" s="42">
        <f>INDEX(Displacements!B:B, MATCH(Summary!$B195, Displacements!$A:$A, 0))</f>
        <v>-19</v>
      </c>
      <c r="E195" s="43">
        <f>INDEX(Displacements!C:C, MATCH(Summary!$B195, Displacements!$A:$A, 0))</f>
        <v>0</v>
      </c>
      <c r="F195" s="44">
        <f>INDEX(Displacements!D:D, MATCH(Summary!$B195, Displacements!$A:$A, 0))</f>
        <v>0</v>
      </c>
      <c r="G195" s="42">
        <f>INDEX(Displacements!B:B, MATCH(Summary!$C195, Displacements!$A:$A, 0))</f>
        <v>-18.5</v>
      </c>
      <c r="H195" s="43">
        <f>INDEX(Displacements!C:C, MATCH(Summary!$C195, Displacements!$A:$A, 0))</f>
        <v>0</v>
      </c>
      <c r="I195" s="44">
        <f>INDEX(Displacements!D:D, MATCH(Summary!$C195, Displacements!$A:$A, 0))</f>
        <v>0</v>
      </c>
      <c r="J195" s="42">
        <f t="shared" si="4"/>
        <v>0.5</v>
      </c>
      <c r="K195" s="49">
        <f t="shared" si="5"/>
        <v>1</v>
      </c>
      <c r="L195" s="54">
        <f>INDEX('Forces+Stresses'!C:C, MATCH(Summary!$A195, 'Forces+Stresses'!$A:$A, 0))</f>
        <v>43.66</v>
      </c>
      <c r="M195" s="55">
        <f>INDEX('Forces+Stresses'!D:D, MATCH(Summary!$A195, 'Forces+Stresses'!$A:$A, 0))</f>
        <v>43.66</v>
      </c>
      <c r="N195" s="55">
        <f>IFERROR(INDEX('Forces+Stresses'!Q:Q, MATCH(Summary!$A195, 'Forces+Stresses'!$A:$A, 0)), INDEX(Flexjoints!D:D, MATCH(Summary!$A195, Flexjoints!$A:$A, 0)))</f>
        <v>4.018E-10</v>
      </c>
      <c r="O195" s="56">
        <f>IFERROR(INDEX('Forces+Stresses'!R:R, MATCH(Summary!$A195, 'Forces+Stresses'!$A:$A, 0)), INDEX(Flexjoints!E:E, MATCH(Summary!$A195, Flexjoints!$A:$A, 0)))</f>
        <v>1.5529999999999997E-8</v>
      </c>
      <c r="P195" s="33" t="str">
        <f>IF(INDEX(Labels!B:B, MATCH(Summary!$A195, Labels!$A:$A, 0)) = 0, "", INDEX(Labels!B:B, MATCH(Summary!$A195, Labels!$A:$A, 0)))</f>
        <v>{Casing Soil String}</v>
      </c>
      <c r="Q195" s="35" t="str">
        <f>IF(INDEX(Labels!C:C, MATCH(Summary!$A195, Labels!$A:$A, 0)) = 0, "", INDEX(Labels!C:C, MATCH(Summary!$A195, Labels!$A:$A, 0)))</f>
        <v>{Casing 13 3/8in}</v>
      </c>
      <c r="R195" s="33" t="str">
        <f>IF(INDEX(Labels!D:D, MATCH(Summary!$A195, Labels!$A:$A, 0)) = 0, "", INDEX(Labels!D:D, MATCH(Summary!$A195, Labels!$A:$A, 0)))</f>
        <v/>
      </c>
      <c r="S195" s="35" t="str">
        <f>IF(INDEX(Labels!E:E, MATCH(Summary!$A195, Labels!$A:$A, 0)) = 0, "", INDEX(Labels!E:E, MATCH(Summary!$A195, Labels!$A:$A, 0)))</f>
        <v/>
      </c>
      <c r="T195" s="33" t="str">
        <f>IF(INDEX(Labels!F:F, MATCH(Summary!$A195, Labels!$A:$A, 0)) = 0, "", INDEX(Labels!F:F, MATCH(Summary!$A195, Labels!$A:$A, 0)))</f>
        <v/>
      </c>
      <c r="U195" s="35" t="str">
        <f>IF(INDEX(Labels!G:G, MATCH(Summary!$A195, Labels!$A:$A, 0)) = 0, "", INDEX(Labels!G:G, MATCH(Summary!$A195, Labels!$A:$A, 0)))</f>
        <v/>
      </c>
      <c r="V195" s="62" t="str">
        <f>IF(INDEX(Labels!H:H, MATCH(Summary!$A195, Labels!$A:$A, 0)) = 0, "", INDEX(Labels!H:H, MATCH(Summary!$A195, Labels!$A:$A, 0)))</f>
        <v/>
      </c>
      <c r="W195" t="str">
        <f>IF(INDEX(Labels!I:I, MATCH(Summary!$A195, Labels!$A:$A, 0)) = 0, "", INDEX(Labels!I:I, MATCH(Summary!$A195, Labels!$A:$A, 0)))</f>
        <v/>
      </c>
      <c r="X195" t="str">
        <f>IF(INDEX(Labels!J:J, MATCH(Summary!$A195, Labels!$A:$A, 0)) = 0, "", INDEX(Labels!J:J, MATCH(Summary!$A195, Labels!$A:$A, 0)))</f>
        <v/>
      </c>
    </row>
    <row r="196" spans="1:24" x14ac:dyDescent="0.2">
      <c r="A196" s="33">
        <f>Labels!A197</f>
        <v>190</v>
      </c>
      <c r="B196" s="34">
        <f>INDEX(EchoData!B:B, MATCH(Summary!$A196, EchoData!$A:$A, 0))</f>
        <v>192</v>
      </c>
      <c r="C196" s="35">
        <f>INDEX(EchoData!C:C, MATCH(Summary!$A196, EchoData!$A:$A, 0))</f>
        <v>193</v>
      </c>
      <c r="D196" s="42">
        <f>INDEX(Displacements!B:B, MATCH(Summary!$B196, Displacements!$A:$A, 0))</f>
        <v>-18.5</v>
      </c>
      <c r="E196" s="43">
        <f>INDEX(Displacements!C:C, MATCH(Summary!$B196, Displacements!$A:$A, 0))</f>
        <v>0</v>
      </c>
      <c r="F196" s="44">
        <f>INDEX(Displacements!D:D, MATCH(Summary!$B196, Displacements!$A:$A, 0))</f>
        <v>0</v>
      </c>
      <c r="G196" s="42">
        <f>INDEX(Displacements!B:B, MATCH(Summary!$C196, Displacements!$A:$A, 0))</f>
        <v>-18</v>
      </c>
      <c r="H196" s="43">
        <f>INDEX(Displacements!C:C, MATCH(Summary!$C196, Displacements!$A:$A, 0))</f>
        <v>0</v>
      </c>
      <c r="I196" s="44">
        <f>INDEX(Displacements!D:D, MATCH(Summary!$C196, Displacements!$A:$A, 0))</f>
        <v>0</v>
      </c>
      <c r="J196" s="42">
        <f t="shared" si="4"/>
        <v>0.5</v>
      </c>
      <c r="K196" s="49">
        <f t="shared" si="5"/>
        <v>1</v>
      </c>
      <c r="L196" s="54">
        <f>INDEX('Forces+Stresses'!C:C, MATCH(Summary!$A196, 'Forces+Stresses'!$A:$A, 0))</f>
        <v>44.36</v>
      </c>
      <c r="M196" s="55">
        <f>INDEX('Forces+Stresses'!D:D, MATCH(Summary!$A196, 'Forces+Stresses'!$A:$A, 0))</f>
        <v>44.36</v>
      </c>
      <c r="N196" s="55">
        <f>IFERROR(INDEX('Forces+Stresses'!Q:Q, MATCH(Summary!$A196, 'Forces+Stresses'!$A:$A, 0)), INDEX(Flexjoints!D:D, MATCH(Summary!$A196, Flexjoints!$A:$A, 0)))</f>
        <v>3.4100000000000001E-10</v>
      </c>
      <c r="O196" s="56">
        <f>IFERROR(INDEX('Forces+Stresses'!R:R, MATCH(Summary!$A196, 'Forces+Stresses'!$A:$A, 0)), INDEX(Flexjoints!E:E, MATCH(Summary!$A196, Flexjoints!$A:$A, 0)))</f>
        <v>1.35E-8</v>
      </c>
      <c r="P196" s="33" t="str">
        <f>IF(INDEX(Labels!B:B, MATCH(Summary!$A196, Labels!$A:$A, 0)) = 0, "", INDEX(Labels!B:B, MATCH(Summary!$A196, Labels!$A:$A, 0)))</f>
        <v>{Casing Soil String}</v>
      </c>
      <c r="Q196" s="35" t="str">
        <f>IF(INDEX(Labels!C:C, MATCH(Summary!$A196, Labels!$A:$A, 0)) = 0, "", INDEX(Labels!C:C, MATCH(Summary!$A196, Labels!$A:$A, 0)))</f>
        <v>{Casing 13 3/8in}</v>
      </c>
      <c r="R196" s="33" t="str">
        <f>IF(INDEX(Labels!D:D, MATCH(Summary!$A196, Labels!$A:$A, 0)) = 0, "", INDEX(Labels!D:D, MATCH(Summary!$A196, Labels!$A:$A, 0)))</f>
        <v/>
      </c>
      <c r="S196" s="35" t="str">
        <f>IF(INDEX(Labels!E:E, MATCH(Summary!$A196, Labels!$A:$A, 0)) = 0, "", INDEX(Labels!E:E, MATCH(Summary!$A196, Labels!$A:$A, 0)))</f>
        <v/>
      </c>
      <c r="T196" s="33" t="str">
        <f>IF(INDEX(Labels!F:F, MATCH(Summary!$A196, Labels!$A:$A, 0)) = 0, "", INDEX(Labels!F:F, MATCH(Summary!$A196, Labels!$A:$A, 0)))</f>
        <v/>
      </c>
      <c r="U196" s="35" t="str">
        <f>IF(INDEX(Labels!G:G, MATCH(Summary!$A196, Labels!$A:$A, 0)) = 0, "", INDEX(Labels!G:G, MATCH(Summary!$A196, Labels!$A:$A, 0)))</f>
        <v/>
      </c>
      <c r="V196" s="62" t="str">
        <f>IF(INDEX(Labels!H:H, MATCH(Summary!$A196, Labels!$A:$A, 0)) = 0, "", INDEX(Labels!H:H, MATCH(Summary!$A196, Labels!$A:$A, 0)))</f>
        <v/>
      </c>
      <c r="W196" t="str">
        <f>IF(INDEX(Labels!I:I, MATCH(Summary!$A196, Labels!$A:$A, 0)) = 0, "", INDEX(Labels!I:I, MATCH(Summary!$A196, Labels!$A:$A, 0)))</f>
        <v/>
      </c>
      <c r="X196" t="str">
        <f>IF(INDEX(Labels!J:J, MATCH(Summary!$A196, Labels!$A:$A, 0)) = 0, "", INDEX(Labels!J:J, MATCH(Summary!$A196, Labels!$A:$A, 0)))</f>
        <v/>
      </c>
    </row>
    <row r="197" spans="1:24" x14ac:dyDescent="0.2">
      <c r="A197" s="33">
        <f>Labels!A198</f>
        <v>191</v>
      </c>
      <c r="B197" s="34">
        <f>INDEX(EchoData!B:B, MATCH(Summary!$A197, EchoData!$A:$A, 0))</f>
        <v>193</v>
      </c>
      <c r="C197" s="35">
        <f>INDEX(EchoData!C:C, MATCH(Summary!$A197, EchoData!$A:$A, 0))</f>
        <v>194</v>
      </c>
      <c r="D197" s="42">
        <f>INDEX(Displacements!B:B, MATCH(Summary!$B197, Displacements!$A:$A, 0))</f>
        <v>-18</v>
      </c>
      <c r="E197" s="43">
        <f>INDEX(Displacements!C:C, MATCH(Summary!$B197, Displacements!$A:$A, 0))</f>
        <v>0</v>
      </c>
      <c r="F197" s="44">
        <f>INDEX(Displacements!D:D, MATCH(Summary!$B197, Displacements!$A:$A, 0))</f>
        <v>0</v>
      </c>
      <c r="G197" s="42">
        <f>INDEX(Displacements!B:B, MATCH(Summary!$C197, Displacements!$A:$A, 0))</f>
        <v>-17.5</v>
      </c>
      <c r="H197" s="43">
        <f>INDEX(Displacements!C:C, MATCH(Summary!$C197, Displacements!$A:$A, 0))</f>
        <v>0</v>
      </c>
      <c r="I197" s="44">
        <f>INDEX(Displacements!D:D, MATCH(Summary!$C197, Displacements!$A:$A, 0))</f>
        <v>0</v>
      </c>
      <c r="J197" s="42">
        <f t="shared" si="4"/>
        <v>0.5</v>
      </c>
      <c r="K197" s="49">
        <f t="shared" si="5"/>
        <v>1</v>
      </c>
      <c r="L197" s="54">
        <f>INDEX('Forces+Stresses'!C:C, MATCH(Summary!$A197, 'Forces+Stresses'!$A:$A, 0))</f>
        <v>45.07</v>
      </c>
      <c r="M197" s="55">
        <f>INDEX('Forces+Stresses'!D:D, MATCH(Summary!$A197, 'Forces+Stresses'!$A:$A, 0))</f>
        <v>45.07</v>
      </c>
      <c r="N197" s="55">
        <f>IFERROR(INDEX('Forces+Stresses'!Q:Q, MATCH(Summary!$A197, 'Forces+Stresses'!$A:$A, 0)), INDEX(Flexjoints!D:D, MATCH(Summary!$A197, Flexjoints!$A:$A, 0)))</f>
        <v>2.695E-10</v>
      </c>
      <c r="O197" s="56">
        <f>IFERROR(INDEX('Forces+Stresses'!R:R, MATCH(Summary!$A197, 'Forces+Stresses'!$A:$A, 0)), INDEX(Flexjoints!E:E, MATCH(Summary!$A197, Flexjoints!$A:$A, 0)))</f>
        <v>1.1070000000000001E-8</v>
      </c>
      <c r="P197" s="33" t="str">
        <f>IF(INDEX(Labels!B:B, MATCH(Summary!$A197, Labels!$A:$A, 0)) = 0, "", INDEX(Labels!B:B, MATCH(Summary!$A197, Labels!$A:$A, 0)))</f>
        <v>{Casing Soil String}</v>
      </c>
      <c r="Q197" s="35" t="str">
        <f>IF(INDEX(Labels!C:C, MATCH(Summary!$A197, Labels!$A:$A, 0)) = 0, "", INDEX(Labels!C:C, MATCH(Summary!$A197, Labels!$A:$A, 0)))</f>
        <v>{Casing 13 3/8in}</v>
      </c>
      <c r="R197" s="33" t="str">
        <f>IF(INDEX(Labels!D:D, MATCH(Summary!$A197, Labels!$A:$A, 0)) = 0, "", INDEX(Labels!D:D, MATCH(Summary!$A197, Labels!$A:$A, 0)))</f>
        <v/>
      </c>
      <c r="S197" s="35" t="str">
        <f>IF(INDEX(Labels!E:E, MATCH(Summary!$A197, Labels!$A:$A, 0)) = 0, "", INDEX(Labels!E:E, MATCH(Summary!$A197, Labels!$A:$A, 0)))</f>
        <v/>
      </c>
      <c r="T197" s="33" t="str">
        <f>IF(INDEX(Labels!F:F, MATCH(Summary!$A197, Labels!$A:$A, 0)) = 0, "", INDEX(Labels!F:F, MATCH(Summary!$A197, Labels!$A:$A, 0)))</f>
        <v/>
      </c>
      <c r="U197" s="35" t="str">
        <f>IF(INDEX(Labels!G:G, MATCH(Summary!$A197, Labels!$A:$A, 0)) = 0, "", INDEX(Labels!G:G, MATCH(Summary!$A197, Labels!$A:$A, 0)))</f>
        <v/>
      </c>
      <c r="V197" s="62" t="str">
        <f>IF(INDEX(Labels!H:H, MATCH(Summary!$A197, Labels!$A:$A, 0)) = 0, "", INDEX(Labels!H:H, MATCH(Summary!$A197, Labels!$A:$A, 0)))</f>
        <v/>
      </c>
      <c r="W197" t="str">
        <f>IF(INDEX(Labels!I:I, MATCH(Summary!$A197, Labels!$A:$A, 0)) = 0, "", INDEX(Labels!I:I, MATCH(Summary!$A197, Labels!$A:$A, 0)))</f>
        <v/>
      </c>
      <c r="X197" t="str">
        <f>IF(INDEX(Labels!J:J, MATCH(Summary!$A197, Labels!$A:$A, 0)) = 0, "", INDEX(Labels!J:J, MATCH(Summary!$A197, Labels!$A:$A, 0)))</f>
        <v/>
      </c>
    </row>
    <row r="198" spans="1:24" x14ac:dyDescent="0.2">
      <c r="A198" s="33">
        <f>Labels!A199</f>
        <v>192</v>
      </c>
      <c r="B198" s="34">
        <f>INDEX(EchoData!B:B, MATCH(Summary!$A198, EchoData!$A:$A, 0))</f>
        <v>194</v>
      </c>
      <c r="C198" s="35">
        <f>INDEX(EchoData!C:C, MATCH(Summary!$A198, EchoData!$A:$A, 0))</f>
        <v>195</v>
      </c>
      <c r="D198" s="42">
        <f>INDEX(Displacements!B:B, MATCH(Summary!$B198, Displacements!$A:$A, 0))</f>
        <v>-17.5</v>
      </c>
      <c r="E198" s="43">
        <f>INDEX(Displacements!C:C, MATCH(Summary!$B198, Displacements!$A:$A, 0))</f>
        <v>0</v>
      </c>
      <c r="F198" s="44">
        <f>INDEX(Displacements!D:D, MATCH(Summary!$B198, Displacements!$A:$A, 0))</f>
        <v>0</v>
      </c>
      <c r="G198" s="42">
        <f>INDEX(Displacements!B:B, MATCH(Summary!$C198, Displacements!$A:$A, 0))</f>
        <v>-17</v>
      </c>
      <c r="H198" s="43">
        <f>INDEX(Displacements!C:C, MATCH(Summary!$C198, Displacements!$A:$A, 0))</f>
        <v>0</v>
      </c>
      <c r="I198" s="44">
        <f>INDEX(Displacements!D:D, MATCH(Summary!$C198, Displacements!$A:$A, 0))</f>
        <v>0</v>
      </c>
      <c r="J198" s="42">
        <f t="shared" si="4"/>
        <v>0.5</v>
      </c>
      <c r="K198" s="49">
        <f t="shared" si="5"/>
        <v>1</v>
      </c>
      <c r="L198" s="54">
        <f>INDEX('Forces+Stresses'!C:C, MATCH(Summary!$A198, 'Forces+Stresses'!$A:$A, 0))</f>
        <v>45.77</v>
      </c>
      <c r="M198" s="55">
        <f>INDEX('Forces+Stresses'!D:D, MATCH(Summary!$A198, 'Forces+Stresses'!$A:$A, 0))</f>
        <v>45.77</v>
      </c>
      <c r="N198" s="55">
        <f>IFERROR(INDEX('Forces+Stresses'!Q:Q, MATCH(Summary!$A198, 'Forces+Stresses'!$A:$A, 0)), INDEX(Flexjoints!D:D, MATCH(Summary!$A198, Flexjoints!$A:$A, 0)))</f>
        <v>1.87E-10</v>
      </c>
      <c r="O198" s="56">
        <f>IFERROR(INDEX('Forces+Stresses'!R:R, MATCH(Summary!$A198, 'Forces+Stresses'!$A:$A, 0)), INDEX(Flexjoints!E:E, MATCH(Summary!$A198, Flexjoints!$A:$A, 0)))</f>
        <v>8.2350000000000006E-9</v>
      </c>
      <c r="P198" s="33" t="str">
        <f>IF(INDEX(Labels!B:B, MATCH(Summary!$A198, Labels!$A:$A, 0)) = 0, "", INDEX(Labels!B:B, MATCH(Summary!$A198, Labels!$A:$A, 0)))</f>
        <v>{Casing Soil String}</v>
      </c>
      <c r="Q198" s="35" t="str">
        <f>IF(INDEX(Labels!C:C, MATCH(Summary!$A198, Labels!$A:$A, 0)) = 0, "", INDEX(Labels!C:C, MATCH(Summary!$A198, Labels!$A:$A, 0)))</f>
        <v>{Casing 13 3/8in}</v>
      </c>
      <c r="R198" s="33" t="str">
        <f>IF(INDEX(Labels!D:D, MATCH(Summary!$A198, Labels!$A:$A, 0)) = 0, "", INDEX(Labels!D:D, MATCH(Summary!$A198, Labels!$A:$A, 0)))</f>
        <v/>
      </c>
      <c r="S198" s="35" t="str">
        <f>IF(INDEX(Labels!E:E, MATCH(Summary!$A198, Labels!$A:$A, 0)) = 0, "", INDEX(Labels!E:E, MATCH(Summary!$A198, Labels!$A:$A, 0)))</f>
        <v/>
      </c>
      <c r="T198" s="33" t="str">
        <f>IF(INDEX(Labels!F:F, MATCH(Summary!$A198, Labels!$A:$A, 0)) = 0, "", INDEX(Labels!F:F, MATCH(Summary!$A198, Labels!$A:$A, 0)))</f>
        <v/>
      </c>
      <c r="U198" s="35" t="str">
        <f>IF(INDEX(Labels!G:G, MATCH(Summary!$A198, Labels!$A:$A, 0)) = 0, "", INDEX(Labels!G:G, MATCH(Summary!$A198, Labels!$A:$A, 0)))</f>
        <v/>
      </c>
      <c r="V198" s="62" t="str">
        <f>IF(INDEX(Labels!H:H, MATCH(Summary!$A198, Labels!$A:$A, 0)) = 0, "", INDEX(Labels!H:H, MATCH(Summary!$A198, Labels!$A:$A, 0)))</f>
        <v/>
      </c>
      <c r="W198" t="str">
        <f>IF(INDEX(Labels!I:I, MATCH(Summary!$A198, Labels!$A:$A, 0)) = 0, "", INDEX(Labels!I:I, MATCH(Summary!$A198, Labels!$A:$A, 0)))</f>
        <v/>
      </c>
      <c r="X198" t="str">
        <f>IF(INDEX(Labels!J:J, MATCH(Summary!$A198, Labels!$A:$A, 0)) = 0, "", INDEX(Labels!J:J, MATCH(Summary!$A198, Labels!$A:$A, 0)))</f>
        <v/>
      </c>
    </row>
    <row r="199" spans="1:24" x14ac:dyDescent="0.2">
      <c r="A199" s="33">
        <f>Labels!A200</f>
        <v>193</v>
      </c>
      <c r="B199" s="34">
        <f>INDEX(EchoData!B:B, MATCH(Summary!$A199, EchoData!$A:$A, 0))</f>
        <v>195</v>
      </c>
      <c r="C199" s="35">
        <f>INDEX(EchoData!C:C, MATCH(Summary!$A199, EchoData!$A:$A, 0))</f>
        <v>196</v>
      </c>
      <c r="D199" s="42">
        <f>INDEX(Displacements!B:B, MATCH(Summary!$B199, Displacements!$A:$A, 0))</f>
        <v>-17</v>
      </c>
      <c r="E199" s="43">
        <f>INDEX(Displacements!C:C, MATCH(Summary!$B199, Displacements!$A:$A, 0))</f>
        <v>0</v>
      </c>
      <c r="F199" s="44">
        <f>INDEX(Displacements!D:D, MATCH(Summary!$B199, Displacements!$A:$A, 0))</f>
        <v>0</v>
      </c>
      <c r="G199" s="42">
        <f>INDEX(Displacements!B:B, MATCH(Summary!$C199, Displacements!$A:$A, 0))</f>
        <v>-16.5</v>
      </c>
      <c r="H199" s="43">
        <f>INDEX(Displacements!C:C, MATCH(Summary!$C199, Displacements!$A:$A, 0))</f>
        <v>0</v>
      </c>
      <c r="I199" s="44">
        <f>INDEX(Displacements!D:D, MATCH(Summary!$C199, Displacements!$A:$A, 0))</f>
        <v>0</v>
      </c>
      <c r="J199" s="42">
        <f t="shared" ref="J199:J262" si="6">SQRT((G199 - D199)^2 + (H199 - E199)^2 + (I199 - F199)^2)</f>
        <v>0.5</v>
      </c>
      <c r="K199" s="49">
        <f t="shared" ref="K199:K262" si="7">IF(P199 = P198, J199/J198, "N/A")</f>
        <v>1</v>
      </c>
      <c r="L199" s="54">
        <f>INDEX('Forces+Stresses'!C:C, MATCH(Summary!$A199, 'Forces+Stresses'!$A:$A, 0))</f>
        <v>46.47</v>
      </c>
      <c r="M199" s="55">
        <f>INDEX('Forces+Stresses'!D:D, MATCH(Summary!$A199, 'Forces+Stresses'!$A:$A, 0))</f>
        <v>46.47</v>
      </c>
      <c r="N199" s="55">
        <f>IFERROR(INDEX('Forces+Stresses'!Q:Q, MATCH(Summary!$A199, 'Forces+Stresses'!$A:$A, 0)), INDEX(Flexjoints!D:D, MATCH(Summary!$A199, Flexjoints!$A:$A, 0)))</f>
        <v>9.4749999999999996E-11</v>
      </c>
      <c r="O199" s="56">
        <f>IFERROR(INDEX('Forces+Stresses'!R:R, MATCH(Summary!$A199, 'Forces+Stresses'!$A:$A, 0)), INDEX(Flexjoints!E:E, MATCH(Summary!$A199, Flexjoints!$A:$A, 0)))</f>
        <v>4.9740000000000004E-9</v>
      </c>
      <c r="P199" s="33" t="str">
        <f>IF(INDEX(Labels!B:B, MATCH(Summary!$A199, Labels!$A:$A, 0)) = 0, "", INDEX(Labels!B:B, MATCH(Summary!$A199, Labels!$A:$A, 0)))</f>
        <v>{Casing Soil String}</v>
      </c>
      <c r="Q199" s="35" t="str">
        <f>IF(INDEX(Labels!C:C, MATCH(Summary!$A199, Labels!$A:$A, 0)) = 0, "", INDEX(Labels!C:C, MATCH(Summary!$A199, Labels!$A:$A, 0)))</f>
        <v>{Casing 13 3/8in}</v>
      </c>
      <c r="R199" s="33" t="str">
        <f>IF(INDEX(Labels!D:D, MATCH(Summary!$A199, Labels!$A:$A, 0)) = 0, "", INDEX(Labels!D:D, MATCH(Summary!$A199, Labels!$A:$A, 0)))</f>
        <v/>
      </c>
      <c r="S199" s="35" t="str">
        <f>IF(INDEX(Labels!E:E, MATCH(Summary!$A199, Labels!$A:$A, 0)) = 0, "", INDEX(Labels!E:E, MATCH(Summary!$A199, Labels!$A:$A, 0)))</f>
        <v/>
      </c>
      <c r="T199" s="33" t="str">
        <f>IF(INDEX(Labels!F:F, MATCH(Summary!$A199, Labels!$A:$A, 0)) = 0, "", INDEX(Labels!F:F, MATCH(Summary!$A199, Labels!$A:$A, 0)))</f>
        <v/>
      </c>
      <c r="U199" s="35" t="str">
        <f>IF(INDEX(Labels!G:G, MATCH(Summary!$A199, Labels!$A:$A, 0)) = 0, "", INDEX(Labels!G:G, MATCH(Summary!$A199, Labels!$A:$A, 0)))</f>
        <v/>
      </c>
      <c r="V199" s="62" t="str">
        <f>IF(INDEX(Labels!H:H, MATCH(Summary!$A199, Labels!$A:$A, 0)) = 0, "", INDEX(Labels!H:H, MATCH(Summary!$A199, Labels!$A:$A, 0)))</f>
        <v/>
      </c>
      <c r="W199" t="str">
        <f>IF(INDEX(Labels!I:I, MATCH(Summary!$A199, Labels!$A:$A, 0)) = 0, "", INDEX(Labels!I:I, MATCH(Summary!$A199, Labels!$A:$A, 0)))</f>
        <v/>
      </c>
      <c r="X199" t="str">
        <f>IF(INDEX(Labels!J:J, MATCH(Summary!$A199, Labels!$A:$A, 0)) = 0, "", INDEX(Labels!J:J, MATCH(Summary!$A199, Labels!$A:$A, 0)))</f>
        <v/>
      </c>
    </row>
    <row r="200" spans="1:24" x14ac:dyDescent="0.2">
      <c r="A200" s="33">
        <f>Labels!A201</f>
        <v>194</v>
      </c>
      <c r="B200" s="34">
        <f>INDEX(EchoData!B:B, MATCH(Summary!$A200, EchoData!$A:$A, 0))</f>
        <v>196</v>
      </c>
      <c r="C200" s="35">
        <f>INDEX(EchoData!C:C, MATCH(Summary!$A200, EchoData!$A:$A, 0))</f>
        <v>197</v>
      </c>
      <c r="D200" s="42">
        <f>INDEX(Displacements!B:B, MATCH(Summary!$B200, Displacements!$A:$A, 0))</f>
        <v>-16.5</v>
      </c>
      <c r="E200" s="43">
        <f>INDEX(Displacements!C:C, MATCH(Summary!$B200, Displacements!$A:$A, 0))</f>
        <v>0</v>
      </c>
      <c r="F200" s="44">
        <f>INDEX(Displacements!D:D, MATCH(Summary!$B200, Displacements!$A:$A, 0))</f>
        <v>0</v>
      </c>
      <c r="G200" s="42">
        <f>INDEX(Displacements!B:B, MATCH(Summary!$C200, Displacements!$A:$A, 0))</f>
        <v>-16</v>
      </c>
      <c r="H200" s="43">
        <f>INDEX(Displacements!C:C, MATCH(Summary!$C200, Displacements!$A:$A, 0))</f>
        <v>0</v>
      </c>
      <c r="I200" s="44">
        <f>INDEX(Displacements!D:D, MATCH(Summary!$C200, Displacements!$A:$A, 0))</f>
        <v>0</v>
      </c>
      <c r="J200" s="42">
        <f t="shared" si="6"/>
        <v>0.5</v>
      </c>
      <c r="K200" s="49">
        <f t="shared" si="7"/>
        <v>1</v>
      </c>
      <c r="L200" s="54">
        <f>INDEX('Forces+Stresses'!C:C, MATCH(Summary!$A200, 'Forces+Stresses'!$A:$A, 0))</f>
        <v>47.18</v>
      </c>
      <c r="M200" s="55">
        <f>INDEX('Forces+Stresses'!D:D, MATCH(Summary!$A200, 'Forces+Stresses'!$A:$A, 0))</f>
        <v>47.18</v>
      </c>
      <c r="N200" s="55">
        <f>IFERROR(INDEX('Forces+Stresses'!Q:Q, MATCH(Summary!$A200, 'Forces+Stresses'!$A:$A, 0)), INDEX(Flexjoints!D:D, MATCH(Summary!$A200, Flexjoints!$A:$A, 0)))</f>
        <v>2.1239999999999999E-11</v>
      </c>
      <c r="O200" s="56">
        <f>IFERROR(INDEX('Forces+Stresses'!R:R, MATCH(Summary!$A200, 'Forces+Stresses'!$A:$A, 0)), INDEX(Flexjoints!E:E, MATCH(Summary!$A200, Flexjoints!$A:$A, 0)))</f>
        <v>1.314E-9</v>
      </c>
      <c r="P200" s="33" t="str">
        <f>IF(INDEX(Labels!B:B, MATCH(Summary!$A200, Labels!$A:$A, 0)) = 0, "", INDEX(Labels!B:B, MATCH(Summary!$A200, Labels!$A:$A, 0)))</f>
        <v>{Casing Soil String}</v>
      </c>
      <c r="Q200" s="35" t="str">
        <f>IF(INDEX(Labels!C:C, MATCH(Summary!$A200, Labels!$A:$A, 0)) = 0, "", INDEX(Labels!C:C, MATCH(Summary!$A200, Labels!$A:$A, 0)))</f>
        <v>{Casing 13 3/8in}</v>
      </c>
      <c r="R200" s="33" t="str">
        <f>IF(INDEX(Labels!D:D, MATCH(Summary!$A200, Labels!$A:$A, 0)) = 0, "", INDEX(Labels!D:D, MATCH(Summary!$A200, Labels!$A:$A, 0)))</f>
        <v/>
      </c>
      <c r="S200" s="35" t="str">
        <f>IF(INDEX(Labels!E:E, MATCH(Summary!$A200, Labels!$A:$A, 0)) = 0, "", INDEX(Labels!E:E, MATCH(Summary!$A200, Labels!$A:$A, 0)))</f>
        <v/>
      </c>
      <c r="T200" s="33" t="str">
        <f>IF(INDEX(Labels!F:F, MATCH(Summary!$A200, Labels!$A:$A, 0)) = 0, "", INDEX(Labels!F:F, MATCH(Summary!$A200, Labels!$A:$A, 0)))</f>
        <v/>
      </c>
      <c r="U200" s="35" t="str">
        <f>IF(INDEX(Labels!G:G, MATCH(Summary!$A200, Labels!$A:$A, 0)) = 0, "", INDEX(Labels!G:G, MATCH(Summary!$A200, Labels!$A:$A, 0)))</f>
        <v/>
      </c>
      <c r="V200" s="62" t="str">
        <f>IF(INDEX(Labels!H:H, MATCH(Summary!$A200, Labels!$A:$A, 0)) = 0, "", INDEX(Labels!H:H, MATCH(Summary!$A200, Labels!$A:$A, 0)))</f>
        <v/>
      </c>
      <c r="W200" t="str">
        <f>IF(INDEX(Labels!I:I, MATCH(Summary!$A200, Labels!$A:$A, 0)) = 0, "", INDEX(Labels!I:I, MATCH(Summary!$A200, Labels!$A:$A, 0)))</f>
        <v/>
      </c>
      <c r="X200" t="str">
        <f>IF(INDEX(Labels!J:J, MATCH(Summary!$A200, Labels!$A:$A, 0)) = 0, "", INDEX(Labels!J:J, MATCH(Summary!$A200, Labels!$A:$A, 0)))</f>
        <v/>
      </c>
    </row>
    <row r="201" spans="1:24" x14ac:dyDescent="0.2">
      <c r="A201" s="33">
        <f>Labels!A202</f>
        <v>195</v>
      </c>
      <c r="B201" s="34">
        <f>INDEX(EchoData!B:B, MATCH(Summary!$A201, EchoData!$A:$A, 0))</f>
        <v>197</v>
      </c>
      <c r="C201" s="35">
        <f>INDEX(EchoData!C:C, MATCH(Summary!$A201, EchoData!$A:$A, 0))</f>
        <v>198</v>
      </c>
      <c r="D201" s="42">
        <f>INDEX(Displacements!B:B, MATCH(Summary!$B201, Displacements!$A:$A, 0))</f>
        <v>-16</v>
      </c>
      <c r="E201" s="43">
        <f>INDEX(Displacements!C:C, MATCH(Summary!$B201, Displacements!$A:$A, 0))</f>
        <v>0</v>
      </c>
      <c r="F201" s="44">
        <f>INDEX(Displacements!D:D, MATCH(Summary!$B201, Displacements!$A:$A, 0))</f>
        <v>0</v>
      </c>
      <c r="G201" s="42">
        <f>INDEX(Displacements!B:B, MATCH(Summary!$C201, Displacements!$A:$A, 0))</f>
        <v>-15.5</v>
      </c>
      <c r="H201" s="43">
        <f>INDEX(Displacements!C:C, MATCH(Summary!$C201, Displacements!$A:$A, 0))</f>
        <v>0</v>
      </c>
      <c r="I201" s="44">
        <f>INDEX(Displacements!D:D, MATCH(Summary!$C201, Displacements!$A:$A, 0))</f>
        <v>0</v>
      </c>
      <c r="J201" s="42">
        <f t="shared" si="6"/>
        <v>0.5</v>
      </c>
      <c r="K201" s="49">
        <f t="shared" si="7"/>
        <v>1</v>
      </c>
      <c r="L201" s="54">
        <f>INDEX('Forces+Stresses'!C:C, MATCH(Summary!$A201, 'Forces+Stresses'!$A:$A, 0))</f>
        <v>47.88</v>
      </c>
      <c r="M201" s="55">
        <f>INDEX('Forces+Stresses'!D:D, MATCH(Summary!$A201, 'Forces+Stresses'!$A:$A, 0))</f>
        <v>47.88</v>
      </c>
      <c r="N201" s="55">
        <f>IFERROR(INDEX('Forces+Stresses'!Q:Q, MATCH(Summary!$A201, 'Forces+Stresses'!$A:$A, 0)), INDEX(Flexjoints!D:D, MATCH(Summary!$A201, Flexjoints!$A:$A, 0)))</f>
        <v>1.1350000000000001E-10</v>
      </c>
      <c r="O201" s="56">
        <f>IFERROR(INDEX('Forces+Stresses'!R:R, MATCH(Summary!$A201, 'Forces+Stresses'!$A:$A, 0)), INDEX(Flexjoints!E:E, MATCH(Summary!$A201, Flexjoints!$A:$A, 0)))</f>
        <v>2.9000000000000003E-9</v>
      </c>
      <c r="P201" s="33" t="str">
        <f>IF(INDEX(Labels!B:B, MATCH(Summary!$A201, Labels!$A:$A, 0)) = 0, "", INDEX(Labels!B:B, MATCH(Summary!$A201, Labels!$A:$A, 0)))</f>
        <v>{Casing Soil String}</v>
      </c>
      <c r="Q201" s="35" t="str">
        <f>IF(INDEX(Labels!C:C, MATCH(Summary!$A201, Labels!$A:$A, 0)) = 0, "", INDEX(Labels!C:C, MATCH(Summary!$A201, Labels!$A:$A, 0)))</f>
        <v>{Casing 13 3/8in}</v>
      </c>
      <c r="R201" s="33" t="str">
        <f>IF(INDEX(Labels!D:D, MATCH(Summary!$A201, Labels!$A:$A, 0)) = 0, "", INDEX(Labels!D:D, MATCH(Summary!$A201, Labels!$A:$A, 0)))</f>
        <v/>
      </c>
      <c r="S201" s="35" t="str">
        <f>IF(INDEX(Labels!E:E, MATCH(Summary!$A201, Labels!$A:$A, 0)) = 0, "", INDEX(Labels!E:E, MATCH(Summary!$A201, Labels!$A:$A, 0)))</f>
        <v/>
      </c>
      <c r="T201" s="33" t="str">
        <f>IF(INDEX(Labels!F:F, MATCH(Summary!$A201, Labels!$A:$A, 0)) = 0, "", INDEX(Labels!F:F, MATCH(Summary!$A201, Labels!$A:$A, 0)))</f>
        <v/>
      </c>
      <c r="U201" s="35" t="str">
        <f>IF(INDEX(Labels!G:G, MATCH(Summary!$A201, Labels!$A:$A, 0)) = 0, "", INDEX(Labels!G:G, MATCH(Summary!$A201, Labels!$A:$A, 0)))</f>
        <v/>
      </c>
      <c r="V201" s="62" t="str">
        <f>IF(INDEX(Labels!H:H, MATCH(Summary!$A201, Labels!$A:$A, 0)) = 0, "", INDEX(Labels!H:H, MATCH(Summary!$A201, Labels!$A:$A, 0)))</f>
        <v/>
      </c>
      <c r="W201" t="str">
        <f>IF(INDEX(Labels!I:I, MATCH(Summary!$A201, Labels!$A:$A, 0)) = 0, "", INDEX(Labels!I:I, MATCH(Summary!$A201, Labels!$A:$A, 0)))</f>
        <v/>
      </c>
      <c r="X201" t="str">
        <f>IF(INDEX(Labels!J:J, MATCH(Summary!$A201, Labels!$A:$A, 0)) = 0, "", INDEX(Labels!J:J, MATCH(Summary!$A201, Labels!$A:$A, 0)))</f>
        <v/>
      </c>
    </row>
    <row r="202" spans="1:24" x14ac:dyDescent="0.2">
      <c r="A202" s="33">
        <f>Labels!A203</f>
        <v>196</v>
      </c>
      <c r="B202" s="34">
        <f>INDEX(EchoData!B:B, MATCH(Summary!$A202, EchoData!$A:$A, 0))</f>
        <v>198</v>
      </c>
      <c r="C202" s="35">
        <f>INDEX(EchoData!C:C, MATCH(Summary!$A202, EchoData!$A:$A, 0))</f>
        <v>199</v>
      </c>
      <c r="D202" s="42">
        <f>INDEX(Displacements!B:B, MATCH(Summary!$B202, Displacements!$A:$A, 0))</f>
        <v>-15.5</v>
      </c>
      <c r="E202" s="43">
        <f>INDEX(Displacements!C:C, MATCH(Summary!$B202, Displacements!$A:$A, 0))</f>
        <v>0</v>
      </c>
      <c r="F202" s="44">
        <f>INDEX(Displacements!D:D, MATCH(Summary!$B202, Displacements!$A:$A, 0))</f>
        <v>0</v>
      </c>
      <c r="G202" s="42">
        <f>INDEX(Displacements!B:B, MATCH(Summary!$C202, Displacements!$A:$A, 0))</f>
        <v>-15</v>
      </c>
      <c r="H202" s="43">
        <f>INDEX(Displacements!C:C, MATCH(Summary!$C202, Displacements!$A:$A, 0))</f>
        <v>0</v>
      </c>
      <c r="I202" s="44">
        <f>INDEX(Displacements!D:D, MATCH(Summary!$C202, Displacements!$A:$A, 0))</f>
        <v>0</v>
      </c>
      <c r="J202" s="42">
        <f t="shared" si="6"/>
        <v>0.5</v>
      </c>
      <c r="K202" s="49">
        <f t="shared" si="7"/>
        <v>1</v>
      </c>
      <c r="L202" s="54">
        <f>INDEX('Forces+Stresses'!C:C, MATCH(Summary!$A202, 'Forces+Stresses'!$A:$A, 0))</f>
        <v>48.59</v>
      </c>
      <c r="M202" s="55">
        <f>INDEX('Forces+Stresses'!D:D, MATCH(Summary!$A202, 'Forces+Stresses'!$A:$A, 0))</f>
        <v>48.59</v>
      </c>
      <c r="N202" s="55">
        <f>IFERROR(INDEX('Forces+Stresses'!Q:Q, MATCH(Summary!$A202, 'Forces+Stresses'!$A:$A, 0)), INDEX(Flexjoints!D:D, MATCH(Summary!$A202, Flexjoints!$A:$A, 0)))</f>
        <v>2.7410000000000002E-10</v>
      </c>
      <c r="O202" s="56">
        <f>IFERROR(INDEX('Forces+Stresses'!R:R, MATCH(Summary!$A202, 'Forces+Stresses'!$A:$A, 0)), INDEX(Flexjoints!E:E, MATCH(Summary!$A202, Flexjoints!$A:$A, 0)))</f>
        <v>7.4869999999999995E-9</v>
      </c>
      <c r="P202" s="33" t="str">
        <f>IF(INDEX(Labels!B:B, MATCH(Summary!$A202, Labels!$A:$A, 0)) = 0, "", INDEX(Labels!B:B, MATCH(Summary!$A202, Labels!$A:$A, 0)))</f>
        <v>{Casing Soil String}</v>
      </c>
      <c r="Q202" s="35" t="str">
        <f>IF(INDEX(Labels!C:C, MATCH(Summary!$A202, Labels!$A:$A, 0)) = 0, "", INDEX(Labels!C:C, MATCH(Summary!$A202, Labels!$A:$A, 0)))</f>
        <v>{Casing 13 3/8in}</v>
      </c>
      <c r="R202" s="33" t="str">
        <f>IF(INDEX(Labels!D:D, MATCH(Summary!$A202, Labels!$A:$A, 0)) = 0, "", INDEX(Labels!D:D, MATCH(Summary!$A202, Labels!$A:$A, 0)))</f>
        <v/>
      </c>
      <c r="S202" s="35" t="str">
        <f>IF(INDEX(Labels!E:E, MATCH(Summary!$A202, Labels!$A:$A, 0)) = 0, "", INDEX(Labels!E:E, MATCH(Summary!$A202, Labels!$A:$A, 0)))</f>
        <v/>
      </c>
      <c r="T202" s="33" t="str">
        <f>IF(INDEX(Labels!F:F, MATCH(Summary!$A202, Labels!$A:$A, 0)) = 0, "", INDEX(Labels!F:F, MATCH(Summary!$A202, Labels!$A:$A, 0)))</f>
        <v/>
      </c>
      <c r="U202" s="35" t="str">
        <f>IF(INDEX(Labels!G:G, MATCH(Summary!$A202, Labels!$A:$A, 0)) = 0, "", INDEX(Labels!G:G, MATCH(Summary!$A202, Labels!$A:$A, 0)))</f>
        <v/>
      </c>
      <c r="V202" s="62" t="str">
        <f>IF(INDEX(Labels!H:H, MATCH(Summary!$A202, Labels!$A:$A, 0)) = 0, "", INDEX(Labels!H:H, MATCH(Summary!$A202, Labels!$A:$A, 0)))</f>
        <v/>
      </c>
      <c r="W202" t="str">
        <f>IF(INDEX(Labels!I:I, MATCH(Summary!$A202, Labels!$A:$A, 0)) = 0, "", INDEX(Labels!I:I, MATCH(Summary!$A202, Labels!$A:$A, 0)))</f>
        <v/>
      </c>
      <c r="X202" t="str">
        <f>IF(INDEX(Labels!J:J, MATCH(Summary!$A202, Labels!$A:$A, 0)) = 0, "", INDEX(Labels!J:J, MATCH(Summary!$A202, Labels!$A:$A, 0)))</f>
        <v/>
      </c>
    </row>
    <row r="203" spans="1:24" x14ac:dyDescent="0.2">
      <c r="A203" s="33">
        <f>Labels!A204</f>
        <v>197</v>
      </c>
      <c r="B203" s="34">
        <f>INDEX(EchoData!B:B, MATCH(Summary!$A203, EchoData!$A:$A, 0))</f>
        <v>199</v>
      </c>
      <c r="C203" s="35">
        <f>INDEX(EchoData!C:C, MATCH(Summary!$A203, EchoData!$A:$A, 0))</f>
        <v>200</v>
      </c>
      <c r="D203" s="42">
        <f>INDEX(Displacements!B:B, MATCH(Summary!$B203, Displacements!$A:$A, 0))</f>
        <v>-15</v>
      </c>
      <c r="E203" s="43">
        <f>INDEX(Displacements!C:C, MATCH(Summary!$B203, Displacements!$A:$A, 0))</f>
        <v>0</v>
      </c>
      <c r="F203" s="44">
        <f>INDEX(Displacements!D:D, MATCH(Summary!$B203, Displacements!$A:$A, 0))</f>
        <v>0</v>
      </c>
      <c r="G203" s="42">
        <f>INDEX(Displacements!B:B, MATCH(Summary!$C203, Displacements!$A:$A, 0))</f>
        <v>-14.5</v>
      </c>
      <c r="H203" s="43">
        <f>INDEX(Displacements!C:C, MATCH(Summary!$C203, Displacements!$A:$A, 0))</f>
        <v>0</v>
      </c>
      <c r="I203" s="44">
        <f>INDEX(Displacements!D:D, MATCH(Summary!$C203, Displacements!$A:$A, 0))</f>
        <v>0</v>
      </c>
      <c r="J203" s="42">
        <f t="shared" si="6"/>
        <v>0.5</v>
      </c>
      <c r="K203" s="49">
        <f t="shared" si="7"/>
        <v>1</v>
      </c>
      <c r="L203" s="54">
        <f>INDEX('Forces+Stresses'!C:C, MATCH(Summary!$A203, 'Forces+Stresses'!$A:$A, 0))</f>
        <v>49.29</v>
      </c>
      <c r="M203" s="55">
        <f>INDEX('Forces+Stresses'!D:D, MATCH(Summary!$A203, 'Forces+Stresses'!$A:$A, 0))</f>
        <v>49.29</v>
      </c>
      <c r="N203" s="55">
        <f>IFERROR(INDEX('Forces+Stresses'!Q:Q, MATCH(Summary!$A203, 'Forces+Stresses'!$A:$A, 0)), INDEX(Flexjoints!D:D, MATCH(Summary!$A203, Flexjoints!$A:$A, 0)))</f>
        <v>4.195E-10</v>
      </c>
      <c r="O203" s="56">
        <f>IFERROR(INDEX('Forces+Stresses'!R:R, MATCH(Summary!$A203, 'Forces+Stresses'!$A:$A, 0)), INDEX(Flexjoints!E:E, MATCH(Summary!$A203, Flexjoints!$A:$A, 0)))</f>
        <v>1.2569999999999999E-8</v>
      </c>
      <c r="P203" s="33" t="str">
        <f>IF(INDEX(Labels!B:B, MATCH(Summary!$A203, Labels!$A:$A, 0)) = 0, "", INDEX(Labels!B:B, MATCH(Summary!$A203, Labels!$A:$A, 0)))</f>
        <v>{Casing Soil String}</v>
      </c>
      <c r="Q203" s="35" t="str">
        <f>IF(INDEX(Labels!C:C, MATCH(Summary!$A203, Labels!$A:$A, 0)) = 0, "", INDEX(Labels!C:C, MATCH(Summary!$A203, Labels!$A:$A, 0)))</f>
        <v>{Casing 13 3/8in}</v>
      </c>
      <c r="R203" s="33" t="str">
        <f>IF(INDEX(Labels!D:D, MATCH(Summary!$A203, Labels!$A:$A, 0)) = 0, "", INDEX(Labels!D:D, MATCH(Summary!$A203, Labels!$A:$A, 0)))</f>
        <v/>
      </c>
      <c r="S203" s="35" t="str">
        <f>IF(INDEX(Labels!E:E, MATCH(Summary!$A203, Labels!$A:$A, 0)) = 0, "", INDEX(Labels!E:E, MATCH(Summary!$A203, Labels!$A:$A, 0)))</f>
        <v/>
      </c>
      <c r="T203" s="33" t="str">
        <f>IF(INDEX(Labels!F:F, MATCH(Summary!$A203, Labels!$A:$A, 0)) = 0, "", INDEX(Labels!F:F, MATCH(Summary!$A203, Labels!$A:$A, 0)))</f>
        <v/>
      </c>
      <c r="U203" s="35" t="str">
        <f>IF(INDEX(Labels!G:G, MATCH(Summary!$A203, Labels!$A:$A, 0)) = 0, "", INDEX(Labels!G:G, MATCH(Summary!$A203, Labels!$A:$A, 0)))</f>
        <v/>
      </c>
      <c r="V203" s="62" t="str">
        <f>IF(INDEX(Labels!H:H, MATCH(Summary!$A203, Labels!$A:$A, 0)) = 0, "", INDEX(Labels!H:H, MATCH(Summary!$A203, Labels!$A:$A, 0)))</f>
        <v/>
      </c>
      <c r="W203" t="str">
        <f>IF(INDEX(Labels!I:I, MATCH(Summary!$A203, Labels!$A:$A, 0)) = 0, "", INDEX(Labels!I:I, MATCH(Summary!$A203, Labels!$A:$A, 0)))</f>
        <v/>
      </c>
      <c r="X203" t="str">
        <f>IF(INDEX(Labels!J:J, MATCH(Summary!$A203, Labels!$A:$A, 0)) = 0, "", INDEX(Labels!J:J, MATCH(Summary!$A203, Labels!$A:$A, 0)))</f>
        <v/>
      </c>
    </row>
    <row r="204" spans="1:24" x14ac:dyDescent="0.2">
      <c r="A204" s="33">
        <f>Labels!A205</f>
        <v>198</v>
      </c>
      <c r="B204" s="34">
        <f>INDEX(EchoData!B:B, MATCH(Summary!$A204, EchoData!$A:$A, 0))</f>
        <v>200</v>
      </c>
      <c r="C204" s="35">
        <f>INDEX(EchoData!C:C, MATCH(Summary!$A204, EchoData!$A:$A, 0))</f>
        <v>201</v>
      </c>
      <c r="D204" s="42">
        <f>INDEX(Displacements!B:B, MATCH(Summary!$B204, Displacements!$A:$A, 0))</f>
        <v>-14.5</v>
      </c>
      <c r="E204" s="43">
        <f>INDEX(Displacements!C:C, MATCH(Summary!$B204, Displacements!$A:$A, 0))</f>
        <v>0</v>
      </c>
      <c r="F204" s="44">
        <f>INDEX(Displacements!D:D, MATCH(Summary!$B204, Displacements!$A:$A, 0))</f>
        <v>0</v>
      </c>
      <c r="G204" s="42">
        <f>INDEX(Displacements!B:B, MATCH(Summary!$C204, Displacements!$A:$A, 0))</f>
        <v>-14</v>
      </c>
      <c r="H204" s="43">
        <f>INDEX(Displacements!C:C, MATCH(Summary!$C204, Displacements!$A:$A, 0))</f>
        <v>0</v>
      </c>
      <c r="I204" s="44">
        <f>INDEX(Displacements!D:D, MATCH(Summary!$C204, Displacements!$A:$A, 0))</f>
        <v>0</v>
      </c>
      <c r="J204" s="42">
        <f t="shared" si="6"/>
        <v>0.5</v>
      </c>
      <c r="K204" s="49">
        <f t="shared" si="7"/>
        <v>1</v>
      </c>
      <c r="L204" s="54">
        <f>INDEX('Forces+Stresses'!C:C, MATCH(Summary!$A204, 'Forces+Stresses'!$A:$A, 0))</f>
        <v>49.99</v>
      </c>
      <c r="M204" s="55">
        <f>INDEX('Forces+Stresses'!D:D, MATCH(Summary!$A204, 'Forces+Stresses'!$A:$A, 0))</f>
        <v>49.99</v>
      </c>
      <c r="N204" s="55">
        <f>IFERROR(INDEX('Forces+Stresses'!Q:Q, MATCH(Summary!$A204, 'Forces+Stresses'!$A:$A, 0)), INDEX(Flexjoints!D:D, MATCH(Summary!$A204, Flexjoints!$A:$A, 0)))</f>
        <v>5.7960000000000005E-10</v>
      </c>
      <c r="O204" s="56">
        <f>IFERROR(INDEX('Forces+Stresses'!R:R, MATCH(Summary!$A204, 'Forces+Stresses'!$A:$A, 0)), INDEX(Flexjoints!E:E, MATCH(Summary!$A204, Flexjoints!$A:$A, 0)))</f>
        <v>1.8179999999999998E-8</v>
      </c>
      <c r="P204" s="33" t="str">
        <f>IF(INDEX(Labels!B:B, MATCH(Summary!$A204, Labels!$A:$A, 0)) = 0, "", INDEX(Labels!B:B, MATCH(Summary!$A204, Labels!$A:$A, 0)))</f>
        <v>{Casing Soil String}</v>
      </c>
      <c r="Q204" s="35" t="str">
        <f>IF(INDEX(Labels!C:C, MATCH(Summary!$A204, Labels!$A:$A, 0)) = 0, "", INDEX(Labels!C:C, MATCH(Summary!$A204, Labels!$A:$A, 0)))</f>
        <v>{Casing 13 3/8in}</v>
      </c>
      <c r="R204" s="33" t="str">
        <f>IF(INDEX(Labels!D:D, MATCH(Summary!$A204, Labels!$A:$A, 0)) = 0, "", INDEX(Labels!D:D, MATCH(Summary!$A204, Labels!$A:$A, 0)))</f>
        <v/>
      </c>
      <c r="S204" s="35" t="str">
        <f>IF(INDEX(Labels!E:E, MATCH(Summary!$A204, Labels!$A:$A, 0)) = 0, "", INDEX(Labels!E:E, MATCH(Summary!$A204, Labels!$A:$A, 0)))</f>
        <v/>
      </c>
      <c r="T204" s="33" t="str">
        <f>IF(INDEX(Labels!F:F, MATCH(Summary!$A204, Labels!$A:$A, 0)) = 0, "", INDEX(Labels!F:F, MATCH(Summary!$A204, Labels!$A:$A, 0)))</f>
        <v/>
      </c>
      <c r="U204" s="35" t="str">
        <f>IF(INDEX(Labels!G:G, MATCH(Summary!$A204, Labels!$A:$A, 0)) = 0, "", INDEX(Labels!G:G, MATCH(Summary!$A204, Labels!$A:$A, 0)))</f>
        <v/>
      </c>
      <c r="V204" s="62" t="str">
        <f>IF(INDEX(Labels!H:H, MATCH(Summary!$A204, Labels!$A:$A, 0)) = 0, "", INDEX(Labels!H:H, MATCH(Summary!$A204, Labels!$A:$A, 0)))</f>
        <v/>
      </c>
      <c r="W204" t="str">
        <f>IF(INDEX(Labels!I:I, MATCH(Summary!$A204, Labels!$A:$A, 0)) = 0, "", INDEX(Labels!I:I, MATCH(Summary!$A204, Labels!$A:$A, 0)))</f>
        <v/>
      </c>
      <c r="X204" t="str">
        <f>IF(INDEX(Labels!J:J, MATCH(Summary!$A204, Labels!$A:$A, 0)) = 0, "", INDEX(Labels!J:J, MATCH(Summary!$A204, Labels!$A:$A, 0)))</f>
        <v/>
      </c>
    </row>
    <row r="205" spans="1:24" x14ac:dyDescent="0.2">
      <c r="A205" s="33">
        <f>Labels!A206</f>
        <v>199</v>
      </c>
      <c r="B205" s="34">
        <f>INDEX(EchoData!B:B, MATCH(Summary!$A205, EchoData!$A:$A, 0))</f>
        <v>201</v>
      </c>
      <c r="C205" s="35">
        <f>INDEX(EchoData!C:C, MATCH(Summary!$A205, EchoData!$A:$A, 0))</f>
        <v>202</v>
      </c>
      <c r="D205" s="42">
        <f>INDEX(Displacements!B:B, MATCH(Summary!$B205, Displacements!$A:$A, 0))</f>
        <v>-14</v>
      </c>
      <c r="E205" s="43">
        <f>INDEX(Displacements!C:C, MATCH(Summary!$B205, Displacements!$A:$A, 0))</f>
        <v>0</v>
      </c>
      <c r="F205" s="44">
        <f>INDEX(Displacements!D:D, MATCH(Summary!$B205, Displacements!$A:$A, 0))</f>
        <v>0</v>
      </c>
      <c r="G205" s="42">
        <f>INDEX(Displacements!B:B, MATCH(Summary!$C205, Displacements!$A:$A, 0))</f>
        <v>-13.5</v>
      </c>
      <c r="H205" s="43">
        <f>INDEX(Displacements!C:C, MATCH(Summary!$C205, Displacements!$A:$A, 0))</f>
        <v>0</v>
      </c>
      <c r="I205" s="44">
        <f>INDEX(Displacements!D:D, MATCH(Summary!$C205, Displacements!$A:$A, 0))</f>
        <v>0</v>
      </c>
      <c r="J205" s="42">
        <f t="shared" si="6"/>
        <v>0.5</v>
      </c>
      <c r="K205" s="49">
        <f t="shared" si="7"/>
        <v>1</v>
      </c>
      <c r="L205" s="54">
        <f>INDEX('Forces+Stresses'!C:C, MATCH(Summary!$A205, 'Forces+Stresses'!$A:$A, 0))</f>
        <v>50.7</v>
      </c>
      <c r="M205" s="55">
        <f>INDEX('Forces+Stresses'!D:D, MATCH(Summary!$A205, 'Forces+Stresses'!$A:$A, 0))</f>
        <v>50.7</v>
      </c>
      <c r="N205" s="55">
        <f>IFERROR(INDEX('Forces+Stresses'!Q:Q, MATCH(Summary!$A205, 'Forces+Stresses'!$A:$A, 0)), INDEX(Flexjoints!D:D, MATCH(Summary!$A205, Flexjoints!$A:$A, 0)))</f>
        <v>7.5519999999999994E-10</v>
      </c>
      <c r="O205" s="56">
        <f>IFERROR(INDEX('Forces+Stresses'!R:R, MATCH(Summary!$A205, 'Forces+Stresses'!$A:$A, 0)), INDEX(Flexjoints!E:E, MATCH(Summary!$A205, Flexjoints!$A:$A, 0)))</f>
        <v>2.4340000000000002E-8</v>
      </c>
      <c r="P205" s="33" t="str">
        <f>IF(INDEX(Labels!B:B, MATCH(Summary!$A205, Labels!$A:$A, 0)) = 0, "", INDEX(Labels!B:B, MATCH(Summary!$A205, Labels!$A:$A, 0)))</f>
        <v>{Casing Soil String}</v>
      </c>
      <c r="Q205" s="35" t="str">
        <f>IF(INDEX(Labels!C:C, MATCH(Summary!$A205, Labels!$A:$A, 0)) = 0, "", INDEX(Labels!C:C, MATCH(Summary!$A205, Labels!$A:$A, 0)))</f>
        <v>{Casing 13 3/8in}</v>
      </c>
      <c r="R205" s="33" t="str">
        <f>IF(INDEX(Labels!D:D, MATCH(Summary!$A205, Labels!$A:$A, 0)) = 0, "", INDEX(Labels!D:D, MATCH(Summary!$A205, Labels!$A:$A, 0)))</f>
        <v/>
      </c>
      <c r="S205" s="35" t="str">
        <f>IF(INDEX(Labels!E:E, MATCH(Summary!$A205, Labels!$A:$A, 0)) = 0, "", INDEX(Labels!E:E, MATCH(Summary!$A205, Labels!$A:$A, 0)))</f>
        <v/>
      </c>
      <c r="T205" s="33" t="str">
        <f>IF(INDEX(Labels!F:F, MATCH(Summary!$A205, Labels!$A:$A, 0)) = 0, "", INDEX(Labels!F:F, MATCH(Summary!$A205, Labels!$A:$A, 0)))</f>
        <v/>
      </c>
      <c r="U205" s="35" t="str">
        <f>IF(INDEX(Labels!G:G, MATCH(Summary!$A205, Labels!$A:$A, 0)) = 0, "", INDEX(Labels!G:G, MATCH(Summary!$A205, Labels!$A:$A, 0)))</f>
        <v/>
      </c>
      <c r="V205" s="62" t="str">
        <f>IF(INDEX(Labels!H:H, MATCH(Summary!$A205, Labels!$A:$A, 0)) = 0, "", INDEX(Labels!H:H, MATCH(Summary!$A205, Labels!$A:$A, 0)))</f>
        <v/>
      </c>
      <c r="W205" t="str">
        <f>IF(INDEX(Labels!I:I, MATCH(Summary!$A205, Labels!$A:$A, 0)) = 0, "", INDEX(Labels!I:I, MATCH(Summary!$A205, Labels!$A:$A, 0)))</f>
        <v/>
      </c>
      <c r="X205" t="str">
        <f>IF(INDEX(Labels!J:J, MATCH(Summary!$A205, Labels!$A:$A, 0)) = 0, "", INDEX(Labels!J:J, MATCH(Summary!$A205, Labels!$A:$A, 0)))</f>
        <v/>
      </c>
    </row>
    <row r="206" spans="1:24" x14ac:dyDescent="0.2">
      <c r="A206" s="33">
        <f>Labels!A207</f>
        <v>200</v>
      </c>
      <c r="B206" s="34">
        <f>INDEX(EchoData!B:B, MATCH(Summary!$A206, EchoData!$A:$A, 0))</f>
        <v>202</v>
      </c>
      <c r="C206" s="35">
        <f>INDEX(EchoData!C:C, MATCH(Summary!$A206, EchoData!$A:$A, 0))</f>
        <v>203</v>
      </c>
      <c r="D206" s="42">
        <f>INDEX(Displacements!B:B, MATCH(Summary!$B206, Displacements!$A:$A, 0))</f>
        <v>-13.5</v>
      </c>
      <c r="E206" s="43">
        <f>INDEX(Displacements!C:C, MATCH(Summary!$B206, Displacements!$A:$A, 0))</f>
        <v>0</v>
      </c>
      <c r="F206" s="44">
        <f>INDEX(Displacements!D:D, MATCH(Summary!$B206, Displacements!$A:$A, 0))</f>
        <v>0</v>
      </c>
      <c r="G206" s="42">
        <f>INDEX(Displacements!B:B, MATCH(Summary!$C206, Displacements!$A:$A, 0))</f>
        <v>-13</v>
      </c>
      <c r="H206" s="43">
        <f>INDEX(Displacements!C:C, MATCH(Summary!$C206, Displacements!$A:$A, 0))</f>
        <v>0</v>
      </c>
      <c r="I206" s="44">
        <f>INDEX(Displacements!D:D, MATCH(Summary!$C206, Displacements!$A:$A, 0))</f>
        <v>0</v>
      </c>
      <c r="J206" s="42">
        <f t="shared" si="6"/>
        <v>0.5</v>
      </c>
      <c r="K206" s="49">
        <f t="shared" si="7"/>
        <v>1</v>
      </c>
      <c r="L206" s="54">
        <f>INDEX('Forces+Stresses'!C:C, MATCH(Summary!$A206, 'Forces+Stresses'!$A:$A, 0))</f>
        <v>51.4</v>
      </c>
      <c r="M206" s="55">
        <f>INDEX('Forces+Stresses'!D:D, MATCH(Summary!$A206, 'Forces+Stresses'!$A:$A, 0))</f>
        <v>51.4</v>
      </c>
      <c r="N206" s="55">
        <f>IFERROR(INDEX('Forces+Stresses'!Q:Q, MATCH(Summary!$A206, 'Forces+Stresses'!$A:$A, 0)), INDEX(Flexjoints!D:D, MATCH(Summary!$A206, Flexjoints!$A:$A, 0)))</f>
        <v>9.4099999999999996E-10</v>
      </c>
      <c r="O206" s="56">
        <f>IFERROR(INDEX('Forces+Stresses'!R:R, MATCH(Summary!$A206, 'Forces+Stresses'!$A:$A, 0)), INDEX(Flexjoints!E:E, MATCH(Summary!$A206, Flexjoints!$A:$A, 0)))</f>
        <v>3.0880000000000003E-8</v>
      </c>
      <c r="P206" s="33" t="str">
        <f>IF(INDEX(Labels!B:B, MATCH(Summary!$A206, Labels!$A:$A, 0)) = 0, "", INDEX(Labels!B:B, MATCH(Summary!$A206, Labels!$A:$A, 0)))</f>
        <v>{Casing Soil String}</v>
      </c>
      <c r="Q206" s="35" t="str">
        <f>IF(INDEX(Labels!C:C, MATCH(Summary!$A206, Labels!$A:$A, 0)) = 0, "", INDEX(Labels!C:C, MATCH(Summary!$A206, Labels!$A:$A, 0)))</f>
        <v>{Casing 13 3/8in}</v>
      </c>
      <c r="R206" s="33" t="str">
        <f>IF(INDEX(Labels!D:D, MATCH(Summary!$A206, Labels!$A:$A, 0)) = 0, "", INDEX(Labels!D:D, MATCH(Summary!$A206, Labels!$A:$A, 0)))</f>
        <v/>
      </c>
      <c r="S206" s="35" t="str">
        <f>IF(INDEX(Labels!E:E, MATCH(Summary!$A206, Labels!$A:$A, 0)) = 0, "", INDEX(Labels!E:E, MATCH(Summary!$A206, Labels!$A:$A, 0)))</f>
        <v/>
      </c>
      <c r="T206" s="33" t="str">
        <f>IF(INDEX(Labels!F:F, MATCH(Summary!$A206, Labels!$A:$A, 0)) = 0, "", INDEX(Labels!F:F, MATCH(Summary!$A206, Labels!$A:$A, 0)))</f>
        <v/>
      </c>
      <c r="U206" s="35" t="str">
        <f>IF(INDEX(Labels!G:G, MATCH(Summary!$A206, Labels!$A:$A, 0)) = 0, "", INDEX(Labels!G:G, MATCH(Summary!$A206, Labels!$A:$A, 0)))</f>
        <v/>
      </c>
      <c r="V206" s="62" t="str">
        <f>IF(INDEX(Labels!H:H, MATCH(Summary!$A206, Labels!$A:$A, 0)) = 0, "", INDEX(Labels!H:H, MATCH(Summary!$A206, Labels!$A:$A, 0)))</f>
        <v/>
      </c>
      <c r="W206" t="str">
        <f>IF(INDEX(Labels!I:I, MATCH(Summary!$A206, Labels!$A:$A, 0)) = 0, "", INDEX(Labels!I:I, MATCH(Summary!$A206, Labels!$A:$A, 0)))</f>
        <v/>
      </c>
      <c r="X206" t="str">
        <f>IF(INDEX(Labels!J:J, MATCH(Summary!$A206, Labels!$A:$A, 0)) = 0, "", INDEX(Labels!J:J, MATCH(Summary!$A206, Labels!$A:$A, 0)))</f>
        <v/>
      </c>
    </row>
    <row r="207" spans="1:24" x14ac:dyDescent="0.2">
      <c r="A207" s="33">
        <f>Labels!A208</f>
        <v>201</v>
      </c>
      <c r="B207" s="34">
        <f>INDEX(EchoData!B:B, MATCH(Summary!$A207, EchoData!$A:$A, 0))</f>
        <v>203</v>
      </c>
      <c r="C207" s="35">
        <f>INDEX(EchoData!C:C, MATCH(Summary!$A207, EchoData!$A:$A, 0))</f>
        <v>204</v>
      </c>
      <c r="D207" s="42">
        <f>INDEX(Displacements!B:B, MATCH(Summary!$B207, Displacements!$A:$A, 0))</f>
        <v>-13</v>
      </c>
      <c r="E207" s="43">
        <f>INDEX(Displacements!C:C, MATCH(Summary!$B207, Displacements!$A:$A, 0))</f>
        <v>0</v>
      </c>
      <c r="F207" s="44">
        <f>INDEX(Displacements!D:D, MATCH(Summary!$B207, Displacements!$A:$A, 0))</f>
        <v>0</v>
      </c>
      <c r="G207" s="42">
        <f>INDEX(Displacements!B:B, MATCH(Summary!$C207, Displacements!$A:$A, 0))</f>
        <v>-12.5</v>
      </c>
      <c r="H207" s="43">
        <f>INDEX(Displacements!C:C, MATCH(Summary!$C207, Displacements!$A:$A, 0))</f>
        <v>0</v>
      </c>
      <c r="I207" s="44">
        <f>INDEX(Displacements!D:D, MATCH(Summary!$C207, Displacements!$A:$A, 0))</f>
        <v>0</v>
      </c>
      <c r="J207" s="42">
        <f t="shared" si="6"/>
        <v>0.5</v>
      </c>
      <c r="K207" s="49">
        <f t="shared" si="7"/>
        <v>1</v>
      </c>
      <c r="L207" s="54">
        <f>INDEX('Forces+Stresses'!C:C, MATCH(Summary!$A207, 'Forces+Stresses'!$A:$A, 0))</f>
        <v>52.11</v>
      </c>
      <c r="M207" s="55">
        <f>INDEX('Forces+Stresses'!D:D, MATCH(Summary!$A207, 'Forces+Stresses'!$A:$A, 0))</f>
        <v>52.11</v>
      </c>
      <c r="N207" s="55">
        <f>IFERROR(INDEX('Forces+Stresses'!Q:Q, MATCH(Summary!$A207, 'Forces+Stresses'!$A:$A, 0)), INDEX(Flexjoints!D:D, MATCH(Summary!$A207, Flexjoints!$A:$A, 0)))</f>
        <v>1.115E-9</v>
      </c>
      <c r="O207" s="56">
        <f>IFERROR(INDEX('Forces+Stresses'!R:R, MATCH(Summary!$A207, 'Forces+Stresses'!$A:$A, 0)), INDEX(Flexjoints!E:E, MATCH(Summary!$A207, Flexjoints!$A:$A, 0)))</f>
        <v>3.7039999999999999E-8</v>
      </c>
      <c r="P207" s="33" t="str">
        <f>IF(INDEX(Labels!B:B, MATCH(Summary!$A207, Labels!$A:$A, 0)) = 0, "", INDEX(Labels!B:B, MATCH(Summary!$A207, Labels!$A:$A, 0)))</f>
        <v>{Casing Soil String}</v>
      </c>
      <c r="Q207" s="35" t="str">
        <f>IF(INDEX(Labels!C:C, MATCH(Summary!$A207, Labels!$A:$A, 0)) = 0, "", INDEX(Labels!C:C, MATCH(Summary!$A207, Labels!$A:$A, 0)))</f>
        <v>{Casing 13 3/8in}</v>
      </c>
      <c r="R207" s="33" t="str">
        <f>IF(INDEX(Labels!D:D, MATCH(Summary!$A207, Labels!$A:$A, 0)) = 0, "", INDEX(Labels!D:D, MATCH(Summary!$A207, Labels!$A:$A, 0)))</f>
        <v/>
      </c>
      <c r="S207" s="35" t="str">
        <f>IF(INDEX(Labels!E:E, MATCH(Summary!$A207, Labels!$A:$A, 0)) = 0, "", INDEX(Labels!E:E, MATCH(Summary!$A207, Labels!$A:$A, 0)))</f>
        <v/>
      </c>
      <c r="T207" s="33" t="str">
        <f>IF(INDEX(Labels!F:F, MATCH(Summary!$A207, Labels!$A:$A, 0)) = 0, "", INDEX(Labels!F:F, MATCH(Summary!$A207, Labels!$A:$A, 0)))</f>
        <v/>
      </c>
      <c r="U207" s="35" t="str">
        <f>IF(INDEX(Labels!G:G, MATCH(Summary!$A207, Labels!$A:$A, 0)) = 0, "", INDEX(Labels!G:G, MATCH(Summary!$A207, Labels!$A:$A, 0)))</f>
        <v/>
      </c>
      <c r="V207" s="62" t="str">
        <f>IF(INDEX(Labels!H:H, MATCH(Summary!$A207, Labels!$A:$A, 0)) = 0, "", INDEX(Labels!H:H, MATCH(Summary!$A207, Labels!$A:$A, 0)))</f>
        <v/>
      </c>
      <c r="W207" t="str">
        <f>IF(INDEX(Labels!I:I, MATCH(Summary!$A207, Labels!$A:$A, 0)) = 0, "", INDEX(Labels!I:I, MATCH(Summary!$A207, Labels!$A:$A, 0)))</f>
        <v/>
      </c>
      <c r="X207" t="str">
        <f>IF(INDEX(Labels!J:J, MATCH(Summary!$A207, Labels!$A:$A, 0)) = 0, "", INDEX(Labels!J:J, MATCH(Summary!$A207, Labels!$A:$A, 0)))</f>
        <v/>
      </c>
    </row>
    <row r="208" spans="1:24" x14ac:dyDescent="0.2">
      <c r="A208" s="33">
        <f>Labels!A209</f>
        <v>202</v>
      </c>
      <c r="B208" s="34">
        <f>INDEX(EchoData!B:B, MATCH(Summary!$A208, EchoData!$A:$A, 0))</f>
        <v>204</v>
      </c>
      <c r="C208" s="35">
        <f>INDEX(EchoData!C:C, MATCH(Summary!$A208, EchoData!$A:$A, 0))</f>
        <v>205</v>
      </c>
      <c r="D208" s="42">
        <f>INDEX(Displacements!B:B, MATCH(Summary!$B208, Displacements!$A:$A, 0))</f>
        <v>-12.5</v>
      </c>
      <c r="E208" s="43">
        <f>INDEX(Displacements!C:C, MATCH(Summary!$B208, Displacements!$A:$A, 0))</f>
        <v>0</v>
      </c>
      <c r="F208" s="44">
        <f>INDEX(Displacements!D:D, MATCH(Summary!$B208, Displacements!$A:$A, 0))</f>
        <v>0</v>
      </c>
      <c r="G208" s="42">
        <f>INDEX(Displacements!B:B, MATCH(Summary!$C208, Displacements!$A:$A, 0))</f>
        <v>-12</v>
      </c>
      <c r="H208" s="43">
        <f>INDEX(Displacements!C:C, MATCH(Summary!$C208, Displacements!$A:$A, 0))</f>
        <v>0</v>
      </c>
      <c r="I208" s="44">
        <f>INDEX(Displacements!D:D, MATCH(Summary!$C208, Displacements!$A:$A, 0))</f>
        <v>0</v>
      </c>
      <c r="J208" s="42">
        <f t="shared" si="6"/>
        <v>0.5</v>
      </c>
      <c r="K208" s="49">
        <f t="shared" si="7"/>
        <v>1</v>
      </c>
      <c r="L208" s="54">
        <f>INDEX('Forces+Stresses'!C:C, MATCH(Summary!$A208, 'Forces+Stresses'!$A:$A, 0))</f>
        <v>52.81</v>
      </c>
      <c r="M208" s="55">
        <f>INDEX('Forces+Stresses'!D:D, MATCH(Summary!$A208, 'Forces+Stresses'!$A:$A, 0))</f>
        <v>52.81</v>
      </c>
      <c r="N208" s="55">
        <f>IFERROR(INDEX('Forces+Stresses'!Q:Q, MATCH(Summary!$A208, 'Forces+Stresses'!$A:$A, 0)), INDEX(Flexjoints!D:D, MATCH(Summary!$A208, Flexjoints!$A:$A, 0)))</f>
        <v>1.2470000000000001E-9</v>
      </c>
      <c r="O208" s="56">
        <f>IFERROR(INDEX('Forces+Stresses'!R:R, MATCH(Summary!$A208, 'Forces+Stresses'!$A:$A, 0)), INDEX(Flexjoints!E:E, MATCH(Summary!$A208, Flexjoints!$A:$A, 0)))</f>
        <v>4.1789999999999999E-8</v>
      </c>
      <c r="P208" s="33" t="str">
        <f>IF(INDEX(Labels!B:B, MATCH(Summary!$A208, Labels!$A:$A, 0)) = 0, "", INDEX(Labels!B:B, MATCH(Summary!$A208, Labels!$A:$A, 0)))</f>
        <v>{Casing Soil String}</v>
      </c>
      <c r="Q208" s="35" t="str">
        <f>IF(INDEX(Labels!C:C, MATCH(Summary!$A208, Labels!$A:$A, 0)) = 0, "", INDEX(Labels!C:C, MATCH(Summary!$A208, Labels!$A:$A, 0)))</f>
        <v>{Casing 13 3/8in}</v>
      </c>
      <c r="R208" s="33" t="str">
        <f>IF(INDEX(Labels!D:D, MATCH(Summary!$A208, Labels!$A:$A, 0)) = 0, "", INDEX(Labels!D:D, MATCH(Summary!$A208, Labels!$A:$A, 0)))</f>
        <v/>
      </c>
      <c r="S208" s="35" t="str">
        <f>IF(INDEX(Labels!E:E, MATCH(Summary!$A208, Labels!$A:$A, 0)) = 0, "", INDEX(Labels!E:E, MATCH(Summary!$A208, Labels!$A:$A, 0)))</f>
        <v/>
      </c>
      <c r="T208" s="33" t="str">
        <f>IF(INDEX(Labels!F:F, MATCH(Summary!$A208, Labels!$A:$A, 0)) = 0, "", INDEX(Labels!F:F, MATCH(Summary!$A208, Labels!$A:$A, 0)))</f>
        <v/>
      </c>
      <c r="U208" s="35" t="str">
        <f>IF(INDEX(Labels!G:G, MATCH(Summary!$A208, Labels!$A:$A, 0)) = 0, "", INDEX(Labels!G:G, MATCH(Summary!$A208, Labels!$A:$A, 0)))</f>
        <v/>
      </c>
      <c r="V208" s="62" t="str">
        <f>IF(INDEX(Labels!H:H, MATCH(Summary!$A208, Labels!$A:$A, 0)) = 0, "", INDEX(Labels!H:H, MATCH(Summary!$A208, Labels!$A:$A, 0)))</f>
        <v/>
      </c>
      <c r="W208" t="str">
        <f>IF(INDEX(Labels!I:I, MATCH(Summary!$A208, Labels!$A:$A, 0)) = 0, "", INDEX(Labels!I:I, MATCH(Summary!$A208, Labels!$A:$A, 0)))</f>
        <v/>
      </c>
      <c r="X208" t="str">
        <f>IF(INDEX(Labels!J:J, MATCH(Summary!$A208, Labels!$A:$A, 0)) = 0, "", INDEX(Labels!J:J, MATCH(Summary!$A208, Labels!$A:$A, 0)))</f>
        <v/>
      </c>
    </row>
    <row r="209" spans="1:24" x14ac:dyDescent="0.2">
      <c r="A209" s="33">
        <f>Labels!A210</f>
        <v>203</v>
      </c>
      <c r="B209" s="34">
        <f>INDEX(EchoData!B:B, MATCH(Summary!$A209, EchoData!$A:$A, 0))</f>
        <v>205</v>
      </c>
      <c r="C209" s="35">
        <f>INDEX(EchoData!C:C, MATCH(Summary!$A209, EchoData!$A:$A, 0))</f>
        <v>206</v>
      </c>
      <c r="D209" s="42">
        <f>INDEX(Displacements!B:B, MATCH(Summary!$B209, Displacements!$A:$A, 0))</f>
        <v>-12</v>
      </c>
      <c r="E209" s="43">
        <f>INDEX(Displacements!C:C, MATCH(Summary!$B209, Displacements!$A:$A, 0))</f>
        <v>0</v>
      </c>
      <c r="F209" s="44">
        <f>INDEX(Displacements!D:D, MATCH(Summary!$B209, Displacements!$A:$A, 0))</f>
        <v>0</v>
      </c>
      <c r="G209" s="42">
        <f>INDEX(Displacements!B:B, MATCH(Summary!$C209, Displacements!$A:$A, 0))</f>
        <v>-11.721</v>
      </c>
      <c r="H209" s="43">
        <f>INDEX(Displacements!C:C, MATCH(Summary!$C209, Displacements!$A:$A, 0))</f>
        <v>0</v>
      </c>
      <c r="I209" s="44">
        <f>INDEX(Displacements!D:D, MATCH(Summary!$C209, Displacements!$A:$A, 0))</f>
        <v>0</v>
      </c>
      <c r="J209" s="42">
        <f t="shared" si="6"/>
        <v>0.27899999999999991</v>
      </c>
      <c r="K209" s="49">
        <f t="shared" si="7"/>
        <v>0.55799999999999983</v>
      </c>
      <c r="L209" s="54">
        <f>INDEX('Forces+Stresses'!C:C, MATCH(Summary!$A209, 'Forces+Stresses'!$A:$A, 0))</f>
        <v>53.51</v>
      </c>
      <c r="M209" s="55">
        <f>INDEX('Forces+Stresses'!D:D, MATCH(Summary!$A209, 'Forces+Stresses'!$A:$A, 0))</f>
        <v>53.51</v>
      </c>
      <c r="N209" s="55">
        <f>IFERROR(INDEX('Forces+Stresses'!Q:Q, MATCH(Summary!$A209, 'Forces+Stresses'!$A:$A, 0)), INDEX(Flexjoints!D:D, MATCH(Summary!$A209, Flexjoints!$A:$A, 0)))</f>
        <v>1.3960000000000001E-9</v>
      </c>
      <c r="O209" s="56">
        <f>IFERROR(INDEX('Forces+Stresses'!R:R, MATCH(Summary!$A209, 'Forces+Stresses'!$A:$A, 0)), INDEX(Flexjoints!E:E, MATCH(Summary!$A209, Flexjoints!$A:$A, 0)))</f>
        <v>4.7129999999999999E-8</v>
      </c>
      <c r="P209" s="33" t="str">
        <f>IF(INDEX(Labels!B:B, MATCH(Summary!$A209, Labels!$A:$A, 0)) = 0, "", INDEX(Labels!B:B, MATCH(Summary!$A209, Labels!$A:$A, 0)))</f>
        <v>{Casing Soil String}</v>
      </c>
      <c r="Q209" s="35" t="str">
        <f>IF(INDEX(Labels!C:C, MATCH(Summary!$A209, Labels!$A:$A, 0)) = 0, "", INDEX(Labels!C:C, MATCH(Summary!$A209, Labels!$A:$A, 0)))</f>
        <v>{Casing 13 3/8in}</v>
      </c>
      <c r="R209" s="33" t="str">
        <f>IF(INDEX(Labels!D:D, MATCH(Summary!$A209, Labels!$A:$A, 0)) = 0, "", INDEX(Labels!D:D, MATCH(Summary!$A209, Labels!$A:$A, 0)))</f>
        <v/>
      </c>
      <c r="S209" s="35" t="str">
        <f>IF(INDEX(Labels!E:E, MATCH(Summary!$A209, Labels!$A:$A, 0)) = 0, "", INDEX(Labels!E:E, MATCH(Summary!$A209, Labels!$A:$A, 0)))</f>
        <v/>
      </c>
      <c r="T209" s="33" t="str">
        <f>IF(INDEX(Labels!F:F, MATCH(Summary!$A209, Labels!$A:$A, 0)) = 0, "", INDEX(Labels!F:F, MATCH(Summary!$A209, Labels!$A:$A, 0)))</f>
        <v/>
      </c>
      <c r="U209" s="35" t="str">
        <f>IF(INDEX(Labels!G:G, MATCH(Summary!$A209, Labels!$A:$A, 0)) = 0, "", INDEX(Labels!G:G, MATCH(Summary!$A209, Labels!$A:$A, 0)))</f>
        <v/>
      </c>
      <c r="V209" s="62" t="str">
        <f>IF(INDEX(Labels!H:H, MATCH(Summary!$A209, Labels!$A:$A, 0)) = 0, "", INDEX(Labels!H:H, MATCH(Summary!$A209, Labels!$A:$A, 0)))</f>
        <v/>
      </c>
      <c r="W209" t="str">
        <f>IF(INDEX(Labels!I:I, MATCH(Summary!$A209, Labels!$A:$A, 0)) = 0, "", INDEX(Labels!I:I, MATCH(Summary!$A209, Labels!$A:$A, 0)))</f>
        <v/>
      </c>
      <c r="X209" t="str">
        <f>IF(INDEX(Labels!J:J, MATCH(Summary!$A209, Labels!$A:$A, 0)) = 0, "", INDEX(Labels!J:J, MATCH(Summary!$A209, Labels!$A:$A, 0)))</f>
        <v/>
      </c>
    </row>
    <row r="210" spans="1:24" x14ac:dyDescent="0.2">
      <c r="A210" s="33">
        <f>Labels!A211</f>
        <v>204</v>
      </c>
      <c r="B210" s="34">
        <f>INDEX(EchoData!B:B, MATCH(Summary!$A210, EchoData!$A:$A, 0))</f>
        <v>206</v>
      </c>
      <c r="C210" s="35">
        <f>INDEX(EchoData!C:C, MATCH(Summary!$A210, EchoData!$A:$A, 0))</f>
        <v>207</v>
      </c>
      <c r="D210" s="42">
        <f>INDEX(Displacements!B:B, MATCH(Summary!$B210, Displacements!$A:$A, 0))</f>
        <v>-11.721</v>
      </c>
      <c r="E210" s="43">
        <f>INDEX(Displacements!C:C, MATCH(Summary!$B210, Displacements!$A:$A, 0))</f>
        <v>0</v>
      </c>
      <c r="F210" s="44">
        <f>INDEX(Displacements!D:D, MATCH(Summary!$B210, Displacements!$A:$A, 0))</f>
        <v>0</v>
      </c>
      <c r="G210" s="42">
        <f>INDEX(Displacements!B:B, MATCH(Summary!$C210, Displacements!$A:$A, 0))</f>
        <v>-11.5</v>
      </c>
      <c r="H210" s="43">
        <f>INDEX(Displacements!C:C, MATCH(Summary!$C210, Displacements!$A:$A, 0))</f>
        <v>0</v>
      </c>
      <c r="I210" s="44">
        <f>INDEX(Displacements!D:D, MATCH(Summary!$C210, Displacements!$A:$A, 0))</f>
        <v>0</v>
      </c>
      <c r="J210" s="42">
        <f t="shared" si="6"/>
        <v>0.22100000000000009</v>
      </c>
      <c r="K210" s="49">
        <f t="shared" si="7"/>
        <v>0.79211469534050238</v>
      </c>
      <c r="L210" s="54">
        <f>INDEX('Forces+Stresses'!C:C, MATCH(Summary!$A210, 'Forces+Stresses'!$A:$A, 0))</f>
        <v>53.91</v>
      </c>
      <c r="M210" s="55">
        <f>INDEX('Forces+Stresses'!D:D, MATCH(Summary!$A210, 'Forces+Stresses'!$A:$A, 0))</f>
        <v>53.91</v>
      </c>
      <c r="N210" s="55">
        <f>IFERROR(INDEX('Forces+Stresses'!Q:Q, MATCH(Summary!$A210, 'Forces+Stresses'!$A:$A, 0)), INDEX(Flexjoints!D:D, MATCH(Summary!$A210, Flexjoints!$A:$A, 0)))</f>
        <v>1.701E-9</v>
      </c>
      <c r="O210" s="56">
        <f>IFERROR(INDEX('Forces+Stresses'!R:R, MATCH(Summary!$A210, 'Forces+Stresses'!$A:$A, 0)), INDEX(Flexjoints!E:E, MATCH(Summary!$A210, Flexjoints!$A:$A, 0)))</f>
        <v>5.7729999999999995E-8</v>
      </c>
      <c r="P210" s="33" t="str">
        <f>IF(INDEX(Labels!B:B, MATCH(Summary!$A210, Labels!$A:$A, 0)) = 0, "", INDEX(Labels!B:B, MATCH(Summary!$A210, Labels!$A:$A, 0)))</f>
        <v>{Casing Soil String}</v>
      </c>
      <c r="Q210" s="35" t="str">
        <f>IF(INDEX(Labels!C:C, MATCH(Summary!$A210, Labels!$A:$A, 0)) = 0, "", INDEX(Labels!C:C, MATCH(Summary!$A210, Labels!$A:$A, 0)))</f>
        <v>{Casing 13 3/8in}</v>
      </c>
      <c r="R210" s="33" t="str">
        <f>IF(INDEX(Labels!D:D, MATCH(Summary!$A210, Labels!$A:$A, 0)) = 0, "", INDEX(Labels!D:D, MATCH(Summary!$A210, Labels!$A:$A, 0)))</f>
        <v/>
      </c>
      <c r="S210" s="35" t="str">
        <f>IF(INDEX(Labels!E:E, MATCH(Summary!$A210, Labels!$A:$A, 0)) = 0, "", INDEX(Labels!E:E, MATCH(Summary!$A210, Labels!$A:$A, 0)))</f>
        <v/>
      </c>
      <c r="T210" s="33" t="str">
        <f>IF(INDEX(Labels!F:F, MATCH(Summary!$A210, Labels!$A:$A, 0)) = 0, "", INDEX(Labels!F:F, MATCH(Summary!$A210, Labels!$A:$A, 0)))</f>
        <v/>
      </c>
      <c r="U210" s="35" t="str">
        <f>IF(INDEX(Labels!G:G, MATCH(Summary!$A210, Labels!$A:$A, 0)) = 0, "", INDEX(Labels!G:G, MATCH(Summary!$A210, Labels!$A:$A, 0)))</f>
        <v/>
      </c>
      <c r="V210" s="62" t="str">
        <f>IF(INDEX(Labels!H:H, MATCH(Summary!$A210, Labels!$A:$A, 0)) = 0, "", INDEX(Labels!H:H, MATCH(Summary!$A210, Labels!$A:$A, 0)))</f>
        <v/>
      </c>
      <c r="W210" t="str">
        <f>IF(INDEX(Labels!I:I, MATCH(Summary!$A210, Labels!$A:$A, 0)) = 0, "", INDEX(Labels!I:I, MATCH(Summary!$A210, Labels!$A:$A, 0)))</f>
        <v/>
      </c>
      <c r="X210" t="str">
        <f>IF(INDEX(Labels!J:J, MATCH(Summary!$A210, Labels!$A:$A, 0)) = 0, "", INDEX(Labels!J:J, MATCH(Summary!$A210, Labels!$A:$A, 0)))</f>
        <v/>
      </c>
    </row>
    <row r="211" spans="1:24" x14ac:dyDescent="0.2">
      <c r="A211" s="33">
        <f>Labels!A212</f>
        <v>205</v>
      </c>
      <c r="B211" s="34">
        <f>INDEX(EchoData!B:B, MATCH(Summary!$A211, EchoData!$A:$A, 0))</f>
        <v>207</v>
      </c>
      <c r="C211" s="35">
        <f>INDEX(EchoData!C:C, MATCH(Summary!$A211, EchoData!$A:$A, 0))</f>
        <v>208</v>
      </c>
      <c r="D211" s="42">
        <f>INDEX(Displacements!B:B, MATCH(Summary!$B211, Displacements!$A:$A, 0))</f>
        <v>-11.5</v>
      </c>
      <c r="E211" s="43">
        <f>INDEX(Displacements!C:C, MATCH(Summary!$B211, Displacements!$A:$A, 0))</f>
        <v>0</v>
      </c>
      <c r="F211" s="44">
        <f>INDEX(Displacements!D:D, MATCH(Summary!$B211, Displacements!$A:$A, 0))</f>
        <v>0</v>
      </c>
      <c r="G211" s="42">
        <f>INDEX(Displacements!B:B, MATCH(Summary!$C211, Displacements!$A:$A, 0))</f>
        <v>-11.221</v>
      </c>
      <c r="H211" s="43">
        <f>INDEX(Displacements!C:C, MATCH(Summary!$C211, Displacements!$A:$A, 0))</f>
        <v>0</v>
      </c>
      <c r="I211" s="44">
        <f>INDEX(Displacements!D:D, MATCH(Summary!$C211, Displacements!$A:$A, 0))</f>
        <v>0</v>
      </c>
      <c r="J211" s="42">
        <f t="shared" si="6"/>
        <v>0.27899999999999991</v>
      </c>
      <c r="K211" s="49">
        <f t="shared" si="7"/>
        <v>1.2624434389140262</v>
      </c>
      <c r="L211" s="54">
        <f>INDEX('Forces+Stresses'!C:C, MATCH(Summary!$A211, 'Forces+Stresses'!$A:$A, 0))</f>
        <v>54.22</v>
      </c>
      <c r="M211" s="55">
        <f>INDEX('Forces+Stresses'!D:D, MATCH(Summary!$A211, 'Forces+Stresses'!$A:$A, 0))</f>
        <v>54.22</v>
      </c>
      <c r="N211" s="55">
        <f>IFERROR(INDEX('Forces+Stresses'!Q:Q, MATCH(Summary!$A211, 'Forces+Stresses'!$A:$A, 0)), INDEX(Flexjoints!D:D, MATCH(Summary!$A211, Flexjoints!$A:$A, 0)))</f>
        <v>1.9410000000000002E-9</v>
      </c>
      <c r="O211" s="56">
        <f>IFERROR(INDEX('Forces+Stresses'!R:R, MATCH(Summary!$A211, 'Forces+Stresses'!$A:$A, 0)), INDEX(Flexjoints!E:E, MATCH(Summary!$A211, Flexjoints!$A:$A, 0)))</f>
        <v>6.6090000000000005E-8</v>
      </c>
      <c r="P211" s="33" t="str">
        <f>IF(INDEX(Labels!B:B, MATCH(Summary!$A211, Labels!$A:$A, 0)) = 0, "", INDEX(Labels!B:B, MATCH(Summary!$A211, Labels!$A:$A, 0)))</f>
        <v>{Casing Soil String}</v>
      </c>
      <c r="Q211" s="35" t="str">
        <f>IF(INDEX(Labels!C:C, MATCH(Summary!$A211, Labels!$A:$A, 0)) = 0, "", INDEX(Labels!C:C, MATCH(Summary!$A211, Labels!$A:$A, 0)))</f>
        <v>{Casing 13 3/8in}</v>
      </c>
      <c r="R211" s="33" t="str">
        <f>IF(INDEX(Labels!D:D, MATCH(Summary!$A211, Labels!$A:$A, 0)) = 0, "", INDEX(Labels!D:D, MATCH(Summary!$A211, Labels!$A:$A, 0)))</f>
        <v/>
      </c>
      <c r="S211" s="35" t="str">
        <f>IF(INDEX(Labels!E:E, MATCH(Summary!$A211, Labels!$A:$A, 0)) = 0, "", INDEX(Labels!E:E, MATCH(Summary!$A211, Labels!$A:$A, 0)))</f>
        <v/>
      </c>
      <c r="T211" s="33" t="str">
        <f>IF(INDEX(Labels!F:F, MATCH(Summary!$A211, Labels!$A:$A, 0)) = 0, "", INDEX(Labels!F:F, MATCH(Summary!$A211, Labels!$A:$A, 0)))</f>
        <v/>
      </c>
      <c r="U211" s="35" t="str">
        <f>IF(INDEX(Labels!G:G, MATCH(Summary!$A211, Labels!$A:$A, 0)) = 0, "", INDEX(Labels!G:G, MATCH(Summary!$A211, Labels!$A:$A, 0)))</f>
        <v/>
      </c>
      <c r="V211" s="62" t="str">
        <f>IF(INDEX(Labels!H:H, MATCH(Summary!$A211, Labels!$A:$A, 0)) = 0, "", INDEX(Labels!H:H, MATCH(Summary!$A211, Labels!$A:$A, 0)))</f>
        <v>{Cas_Conn_1_Weld_Base_Before}</v>
      </c>
      <c r="W211" t="str">
        <f>IF(INDEX(Labels!I:I, MATCH(Summary!$A211, Labels!$A:$A, 0)) = 0, "", INDEX(Labels!I:I, MATCH(Summary!$A211, Labels!$A:$A, 0)))</f>
        <v/>
      </c>
      <c r="X211" t="str">
        <f>IF(INDEX(Labels!J:J, MATCH(Summary!$A211, Labels!$A:$A, 0)) = 0, "", INDEX(Labels!J:J, MATCH(Summary!$A211, Labels!$A:$A, 0)))</f>
        <v/>
      </c>
    </row>
    <row r="212" spans="1:24" x14ac:dyDescent="0.2">
      <c r="A212" s="33">
        <f>Labels!A213</f>
        <v>206</v>
      </c>
      <c r="B212" s="34">
        <f>INDEX(EchoData!B:B, MATCH(Summary!$A212, EchoData!$A:$A, 0))</f>
        <v>208</v>
      </c>
      <c r="C212" s="35">
        <f>INDEX(EchoData!C:C, MATCH(Summary!$A212, EchoData!$A:$A, 0))</f>
        <v>209</v>
      </c>
      <c r="D212" s="42">
        <f>INDEX(Displacements!B:B, MATCH(Summary!$B212, Displacements!$A:$A, 0))</f>
        <v>-11.221</v>
      </c>
      <c r="E212" s="43">
        <f>INDEX(Displacements!C:C, MATCH(Summary!$B212, Displacements!$A:$A, 0))</f>
        <v>0</v>
      </c>
      <c r="F212" s="44">
        <f>INDEX(Displacements!D:D, MATCH(Summary!$B212, Displacements!$A:$A, 0))</f>
        <v>0</v>
      </c>
      <c r="G212" s="42">
        <f>INDEX(Displacements!B:B, MATCH(Summary!$C212, Displacements!$A:$A, 0))</f>
        <v>-11.103</v>
      </c>
      <c r="H212" s="43">
        <f>INDEX(Displacements!C:C, MATCH(Summary!$C212, Displacements!$A:$A, 0))</f>
        <v>0</v>
      </c>
      <c r="I212" s="44">
        <f>INDEX(Displacements!D:D, MATCH(Summary!$C212, Displacements!$A:$A, 0))</f>
        <v>0</v>
      </c>
      <c r="J212" s="42">
        <f t="shared" si="6"/>
        <v>0.11800000000000033</v>
      </c>
      <c r="K212" s="49">
        <f t="shared" si="7"/>
        <v>0.42293906810035975</v>
      </c>
      <c r="L212" s="54">
        <f>INDEX('Forces+Stresses'!C:C, MATCH(Summary!$A212, 'Forces+Stresses'!$A:$A, 0))</f>
        <v>54.61</v>
      </c>
      <c r="M212" s="55">
        <f>INDEX('Forces+Stresses'!D:D, MATCH(Summary!$A212, 'Forces+Stresses'!$A:$A, 0))</f>
        <v>54.61</v>
      </c>
      <c r="N212" s="55">
        <f>IFERROR(INDEX('Forces+Stresses'!Q:Q, MATCH(Summary!$A212, 'Forces+Stresses'!$A:$A, 0)), INDEX(Flexjoints!D:D, MATCH(Summary!$A212, Flexjoints!$A:$A, 0)))</f>
        <v>2.8739999999999998E-9</v>
      </c>
      <c r="O212" s="56">
        <f>IFERROR(INDEX('Forces+Stresses'!R:R, MATCH(Summary!$A212, 'Forces+Stresses'!$A:$A, 0)), INDEX(Flexjoints!E:E, MATCH(Summary!$A212, Flexjoints!$A:$A, 0)))</f>
        <v>9.8319999999999996E-8</v>
      </c>
      <c r="P212" s="33" t="str">
        <f>IF(INDEX(Labels!B:B, MATCH(Summary!$A212, Labels!$A:$A, 0)) = 0, "", INDEX(Labels!B:B, MATCH(Summary!$A212, Labels!$A:$A, 0)))</f>
        <v>{Casing Soil String}</v>
      </c>
      <c r="Q212" s="35" t="str">
        <f>IF(INDEX(Labels!C:C, MATCH(Summary!$A212, Labels!$A:$A, 0)) = 0, "", INDEX(Labels!C:C, MATCH(Summary!$A212, Labels!$A:$A, 0)))</f>
        <v>{Casing 13 3/8in}</v>
      </c>
      <c r="R212" s="33" t="str">
        <f>IF(INDEX(Labels!D:D, MATCH(Summary!$A212, Labels!$A:$A, 0)) = 0, "", INDEX(Labels!D:D, MATCH(Summary!$A212, Labels!$A:$A, 0)))</f>
        <v/>
      </c>
      <c r="S212" s="35" t="str">
        <f>IF(INDEX(Labels!E:E, MATCH(Summary!$A212, Labels!$A:$A, 0)) = 0, "", INDEX(Labels!E:E, MATCH(Summary!$A212, Labels!$A:$A, 0)))</f>
        <v/>
      </c>
      <c r="T212" s="33" t="str">
        <f>IF(INDEX(Labels!F:F, MATCH(Summary!$A212, Labels!$A:$A, 0)) = 0, "", INDEX(Labels!F:F, MATCH(Summary!$A212, Labels!$A:$A, 0)))</f>
        <v/>
      </c>
      <c r="U212" s="35" t="str">
        <f>IF(INDEX(Labels!G:G, MATCH(Summary!$A212, Labels!$A:$A, 0)) = 0, "", INDEX(Labels!G:G, MATCH(Summary!$A212, Labels!$A:$A, 0)))</f>
        <v/>
      </c>
      <c r="V212" s="62" t="str">
        <f>IF(INDEX(Labels!H:H, MATCH(Summary!$A212, Labels!$A:$A, 0)) = 0, "", INDEX(Labels!H:H, MATCH(Summary!$A212, Labels!$A:$A, 0)))</f>
        <v>{Cas_Conn_1_Weld_Base_After}</v>
      </c>
      <c r="W212" t="str">
        <f>IF(INDEX(Labels!I:I, MATCH(Summary!$A212, Labels!$A:$A, 0)) = 0, "", INDEX(Labels!I:I, MATCH(Summary!$A212, Labels!$A:$A, 0)))</f>
        <v/>
      </c>
      <c r="X212" t="str">
        <f>IF(INDEX(Labels!J:J, MATCH(Summary!$A212, Labels!$A:$A, 0)) = 0, "", INDEX(Labels!J:J, MATCH(Summary!$A212, Labels!$A:$A, 0)))</f>
        <v/>
      </c>
    </row>
    <row r="213" spans="1:24" x14ac:dyDescent="0.2">
      <c r="A213" s="33">
        <f>Labels!A214</f>
        <v>207</v>
      </c>
      <c r="B213" s="34">
        <f>INDEX(EchoData!B:B, MATCH(Summary!$A213, EchoData!$A:$A, 0))</f>
        <v>209</v>
      </c>
      <c r="C213" s="35">
        <f>INDEX(EchoData!C:C, MATCH(Summary!$A213, EchoData!$A:$A, 0))</f>
        <v>210</v>
      </c>
      <c r="D213" s="42">
        <f>INDEX(Displacements!B:B, MATCH(Summary!$B213, Displacements!$A:$A, 0))</f>
        <v>-11.103</v>
      </c>
      <c r="E213" s="43">
        <f>INDEX(Displacements!C:C, MATCH(Summary!$B213, Displacements!$A:$A, 0))</f>
        <v>0</v>
      </c>
      <c r="F213" s="44">
        <f>INDEX(Displacements!D:D, MATCH(Summary!$B213, Displacements!$A:$A, 0))</f>
        <v>0</v>
      </c>
      <c r="G213" s="42">
        <f>INDEX(Displacements!B:B, MATCH(Summary!$C213, Displacements!$A:$A, 0))</f>
        <v>-11.021000000000001</v>
      </c>
      <c r="H213" s="43">
        <f>INDEX(Displacements!C:C, MATCH(Summary!$C213, Displacements!$A:$A, 0))</f>
        <v>0</v>
      </c>
      <c r="I213" s="44">
        <f>INDEX(Displacements!D:D, MATCH(Summary!$C213, Displacements!$A:$A, 0))</f>
        <v>0</v>
      </c>
      <c r="J213" s="42">
        <f t="shared" si="6"/>
        <v>8.1999999999998963E-2</v>
      </c>
      <c r="K213" s="49">
        <f t="shared" si="7"/>
        <v>0.6949152542372774</v>
      </c>
      <c r="L213" s="54">
        <f>INDEX('Forces+Stresses'!C:C, MATCH(Summary!$A213, 'Forces+Stresses'!$A:$A, 0))</f>
        <v>54.78</v>
      </c>
      <c r="M213" s="55">
        <f>INDEX('Forces+Stresses'!D:D, MATCH(Summary!$A213, 'Forces+Stresses'!$A:$A, 0))</f>
        <v>54.78</v>
      </c>
      <c r="N213" s="55">
        <f>IFERROR(INDEX('Forces+Stresses'!Q:Q, MATCH(Summary!$A213, 'Forces+Stresses'!$A:$A, 0)), INDEX(Flexjoints!D:D, MATCH(Summary!$A213, Flexjoints!$A:$A, 0)))</f>
        <v>3.2689999999999998E-9</v>
      </c>
      <c r="O213" s="56">
        <f>IFERROR(INDEX('Forces+Stresses'!R:R, MATCH(Summary!$A213, 'Forces+Stresses'!$A:$A, 0)), INDEX(Flexjoints!E:E, MATCH(Summary!$A213, Flexjoints!$A:$A, 0)))</f>
        <v>1.12E-7</v>
      </c>
      <c r="P213" s="33" t="str">
        <f>IF(INDEX(Labels!B:B, MATCH(Summary!$A213, Labels!$A:$A, 0)) = 0, "", INDEX(Labels!B:B, MATCH(Summary!$A213, Labels!$A:$A, 0)))</f>
        <v>{Casing Soil String}</v>
      </c>
      <c r="Q213" s="35" t="str">
        <f>IF(INDEX(Labels!C:C, MATCH(Summary!$A213, Labels!$A:$A, 0)) = 0, "", INDEX(Labels!C:C, MATCH(Summary!$A213, Labels!$A:$A, 0)))</f>
        <v>{Casing 13 3/8in}</v>
      </c>
      <c r="R213" s="33" t="str">
        <f>IF(INDEX(Labels!D:D, MATCH(Summary!$A213, Labels!$A:$A, 0)) = 0, "", INDEX(Labels!D:D, MATCH(Summary!$A213, Labels!$A:$A, 0)))</f>
        <v/>
      </c>
      <c r="S213" s="35" t="str">
        <f>IF(INDEX(Labels!E:E, MATCH(Summary!$A213, Labels!$A:$A, 0)) = 0, "", INDEX(Labels!E:E, MATCH(Summary!$A213, Labels!$A:$A, 0)))</f>
        <v/>
      </c>
      <c r="T213" s="33" t="str">
        <f>IF(INDEX(Labels!F:F, MATCH(Summary!$A213, Labels!$A:$A, 0)) = 0, "", INDEX(Labels!F:F, MATCH(Summary!$A213, Labels!$A:$A, 0)))</f>
        <v/>
      </c>
      <c r="U213" s="35" t="str">
        <f>IF(INDEX(Labels!G:G, MATCH(Summary!$A213, Labels!$A:$A, 0)) = 0, "", INDEX(Labels!G:G, MATCH(Summary!$A213, Labels!$A:$A, 0)))</f>
        <v>{Casing 13 3/8in_Last}</v>
      </c>
      <c r="V213" s="62" t="str">
        <f>IF(INDEX(Labels!H:H, MATCH(Summary!$A213, Labels!$A:$A, 0)) = 0, "", INDEX(Labels!H:H, MATCH(Summary!$A213, Labels!$A:$A, 0)))</f>
        <v>{Cas_Conn_1_Body_Before}</v>
      </c>
      <c r="W213" t="str">
        <f>IF(INDEX(Labels!I:I, MATCH(Summary!$A213, Labels!$A:$A, 0)) = 0, "", INDEX(Labels!I:I, MATCH(Summary!$A213, Labels!$A:$A, 0)))</f>
        <v/>
      </c>
      <c r="X213" t="str">
        <f>IF(INDEX(Labels!J:J, MATCH(Summary!$A213, Labels!$A:$A, 0)) = 0, "", INDEX(Labels!J:J, MATCH(Summary!$A213, Labels!$A:$A, 0)))</f>
        <v/>
      </c>
    </row>
    <row r="214" spans="1:24" x14ac:dyDescent="0.2">
      <c r="A214" s="33">
        <f>Labels!A215</f>
        <v>208</v>
      </c>
      <c r="B214" s="34">
        <f>INDEX(EchoData!B:B, MATCH(Summary!$A214, EchoData!$A:$A, 0))</f>
        <v>210</v>
      </c>
      <c r="C214" s="35">
        <f>INDEX(EchoData!C:C, MATCH(Summary!$A214, EchoData!$A:$A, 0))</f>
        <v>211</v>
      </c>
      <c r="D214" s="42">
        <f>INDEX(Displacements!B:B, MATCH(Summary!$B214, Displacements!$A:$A, 0))</f>
        <v>-11.021000000000001</v>
      </c>
      <c r="E214" s="43">
        <f>INDEX(Displacements!C:C, MATCH(Summary!$B214, Displacements!$A:$A, 0))</f>
        <v>0</v>
      </c>
      <c r="F214" s="44">
        <f>INDEX(Displacements!D:D, MATCH(Summary!$B214, Displacements!$A:$A, 0))</f>
        <v>0</v>
      </c>
      <c r="G214" s="42">
        <f>INDEX(Displacements!B:B, MATCH(Summary!$C214, Displacements!$A:$A, 0))</f>
        <v>-11</v>
      </c>
      <c r="H214" s="43">
        <f>INDEX(Displacements!C:C, MATCH(Summary!$C214, Displacements!$A:$A, 0))</f>
        <v>0</v>
      </c>
      <c r="I214" s="44">
        <f>INDEX(Displacements!D:D, MATCH(Summary!$C214, Displacements!$A:$A, 0))</f>
        <v>0</v>
      </c>
      <c r="J214" s="42">
        <f t="shared" si="6"/>
        <v>2.1000000000000796E-2</v>
      </c>
      <c r="K214" s="49">
        <f t="shared" si="7"/>
        <v>0.2560975609756227</v>
      </c>
      <c r="L214" s="54">
        <f>INDEX('Forces+Stresses'!C:C, MATCH(Summary!$A214, 'Forces+Stresses'!$A:$A, 0))</f>
        <v>54.89</v>
      </c>
      <c r="M214" s="55">
        <f>INDEX('Forces+Stresses'!D:D, MATCH(Summary!$A214, 'Forces+Stresses'!$A:$A, 0))</f>
        <v>54.89</v>
      </c>
      <c r="N214" s="55">
        <f>IFERROR(INDEX('Forces+Stresses'!Q:Q, MATCH(Summary!$A214, 'Forces+Stresses'!$A:$A, 0)), INDEX(Flexjoints!D:D, MATCH(Summary!$A214, Flexjoints!$A:$A, 0)))</f>
        <v>3.542E-9</v>
      </c>
      <c r="O214" s="56">
        <f>IFERROR(INDEX('Forces+Stresses'!R:R, MATCH(Summary!$A214, 'Forces+Stresses'!$A:$A, 0)), INDEX(Flexjoints!E:E, MATCH(Summary!$A214, Flexjoints!$A:$A, 0)))</f>
        <v>1.2139999999999999E-7</v>
      </c>
      <c r="P214" s="33" t="str">
        <f>IF(INDEX(Labels!B:B, MATCH(Summary!$A214, Labels!$A:$A, 0)) = 0, "", INDEX(Labels!B:B, MATCH(Summary!$A214, Labels!$A:$A, 0)))</f>
        <v>{Casing Soil String}</v>
      </c>
      <c r="Q214" s="35" t="str">
        <f>IF(INDEX(Labels!C:C, MATCH(Summary!$A214, Labels!$A:$A, 0)) = 0, "", INDEX(Labels!C:C, MATCH(Summary!$A214, Labels!$A:$A, 0)))</f>
        <v>{HP Extension Joint}</v>
      </c>
      <c r="R214" s="33" t="str">
        <f>IF(INDEX(Labels!D:D, MATCH(Summary!$A214, Labels!$A:$A, 0)) = 0, "", INDEX(Labels!D:D, MATCH(Summary!$A214, Labels!$A:$A, 0)))</f>
        <v/>
      </c>
      <c r="S214" s="35" t="str">
        <f>IF(INDEX(Labels!E:E, MATCH(Summary!$A214, Labels!$A:$A, 0)) = 0, "", INDEX(Labels!E:E, MATCH(Summary!$A214, Labels!$A:$A, 0)))</f>
        <v/>
      </c>
      <c r="T214" s="33" t="str">
        <f>IF(INDEX(Labels!F:F, MATCH(Summary!$A214, Labels!$A:$A, 0)) = 0, "", INDEX(Labels!F:F, MATCH(Summary!$A214, Labels!$A:$A, 0)))</f>
        <v>{HP Extension Joint_First}</v>
      </c>
      <c r="U214" s="35" t="str">
        <f>IF(INDEX(Labels!G:G, MATCH(Summary!$A214, Labels!$A:$A, 0)) = 0, "", INDEX(Labels!G:G, MATCH(Summary!$A214, Labels!$A:$A, 0)))</f>
        <v/>
      </c>
      <c r="V214" s="62" t="str">
        <f>IF(INDEX(Labels!H:H, MATCH(Summary!$A214, Labels!$A:$A, 0)) = 0, "", INDEX(Labels!H:H, MATCH(Summary!$A214, Labels!$A:$A, 0)))</f>
        <v>{Cas_Conn_1_Body_After}</v>
      </c>
      <c r="W214" t="str">
        <f>IF(INDEX(Labels!I:I, MATCH(Summary!$A214, Labels!$A:$A, 0)) = 0, "", INDEX(Labels!I:I, MATCH(Summary!$A214, Labels!$A:$A, 0)))</f>
        <v/>
      </c>
      <c r="X214" t="str">
        <f>IF(INDEX(Labels!J:J, MATCH(Summary!$A214, Labels!$A:$A, 0)) = 0, "", INDEX(Labels!J:J, MATCH(Summary!$A214, Labels!$A:$A, 0)))</f>
        <v/>
      </c>
    </row>
    <row r="215" spans="1:24" x14ac:dyDescent="0.2">
      <c r="A215" s="33">
        <f>Labels!A216</f>
        <v>209</v>
      </c>
      <c r="B215" s="34">
        <f>INDEX(EchoData!B:B, MATCH(Summary!$A215, EchoData!$A:$A, 0))</f>
        <v>211</v>
      </c>
      <c r="C215" s="35">
        <f>INDEX(EchoData!C:C, MATCH(Summary!$A215, EchoData!$A:$A, 0))</f>
        <v>212</v>
      </c>
      <c r="D215" s="42">
        <f>INDEX(Displacements!B:B, MATCH(Summary!$B215, Displacements!$A:$A, 0))</f>
        <v>-11</v>
      </c>
      <c r="E215" s="43">
        <f>INDEX(Displacements!C:C, MATCH(Summary!$B215, Displacements!$A:$A, 0))</f>
        <v>0</v>
      </c>
      <c r="F215" s="44">
        <f>INDEX(Displacements!D:D, MATCH(Summary!$B215, Displacements!$A:$A, 0))</f>
        <v>0</v>
      </c>
      <c r="G215" s="42">
        <f>INDEX(Displacements!B:B, MATCH(Summary!$C215, Displacements!$A:$A, 0))</f>
        <v>-10.821</v>
      </c>
      <c r="H215" s="43">
        <f>INDEX(Displacements!C:C, MATCH(Summary!$C215, Displacements!$A:$A, 0))</f>
        <v>0</v>
      </c>
      <c r="I215" s="44">
        <f>INDEX(Displacements!D:D, MATCH(Summary!$C215, Displacements!$A:$A, 0))</f>
        <v>0</v>
      </c>
      <c r="J215" s="42">
        <f t="shared" si="6"/>
        <v>0.17900000000000027</v>
      </c>
      <c r="K215" s="49">
        <f t="shared" si="7"/>
        <v>8.5238095238092129</v>
      </c>
      <c r="L215" s="54">
        <f>INDEX('Forces+Stresses'!C:C, MATCH(Summary!$A215, 'Forces+Stresses'!$A:$A, 0))</f>
        <v>54.95</v>
      </c>
      <c r="M215" s="55">
        <f>INDEX('Forces+Stresses'!D:D, MATCH(Summary!$A215, 'Forces+Stresses'!$A:$A, 0))</f>
        <v>54.95</v>
      </c>
      <c r="N215" s="55">
        <f>IFERROR(INDEX('Forces+Stresses'!Q:Q, MATCH(Summary!$A215, 'Forces+Stresses'!$A:$A, 0)), INDEX(Flexjoints!D:D, MATCH(Summary!$A215, Flexjoints!$A:$A, 0)))</f>
        <v>3.6129999999999998E-9</v>
      </c>
      <c r="O215" s="56">
        <f>IFERROR(INDEX('Forces+Stresses'!R:R, MATCH(Summary!$A215, 'Forces+Stresses'!$A:$A, 0)), INDEX(Flexjoints!E:E, MATCH(Summary!$A215, Flexjoints!$A:$A, 0)))</f>
        <v>1.2389999999999999E-7</v>
      </c>
      <c r="P215" s="33" t="str">
        <f>IF(INDEX(Labels!B:B, MATCH(Summary!$A215, Labels!$A:$A, 0)) = 0, "", INDEX(Labels!B:B, MATCH(Summary!$A215, Labels!$A:$A, 0)))</f>
        <v>{Casing Soil String}</v>
      </c>
      <c r="Q215" s="35" t="str">
        <f>IF(INDEX(Labels!C:C, MATCH(Summary!$A215, Labels!$A:$A, 0)) = 0, "", INDEX(Labels!C:C, MATCH(Summary!$A215, Labels!$A:$A, 0)))</f>
        <v>{HP Extension Joint}</v>
      </c>
      <c r="R215" s="33" t="str">
        <f>IF(INDEX(Labels!D:D, MATCH(Summary!$A215, Labels!$A:$A, 0)) = 0, "", INDEX(Labels!D:D, MATCH(Summary!$A215, Labels!$A:$A, 0)))</f>
        <v/>
      </c>
      <c r="S215" s="35" t="str">
        <f>IF(INDEX(Labels!E:E, MATCH(Summary!$A215, Labels!$A:$A, 0)) = 0, "", INDEX(Labels!E:E, MATCH(Summary!$A215, Labels!$A:$A, 0)))</f>
        <v/>
      </c>
      <c r="T215" s="33" t="str">
        <f>IF(INDEX(Labels!F:F, MATCH(Summary!$A215, Labels!$A:$A, 0)) = 0, "", INDEX(Labels!F:F, MATCH(Summary!$A215, Labels!$A:$A, 0)))</f>
        <v/>
      </c>
      <c r="U215" s="35" t="str">
        <f>IF(INDEX(Labels!G:G, MATCH(Summary!$A215, Labels!$A:$A, 0)) = 0, "", INDEX(Labels!G:G, MATCH(Summary!$A215, Labels!$A:$A, 0)))</f>
        <v/>
      </c>
      <c r="V215" s="62" t="str">
        <f>IF(INDEX(Labels!H:H, MATCH(Summary!$A215, Labels!$A:$A, 0)) = 0, "", INDEX(Labels!H:H, MATCH(Summary!$A215, Labels!$A:$A, 0)))</f>
        <v>{Cas_Conn_1_Weld_Top_Before}</v>
      </c>
      <c r="W215" t="str">
        <f>IF(INDEX(Labels!I:I, MATCH(Summary!$A215, Labels!$A:$A, 0)) = 0, "", INDEX(Labels!I:I, MATCH(Summary!$A215, Labels!$A:$A, 0)))</f>
        <v/>
      </c>
      <c r="X215" t="str">
        <f>IF(INDEX(Labels!J:J, MATCH(Summary!$A215, Labels!$A:$A, 0)) = 0, "", INDEX(Labels!J:J, MATCH(Summary!$A215, Labels!$A:$A, 0)))</f>
        <v/>
      </c>
    </row>
    <row r="216" spans="1:24" x14ac:dyDescent="0.2">
      <c r="A216" s="33">
        <f>Labels!A217</f>
        <v>210</v>
      </c>
      <c r="B216" s="34">
        <f>INDEX(EchoData!B:B, MATCH(Summary!$A216, EchoData!$A:$A, 0))</f>
        <v>212</v>
      </c>
      <c r="C216" s="35">
        <f>INDEX(EchoData!C:C, MATCH(Summary!$A216, EchoData!$A:$A, 0))</f>
        <v>213</v>
      </c>
      <c r="D216" s="42">
        <f>INDEX(Displacements!B:B, MATCH(Summary!$B216, Displacements!$A:$A, 0))</f>
        <v>-10.821</v>
      </c>
      <c r="E216" s="43">
        <f>INDEX(Displacements!C:C, MATCH(Summary!$B216, Displacements!$A:$A, 0))</f>
        <v>0</v>
      </c>
      <c r="F216" s="44">
        <f>INDEX(Displacements!D:D, MATCH(Summary!$B216, Displacements!$A:$A, 0))</f>
        <v>0</v>
      </c>
      <c r="G216" s="42">
        <f>INDEX(Displacements!B:B, MATCH(Summary!$C216, Displacements!$A:$A, 0))</f>
        <v>-10.73</v>
      </c>
      <c r="H216" s="43">
        <f>INDEX(Displacements!C:C, MATCH(Summary!$C216, Displacements!$A:$A, 0))</f>
        <v>0</v>
      </c>
      <c r="I216" s="44">
        <f>INDEX(Displacements!D:D, MATCH(Summary!$C216, Displacements!$A:$A, 0))</f>
        <v>0</v>
      </c>
      <c r="J216" s="42">
        <f t="shared" si="6"/>
        <v>9.0999999999999304E-2</v>
      </c>
      <c r="K216" s="49">
        <f t="shared" si="7"/>
        <v>0.50837988826815173</v>
      </c>
      <c r="L216" s="54">
        <f>INDEX('Forces+Stresses'!C:C, MATCH(Summary!$A216, 'Forces+Stresses'!$A:$A, 0))</f>
        <v>55.46</v>
      </c>
      <c r="M216" s="55">
        <f>INDEX('Forces+Stresses'!D:D, MATCH(Summary!$A216, 'Forces+Stresses'!$A:$A, 0))</f>
        <v>55.46</v>
      </c>
      <c r="N216" s="55">
        <f>IFERROR(INDEX('Forces+Stresses'!Q:Q, MATCH(Summary!$A216, 'Forces+Stresses'!$A:$A, 0)), INDEX(Flexjoints!D:D, MATCH(Summary!$A216, Flexjoints!$A:$A, 0)))</f>
        <v>4.4610000000000002E-9</v>
      </c>
      <c r="O216" s="56">
        <f>IFERROR(INDEX('Forces+Stresses'!R:R, MATCH(Summary!$A216, 'Forces+Stresses'!$A:$A, 0)), INDEX(Flexjoints!E:E, MATCH(Summary!$A216, Flexjoints!$A:$A, 0)))</f>
        <v>1.5320000000000002E-7</v>
      </c>
      <c r="P216" s="33" t="str">
        <f>IF(INDEX(Labels!B:B, MATCH(Summary!$A216, Labels!$A:$A, 0)) = 0, "", INDEX(Labels!B:B, MATCH(Summary!$A216, Labels!$A:$A, 0)))</f>
        <v>{Casing Soil String}</v>
      </c>
      <c r="Q216" s="35" t="str">
        <f>IF(INDEX(Labels!C:C, MATCH(Summary!$A216, Labels!$A:$A, 0)) = 0, "", INDEX(Labels!C:C, MATCH(Summary!$A216, Labels!$A:$A, 0)))</f>
        <v>{HP Extension Joint}</v>
      </c>
      <c r="R216" s="33" t="str">
        <f>IF(INDEX(Labels!D:D, MATCH(Summary!$A216, Labels!$A:$A, 0)) = 0, "", INDEX(Labels!D:D, MATCH(Summary!$A216, Labels!$A:$A, 0)))</f>
        <v/>
      </c>
      <c r="S216" s="35" t="str">
        <f>IF(INDEX(Labels!E:E, MATCH(Summary!$A216, Labels!$A:$A, 0)) = 0, "", INDEX(Labels!E:E, MATCH(Summary!$A216, Labels!$A:$A, 0)))</f>
        <v/>
      </c>
      <c r="T216" s="33" t="str">
        <f>IF(INDEX(Labels!F:F, MATCH(Summary!$A216, Labels!$A:$A, 0)) = 0, "", INDEX(Labels!F:F, MATCH(Summary!$A216, Labels!$A:$A, 0)))</f>
        <v/>
      </c>
      <c r="U216" s="35" t="str">
        <f>IF(INDEX(Labels!G:G, MATCH(Summary!$A216, Labels!$A:$A, 0)) = 0, "", INDEX(Labels!G:G, MATCH(Summary!$A216, Labels!$A:$A, 0)))</f>
        <v/>
      </c>
      <c r="V216" s="62" t="str">
        <f>IF(INDEX(Labels!H:H, MATCH(Summary!$A216, Labels!$A:$A, 0)) = 0, "", INDEX(Labels!H:H, MATCH(Summary!$A216, Labels!$A:$A, 0)))</f>
        <v>{Cas_Conn_1_Weld_Top_After}</v>
      </c>
      <c r="W216" t="str">
        <f>IF(INDEX(Labels!I:I, MATCH(Summary!$A216, Labels!$A:$A, 0)) = 0, "", INDEX(Labels!I:I, MATCH(Summary!$A216, Labels!$A:$A, 0)))</f>
        <v/>
      </c>
      <c r="X216" t="str">
        <f>IF(INDEX(Labels!J:J, MATCH(Summary!$A216, Labels!$A:$A, 0)) = 0, "", INDEX(Labels!J:J, MATCH(Summary!$A216, Labels!$A:$A, 0)))</f>
        <v/>
      </c>
    </row>
    <row r="217" spans="1:24" x14ac:dyDescent="0.2">
      <c r="A217" s="33">
        <f>Labels!A218</f>
        <v>211</v>
      </c>
      <c r="B217" s="34">
        <f>INDEX(EchoData!B:B, MATCH(Summary!$A217, EchoData!$A:$A, 0))</f>
        <v>213</v>
      </c>
      <c r="C217" s="35">
        <f>INDEX(EchoData!C:C, MATCH(Summary!$A217, EchoData!$A:$A, 0))</f>
        <v>214</v>
      </c>
      <c r="D217" s="42">
        <f>INDEX(Displacements!B:B, MATCH(Summary!$B217, Displacements!$A:$A, 0))</f>
        <v>-10.73</v>
      </c>
      <c r="E217" s="43">
        <f>INDEX(Displacements!C:C, MATCH(Summary!$B217, Displacements!$A:$A, 0))</f>
        <v>0</v>
      </c>
      <c r="F217" s="44">
        <f>INDEX(Displacements!D:D, MATCH(Summary!$B217, Displacements!$A:$A, 0))</f>
        <v>0</v>
      </c>
      <c r="G217" s="42">
        <f>INDEX(Displacements!B:B, MATCH(Summary!$C217, Displacements!$A:$A, 0))</f>
        <v>-10.5</v>
      </c>
      <c r="H217" s="43">
        <f>INDEX(Displacements!C:C, MATCH(Summary!$C217, Displacements!$A:$A, 0))</f>
        <v>0</v>
      </c>
      <c r="I217" s="44">
        <f>INDEX(Displacements!D:D, MATCH(Summary!$C217, Displacements!$A:$A, 0))</f>
        <v>0</v>
      </c>
      <c r="J217" s="42">
        <f t="shared" si="6"/>
        <v>0.23000000000000043</v>
      </c>
      <c r="K217" s="49">
        <f t="shared" si="7"/>
        <v>2.5274725274725514</v>
      </c>
      <c r="L217" s="54">
        <f>INDEX('Forces+Stresses'!C:C, MATCH(Summary!$A217, 'Forces+Stresses'!$A:$A, 0))</f>
        <v>55.72</v>
      </c>
      <c r="M217" s="55">
        <f>INDEX('Forces+Stresses'!D:D, MATCH(Summary!$A217, 'Forces+Stresses'!$A:$A, 0))</f>
        <v>55.72</v>
      </c>
      <c r="N217" s="55">
        <f>IFERROR(INDEX('Forces+Stresses'!Q:Q, MATCH(Summary!$A217, 'Forces+Stresses'!$A:$A, 0)), INDEX(Flexjoints!D:D, MATCH(Summary!$A217, Flexjoints!$A:$A, 0)))</f>
        <v>4.8899999999999995E-9</v>
      </c>
      <c r="O217" s="56">
        <f>IFERROR(INDEX('Forces+Stresses'!R:R, MATCH(Summary!$A217, 'Forces+Stresses'!$A:$A, 0)), INDEX(Flexjoints!E:E, MATCH(Summary!$A217, Flexjoints!$A:$A, 0)))</f>
        <v>1.681E-7</v>
      </c>
      <c r="P217" s="33" t="str">
        <f>IF(INDEX(Labels!B:B, MATCH(Summary!$A217, Labels!$A:$A, 0)) = 0, "", INDEX(Labels!B:B, MATCH(Summary!$A217, Labels!$A:$A, 0)))</f>
        <v>{Casing Soil String}</v>
      </c>
      <c r="Q217" s="35" t="str">
        <f>IF(INDEX(Labels!C:C, MATCH(Summary!$A217, Labels!$A:$A, 0)) = 0, "", INDEX(Labels!C:C, MATCH(Summary!$A217, Labels!$A:$A, 0)))</f>
        <v>{HP Extension Joint}</v>
      </c>
      <c r="R217" s="33" t="str">
        <f>IF(INDEX(Labels!D:D, MATCH(Summary!$A217, Labels!$A:$A, 0)) = 0, "", INDEX(Labels!D:D, MATCH(Summary!$A217, Labels!$A:$A, 0)))</f>
        <v/>
      </c>
      <c r="S217" s="35" t="str">
        <f>IF(INDEX(Labels!E:E, MATCH(Summary!$A217, Labels!$A:$A, 0)) = 0, "", INDEX(Labels!E:E, MATCH(Summary!$A217, Labels!$A:$A, 0)))</f>
        <v/>
      </c>
      <c r="T217" s="33" t="str">
        <f>IF(INDEX(Labels!F:F, MATCH(Summary!$A217, Labels!$A:$A, 0)) = 0, "", INDEX(Labels!F:F, MATCH(Summary!$A217, Labels!$A:$A, 0)))</f>
        <v/>
      </c>
      <c r="U217" s="35" t="str">
        <f>IF(INDEX(Labels!G:G, MATCH(Summary!$A217, Labels!$A:$A, 0)) = 0, "", INDEX(Labels!G:G, MATCH(Summary!$A217, Labels!$A:$A, 0)))</f>
        <v/>
      </c>
      <c r="V217" s="62" t="str">
        <f>IF(INDEX(Labels!H:H, MATCH(Summary!$A217, Labels!$A:$A, 0)) = 0, "", INDEX(Labels!H:H, MATCH(Summary!$A217, Labels!$A:$A, 0)))</f>
        <v/>
      </c>
      <c r="W217" t="str">
        <f>IF(INDEX(Labels!I:I, MATCH(Summary!$A217, Labels!$A:$A, 0)) = 0, "", INDEX(Labels!I:I, MATCH(Summary!$A217, Labels!$A:$A, 0)))</f>
        <v/>
      </c>
      <c r="X217" t="str">
        <f>IF(INDEX(Labels!J:J, MATCH(Summary!$A217, Labels!$A:$A, 0)) = 0, "", INDEX(Labels!J:J, MATCH(Summary!$A217, Labels!$A:$A, 0)))</f>
        <v/>
      </c>
    </row>
    <row r="218" spans="1:24" x14ac:dyDescent="0.2">
      <c r="A218" s="33">
        <f>Labels!A219</f>
        <v>212</v>
      </c>
      <c r="B218" s="34">
        <f>INDEX(EchoData!B:B, MATCH(Summary!$A218, EchoData!$A:$A, 0))</f>
        <v>214</v>
      </c>
      <c r="C218" s="35">
        <f>INDEX(EchoData!C:C, MATCH(Summary!$A218, EchoData!$A:$A, 0))</f>
        <v>215</v>
      </c>
      <c r="D218" s="42">
        <f>INDEX(Displacements!B:B, MATCH(Summary!$B218, Displacements!$A:$A, 0))</f>
        <v>-10.5</v>
      </c>
      <c r="E218" s="43">
        <f>INDEX(Displacements!C:C, MATCH(Summary!$B218, Displacements!$A:$A, 0))</f>
        <v>0</v>
      </c>
      <c r="F218" s="44">
        <f>INDEX(Displacements!D:D, MATCH(Summary!$B218, Displacements!$A:$A, 0))</f>
        <v>0</v>
      </c>
      <c r="G218" s="42">
        <f>INDEX(Displacements!B:B, MATCH(Summary!$C218, Displacements!$A:$A, 0))</f>
        <v>-10</v>
      </c>
      <c r="H218" s="43">
        <f>INDEX(Displacements!C:C, MATCH(Summary!$C218, Displacements!$A:$A, 0))</f>
        <v>0</v>
      </c>
      <c r="I218" s="44">
        <f>INDEX(Displacements!D:D, MATCH(Summary!$C218, Displacements!$A:$A, 0))</f>
        <v>0</v>
      </c>
      <c r="J218" s="42">
        <f t="shared" si="6"/>
        <v>0.5</v>
      </c>
      <c r="K218" s="49">
        <f t="shared" si="7"/>
        <v>2.1739130434782568</v>
      </c>
      <c r="L218" s="54">
        <f>INDEX('Forces+Stresses'!C:C, MATCH(Summary!$A218, 'Forces+Stresses'!$A:$A, 0))</f>
        <v>56.37</v>
      </c>
      <c r="M218" s="55">
        <f>INDEX('Forces+Stresses'!D:D, MATCH(Summary!$A218, 'Forces+Stresses'!$A:$A, 0))</f>
        <v>56.37</v>
      </c>
      <c r="N218" s="55">
        <f>IFERROR(INDEX('Forces+Stresses'!Q:Q, MATCH(Summary!$A218, 'Forces+Stresses'!$A:$A, 0)), INDEX(Flexjoints!D:D, MATCH(Summary!$A218, Flexjoints!$A:$A, 0)))</f>
        <v>5.9809999999999999E-9</v>
      </c>
      <c r="O218" s="56">
        <f>IFERROR(INDEX('Forces+Stresses'!R:R, MATCH(Summary!$A218, 'Forces+Stresses'!$A:$A, 0)), INDEX(Flexjoints!E:E, MATCH(Summary!$A218, Flexjoints!$A:$A, 0)))</f>
        <v>2.0589999999999998E-7</v>
      </c>
      <c r="P218" s="33" t="str">
        <f>IF(INDEX(Labels!B:B, MATCH(Summary!$A218, Labels!$A:$A, 0)) = 0, "", INDEX(Labels!B:B, MATCH(Summary!$A218, Labels!$A:$A, 0)))</f>
        <v>{Casing Soil String}</v>
      </c>
      <c r="Q218" s="35" t="str">
        <f>IF(INDEX(Labels!C:C, MATCH(Summary!$A218, Labels!$A:$A, 0)) = 0, "", INDEX(Labels!C:C, MATCH(Summary!$A218, Labels!$A:$A, 0)))</f>
        <v>{HP Extension Joint}</v>
      </c>
      <c r="R218" s="33" t="str">
        <f>IF(INDEX(Labels!D:D, MATCH(Summary!$A218, Labels!$A:$A, 0)) = 0, "", INDEX(Labels!D:D, MATCH(Summary!$A218, Labels!$A:$A, 0)))</f>
        <v/>
      </c>
      <c r="S218" s="35" t="str">
        <f>IF(INDEX(Labels!E:E, MATCH(Summary!$A218, Labels!$A:$A, 0)) = 0, "", INDEX(Labels!E:E, MATCH(Summary!$A218, Labels!$A:$A, 0)))</f>
        <v/>
      </c>
      <c r="T218" s="33" t="str">
        <f>IF(INDEX(Labels!F:F, MATCH(Summary!$A218, Labels!$A:$A, 0)) = 0, "", INDEX(Labels!F:F, MATCH(Summary!$A218, Labels!$A:$A, 0)))</f>
        <v/>
      </c>
      <c r="U218" s="35" t="str">
        <f>IF(INDEX(Labels!G:G, MATCH(Summary!$A218, Labels!$A:$A, 0)) = 0, "", INDEX(Labels!G:G, MATCH(Summary!$A218, Labels!$A:$A, 0)))</f>
        <v/>
      </c>
      <c r="V218" s="62" t="str">
        <f>IF(INDEX(Labels!H:H, MATCH(Summary!$A218, Labels!$A:$A, 0)) = 0, "", INDEX(Labels!H:H, MATCH(Summary!$A218, Labels!$A:$A, 0)))</f>
        <v/>
      </c>
      <c r="W218" t="str">
        <f>IF(INDEX(Labels!I:I, MATCH(Summary!$A218, Labels!$A:$A, 0)) = 0, "", INDEX(Labels!I:I, MATCH(Summary!$A218, Labels!$A:$A, 0)))</f>
        <v/>
      </c>
      <c r="X218" t="str">
        <f>IF(INDEX(Labels!J:J, MATCH(Summary!$A218, Labels!$A:$A, 0)) = 0, "", INDEX(Labels!J:J, MATCH(Summary!$A218, Labels!$A:$A, 0)))</f>
        <v/>
      </c>
    </row>
    <row r="219" spans="1:24" x14ac:dyDescent="0.2">
      <c r="A219" s="33">
        <f>Labels!A220</f>
        <v>213</v>
      </c>
      <c r="B219" s="34">
        <f>INDEX(EchoData!B:B, MATCH(Summary!$A219, EchoData!$A:$A, 0))</f>
        <v>215</v>
      </c>
      <c r="C219" s="35">
        <f>INDEX(EchoData!C:C, MATCH(Summary!$A219, EchoData!$A:$A, 0))</f>
        <v>216</v>
      </c>
      <c r="D219" s="42">
        <f>INDEX(Displacements!B:B, MATCH(Summary!$B219, Displacements!$A:$A, 0))</f>
        <v>-10</v>
      </c>
      <c r="E219" s="43">
        <f>INDEX(Displacements!C:C, MATCH(Summary!$B219, Displacements!$A:$A, 0))</f>
        <v>0</v>
      </c>
      <c r="F219" s="44">
        <f>INDEX(Displacements!D:D, MATCH(Summary!$B219, Displacements!$A:$A, 0))</f>
        <v>0</v>
      </c>
      <c r="G219" s="42">
        <f>INDEX(Displacements!B:B, MATCH(Summary!$C219, Displacements!$A:$A, 0))</f>
        <v>-9.5</v>
      </c>
      <c r="H219" s="43">
        <f>INDEX(Displacements!C:C, MATCH(Summary!$C219, Displacements!$A:$A, 0))</f>
        <v>0</v>
      </c>
      <c r="I219" s="44">
        <f>INDEX(Displacements!D:D, MATCH(Summary!$C219, Displacements!$A:$A, 0))</f>
        <v>0</v>
      </c>
      <c r="J219" s="42">
        <f t="shared" si="6"/>
        <v>0.5</v>
      </c>
      <c r="K219" s="49">
        <f t="shared" si="7"/>
        <v>1</v>
      </c>
      <c r="L219" s="54">
        <f>INDEX('Forces+Stresses'!C:C, MATCH(Summary!$A219, 'Forces+Stresses'!$A:$A, 0))</f>
        <v>57.78</v>
      </c>
      <c r="M219" s="55">
        <f>INDEX('Forces+Stresses'!D:D, MATCH(Summary!$A219, 'Forces+Stresses'!$A:$A, 0))</f>
        <v>57.78</v>
      </c>
      <c r="N219" s="55">
        <f>IFERROR(INDEX('Forces+Stresses'!Q:Q, MATCH(Summary!$A219, 'Forces+Stresses'!$A:$A, 0)), INDEX(Flexjoints!D:D, MATCH(Summary!$A219, Flexjoints!$A:$A, 0)))</f>
        <v>7.8209999999999994E-9</v>
      </c>
      <c r="O219" s="56">
        <f>IFERROR(INDEX('Forces+Stresses'!R:R, MATCH(Summary!$A219, 'Forces+Stresses'!$A:$A, 0)), INDEX(Flexjoints!E:E, MATCH(Summary!$A219, Flexjoints!$A:$A, 0)))</f>
        <v>2.7010000000000002E-7</v>
      </c>
      <c r="P219" s="33" t="str">
        <f>IF(INDEX(Labels!B:B, MATCH(Summary!$A219, Labels!$A:$A, 0)) = 0, "", INDEX(Labels!B:B, MATCH(Summary!$A219, Labels!$A:$A, 0)))</f>
        <v>{Casing Soil String}</v>
      </c>
      <c r="Q219" s="35" t="str">
        <f>IF(INDEX(Labels!C:C, MATCH(Summary!$A219, Labels!$A:$A, 0)) = 0, "", INDEX(Labels!C:C, MATCH(Summary!$A219, Labels!$A:$A, 0)))</f>
        <v>{HP Extension Joint}</v>
      </c>
      <c r="R219" s="33" t="str">
        <f>IF(INDEX(Labels!D:D, MATCH(Summary!$A219, Labels!$A:$A, 0)) = 0, "", INDEX(Labels!D:D, MATCH(Summary!$A219, Labels!$A:$A, 0)))</f>
        <v/>
      </c>
      <c r="S219" s="35" t="str">
        <f>IF(INDEX(Labels!E:E, MATCH(Summary!$A219, Labels!$A:$A, 0)) = 0, "", INDEX(Labels!E:E, MATCH(Summary!$A219, Labels!$A:$A, 0)))</f>
        <v/>
      </c>
      <c r="T219" s="33" t="str">
        <f>IF(INDEX(Labels!F:F, MATCH(Summary!$A219, Labels!$A:$A, 0)) = 0, "", INDEX(Labels!F:F, MATCH(Summary!$A219, Labels!$A:$A, 0)))</f>
        <v/>
      </c>
      <c r="U219" s="35" t="str">
        <f>IF(INDEX(Labels!G:G, MATCH(Summary!$A219, Labels!$A:$A, 0)) = 0, "", INDEX(Labels!G:G, MATCH(Summary!$A219, Labels!$A:$A, 0)))</f>
        <v/>
      </c>
      <c r="V219" s="62" t="str">
        <f>IF(INDEX(Labels!H:H, MATCH(Summary!$A219, Labels!$A:$A, 0)) = 0, "", INDEX(Labels!H:H, MATCH(Summary!$A219, Labels!$A:$A, 0)))</f>
        <v/>
      </c>
      <c r="W219" t="str">
        <f>IF(INDEX(Labels!I:I, MATCH(Summary!$A219, Labels!$A:$A, 0)) = 0, "", INDEX(Labels!I:I, MATCH(Summary!$A219, Labels!$A:$A, 0)))</f>
        <v/>
      </c>
      <c r="X219" t="str">
        <f>IF(INDEX(Labels!J:J, MATCH(Summary!$A219, Labels!$A:$A, 0)) = 0, "", INDEX(Labels!J:J, MATCH(Summary!$A219, Labels!$A:$A, 0)))</f>
        <v/>
      </c>
    </row>
    <row r="220" spans="1:24" x14ac:dyDescent="0.2">
      <c r="A220" s="33">
        <f>Labels!A221</f>
        <v>214</v>
      </c>
      <c r="B220" s="34">
        <f>INDEX(EchoData!B:B, MATCH(Summary!$A220, EchoData!$A:$A, 0))</f>
        <v>216</v>
      </c>
      <c r="C220" s="35">
        <f>INDEX(EchoData!C:C, MATCH(Summary!$A220, EchoData!$A:$A, 0))</f>
        <v>217</v>
      </c>
      <c r="D220" s="42">
        <f>INDEX(Displacements!B:B, MATCH(Summary!$B220, Displacements!$A:$A, 0))</f>
        <v>-9.5</v>
      </c>
      <c r="E220" s="43">
        <f>INDEX(Displacements!C:C, MATCH(Summary!$B220, Displacements!$A:$A, 0))</f>
        <v>0</v>
      </c>
      <c r="F220" s="44">
        <f>INDEX(Displacements!D:D, MATCH(Summary!$B220, Displacements!$A:$A, 0))</f>
        <v>0</v>
      </c>
      <c r="G220" s="42">
        <f>INDEX(Displacements!B:B, MATCH(Summary!$C220, Displacements!$A:$A, 0))</f>
        <v>-9</v>
      </c>
      <c r="H220" s="43">
        <f>INDEX(Displacements!C:C, MATCH(Summary!$C220, Displacements!$A:$A, 0))</f>
        <v>0</v>
      </c>
      <c r="I220" s="44">
        <f>INDEX(Displacements!D:D, MATCH(Summary!$C220, Displacements!$A:$A, 0))</f>
        <v>0</v>
      </c>
      <c r="J220" s="42">
        <f t="shared" si="6"/>
        <v>0.5</v>
      </c>
      <c r="K220" s="49">
        <f t="shared" si="7"/>
        <v>1</v>
      </c>
      <c r="L220" s="54">
        <f>INDEX('Forces+Stresses'!C:C, MATCH(Summary!$A220, 'Forces+Stresses'!$A:$A, 0))</f>
        <v>59.19</v>
      </c>
      <c r="M220" s="55">
        <f>INDEX('Forces+Stresses'!D:D, MATCH(Summary!$A220, 'Forces+Stresses'!$A:$A, 0))</f>
        <v>59.19</v>
      </c>
      <c r="N220" s="55">
        <f>IFERROR(INDEX('Forces+Stresses'!Q:Q, MATCH(Summary!$A220, 'Forces+Stresses'!$A:$A, 0)), INDEX(Flexjoints!D:D, MATCH(Summary!$A220, Flexjoints!$A:$A, 0)))</f>
        <v>9.0780000000000003E-9</v>
      </c>
      <c r="O220" s="56">
        <f>IFERROR(INDEX('Forces+Stresses'!R:R, MATCH(Summary!$A220, 'Forces+Stresses'!$A:$A, 0)), INDEX(Flexjoints!E:E, MATCH(Summary!$A220, Flexjoints!$A:$A, 0)))</f>
        <v>3.1450000000000002E-7</v>
      </c>
      <c r="P220" s="33" t="str">
        <f>IF(INDEX(Labels!B:B, MATCH(Summary!$A220, Labels!$A:$A, 0)) = 0, "", INDEX(Labels!B:B, MATCH(Summary!$A220, Labels!$A:$A, 0)))</f>
        <v>{Casing Soil String}</v>
      </c>
      <c r="Q220" s="35" t="str">
        <f>IF(INDEX(Labels!C:C, MATCH(Summary!$A220, Labels!$A:$A, 0)) = 0, "", INDEX(Labels!C:C, MATCH(Summary!$A220, Labels!$A:$A, 0)))</f>
        <v>{HP Extension Joint}</v>
      </c>
      <c r="R220" s="33" t="str">
        <f>IF(INDEX(Labels!D:D, MATCH(Summary!$A220, Labels!$A:$A, 0)) = 0, "", INDEX(Labels!D:D, MATCH(Summary!$A220, Labels!$A:$A, 0)))</f>
        <v/>
      </c>
      <c r="S220" s="35" t="str">
        <f>IF(INDEX(Labels!E:E, MATCH(Summary!$A220, Labels!$A:$A, 0)) = 0, "", INDEX(Labels!E:E, MATCH(Summary!$A220, Labels!$A:$A, 0)))</f>
        <v/>
      </c>
      <c r="T220" s="33" t="str">
        <f>IF(INDEX(Labels!F:F, MATCH(Summary!$A220, Labels!$A:$A, 0)) = 0, "", INDEX(Labels!F:F, MATCH(Summary!$A220, Labels!$A:$A, 0)))</f>
        <v/>
      </c>
      <c r="U220" s="35" t="str">
        <f>IF(INDEX(Labels!G:G, MATCH(Summary!$A220, Labels!$A:$A, 0)) = 0, "", INDEX(Labels!G:G, MATCH(Summary!$A220, Labels!$A:$A, 0)))</f>
        <v/>
      </c>
      <c r="V220" s="62" t="str">
        <f>IF(INDEX(Labels!H:H, MATCH(Summary!$A220, Labels!$A:$A, 0)) = 0, "", INDEX(Labels!H:H, MATCH(Summary!$A220, Labels!$A:$A, 0)))</f>
        <v/>
      </c>
      <c r="W220" t="str">
        <f>IF(INDEX(Labels!I:I, MATCH(Summary!$A220, Labels!$A:$A, 0)) = 0, "", INDEX(Labels!I:I, MATCH(Summary!$A220, Labels!$A:$A, 0)))</f>
        <v/>
      </c>
      <c r="X220" t="str">
        <f>IF(INDEX(Labels!J:J, MATCH(Summary!$A220, Labels!$A:$A, 0)) = 0, "", INDEX(Labels!J:J, MATCH(Summary!$A220, Labels!$A:$A, 0)))</f>
        <v/>
      </c>
    </row>
    <row r="221" spans="1:24" x14ac:dyDescent="0.2">
      <c r="A221" s="33">
        <f>Labels!A222</f>
        <v>215</v>
      </c>
      <c r="B221" s="34">
        <f>INDEX(EchoData!B:B, MATCH(Summary!$A221, EchoData!$A:$A, 0))</f>
        <v>217</v>
      </c>
      <c r="C221" s="35">
        <f>INDEX(EchoData!C:C, MATCH(Summary!$A221, EchoData!$A:$A, 0))</f>
        <v>218</v>
      </c>
      <c r="D221" s="42">
        <f>INDEX(Displacements!B:B, MATCH(Summary!$B221, Displacements!$A:$A, 0))</f>
        <v>-9</v>
      </c>
      <c r="E221" s="43">
        <f>INDEX(Displacements!C:C, MATCH(Summary!$B221, Displacements!$A:$A, 0))</f>
        <v>0</v>
      </c>
      <c r="F221" s="44">
        <f>INDEX(Displacements!D:D, MATCH(Summary!$B221, Displacements!$A:$A, 0))</f>
        <v>0</v>
      </c>
      <c r="G221" s="42">
        <f>INDEX(Displacements!B:B, MATCH(Summary!$C221, Displacements!$A:$A, 0))</f>
        <v>-8.5</v>
      </c>
      <c r="H221" s="43">
        <f>INDEX(Displacements!C:C, MATCH(Summary!$C221, Displacements!$A:$A, 0))</f>
        <v>0</v>
      </c>
      <c r="I221" s="44">
        <f>INDEX(Displacements!D:D, MATCH(Summary!$C221, Displacements!$A:$A, 0))</f>
        <v>0</v>
      </c>
      <c r="J221" s="42">
        <f t="shared" si="6"/>
        <v>0.5</v>
      </c>
      <c r="K221" s="49">
        <f t="shared" si="7"/>
        <v>1</v>
      </c>
      <c r="L221" s="54">
        <f>INDEX('Forces+Stresses'!C:C, MATCH(Summary!$A221, 'Forces+Stresses'!$A:$A, 0))</f>
        <v>60.6</v>
      </c>
      <c r="M221" s="55">
        <f>INDEX('Forces+Stresses'!D:D, MATCH(Summary!$A221, 'Forces+Stresses'!$A:$A, 0))</f>
        <v>60.6</v>
      </c>
      <c r="N221" s="55">
        <f>IFERROR(INDEX('Forces+Stresses'!Q:Q, MATCH(Summary!$A221, 'Forces+Stresses'!$A:$A, 0)), INDEX(Flexjoints!D:D, MATCH(Summary!$A221, Flexjoints!$A:$A, 0)))</f>
        <v>1.0020000000000001E-8</v>
      </c>
      <c r="O221" s="56">
        <f>IFERROR(INDEX('Forces+Stresses'!R:R, MATCH(Summary!$A221, 'Forces+Stresses'!$A:$A, 0)), INDEX(Flexjoints!E:E, MATCH(Summary!$A221, Flexjoints!$A:$A, 0)))</f>
        <v>3.4840000000000002E-7</v>
      </c>
      <c r="P221" s="33" t="str">
        <f>IF(INDEX(Labels!B:B, MATCH(Summary!$A221, Labels!$A:$A, 0)) = 0, "", INDEX(Labels!B:B, MATCH(Summary!$A221, Labels!$A:$A, 0)))</f>
        <v>{Casing Soil String}</v>
      </c>
      <c r="Q221" s="35" t="str">
        <f>IF(INDEX(Labels!C:C, MATCH(Summary!$A221, Labels!$A:$A, 0)) = 0, "", INDEX(Labels!C:C, MATCH(Summary!$A221, Labels!$A:$A, 0)))</f>
        <v>{HP Extension Joint}</v>
      </c>
      <c r="R221" s="33" t="str">
        <f>IF(INDEX(Labels!D:D, MATCH(Summary!$A221, Labels!$A:$A, 0)) = 0, "", INDEX(Labels!D:D, MATCH(Summary!$A221, Labels!$A:$A, 0)))</f>
        <v/>
      </c>
      <c r="S221" s="35" t="str">
        <f>IF(INDEX(Labels!E:E, MATCH(Summary!$A221, Labels!$A:$A, 0)) = 0, "", INDEX(Labels!E:E, MATCH(Summary!$A221, Labels!$A:$A, 0)))</f>
        <v/>
      </c>
      <c r="T221" s="33" t="str">
        <f>IF(INDEX(Labels!F:F, MATCH(Summary!$A221, Labels!$A:$A, 0)) = 0, "", INDEX(Labels!F:F, MATCH(Summary!$A221, Labels!$A:$A, 0)))</f>
        <v/>
      </c>
      <c r="U221" s="35" t="str">
        <f>IF(INDEX(Labels!G:G, MATCH(Summary!$A221, Labels!$A:$A, 0)) = 0, "", INDEX(Labels!G:G, MATCH(Summary!$A221, Labels!$A:$A, 0)))</f>
        <v/>
      </c>
      <c r="V221" s="62" t="str">
        <f>IF(INDEX(Labels!H:H, MATCH(Summary!$A221, Labels!$A:$A, 0)) = 0, "", INDEX(Labels!H:H, MATCH(Summary!$A221, Labels!$A:$A, 0)))</f>
        <v/>
      </c>
      <c r="W221" t="str">
        <f>IF(INDEX(Labels!I:I, MATCH(Summary!$A221, Labels!$A:$A, 0)) = 0, "", INDEX(Labels!I:I, MATCH(Summary!$A221, Labels!$A:$A, 0)))</f>
        <v/>
      </c>
      <c r="X221" t="str">
        <f>IF(INDEX(Labels!J:J, MATCH(Summary!$A221, Labels!$A:$A, 0)) = 0, "", INDEX(Labels!J:J, MATCH(Summary!$A221, Labels!$A:$A, 0)))</f>
        <v/>
      </c>
    </row>
    <row r="222" spans="1:24" x14ac:dyDescent="0.2">
      <c r="A222" s="33">
        <f>Labels!A223</f>
        <v>216</v>
      </c>
      <c r="B222" s="34">
        <f>INDEX(EchoData!B:B, MATCH(Summary!$A222, EchoData!$A:$A, 0))</f>
        <v>218</v>
      </c>
      <c r="C222" s="35">
        <f>INDEX(EchoData!C:C, MATCH(Summary!$A222, EchoData!$A:$A, 0))</f>
        <v>219</v>
      </c>
      <c r="D222" s="42">
        <f>INDEX(Displacements!B:B, MATCH(Summary!$B222, Displacements!$A:$A, 0))</f>
        <v>-8.5</v>
      </c>
      <c r="E222" s="43">
        <f>INDEX(Displacements!C:C, MATCH(Summary!$B222, Displacements!$A:$A, 0))</f>
        <v>0</v>
      </c>
      <c r="F222" s="44">
        <f>INDEX(Displacements!D:D, MATCH(Summary!$B222, Displacements!$A:$A, 0))</f>
        <v>0</v>
      </c>
      <c r="G222" s="42">
        <f>INDEX(Displacements!B:B, MATCH(Summary!$C222, Displacements!$A:$A, 0))</f>
        <v>-8</v>
      </c>
      <c r="H222" s="43">
        <f>INDEX(Displacements!C:C, MATCH(Summary!$C222, Displacements!$A:$A, 0))</f>
        <v>0</v>
      </c>
      <c r="I222" s="44">
        <f>INDEX(Displacements!D:D, MATCH(Summary!$C222, Displacements!$A:$A, 0))</f>
        <v>0</v>
      </c>
      <c r="J222" s="42">
        <f t="shared" si="6"/>
        <v>0.5</v>
      </c>
      <c r="K222" s="49">
        <f t="shared" si="7"/>
        <v>1</v>
      </c>
      <c r="L222" s="54">
        <f>INDEX('Forces+Stresses'!C:C, MATCH(Summary!$A222, 'Forces+Stresses'!$A:$A, 0))</f>
        <v>62.02</v>
      </c>
      <c r="M222" s="55">
        <f>INDEX('Forces+Stresses'!D:D, MATCH(Summary!$A222, 'Forces+Stresses'!$A:$A, 0))</f>
        <v>62.02</v>
      </c>
      <c r="N222" s="55">
        <f>IFERROR(INDEX('Forces+Stresses'!Q:Q, MATCH(Summary!$A222, 'Forces+Stresses'!$A:$A, 0)), INDEX(Flexjoints!D:D, MATCH(Summary!$A222, Flexjoints!$A:$A, 0)))</f>
        <v>1.0879999999999999E-8</v>
      </c>
      <c r="O222" s="56">
        <f>IFERROR(INDEX('Forces+Stresses'!R:R, MATCH(Summary!$A222, 'Forces+Stresses'!$A:$A, 0)), INDEX(Flexjoints!E:E, MATCH(Summary!$A222, Flexjoints!$A:$A, 0)))</f>
        <v>3.7940000000000002E-7</v>
      </c>
      <c r="P222" s="33" t="str">
        <f>IF(INDEX(Labels!B:B, MATCH(Summary!$A222, Labels!$A:$A, 0)) = 0, "", INDEX(Labels!B:B, MATCH(Summary!$A222, Labels!$A:$A, 0)))</f>
        <v>{Casing Soil String}</v>
      </c>
      <c r="Q222" s="35" t="str">
        <f>IF(INDEX(Labels!C:C, MATCH(Summary!$A222, Labels!$A:$A, 0)) = 0, "", INDEX(Labels!C:C, MATCH(Summary!$A222, Labels!$A:$A, 0)))</f>
        <v>{HP Extension Joint}</v>
      </c>
      <c r="R222" s="33" t="str">
        <f>IF(INDEX(Labels!D:D, MATCH(Summary!$A222, Labels!$A:$A, 0)) = 0, "", INDEX(Labels!D:D, MATCH(Summary!$A222, Labels!$A:$A, 0)))</f>
        <v/>
      </c>
      <c r="S222" s="35" t="str">
        <f>IF(INDEX(Labels!E:E, MATCH(Summary!$A222, Labels!$A:$A, 0)) = 0, "", INDEX(Labels!E:E, MATCH(Summary!$A222, Labels!$A:$A, 0)))</f>
        <v/>
      </c>
      <c r="T222" s="33" t="str">
        <f>IF(INDEX(Labels!F:F, MATCH(Summary!$A222, Labels!$A:$A, 0)) = 0, "", INDEX(Labels!F:F, MATCH(Summary!$A222, Labels!$A:$A, 0)))</f>
        <v/>
      </c>
      <c r="U222" s="35" t="str">
        <f>IF(INDEX(Labels!G:G, MATCH(Summary!$A222, Labels!$A:$A, 0)) = 0, "", INDEX(Labels!G:G, MATCH(Summary!$A222, Labels!$A:$A, 0)))</f>
        <v/>
      </c>
      <c r="V222" s="62" t="str">
        <f>IF(INDEX(Labels!H:H, MATCH(Summary!$A222, Labels!$A:$A, 0)) = 0, "", INDEX(Labels!H:H, MATCH(Summary!$A222, Labels!$A:$A, 0)))</f>
        <v/>
      </c>
      <c r="W222" t="str">
        <f>IF(INDEX(Labels!I:I, MATCH(Summary!$A222, Labels!$A:$A, 0)) = 0, "", INDEX(Labels!I:I, MATCH(Summary!$A222, Labels!$A:$A, 0)))</f>
        <v/>
      </c>
      <c r="X222" t="str">
        <f>IF(INDEX(Labels!J:J, MATCH(Summary!$A222, Labels!$A:$A, 0)) = 0, "", INDEX(Labels!J:J, MATCH(Summary!$A222, Labels!$A:$A, 0)))</f>
        <v/>
      </c>
    </row>
    <row r="223" spans="1:24" x14ac:dyDescent="0.2">
      <c r="A223" s="33">
        <f>Labels!A224</f>
        <v>217</v>
      </c>
      <c r="B223" s="34">
        <f>INDEX(EchoData!B:B, MATCH(Summary!$A223, EchoData!$A:$A, 0))</f>
        <v>219</v>
      </c>
      <c r="C223" s="35">
        <f>INDEX(EchoData!C:C, MATCH(Summary!$A223, EchoData!$A:$A, 0))</f>
        <v>220</v>
      </c>
      <c r="D223" s="42">
        <f>INDEX(Displacements!B:B, MATCH(Summary!$B223, Displacements!$A:$A, 0))</f>
        <v>-8</v>
      </c>
      <c r="E223" s="43">
        <f>INDEX(Displacements!C:C, MATCH(Summary!$B223, Displacements!$A:$A, 0))</f>
        <v>0</v>
      </c>
      <c r="F223" s="44">
        <f>INDEX(Displacements!D:D, MATCH(Summary!$B223, Displacements!$A:$A, 0))</f>
        <v>0</v>
      </c>
      <c r="G223" s="42">
        <f>INDEX(Displacements!B:B, MATCH(Summary!$C223, Displacements!$A:$A, 0))</f>
        <v>-7.5</v>
      </c>
      <c r="H223" s="43">
        <f>INDEX(Displacements!C:C, MATCH(Summary!$C223, Displacements!$A:$A, 0))</f>
        <v>0</v>
      </c>
      <c r="I223" s="44">
        <f>INDEX(Displacements!D:D, MATCH(Summary!$C223, Displacements!$A:$A, 0))</f>
        <v>0</v>
      </c>
      <c r="J223" s="42">
        <f t="shared" si="6"/>
        <v>0.5</v>
      </c>
      <c r="K223" s="49">
        <f t="shared" si="7"/>
        <v>1</v>
      </c>
      <c r="L223" s="54">
        <f>INDEX('Forces+Stresses'!C:C, MATCH(Summary!$A223, 'Forces+Stresses'!$A:$A, 0))</f>
        <v>63.43</v>
      </c>
      <c r="M223" s="55">
        <f>INDEX('Forces+Stresses'!D:D, MATCH(Summary!$A223, 'Forces+Stresses'!$A:$A, 0))</f>
        <v>63.43</v>
      </c>
      <c r="N223" s="55">
        <f>IFERROR(INDEX('Forces+Stresses'!Q:Q, MATCH(Summary!$A223, 'Forces+Stresses'!$A:$A, 0)), INDEX(Flexjoints!D:D, MATCH(Summary!$A223, Flexjoints!$A:$A, 0)))</f>
        <v>1.1749999999999999E-8</v>
      </c>
      <c r="O223" s="56">
        <f>IFERROR(INDEX('Forces+Stresses'!R:R, MATCH(Summary!$A223, 'Forces+Stresses'!$A:$A, 0)), INDEX(Flexjoints!E:E, MATCH(Summary!$A223, Flexjoints!$A:$A, 0)))</f>
        <v>4.1100000000000001E-7</v>
      </c>
      <c r="P223" s="33" t="str">
        <f>IF(INDEX(Labels!B:B, MATCH(Summary!$A223, Labels!$A:$A, 0)) = 0, "", INDEX(Labels!B:B, MATCH(Summary!$A223, Labels!$A:$A, 0)))</f>
        <v>{Casing Soil String}</v>
      </c>
      <c r="Q223" s="35" t="str">
        <f>IF(INDEX(Labels!C:C, MATCH(Summary!$A223, Labels!$A:$A, 0)) = 0, "", INDEX(Labels!C:C, MATCH(Summary!$A223, Labels!$A:$A, 0)))</f>
        <v>{HP Extension Joint}</v>
      </c>
      <c r="R223" s="33" t="str">
        <f>IF(INDEX(Labels!D:D, MATCH(Summary!$A223, Labels!$A:$A, 0)) = 0, "", INDEX(Labels!D:D, MATCH(Summary!$A223, Labels!$A:$A, 0)))</f>
        <v/>
      </c>
      <c r="S223" s="35" t="str">
        <f>IF(INDEX(Labels!E:E, MATCH(Summary!$A223, Labels!$A:$A, 0)) = 0, "", INDEX(Labels!E:E, MATCH(Summary!$A223, Labels!$A:$A, 0)))</f>
        <v/>
      </c>
      <c r="T223" s="33" t="str">
        <f>IF(INDEX(Labels!F:F, MATCH(Summary!$A223, Labels!$A:$A, 0)) = 0, "", INDEX(Labels!F:F, MATCH(Summary!$A223, Labels!$A:$A, 0)))</f>
        <v/>
      </c>
      <c r="U223" s="35" t="str">
        <f>IF(INDEX(Labels!G:G, MATCH(Summary!$A223, Labels!$A:$A, 0)) = 0, "", INDEX(Labels!G:G, MATCH(Summary!$A223, Labels!$A:$A, 0)))</f>
        <v/>
      </c>
      <c r="V223" s="62" t="str">
        <f>IF(INDEX(Labels!H:H, MATCH(Summary!$A223, Labels!$A:$A, 0)) = 0, "", INDEX(Labels!H:H, MATCH(Summary!$A223, Labels!$A:$A, 0)))</f>
        <v/>
      </c>
      <c r="W223" t="str">
        <f>IF(INDEX(Labels!I:I, MATCH(Summary!$A223, Labels!$A:$A, 0)) = 0, "", INDEX(Labels!I:I, MATCH(Summary!$A223, Labels!$A:$A, 0)))</f>
        <v/>
      </c>
      <c r="X223" t="str">
        <f>IF(INDEX(Labels!J:J, MATCH(Summary!$A223, Labels!$A:$A, 0)) = 0, "", INDEX(Labels!J:J, MATCH(Summary!$A223, Labels!$A:$A, 0)))</f>
        <v/>
      </c>
    </row>
    <row r="224" spans="1:24" x14ac:dyDescent="0.2">
      <c r="A224" s="33">
        <f>Labels!A225</f>
        <v>218</v>
      </c>
      <c r="B224" s="34">
        <f>INDEX(EchoData!B:B, MATCH(Summary!$A224, EchoData!$A:$A, 0))</f>
        <v>220</v>
      </c>
      <c r="C224" s="35">
        <f>INDEX(EchoData!C:C, MATCH(Summary!$A224, EchoData!$A:$A, 0))</f>
        <v>221</v>
      </c>
      <c r="D224" s="42">
        <f>INDEX(Displacements!B:B, MATCH(Summary!$B224, Displacements!$A:$A, 0))</f>
        <v>-7.5</v>
      </c>
      <c r="E224" s="43">
        <f>INDEX(Displacements!C:C, MATCH(Summary!$B224, Displacements!$A:$A, 0))</f>
        <v>0</v>
      </c>
      <c r="F224" s="44">
        <f>INDEX(Displacements!D:D, MATCH(Summary!$B224, Displacements!$A:$A, 0))</f>
        <v>0</v>
      </c>
      <c r="G224" s="42">
        <f>INDEX(Displacements!B:B, MATCH(Summary!$C224, Displacements!$A:$A, 0))</f>
        <v>-7</v>
      </c>
      <c r="H224" s="43">
        <f>INDEX(Displacements!C:C, MATCH(Summary!$C224, Displacements!$A:$A, 0))</f>
        <v>0</v>
      </c>
      <c r="I224" s="44">
        <f>INDEX(Displacements!D:D, MATCH(Summary!$C224, Displacements!$A:$A, 0))</f>
        <v>0</v>
      </c>
      <c r="J224" s="42">
        <f t="shared" si="6"/>
        <v>0.5</v>
      </c>
      <c r="K224" s="49">
        <f t="shared" si="7"/>
        <v>1</v>
      </c>
      <c r="L224" s="54">
        <f>INDEX('Forces+Stresses'!C:C, MATCH(Summary!$A224, 'Forces+Stresses'!$A:$A, 0))</f>
        <v>64.84</v>
      </c>
      <c r="M224" s="55">
        <f>INDEX('Forces+Stresses'!D:D, MATCH(Summary!$A224, 'Forces+Stresses'!$A:$A, 0))</f>
        <v>64.84</v>
      </c>
      <c r="N224" s="55">
        <f>IFERROR(INDEX('Forces+Stresses'!Q:Q, MATCH(Summary!$A224, 'Forces+Stresses'!$A:$A, 0)), INDEX(Flexjoints!D:D, MATCH(Summary!$A224, Flexjoints!$A:$A, 0)))</f>
        <v>1.263E-8</v>
      </c>
      <c r="O224" s="56">
        <f>IFERROR(INDEX('Forces+Stresses'!R:R, MATCH(Summary!$A224, 'Forces+Stresses'!$A:$A, 0)), INDEX(Flexjoints!E:E, MATCH(Summary!$A224, Flexjoints!$A:$A, 0)))</f>
        <v>4.4349999999999997E-7</v>
      </c>
      <c r="P224" s="33" t="str">
        <f>IF(INDEX(Labels!B:B, MATCH(Summary!$A224, Labels!$A:$A, 0)) = 0, "", INDEX(Labels!B:B, MATCH(Summary!$A224, Labels!$A:$A, 0)))</f>
        <v>{Casing Soil String}</v>
      </c>
      <c r="Q224" s="35" t="str">
        <f>IF(INDEX(Labels!C:C, MATCH(Summary!$A224, Labels!$A:$A, 0)) = 0, "", INDEX(Labels!C:C, MATCH(Summary!$A224, Labels!$A:$A, 0)))</f>
        <v>{HP Extension Joint}</v>
      </c>
      <c r="R224" s="33" t="str">
        <f>IF(INDEX(Labels!D:D, MATCH(Summary!$A224, Labels!$A:$A, 0)) = 0, "", INDEX(Labels!D:D, MATCH(Summary!$A224, Labels!$A:$A, 0)))</f>
        <v/>
      </c>
      <c r="S224" s="35" t="str">
        <f>IF(INDEX(Labels!E:E, MATCH(Summary!$A224, Labels!$A:$A, 0)) = 0, "", INDEX(Labels!E:E, MATCH(Summary!$A224, Labels!$A:$A, 0)))</f>
        <v/>
      </c>
      <c r="T224" s="33" t="str">
        <f>IF(INDEX(Labels!F:F, MATCH(Summary!$A224, Labels!$A:$A, 0)) = 0, "", INDEX(Labels!F:F, MATCH(Summary!$A224, Labels!$A:$A, 0)))</f>
        <v/>
      </c>
      <c r="U224" s="35" t="str">
        <f>IF(INDEX(Labels!G:G, MATCH(Summary!$A224, Labels!$A:$A, 0)) = 0, "", INDEX(Labels!G:G, MATCH(Summary!$A224, Labels!$A:$A, 0)))</f>
        <v/>
      </c>
      <c r="V224" s="62" t="str">
        <f>IF(INDEX(Labels!H:H, MATCH(Summary!$A224, Labels!$A:$A, 0)) = 0, "", INDEX(Labels!H:H, MATCH(Summary!$A224, Labels!$A:$A, 0)))</f>
        <v/>
      </c>
      <c r="W224" t="str">
        <f>IF(INDEX(Labels!I:I, MATCH(Summary!$A224, Labels!$A:$A, 0)) = 0, "", INDEX(Labels!I:I, MATCH(Summary!$A224, Labels!$A:$A, 0)))</f>
        <v/>
      </c>
      <c r="X224" t="str">
        <f>IF(INDEX(Labels!J:J, MATCH(Summary!$A224, Labels!$A:$A, 0)) = 0, "", INDEX(Labels!J:J, MATCH(Summary!$A224, Labels!$A:$A, 0)))</f>
        <v/>
      </c>
    </row>
    <row r="225" spans="1:24" x14ac:dyDescent="0.2">
      <c r="A225" s="33">
        <f>Labels!A226</f>
        <v>219</v>
      </c>
      <c r="B225" s="34">
        <f>INDEX(EchoData!B:B, MATCH(Summary!$A225, EchoData!$A:$A, 0))</f>
        <v>221</v>
      </c>
      <c r="C225" s="35">
        <f>INDEX(EchoData!C:C, MATCH(Summary!$A225, EchoData!$A:$A, 0))</f>
        <v>222</v>
      </c>
      <c r="D225" s="42">
        <f>INDEX(Displacements!B:B, MATCH(Summary!$B225, Displacements!$A:$A, 0))</f>
        <v>-7</v>
      </c>
      <c r="E225" s="43">
        <f>INDEX(Displacements!C:C, MATCH(Summary!$B225, Displacements!$A:$A, 0))</f>
        <v>0</v>
      </c>
      <c r="F225" s="44">
        <f>INDEX(Displacements!D:D, MATCH(Summary!$B225, Displacements!$A:$A, 0))</f>
        <v>0</v>
      </c>
      <c r="G225" s="42">
        <f>INDEX(Displacements!B:B, MATCH(Summary!$C225, Displacements!$A:$A, 0))</f>
        <v>-6.5</v>
      </c>
      <c r="H225" s="43">
        <f>INDEX(Displacements!C:C, MATCH(Summary!$C225, Displacements!$A:$A, 0))</f>
        <v>0</v>
      </c>
      <c r="I225" s="44">
        <f>INDEX(Displacements!D:D, MATCH(Summary!$C225, Displacements!$A:$A, 0))</f>
        <v>0</v>
      </c>
      <c r="J225" s="42">
        <f t="shared" si="6"/>
        <v>0.5</v>
      </c>
      <c r="K225" s="49">
        <f t="shared" si="7"/>
        <v>1</v>
      </c>
      <c r="L225" s="54">
        <f>INDEX('Forces+Stresses'!C:C, MATCH(Summary!$A225, 'Forces+Stresses'!$A:$A, 0))</f>
        <v>66.25</v>
      </c>
      <c r="M225" s="55">
        <f>INDEX('Forces+Stresses'!D:D, MATCH(Summary!$A225, 'Forces+Stresses'!$A:$A, 0))</f>
        <v>66.25</v>
      </c>
      <c r="N225" s="55">
        <f>IFERROR(INDEX('Forces+Stresses'!Q:Q, MATCH(Summary!$A225, 'Forces+Stresses'!$A:$A, 0)), INDEX(Flexjoints!D:D, MATCH(Summary!$A225, Flexjoints!$A:$A, 0)))</f>
        <v>1.352E-8</v>
      </c>
      <c r="O225" s="56">
        <f>IFERROR(INDEX('Forces+Stresses'!R:R, MATCH(Summary!$A225, 'Forces+Stresses'!$A:$A, 0)), INDEX(Flexjoints!E:E, MATCH(Summary!$A225, Flexjoints!$A:$A, 0)))</f>
        <v>4.7610000000000003E-7</v>
      </c>
      <c r="P225" s="33" t="str">
        <f>IF(INDEX(Labels!B:B, MATCH(Summary!$A225, Labels!$A:$A, 0)) = 0, "", INDEX(Labels!B:B, MATCH(Summary!$A225, Labels!$A:$A, 0)))</f>
        <v>{Casing Soil String}</v>
      </c>
      <c r="Q225" s="35" t="str">
        <f>IF(INDEX(Labels!C:C, MATCH(Summary!$A225, Labels!$A:$A, 0)) = 0, "", INDEX(Labels!C:C, MATCH(Summary!$A225, Labels!$A:$A, 0)))</f>
        <v>{HP Extension Joint}</v>
      </c>
      <c r="R225" s="33" t="str">
        <f>IF(INDEX(Labels!D:D, MATCH(Summary!$A225, Labels!$A:$A, 0)) = 0, "", INDEX(Labels!D:D, MATCH(Summary!$A225, Labels!$A:$A, 0)))</f>
        <v/>
      </c>
      <c r="S225" s="35" t="str">
        <f>IF(INDEX(Labels!E:E, MATCH(Summary!$A225, Labels!$A:$A, 0)) = 0, "", INDEX(Labels!E:E, MATCH(Summary!$A225, Labels!$A:$A, 0)))</f>
        <v/>
      </c>
      <c r="T225" s="33" t="str">
        <f>IF(INDEX(Labels!F:F, MATCH(Summary!$A225, Labels!$A:$A, 0)) = 0, "", INDEX(Labels!F:F, MATCH(Summary!$A225, Labels!$A:$A, 0)))</f>
        <v/>
      </c>
      <c r="U225" s="35" t="str">
        <f>IF(INDEX(Labels!G:G, MATCH(Summary!$A225, Labels!$A:$A, 0)) = 0, "", INDEX(Labels!G:G, MATCH(Summary!$A225, Labels!$A:$A, 0)))</f>
        <v/>
      </c>
      <c r="V225" s="62" t="str">
        <f>IF(INDEX(Labels!H:H, MATCH(Summary!$A225, Labels!$A:$A, 0)) = 0, "", INDEX(Labels!H:H, MATCH(Summary!$A225, Labels!$A:$A, 0)))</f>
        <v/>
      </c>
      <c r="W225" t="str">
        <f>IF(INDEX(Labels!I:I, MATCH(Summary!$A225, Labels!$A:$A, 0)) = 0, "", INDEX(Labels!I:I, MATCH(Summary!$A225, Labels!$A:$A, 0)))</f>
        <v/>
      </c>
      <c r="X225" t="str">
        <f>IF(INDEX(Labels!J:J, MATCH(Summary!$A225, Labels!$A:$A, 0)) = 0, "", INDEX(Labels!J:J, MATCH(Summary!$A225, Labels!$A:$A, 0)))</f>
        <v/>
      </c>
    </row>
    <row r="226" spans="1:24" x14ac:dyDescent="0.2">
      <c r="A226" s="33">
        <f>Labels!A227</f>
        <v>220</v>
      </c>
      <c r="B226" s="34">
        <f>INDEX(EchoData!B:B, MATCH(Summary!$A226, EchoData!$A:$A, 0))</f>
        <v>222</v>
      </c>
      <c r="C226" s="35">
        <f>INDEX(EchoData!C:C, MATCH(Summary!$A226, EchoData!$A:$A, 0))</f>
        <v>223</v>
      </c>
      <c r="D226" s="42">
        <f>INDEX(Displacements!B:B, MATCH(Summary!$B226, Displacements!$A:$A, 0))</f>
        <v>-6.5</v>
      </c>
      <c r="E226" s="43">
        <f>INDEX(Displacements!C:C, MATCH(Summary!$B226, Displacements!$A:$A, 0))</f>
        <v>0</v>
      </c>
      <c r="F226" s="44">
        <f>INDEX(Displacements!D:D, MATCH(Summary!$B226, Displacements!$A:$A, 0))</f>
        <v>0</v>
      </c>
      <c r="G226" s="42">
        <f>INDEX(Displacements!B:B, MATCH(Summary!$C226, Displacements!$A:$A, 0))</f>
        <v>-6</v>
      </c>
      <c r="H226" s="43">
        <f>INDEX(Displacements!C:C, MATCH(Summary!$C226, Displacements!$A:$A, 0))</f>
        <v>0</v>
      </c>
      <c r="I226" s="44">
        <f>INDEX(Displacements!D:D, MATCH(Summary!$C226, Displacements!$A:$A, 0))</f>
        <v>0</v>
      </c>
      <c r="J226" s="42">
        <f t="shared" si="6"/>
        <v>0.5</v>
      </c>
      <c r="K226" s="49">
        <f t="shared" si="7"/>
        <v>1</v>
      </c>
      <c r="L226" s="54">
        <f>INDEX('Forces+Stresses'!C:C, MATCH(Summary!$A226, 'Forces+Stresses'!$A:$A, 0))</f>
        <v>67.67</v>
      </c>
      <c r="M226" s="55">
        <f>INDEX('Forces+Stresses'!D:D, MATCH(Summary!$A226, 'Forces+Stresses'!$A:$A, 0))</f>
        <v>67.67</v>
      </c>
      <c r="N226" s="55">
        <f>IFERROR(INDEX('Forces+Stresses'!Q:Q, MATCH(Summary!$A226, 'Forces+Stresses'!$A:$A, 0)), INDEX(Flexjoints!D:D, MATCH(Summary!$A226, Flexjoints!$A:$A, 0)))</f>
        <v>1.4430000000000001E-8</v>
      </c>
      <c r="O226" s="56">
        <f>IFERROR(INDEX('Forces+Stresses'!R:R, MATCH(Summary!$A226, 'Forces+Stresses'!$A:$A, 0)), INDEX(Flexjoints!E:E, MATCH(Summary!$A226, Flexjoints!$A:$A, 0)))</f>
        <v>5.088E-7</v>
      </c>
      <c r="P226" s="33" t="str">
        <f>IF(INDEX(Labels!B:B, MATCH(Summary!$A226, Labels!$A:$A, 0)) = 0, "", INDEX(Labels!B:B, MATCH(Summary!$A226, Labels!$A:$A, 0)))</f>
        <v>{Casing Soil String}</v>
      </c>
      <c r="Q226" s="35" t="str">
        <f>IF(INDEX(Labels!C:C, MATCH(Summary!$A226, Labels!$A:$A, 0)) = 0, "", INDEX(Labels!C:C, MATCH(Summary!$A226, Labels!$A:$A, 0)))</f>
        <v>{HP Extension Joint}</v>
      </c>
      <c r="R226" s="33" t="str">
        <f>IF(INDEX(Labels!D:D, MATCH(Summary!$A226, Labels!$A:$A, 0)) = 0, "", INDEX(Labels!D:D, MATCH(Summary!$A226, Labels!$A:$A, 0)))</f>
        <v/>
      </c>
      <c r="S226" s="35" t="str">
        <f>IF(INDEX(Labels!E:E, MATCH(Summary!$A226, Labels!$A:$A, 0)) = 0, "", INDEX(Labels!E:E, MATCH(Summary!$A226, Labels!$A:$A, 0)))</f>
        <v/>
      </c>
      <c r="T226" s="33" t="str">
        <f>IF(INDEX(Labels!F:F, MATCH(Summary!$A226, Labels!$A:$A, 0)) = 0, "", INDEX(Labels!F:F, MATCH(Summary!$A226, Labels!$A:$A, 0)))</f>
        <v/>
      </c>
      <c r="U226" s="35" t="str">
        <f>IF(INDEX(Labels!G:G, MATCH(Summary!$A226, Labels!$A:$A, 0)) = 0, "", INDEX(Labels!G:G, MATCH(Summary!$A226, Labels!$A:$A, 0)))</f>
        <v/>
      </c>
      <c r="V226" s="62" t="str">
        <f>IF(INDEX(Labels!H:H, MATCH(Summary!$A226, Labels!$A:$A, 0)) = 0, "", INDEX(Labels!H:H, MATCH(Summary!$A226, Labels!$A:$A, 0)))</f>
        <v/>
      </c>
      <c r="W226" t="str">
        <f>IF(INDEX(Labels!I:I, MATCH(Summary!$A226, Labels!$A:$A, 0)) = 0, "", INDEX(Labels!I:I, MATCH(Summary!$A226, Labels!$A:$A, 0)))</f>
        <v/>
      </c>
      <c r="X226" t="str">
        <f>IF(INDEX(Labels!J:J, MATCH(Summary!$A226, Labels!$A:$A, 0)) = 0, "", INDEX(Labels!J:J, MATCH(Summary!$A226, Labels!$A:$A, 0)))</f>
        <v/>
      </c>
    </row>
    <row r="227" spans="1:24" x14ac:dyDescent="0.2">
      <c r="A227" s="33">
        <f>Labels!A228</f>
        <v>221</v>
      </c>
      <c r="B227" s="34">
        <f>INDEX(EchoData!B:B, MATCH(Summary!$A227, EchoData!$A:$A, 0))</f>
        <v>223</v>
      </c>
      <c r="C227" s="35">
        <f>INDEX(EchoData!C:C, MATCH(Summary!$A227, EchoData!$A:$A, 0))</f>
        <v>224</v>
      </c>
      <c r="D227" s="42">
        <f>INDEX(Displacements!B:B, MATCH(Summary!$B227, Displacements!$A:$A, 0))</f>
        <v>-6</v>
      </c>
      <c r="E227" s="43">
        <f>INDEX(Displacements!C:C, MATCH(Summary!$B227, Displacements!$A:$A, 0))</f>
        <v>0</v>
      </c>
      <c r="F227" s="44">
        <f>INDEX(Displacements!D:D, MATCH(Summary!$B227, Displacements!$A:$A, 0))</f>
        <v>0</v>
      </c>
      <c r="G227" s="42">
        <f>INDEX(Displacements!B:B, MATCH(Summary!$C227, Displacements!$A:$A, 0))</f>
        <v>-5.5</v>
      </c>
      <c r="H227" s="43">
        <f>INDEX(Displacements!C:C, MATCH(Summary!$C227, Displacements!$A:$A, 0))</f>
        <v>0</v>
      </c>
      <c r="I227" s="44">
        <f>INDEX(Displacements!D:D, MATCH(Summary!$C227, Displacements!$A:$A, 0))</f>
        <v>0</v>
      </c>
      <c r="J227" s="42">
        <f t="shared" si="6"/>
        <v>0.5</v>
      </c>
      <c r="K227" s="49">
        <f t="shared" si="7"/>
        <v>1</v>
      </c>
      <c r="L227" s="54">
        <f>INDEX('Forces+Stresses'!C:C, MATCH(Summary!$A227, 'Forces+Stresses'!$A:$A, 0))</f>
        <v>69.08</v>
      </c>
      <c r="M227" s="55">
        <f>INDEX('Forces+Stresses'!D:D, MATCH(Summary!$A227, 'Forces+Stresses'!$A:$A, 0))</f>
        <v>69.08</v>
      </c>
      <c r="N227" s="55">
        <f>IFERROR(INDEX('Forces+Stresses'!Q:Q, MATCH(Summary!$A227, 'Forces+Stresses'!$A:$A, 0)), INDEX(Flexjoints!D:D, MATCH(Summary!$A227, Flexjoints!$A:$A, 0)))</f>
        <v>1.5449999999999999E-8</v>
      </c>
      <c r="O227" s="56">
        <f>IFERROR(INDEX('Forces+Stresses'!R:R, MATCH(Summary!$A227, 'Forces+Stresses'!$A:$A, 0)), INDEX(Flexjoints!E:E, MATCH(Summary!$A227, Flexjoints!$A:$A, 0)))</f>
        <v>5.4429999999999992E-7</v>
      </c>
      <c r="P227" s="33" t="str">
        <f>IF(INDEX(Labels!B:B, MATCH(Summary!$A227, Labels!$A:$A, 0)) = 0, "", INDEX(Labels!B:B, MATCH(Summary!$A227, Labels!$A:$A, 0)))</f>
        <v>{Casing Soil String}</v>
      </c>
      <c r="Q227" s="35" t="str">
        <f>IF(INDEX(Labels!C:C, MATCH(Summary!$A227, Labels!$A:$A, 0)) = 0, "", INDEX(Labels!C:C, MATCH(Summary!$A227, Labels!$A:$A, 0)))</f>
        <v>{HP Extension Joint}</v>
      </c>
      <c r="R227" s="33" t="str">
        <f>IF(INDEX(Labels!D:D, MATCH(Summary!$A227, Labels!$A:$A, 0)) = 0, "", INDEX(Labels!D:D, MATCH(Summary!$A227, Labels!$A:$A, 0)))</f>
        <v/>
      </c>
      <c r="S227" s="35" t="str">
        <f>IF(INDEX(Labels!E:E, MATCH(Summary!$A227, Labels!$A:$A, 0)) = 0, "", INDEX(Labels!E:E, MATCH(Summary!$A227, Labels!$A:$A, 0)))</f>
        <v/>
      </c>
      <c r="T227" s="33" t="str">
        <f>IF(INDEX(Labels!F:F, MATCH(Summary!$A227, Labels!$A:$A, 0)) = 0, "", INDEX(Labels!F:F, MATCH(Summary!$A227, Labels!$A:$A, 0)))</f>
        <v/>
      </c>
      <c r="U227" s="35" t="str">
        <f>IF(INDEX(Labels!G:G, MATCH(Summary!$A227, Labels!$A:$A, 0)) = 0, "", INDEX(Labels!G:G, MATCH(Summary!$A227, Labels!$A:$A, 0)))</f>
        <v/>
      </c>
      <c r="V227" s="62" t="str">
        <f>IF(INDEX(Labels!H:H, MATCH(Summary!$A227, Labels!$A:$A, 0)) = 0, "", INDEX(Labels!H:H, MATCH(Summary!$A227, Labels!$A:$A, 0)))</f>
        <v/>
      </c>
      <c r="W227" t="str">
        <f>IF(INDEX(Labels!I:I, MATCH(Summary!$A227, Labels!$A:$A, 0)) = 0, "", INDEX(Labels!I:I, MATCH(Summary!$A227, Labels!$A:$A, 0)))</f>
        <v/>
      </c>
      <c r="X227" t="str">
        <f>IF(INDEX(Labels!J:J, MATCH(Summary!$A227, Labels!$A:$A, 0)) = 0, "", INDEX(Labels!J:J, MATCH(Summary!$A227, Labels!$A:$A, 0)))</f>
        <v/>
      </c>
    </row>
    <row r="228" spans="1:24" x14ac:dyDescent="0.2">
      <c r="A228" s="33">
        <f>Labels!A229</f>
        <v>222</v>
      </c>
      <c r="B228" s="34">
        <f>INDEX(EchoData!B:B, MATCH(Summary!$A228, EchoData!$A:$A, 0))</f>
        <v>224</v>
      </c>
      <c r="C228" s="35">
        <f>INDEX(EchoData!C:C, MATCH(Summary!$A228, EchoData!$A:$A, 0))</f>
        <v>225</v>
      </c>
      <c r="D228" s="42">
        <f>INDEX(Displacements!B:B, MATCH(Summary!$B228, Displacements!$A:$A, 0))</f>
        <v>-5.5</v>
      </c>
      <c r="E228" s="43">
        <f>INDEX(Displacements!C:C, MATCH(Summary!$B228, Displacements!$A:$A, 0))</f>
        <v>0</v>
      </c>
      <c r="F228" s="44">
        <f>INDEX(Displacements!D:D, MATCH(Summary!$B228, Displacements!$A:$A, 0))</f>
        <v>0</v>
      </c>
      <c r="G228" s="42">
        <f>INDEX(Displacements!B:B, MATCH(Summary!$C228, Displacements!$A:$A, 0))</f>
        <v>-5</v>
      </c>
      <c r="H228" s="43">
        <f>INDEX(Displacements!C:C, MATCH(Summary!$C228, Displacements!$A:$A, 0))</f>
        <v>0</v>
      </c>
      <c r="I228" s="44">
        <f>INDEX(Displacements!D:D, MATCH(Summary!$C228, Displacements!$A:$A, 0))</f>
        <v>0</v>
      </c>
      <c r="J228" s="42">
        <f t="shared" si="6"/>
        <v>0.5</v>
      </c>
      <c r="K228" s="49">
        <f t="shared" si="7"/>
        <v>1</v>
      </c>
      <c r="L228" s="54">
        <f>INDEX('Forces+Stresses'!C:C, MATCH(Summary!$A228, 'Forces+Stresses'!$A:$A, 0))</f>
        <v>70.489999999999995</v>
      </c>
      <c r="M228" s="55">
        <f>INDEX('Forces+Stresses'!D:D, MATCH(Summary!$A228, 'Forces+Stresses'!$A:$A, 0))</f>
        <v>70.489999999999995</v>
      </c>
      <c r="N228" s="55">
        <f>IFERROR(INDEX('Forces+Stresses'!Q:Q, MATCH(Summary!$A228, 'Forces+Stresses'!$A:$A, 0)), INDEX(Flexjoints!D:D, MATCH(Summary!$A228, Flexjoints!$A:$A, 0)))</f>
        <v>1.686E-8</v>
      </c>
      <c r="O228" s="56">
        <f>IFERROR(INDEX('Forces+Stresses'!R:R, MATCH(Summary!$A228, 'Forces+Stresses'!$A:$A, 0)), INDEX(Flexjoints!E:E, MATCH(Summary!$A228, Flexjoints!$A:$A, 0)))</f>
        <v>5.9060000000000001E-7</v>
      </c>
      <c r="P228" s="33" t="str">
        <f>IF(INDEX(Labels!B:B, MATCH(Summary!$A228, Labels!$A:$A, 0)) = 0, "", INDEX(Labels!B:B, MATCH(Summary!$A228, Labels!$A:$A, 0)))</f>
        <v>{Casing Soil String}</v>
      </c>
      <c r="Q228" s="35" t="str">
        <f>IF(INDEX(Labels!C:C, MATCH(Summary!$A228, Labels!$A:$A, 0)) = 0, "", INDEX(Labels!C:C, MATCH(Summary!$A228, Labels!$A:$A, 0)))</f>
        <v>{HP Extension Joint}</v>
      </c>
      <c r="R228" s="33" t="str">
        <f>IF(INDEX(Labels!D:D, MATCH(Summary!$A228, Labels!$A:$A, 0)) = 0, "", INDEX(Labels!D:D, MATCH(Summary!$A228, Labels!$A:$A, 0)))</f>
        <v/>
      </c>
      <c r="S228" s="35" t="str">
        <f>IF(INDEX(Labels!E:E, MATCH(Summary!$A228, Labels!$A:$A, 0)) = 0, "", INDEX(Labels!E:E, MATCH(Summary!$A228, Labels!$A:$A, 0)))</f>
        <v/>
      </c>
      <c r="T228" s="33" t="str">
        <f>IF(INDEX(Labels!F:F, MATCH(Summary!$A228, Labels!$A:$A, 0)) = 0, "", INDEX(Labels!F:F, MATCH(Summary!$A228, Labels!$A:$A, 0)))</f>
        <v/>
      </c>
      <c r="U228" s="35" t="str">
        <f>IF(INDEX(Labels!G:G, MATCH(Summary!$A228, Labels!$A:$A, 0)) = 0, "", INDEX(Labels!G:G, MATCH(Summary!$A228, Labels!$A:$A, 0)))</f>
        <v/>
      </c>
      <c r="V228" s="62" t="str">
        <f>IF(INDEX(Labels!H:H, MATCH(Summary!$A228, Labels!$A:$A, 0)) = 0, "", INDEX(Labels!H:H, MATCH(Summary!$A228, Labels!$A:$A, 0)))</f>
        <v/>
      </c>
      <c r="W228" t="str">
        <f>IF(INDEX(Labels!I:I, MATCH(Summary!$A228, Labels!$A:$A, 0)) = 0, "", INDEX(Labels!I:I, MATCH(Summary!$A228, Labels!$A:$A, 0)))</f>
        <v/>
      </c>
      <c r="X228" t="str">
        <f>IF(INDEX(Labels!J:J, MATCH(Summary!$A228, Labels!$A:$A, 0)) = 0, "", INDEX(Labels!J:J, MATCH(Summary!$A228, Labels!$A:$A, 0)))</f>
        <v/>
      </c>
    </row>
    <row r="229" spans="1:24" x14ac:dyDescent="0.2">
      <c r="A229" s="33">
        <f>Labels!A230</f>
        <v>223</v>
      </c>
      <c r="B229" s="34">
        <f>INDEX(EchoData!B:B, MATCH(Summary!$A229, EchoData!$A:$A, 0))</f>
        <v>225</v>
      </c>
      <c r="C229" s="35">
        <f>INDEX(EchoData!C:C, MATCH(Summary!$A229, EchoData!$A:$A, 0))</f>
        <v>226</v>
      </c>
      <c r="D229" s="42">
        <f>INDEX(Displacements!B:B, MATCH(Summary!$B229, Displacements!$A:$A, 0))</f>
        <v>-5</v>
      </c>
      <c r="E229" s="43">
        <f>INDEX(Displacements!C:C, MATCH(Summary!$B229, Displacements!$A:$A, 0))</f>
        <v>0</v>
      </c>
      <c r="F229" s="44">
        <f>INDEX(Displacements!D:D, MATCH(Summary!$B229, Displacements!$A:$A, 0))</f>
        <v>0</v>
      </c>
      <c r="G229" s="42">
        <f>INDEX(Displacements!B:B, MATCH(Summary!$C229, Displacements!$A:$A, 0))</f>
        <v>-4.5</v>
      </c>
      <c r="H229" s="43">
        <f>INDEX(Displacements!C:C, MATCH(Summary!$C229, Displacements!$A:$A, 0))</f>
        <v>0</v>
      </c>
      <c r="I229" s="44">
        <f>INDEX(Displacements!D:D, MATCH(Summary!$C229, Displacements!$A:$A, 0))</f>
        <v>0</v>
      </c>
      <c r="J229" s="42">
        <f t="shared" si="6"/>
        <v>0.5</v>
      </c>
      <c r="K229" s="49">
        <f t="shared" si="7"/>
        <v>1</v>
      </c>
      <c r="L229" s="54">
        <f>INDEX('Forces+Stresses'!C:C, MATCH(Summary!$A229, 'Forces+Stresses'!$A:$A, 0))</f>
        <v>71.91</v>
      </c>
      <c r="M229" s="55">
        <f>INDEX('Forces+Stresses'!D:D, MATCH(Summary!$A229, 'Forces+Stresses'!$A:$A, 0))</f>
        <v>71.91</v>
      </c>
      <c r="N229" s="55">
        <f>IFERROR(INDEX('Forces+Stresses'!Q:Q, MATCH(Summary!$A229, 'Forces+Stresses'!$A:$A, 0)), INDEX(Flexjoints!D:D, MATCH(Summary!$A229, Flexjoints!$A:$A, 0)))</f>
        <v>1.9029999999999999E-8</v>
      </c>
      <c r="O229" s="56">
        <f>IFERROR(INDEX('Forces+Stresses'!R:R, MATCH(Summary!$A229, 'Forces+Stresses'!$A:$A, 0)), INDEX(Flexjoints!E:E, MATCH(Summary!$A229, Flexjoints!$A:$A, 0)))</f>
        <v>6.6020000000000005E-7</v>
      </c>
      <c r="P229" s="33" t="str">
        <f>IF(INDEX(Labels!B:B, MATCH(Summary!$A229, Labels!$A:$A, 0)) = 0, "", INDEX(Labels!B:B, MATCH(Summary!$A229, Labels!$A:$A, 0)))</f>
        <v>{Casing Soil String}</v>
      </c>
      <c r="Q229" s="35" t="str">
        <f>IF(INDEX(Labels!C:C, MATCH(Summary!$A229, Labels!$A:$A, 0)) = 0, "", INDEX(Labels!C:C, MATCH(Summary!$A229, Labels!$A:$A, 0)))</f>
        <v>{HP Extension Joint}</v>
      </c>
      <c r="R229" s="33" t="str">
        <f>IF(INDEX(Labels!D:D, MATCH(Summary!$A229, Labels!$A:$A, 0)) = 0, "", INDEX(Labels!D:D, MATCH(Summary!$A229, Labels!$A:$A, 0)))</f>
        <v/>
      </c>
      <c r="S229" s="35" t="str">
        <f>IF(INDEX(Labels!E:E, MATCH(Summary!$A229, Labels!$A:$A, 0)) = 0, "", INDEX(Labels!E:E, MATCH(Summary!$A229, Labels!$A:$A, 0)))</f>
        <v/>
      </c>
      <c r="T229" s="33" t="str">
        <f>IF(INDEX(Labels!F:F, MATCH(Summary!$A229, Labels!$A:$A, 0)) = 0, "", INDEX(Labels!F:F, MATCH(Summary!$A229, Labels!$A:$A, 0)))</f>
        <v/>
      </c>
      <c r="U229" s="35" t="str">
        <f>IF(INDEX(Labels!G:G, MATCH(Summary!$A229, Labels!$A:$A, 0)) = 0, "", INDEX(Labels!G:G, MATCH(Summary!$A229, Labels!$A:$A, 0)))</f>
        <v/>
      </c>
      <c r="V229" s="62" t="str">
        <f>IF(INDEX(Labels!H:H, MATCH(Summary!$A229, Labels!$A:$A, 0)) = 0, "", INDEX(Labels!H:H, MATCH(Summary!$A229, Labels!$A:$A, 0)))</f>
        <v/>
      </c>
      <c r="W229" t="str">
        <f>IF(INDEX(Labels!I:I, MATCH(Summary!$A229, Labels!$A:$A, 0)) = 0, "", INDEX(Labels!I:I, MATCH(Summary!$A229, Labels!$A:$A, 0)))</f>
        <v/>
      </c>
      <c r="X229" t="str">
        <f>IF(INDEX(Labels!J:J, MATCH(Summary!$A229, Labels!$A:$A, 0)) = 0, "", INDEX(Labels!J:J, MATCH(Summary!$A229, Labels!$A:$A, 0)))</f>
        <v/>
      </c>
    </row>
    <row r="230" spans="1:24" x14ac:dyDescent="0.2">
      <c r="A230" s="33">
        <f>Labels!A231</f>
        <v>224</v>
      </c>
      <c r="B230" s="34">
        <f>INDEX(EchoData!B:B, MATCH(Summary!$A230, EchoData!$A:$A, 0))</f>
        <v>226</v>
      </c>
      <c r="C230" s="35">
        <f>INDEX(EchoData!C:C, MATCH(Summary!$A230, EchoData!$A:$A, 0))</f>
        <v>227</v>
      </c>
      <c r="D230" s="42">
        <f>INDEX(Displacements!B:B, MATCH(Summary!$B230, Displacements!$A:$A, 0))</f>
        <v>-4.5</v>
      </c>
      <c r="E230" s="43">
        <f>INDEX(Displacements!C:C, MATCH(Summary!$B230, Displacements!$A:$A, 0))</f>
        <v>0</v>
      </c>
      <c r="F230" s="44">
        <f>INDEX(Displacements!D:D, MATCH(Summary!$B230, Displacements!$A:$A, 0))</f>
        <v>0</v>
      </c>
      <c r="G230" s="42">
        <f>INDEX(Displacements!B:B, MATCH(Summary!$C230, Displacements!$A:$A, 0))</f>
        <v>-4</v>
      </c>
      <c r="H230" s="43">
        <f>INDEX(Displacements!C:C, MATCH(Summary!$C230, Displacements!$A:$A, 0))</f>
        <v>0</v>
      </c>
      <c r="I230" s="44">
        <f>INDEX(Displacements!D:D, MATCH(Summary!$C230, Displacements!$A:$A, 0))</f>
        <v>0</v>
      </c>
      <c r="J230" s="42">
        <f t="shared" si="6"/>
        <v>0.5</v>
      </c>
      <c r="K230" s="49">
        <f t="shared" si="7"/>
        <v>1</v>
      </c>
      <c r="L230" s="54">
        <f>INDEX('Forces+Stresses'!C:C, MATCH(Summary!$A230, 'Forces+Stresses'!$A:$A, 0))</f>
        <v>73.319999999999993</v>
      </c>
      <c r="M230" s="55">
        <f>INDEX('Forces+Stresses'!D:D, MATCH(Summary!$A230, 'Forces+Stresses'!$A:$A, 0))</f>
        <v>73.319999999999993</v>
      </c>
      <c r="N230" s="55">
        <f>IFERROR(INDEX('Forces+Stresses'!Q:Q, MATCH(Summary!$A230, 'Forces+Stresses'!$A:$A, 0)), INDEX(Flexjoints!D:D, MATCH(Summary!$A230, Flexjoints!$A:$A, 0)))</f>
        <v>2.2019999999999998E-8</v>
      </c>
      <c r="O230" s="56">
        <f>IFERROR(INDEX('Forces+Stresses'!R:R, MATCH(Summary!$A230, 'Forces+Stresses'!$A:$A, 0)), INDEX(Flexjoints!E:E, MATCH(Summary!$A230, Flexjoints!$A:$A, 0)))</f>
        <v>7.6079999999999998E-7</v>
      </c>
      <c r="P230" s="33" t="str">
        <f>IF(INDEX(Labels!B:B, MATCH(Summary!$A230, Labels!$A:$A, 0)) = 0, "", INDEX(Labels!B:B, MATCH(Summary!$A230, Labels!$A:$A, 0)))</f>
        <v>{Casing Soil String}</v>
      </c>
      <c r="Q230" s="35" t="str">
        <f>IF(INDEX(Labels!C:C, MATCH(Summary!$A230, Labels!$A:$A, 0)) = 0, "", INDEX(Labels!C:C, MATCH(Summary!$A230, Labels!$A:$A, 0)))</f>
        <v>{HP Extension Joint}</v>
      </c>
      <c r="R230" s="33" t="str">
        <f>IF(INDEX(Labels!D:D, MATCH(Summary!$A230, Labels!$A:$A, 0)) = 0, "", INDEX(Labels!D:D, MATCH(Summary!$A230, Labels!$A:$A, 0)))</f>
        <v/>
      </c>
      <c r="S230" s="35" t="str">
        <f>IF(INDEX(Labels!E:E, MATCH(Summary!$A230, Labels!$A:$A, 0)) = 0, "", INDEX(Labels!E:E, MATCH(Summary!$A230, Labels!$A:$A, 0)))</f>
        <v/>
      </c>
      <c r="T230" s="33" t="str">
        <f>IF(INDEX(Labels!F:F, MATCH(Summary!$A230, Labels!$A:$A, 0)) = 0, "", INDEX(Labels!F:F, MATCH(Summary!$A230, Labels!$A:$A, 0)))</f>
        <v/>
      </c>
      <c r="U230" s="35" t="str">
        <f>IF(INDEX(Labels!G:G, MATCH(Summary!$A230, Labels!$A:$A, 0)) = 0, "", INDEX(Labels!G:G, MATCH(Summary!$A230, Labels!$A:$A, 0)))</f>
        <v/>
      </c>
      <c r="V230" s="62" t="str">
        <f>IF(INDEX(Labels!H:H, MATCH(Summary!$A230, Labels!$A:$A, 0)) = 0, "", INDEX(Labels!H:H, MATCH(Summary!$A230, Labels!$A:$A, 0)))</f>
        <v/>
      </c>
      <c r="W230" t="str">
        <f>IF(INDEX(Labels!I:I, MATCH(Summary!$A230, Labels!$A:$A, 0)) = 0, "", INDEX(Labels!I:I, MATCH(Summary!$A230, Labels!$A:$A, 0)))</f>
        <v/>
      </c>
      <c r="X230" t="str">
        <f>IF(INDEX(Labels!J:J, MATCH(Summary!$A230, Labels!$A:$A, 0)) = 0, "", INDEX(Labels!J:J, MATCH(Summary!$A230, Labels!$A:$A, 0)))</f>
        <v/>
      </c>
    </row>
    <row r="231" spans="1:24" x14ac:dyDescent="0.2">
      <c r="A231" s="33">
        <f>Labels!A232</f>
        <v>225</v>
      </c>
      <c r="B231" s="34">
        <f>INDEX(EchoData!B:B, MATCH(Summary!$A231, EchoData!$A:$A, 0))</f>
        <v>227</v>
      </c>
      <c r="C231" s="35">
        <f>INDEX(EchoData!C:C, MATCH(Summary!$A231, EchoData!$A:$A, 0))</f>
        <v>228</v>
      </c>
      <c r="D231" s="42">
        <f>INDEX(Displacements!B:B, MATCH(Summary!$B231, Displacements!$A:$A, 0))</f>
        <v>-4</v>
      </c>
      <c r="E231" s="43">
        <f>INDEX(Displacements!C:C, MATCH(Summary!$B231, Displacements!$A:$A, 0))</f>
        <v>0</v>
      </c>
      <c r="F231" s="44">
        <f>INDEX(Displacements!D:D, MATCH(Summary!$B231, Displacements!$A:$A, 0))</f>
        <v>0</v>
      </c>
      <c r="G231" s="42">
        <f>INDEX(Displacements!B:B, MATCH(Summary!$C231, Displacements!$A:$A, 0))</f>
        <v>-3.5</v>
      </c>
      <c r="H231" s="43">
        <f>INDEX(Displacements!C:C, MATCH(Summary!$C231, Displacements!$A:$A, 0))</f>
        <v>0</v>
      </c>
      <c r="I231" s="44">
        <f>INDEX(Displacements!D:D, MATCH(Summary!$C231, Displacements!$A:$A, 0))</f>
        <v>0</v>
      </c>
      <c r="J231" s="42">
        <f t="shared" si="6"/>
        <v>0.5</v>
      </c>
      <c r="K231" s="49">
        <f t="shared" si="7"/>
        <v>1</v>
      </c>
      <c r="L231" s="54">
        <f>INDEX('Forces+Stresses'!C:C, MATCH(Summary!$A231, 'Forces+Stresses'!$A:$A, 0))</f>
        <v>74.73</v>
      </c>
      <c r="M231" s="55">
        <f>INDEX('Forces+Stresses'!D:D, MATCH(Summary!$A231, 'Forces+Stresses'!$A:$A, 0))</f>
        <v>74.73</v>
      </c>
      <c r="N231" s="55">
        <f>IFERROR(INDEX('Forces+Stresses'!Q:Q, MATCH(Summary!$A231, 'Forces+Stresses'!$A:$A, 0)), INDEX(Flexjoints!D:D, MATCH(Summary!$A231, Flexjoints!$A:$A, 0)))</f>
        <v>2.459E-8</v>
      </c>
      <c r="O231" s="56">
        <f>IFERROR(INDEX('Forces+Stresses'!R:R, MATCH(Summary!$A231, 'Forces+Stresses'!$A:$A, 0)), INDEX(Flexjoints!E:E, MATCH(Summary!$A231, Flexjoints!$A:$A, 0)))</f>
        <v>8.6580000000000004E-7</v>
      </c>
      <c r="P231" s="33" t="str">
        <f>IF(INDEX(Labels!B:B, MATCH(Summary!$A231, Labels!$A:$A, 0)) = 0, "", INDEX(Labels!B:B, MATCH(Summary!$A231, Labels!$A:$A, 0)))</f>
        <v>{Casing Soil String}</v>
      </c>
      <c r="Q231" s="35" t="str">
        <f>IF(INDEX(Labels!C:C, MATCH(Summary!$A231, Labels!$A:$A, 0)) = 0, "", INDEX(Labels!C:C, MATCH(Summary!$A231, Labels!$A:$A, 0)))</f>
        <v>{HP Extension Joint}</v>
      </c>
      <c r="R231" s="33" t="str">
        <f>IF(INDEX(Labels!D:D, MATCH(Summary!$A231, Labels!$A:$A, 0)) = 0, "", INDEX(Labels!D:D, MATCH(Summary!$A231, Labels!$A:$A, 0)))</f>
        <v/>
      </c>
      <c r="S231" s="35" t="str">
        <f>IF(INDEX(Labels!E:E, MATCH(Summary!$A231, Labels!$A:$A, 0)) = 0, "", INDEX(Labels!E:E, MATCH(Summary!$A231, Labels!$A:$A, 0)))</f>
        <v/>
      </c>
      <c r="T231" s="33" t="str">
        <f>IF(INDEX(Labels!F:F, MATCH(Summary!$A231, Labels!$A:$A, 0)) = 0, "", INDEX(Labels!F:F, MATCH(Summary!$A231, Labels!$A:$A, 0)))</f>
        <v/>
      </c>
      <c r="U231" s="35" t="str">
        <f>IF(INDEX(Labels!G:G, MATCH(Summary!$A231, Labels!$A:$A, 0)) = 0, "", INDEX(Labels!G:G, MATCH(Summary!$A231, Labels!$A:$A, 0)))</f>
        <v/>
      </c>
      <c r="V231" s="62" t="str">
        <f>IF(INDEX(Labels!H:H, MATCH(Summary!$A231, Labels!$A:$A, 0)) = 0, "", INDEX(Labels!H:H, MATCH(Summary!$A231, Labels!$A:$A, 0)))</f>
        <v/>
      </c>
      <c r="W231" t="str">
        <f>IF(INDEX(Labels!I:I, MATCH(Summary!$A231, Labels!$A:$A, 0)) = 0, "", INDEX(Labels!I:I, MATCH(Summary!$A231, Labels!$A:$A, 0)))</f>
        <v/>
      </c>
      <c r="X231" t="str">
        <f>IF(INDEX(Labels!J:J, MATCH(Summary!$A231, Labels!$A:$A, 0)) = 0, "", INDEX(Labels!J:J, MATCH(Summary!$A231, Labels!$A:$A, 0)))</f>
        <v/>
      </c>
    </row>
    <row r="232" spans="1:24" x14ac:dyDescent="0.2">
      <c r="A232" s="33">
        <f>Labels!A233</f>
        <v>226</v>
      </c>
      <c r="B232" s="34">
        <f>INDEX(EchoData!B:B, MATCH(Summary!$A232, EchoData!$A:$A, 0))</f>
        <v>228</v>
      </c>
      <c r="C232" s="35">
        <f>INDEX(EchoData!C:C, MATCH(Summary!$A232, EchoData!$A:$A, 0))</f>
        <v>229</v>
      </c>
      <c r="D232" s="42">
        <f>INDEX(Displacements!B:B, MATCH(Summary!$B232, Displacements!$A:$A, 0))</f>
        <v>-3.5</v>
      </c>
      <c r="E232" s="43">
        <f>INDEX(Displacements!C:C, MATCH(Summary!$B232, Displacements!$A:$A, 0))</f>
        <v>0</v>
      </c>
      <c r="F232" s="44">
        <f>INDEX(Displacements!D:D, MATCH(Summary!$B232, Displacements!$A:$A, 0))</f>
        <v>0</v>
      </c>
      <c r="G232" s="42">
        <f>INDEX(Displacements!B:B, MATCH(Summary!$C232, Displacements!$A:$A, 0))</f>
        <v>-3</v>
      </c>
      <c r="H232" s="43">
        <f>INDEX(Displacements!C:C, MATCH(Summary!$C232, Displacements!$A:$A, 0))</f>
        <v>0</v>
      </c>
      <c r="I232" s="44">
        <f>INDEX(Displacements!D:D, MATCH(Summary!$C232, Displacements!$A:$A, 0))</f>
        <v>0</v>
      </c>
      <c r="J232" s="42">
        <f t="shared" si="6"/>
        <v>0.5</v>
      </c>
      <c r="K232" s="49">
        <f t="shared" si="7"/>
        <v>1</v>
      </c>
      <c r="L232" s="54">
        <f>INDEX('Forces+Stresses'!C:C, MATCH(Summary!$A232, 'Forces+Stresses'!$A:$A, 0))</f>
        <v>76.14</v>
      </c>
      <c r="M232" s="55">
        <f>INDEX('Forces+Stresses'!D:D, MATCH(Summary!$A232, 'Forces+Stresses'!$A:$A, 0))</f>
        <v>76.14</v>
      </c>
      <c r="N232" s="55">
        <f>IFERROR(INDEX('Forces+Stresses'!Q:Q, MATCH(Summary!$A232, 'Forces+Stresses'!$A:$A, 0)), INDEX(Flexjoints!D:D, MATCH(Summary!$A232, Flexjoints!$A:$A, 0)))</f>
        <v>2.2860000000000001E-8</v>
      </c>
      <c r="O232" s="56">
        <f>IFERROR(INDEX('Forces+Stresses'!R:R, MATCH(Summary!$A232, 'Forces+Stresses'!$A:$A, 0)), INDEX(Flexjoints!E:E, MATCH(Summary!$A232, Flexjoints!$A:$A, 0)))</f>
        <v>8.7110000000000001E-7</v>
      </c>
      <c r="P232" s="33" t="str">
        <f>IF(INDEX(Labels!B:B, MATCH(Summary!$A232, Labels!$A:$A, 0)) = 0, "", INDEX(Labels!B:B, MATCH(Summary!$A232, Labels!$A:$A, 0)))</f>
        <v>{Casing Soil String}</v>
      </c>
      <c r="Q232" s="35" t="str">
        <f>IF(INDEX(Labels!C:C, MATCH(Summary!$A232, Labels!$A:$A, 0)) = 0, "", INDEX(Labels!C:C, MATCH(Summary!$A232, Labels!$A:$A, 0)))</f>
        <v>{HP Extension Joint}</v>
      </c>
      <c r="R232" s="33" t="str">
        <f>IF(INDEX(Labels!D:D, MATCH(Summary!$A232, Labels!$A:$A, 0)) = 0, "", INDEX(Labels!D:D, MATCH(Summary!$A232, Labels!$A:$A, 0)))</f>
        <v/>
      </c>
      <c r="S232" s="35" t="str">
        <f>IF(INDEX(Labels!E:E, MATCH(Summary!$A232, Labels!$A:$A, 0)) = 0, "", INDEX(Labels!E:E, MATCH(Summary!$A232, Labels!$A:$A, 0)))</f>
        <v/>
      </c>
      <c r="T232" s="33" t="str">
        <f>IF(INDEX(Labels!F:F, MATCH(Summary!$A232, Labels!$A:$A, 0)) = 0, "", INDEX(Labels!F:F, MATCH(Summary!$A232, Labels!$A:$A, 0)))</f>
        <v/>
      </c>
      <c r="U232" s="35" t="str">
        <f>IF(INDEX(Labels!G:G, MATCH(Summary!$A232, Labels!$A:$A, 0)) = 0, "", INDEX(Labels!G:G, MATCH(Summary!$A232, Labels!$A:$A, 0)))</f>
        <v/>
      </c>
      <c r="V232" s="62" t="str">
        <f>IF(INDEX(Labels!H:H, MATCH(Summary!$A232, Labels!$A:$A, 0)) = 0, "", INDEX(Labels!H:H, MATCH(Summary!$A232, Labels!$A:$A, 0)))</f>
        <v/>
      </c>
      <c r="W232" t="str">
        <f>IF(INDEX(Labels!I:I, MATCH(Summary!$A232, Labels!$A:$A, 0)) = 0, "", INDEX(Labels!I:I, MATCH(Summary!$A232, Labels!$A:$A, 0)))</f>
        <v/>
      </c>
      <c r="X232" t="str">
        <f>IF(INDEX(Labels!J:J, MATCH(Summary!$A232, Labels!$A:$A, 0)) = 0, "", INDEX(Labels!J:J, MATCH(Summary!$A232, Labels!$A:$A, 0)))</f>
        <v/>
      </c>
    </row>
    <row r="233" spans="1:24" x14ac:dyDescent="0.2">
      <c r="A233" s="33">
        <f>Labels!A234</f>
        <v>227</v>
      </c>
      <c r="B233" s="34">
        <f>INDEX(EchoData!B:B, MATCH(Summary!$A233, EchoData!$A:$A, 0))</f>
        <v>229</v>
      </c>
      <c r="C233" s="35">
        <f>INDEX(EchoData!C:C, MATCH(Summary!$A233, EchoData!$A:$A, 0))</f>
        <v>230</v>
      </c>
      <c r="D233" s="42">
        <f>INDEX(Displacements!B:B, MATCH(Summary!$B233, Displacements!$A:$A, 0))</f>
        <v>-3</v>
      </c>
      <c r="E233" s="43">
        <f>INDEX(Displacements!C:C, MATCH(Summary!$B233, Displacements!$A:$A, 0))</f>
        <v>0</v>
      </c>
      <c r="F233" s="44">
        <f>INDEX(Displacements!D:D, MATCH(Summary!$B233, Displacements!$A:$A, 0))</f>
        <v>0</v>
      </c>
      <c r="G233" s="42">
        <f>INDEX(Displacements!B:B, MATCH(Summary!$C233, Displacements!$A:$A, 0))</f>
        <v>-2.5</v>
      </c>
      <c r="H233" s="43">
        <f>INDEX(Displacements!C:C, MATCH(Summary!$C233, Displacements!$A:$A, 0))</f>
        <v>0</v>
      </c>
      <c r="I233" s="44">
        <f>INDEX(Displacements!D:D, MATCH(Summary!$C233, Displacements!$A:$A, 0))</f>
        <v>0</v>
      </c>
      <c r="J233" s="42">
        <f t="shared" si="6"/>
        <v>0.5</v>
      </c>
      <c r="K233" s="49">
        <f t="shared" si="7"/>
        <v>1</v>
      </c>
      <c r="L233" s="54">
        <f>INDEX('Forces+Stresses'!C:C, MATCH(Summary!$A233, 'Forces+Stresses'!$A:$A, 0))</f>
        <v>77.56</v>
      </c>
      <c r="M233" s="55">
        <f>INDEX('Forces+Stresses'!D:D, MATCH(Summary!$A233, 'Forces+Stresses'!$A:$A, 0))</f>
        <v>77.56</v>
      </c>
      <c r="N233" s="55">
        <f>IFERROR(INDEX('Forces+Stresses'!Q:Q, MATCH(Summary!$A233, 'Forces+Stresses'!$A:$A, 0)), INDEX(Flexjoints!D:D, MATCH(Summary!$A233, Flexjoints!$A:$A, 0)))</f>
        <v>2.1200000000000001E-8</v>
      </c>
      <c r="O233" s="56">
        <f>IFERROR(INDEX('Forces+Stresses'!R:R, MATCH(Summary!$A233, 'Forces+Stresses'!$A:$A, 0)), INDEX(Flexjoints!E:E, MATCH(Summary!$A233, Flexjoints!$A:$A, 0)))</f>
        <v>8.7649999999999999E-7</v>
      </c>
      <c r="P233" s="33" t="str">
        <f>IF(INDEX(Labels!B:B, MATCH(Summary!$A233, Labels!$A:$A, 0)) = 0, "", INDEX(Labels!B:B, MATCH(Summary!$A233, Labels!$A:$A, 0)))</f>
        <v>{Casing Soil String}</v>
      </c>
      <c r="Q233" s="35" t="str">
        <f>IF(INDEX(Labels!C:C, MATCH(Summary!$A233, Labels!$A:$A, 0)) = 0, "", INDEX(Labels!C:C, MATCH(Summary!$A233, Labels!$A:$A, 0)))</f>
        <v>{HP Extension Joint}</v>
      </c>
      <c r="R233" s="33" t="str">
        <f>IF(INDEX(Labels!D:D, MATCH(Summary!$A233, Labels!$A:$A, 0)) = 0, "", INDEX(Labels!D:D, MATCH(Summary!$A233, Labels!$A:$A, 0)))</f>
        <v/>
      </c>
      <c r="S233" s="35" t="str">
        <f>IF(INDEX(Labels!E:E, MATCH(Summary!$A233, Labels!$A:$A, 0)) = 0, "", INDEX(Labels!E:E, MATCH(Summary!$A233, Labels!$A:$A, 0)))</f>
        <v/>
      </c>
      <c r="T233" s="33" t="str">
        <f>IF(INDEX(Labels!F:F, MATCH(Summary!$A233, Labels!$A:$A, 0)) = 0, "", INDEX(Labels!F:F, MATCH(Summary!$A233, Labels!$A:$A, 0)))</f>
        <v/>
      </c>
      <c r="U233" s="35" t="str">
        <f>IF(INDEX(Labels!G:G, MATCH(Summary!$A233, Labels!$A:$A, 0)) = 0, "", INDEX(Labels!G:G, MATCH(Summary!$A233, Labels!$A:$A, 0)))</f>
        <v/>
      </c>
      <c r="V233" s="62" t="str">
        <f>IF(INDEX(Labels!H:H, MATCH(Summary!$A233, Labels!$A:$A, 0)) = 0, "", INDEX(Labels!H:H, MATCH(Summary!$A233, Labels!$A:$A, 0)))</f>
        <v/>
      </c>
      <c r="W233" t="str">
        <f>IF(INDEX(Labels!I:I, MATCH(Summary!$A233, Labels!$A:$A, 0)) = 0, "", INDEX(Labels!I:I, MATCH(Summary!$A233, Labels!$A:$A, 0)))</f>
        <v/>
      </c>
      <c r="X233" t="str">
        <f>IF(INDEX(Labels!J:J, MATCH(Summary!$A233, Labels!$A:$A, 0)) = 0, "", INDEX(Labels!J:J, MATCH(Summary!$A233, Labels!$A:$A, 0)))</f>
        <v/>
      </c>
    </row>
    <row r="234" spans="1:24" x14ac:dyDescent="0.2">
      <c r="A234" s="33">
        <f>Labels!A235</f>
        <v>228</v>
      </c>
      <c r="B234" s="34">
        <f>INDEX(EchoData!B:B, MATCH(Summary!$A234, EchoData!$A:$A, 0))</f>
        <v>230</v>
      </c>
      <c r="C234" s="35">
        <f>INDEX(EchoData!C:C, MATCH(Summary!$A234, EchoData!$A:$A, 0))</f>
        <v>231</v>
      </c>
      <c r="D234" s="42">
        <f>INDEX(Displacements!B:B, MATCH(Summary!$B234, Displacements!$A:$A, 0))</f>
        <v>-2.5</v>
      </c>
      <c r="E234" s="43">
        <f>INDEX(Displacements!C:C, MATCH(Summary!$B234, Displacements!$A:$A, 0))</f>
        <v>0</v>
      </c>
      <c r="F234" s="44">
        <f>INDEX(Displacements!D:D, MATCH(Summary!$B234, Displacements!$A:$A, 0))</f>
        <v>0</v>
      </c>
      <c r="G234" s="42">
        <f>INDEX(Displacements!B:B, MATCH(Summary!$C234, Displacements!$A:$A, 0))</f>
        <v>-2</v>
      </c>
      <c r="H234" s="43">
        <f>INDEX(Displacements!C:C, MATCH(Summary!$C234, Displacements!$A:$A, 0))</f>
        <v>0</v>
      </c>
      <c r="I234" s="44">
        <f>INDEX(Displacements!D:D, MATCH(Summary!$C234, Displacements!$A:$A, 0))</f>
        <v>0</v>
      </c>
      <c r="J234" s="42">
        <f t="shared" si="6"/>
        <v>0.5</v>
      </c>
      <c r="K234" s="49">
        <f t="shared" si="7"/>
        <v>1</v>
      </c>
      <c r="L234" s="54">
        <f>INDEX('Forces+Stresses'!C:C, MATCH(Summary!$A234, 'Forces+Stresses'!$A:$A, 0))</f>
        <v>78.97</v>
      </c>
      <c r="M234" s="55">
        <f>INDEX('Forces+Stresses'!D:D, MATCH(Summary!$A234, 'Forces+Stresses'!$A:$A, 0))</f>
        <v>78.97</v>
      </c>
      <c r="N234" s="55">
        <f>IFERROR(INDEX('Forces+Stresses'!Q:Q, MATCH(Summary!$A234, 'Forces+Stresses'!$A:$A, 0)), INDEX(Flexjoints!D:D, MATCH(Summary!$A234, Flexjoints!$A:$A, 0)))</f>
        <v>1.9630000000000001E-8</v>
      </c>
      <c r="O234" s="56">
        <f>IFERROR(INDEX('Forces+Stresses'!R:R, MATCH(Summary!$A234, 'Forces+Stresses'!$A:$A, 0)), INDEX(Flexjoints!E:E, MATCH(Summary!$A234, Flexjoints!$A:$A, 0)))</f>
        <v>8.8209999999999999E-7</v>
      </c>
      <c r="P234" s="33" t="str">
        <f>IF(INDEX(Labels!B:B, MATCH(Summary!$A234, Labels!$A:$A, 0)) = 0, "", INDEX(Labels!B:B, MATCH(Summary!$A234, Labels!$A:$A, 0)))</f>
        <v>{Casing Soil String}</v>
      </c>
      <c r="Q234" s="35" t="str">
        <f>IF(INDEX(Labels!C:C, MATCH(Summary!$A234, Labels!$A:$A, 0)) = 0, "", INDEX(Labels!C:C, MATCH(Summary!$A234, Labels!$A:$A, 0)))</f>
        <v>{HP Extension Joint}</v>
      </c>
      <c r="R234" s="33" t="str">
        <f>IF(INDEX(Labels!D:D, MATCH(Summary!$A234, Labels!$A:$A, 0)) = 0, "", INDEX(Labels!D:D, MATCH(Summary!$A234, Labels!$A:$A, 0)))</f>
        <v/>
      </c>
      <c r="S234" s="35" t="str">
        <f>IF(INDEX(Labels!E:E, MATCH(Summary!$A234, Labels!$A:$A, 0)) = 0, "", INDEX(Labels!E:E, MATCH(Summary!$A234, Labels!$A:$A, 0)))</f>
        <v/>
      </c>
      <c r="T234" s="33" t="str">
        <f>IF(INDEX(Labels!F:F, MATCH(Summary!$A234, Labels!$A:$A, 0)) = 0, "", INDEX(Labels!F:F, MATCH(Summary!$A234, Labels!$A:$A, 0)))</f>
        <v/>
      </c>
      <c r="U234" s="35" t="str">
        <f>IF(INDEX(Labels!G:G, MATCH(Summary!$A234, Labels!$A:$A, 0)) = 0, "", INDEX(Labels!G:G, MATCH(Summary!$A234, Labels!$A:$A, 0)))</f>
        <v/>
      </c>
      <c r="V234" s="62" t="str">
        <f>IF(INDEX(Labels!H:H, MATCH(Summary!$A234, Labels!$A:$A, 0)) = 0, "", INDEX(Labels!H:H, MATCH(Summary!$A234, Labels!$A:$A, 0)))</f>
        <v/>
      </c>
      <c r="W234" t="str">
        <f>IF(INDEX(Labels!I:I, MATCH(Summary!$A234, Labels!$A:$A, 0)) = 0, "", INDEX(Labels!I:I, MATCH(Summary!$A234, Labels!$A:$A, 0)))</f>
        <v/>
      </c>
      <c r="X234" t="str">
        <f>IF(INDEX(Labels!J:J, MATCH(Summary!$A234, Labels!$A:$A, 0)) = 0, "", INDEX(Labels!J:J, MATCH(Summary!$A234, Labels!$A:$A, 0)))</f>
        <v/>
      </c>
    </row>
    <row r="235" spans="1:24" x14ac:dyDescent="0.2">
      <c r="A235" s="33">
        <f>Labels!A236</f>
        <v>229</v>
      </c>
      <c r="B235" s="34">
        <f>INDEX(EchoData!B:B, MATCH(Summary!$A235, EchoData!$A:$A, 0))</f>
        <v>231</v>
      </c>
      <c r="C235" s="35">
        <f>INDEX(EchoData!C:C, MATCH(Summary!$A235, EchoData!$A:$A, 0))</f>
        <v>232</v>
      </c>
      <c r="D235" s="42">
        <f>INDEX(Displacements!B:B, MATCH(Summary!$B235, Displacements!$A:$A, 0))</f>
        <v>-2</v>
      </c>
      <c r="E235" s="43">
        <f>INDEX(Displacements!C:C, MATCH(Summary!$B235, Displacements!$A:$A, 0))</f>
        <v>0</v>
      </c>
      <c r="F235" s="44">
        <f>INDEX(Displacements!D:D, MATCH(Summary!$B235, Displacements!$A:$A, 0))</f>
        <v>0</v>
      </c>
      <c r="G235" s="42">
        <f>INDEX(Displacements!B:B, MATCH(Summary!$C235, Displacements!$A:$A, 0))</f>
        <v>-1.5</v>
      </c>
      <c r="H235" s="43">
        <f>INDEX(Displacements!C:C, MATCH(Summary!$C235, Displacements!$A:$A, 0))</f>
        <v>0</v>
      </c>
      <c r="I235" s="44">
        <f>INDEX(Displacements!D:D, MATCH(Summary!$C235, Displacements!$A:$A, 0))</f>
        <v>0</v>
      </c>
      <c r="J235" s="42">
        <f t="shared" si="6"/>
        <v>0.5</v>
      </c>
      <c r="K235" s="49">
        <f t="shared" si="7"/>
        <v>1</v>
      </c>
      <c r="L235" s="54">
        <f>INDEX('Forces+Stresses'!C:C, MATCH(Summary!$A235, 'Forces+Stresses'!$A:$A, 0))</f>
        <v>80.38</v>
      </c>
      <c r="M235" s="55">
        <f>INDEX('Forces+Stresses'!D:D, MATCH(Summary!$A235, 'Forces+Stresses'!$A:$A, 0))</f>
        <v>80.38</v>
      </c>
      <c r="N235" s="55">
        <f>IFERROR(INDEX('Forces+Stresses'!Q:Q, MATCH(Summary!$A235, 'Forces+Stresses'!$A:$A, 0)), INDEX(Flexjoints!D:D, MATCH(Summary!$A235, Flexjoints!$A:$A, 0)))</f>
        <v>1.8179999999999998E-8</v>
      </c>
      <c r="O235" s="56">
        <f>IFERROR(INDEX('Forces+Stresses'!R:R, MATCH(Summary!$A235, 'Forces+Stresses'!$A:$A, 0)), INDEX(Flexjoints!E:E, MATCH(Summary!$A235, Flexjoints!$A:$A, 0)))</f>
        <v>8.878E-7</v>
      </c>
      <c r="P235" s="33" t="str">
        <f>IF(INDEX(Labels!B:B, MATCH(Summary!$A235, Labels!$A:$A, 0)) = 0, "", INDEX(Labels!B:B, MATCH(Summary!$A235, Labels!$A:$A, 0)))</f>
        <v>{Casing Soil String}</v>
      </c>
      <c r="Q235" s="35" t="str">
        <f>IF(INDEX(Labels!C:C, MATCH(Summary!$A235, Labels!$A:$A, 0)) = 0, "", INDEX(Labels!C:C, MATCH(Summary!$A235, Labels!$A:$A, 0)))</f>
        <v>{HP Extension Joint}</v>
      </c>
      <c r="R235" s="33" t="str">
        <f>IF(INDEX(Labels!D:D, MATCH(Summary!$A235, Labels!$A:$A, 0)) = 0, "", INDEX(Labels!D:D, MATCH(Summary!$A235, Labels!$A:$A, 0)))</f>
        <v/>
      </c>
      <c r="S235" s="35" t="str">
        <f>IF(INDEX(Labels!E:E, MATCH(Summary!$A235, Labels!$A:$A, 0)) = 0, "", INDEX(Labels!E:E, MATCH(Summary!$A235, Labels!$A:$A, 0)))</f>
        <v/>
      </c>
      <c r="T235" s="33" t="str">
        <f>IF(INDEX(Labels!F:F, MATCH(Summary!$A235, Labels!$A:$A, 0)) = 0, "", INDEX(Labels!F:F, MATCH(Summary!$A235, Labels!$A:$A, 0)))</f>
        <v/>
      </c>
      <c r="U235" s="35" t="str">
        <f>IF(INDEX(Labels!G:G, MATCH(Summary!$A235, Labels!$A:$A, 0)) = 0, "", INDEX(Labels!G:G, MATCH(Summary!$A235, Labels!$A:$A, 0)))</f>
        <v/>
      </c>
      <c r="V235" s="62" t="str">
        <f>IF(INDEX(Labels!H:H, MATCH(Summary!$A235, Labels!$A:$A, 0)) = 0, "", INDEX(Labels!H:H, MATCH(Summary!$A235, Labels!$A:$A, 0)))</f>
        <v/>
      </c>
      <c r="W235" t="str">
        <f>IF(INDEX(Labels!I:I, MATCH(Summary!$A235, Labels!$A:$A, 0)) = 0, "", INDEX(Labels!I:I, MATCH(Summary!$A235, Labels!$A:$A, 0)))</f>
        <v/>
      </c>
      <c r="X235" t="str">
        <f>IF(INDEX(Labels!J:J, MATCH(Summary!$A235, Labels!$A:$A, 0)) = 0, "", INDEX(Labels!J:J, MATCH(Summary!$A235, Labels!$A:$A, 0)))</f>
        <v/>
      </c>
    </row>
    <row r="236" spans="1:24" x14ac:dyDescent="0.2">
      <c r="A236" s="33">
        <f>Labels!A237</f>
        <v>230</v>
      </c>
      <c r="B236" s="34">
        <f>INDEX(EchoData!B:B, MATCH(Summary!$A236, EchoData!$A:$A, 0))</f>
        <v>232</v>
      </c>
      <c r="C236" s="35">
        <f>INDEX(EchoData!C:C, MATCH(Summary!$A236, EchoData!$A:$A, 0))</f>
        <v>233</v>
      </c>
      <c r="D236" s="42">
        <f>INDEX(Displacements!B:B, MATCH(Summary!$B236, Displacements!$A:$A, 0))</f>
        <v>-1.5</v>
      </c>
      <c r="E236" s="43">
        <f>INDEX(Displacements!C:C, MATCH(Summary!$B236, Displacements!$A:$A, 0))</f>
        <v>0</v>
      </c>
      <c r="F236" s="44">
        <f>INDEX(Displacements!D:D, MATCH(Summary!$B236, Displacements!$A:$A, 0))</f>
        <v>0</v>
      </c>
      <c r="G236" s="42">
        <f>INDEX(Displacements!B:B, MATCH(Summary!$C236, Displacements!$A:$A, 0))</f>
        <v>-1</v>
      </c>
      <c r="H236" s="43">
        <f>INDEX(Displacements!C:C, MATCH(Summary!$C236, Displacements!$A:$A, 0))</f>
        <v>0</v>
      </c>
      <c r="I236" s="44">
        <f>INDEX(Displacements!D:D, MATCH(Summary!$C236, Displacements!$A:$A, 0))</f>
        <v>0</v>
      </c>
      <c r="J236" s="42">
        <f t="shared" si="6"/>
        <v>0.5</v>
      </c>
      <c r="K236" s="49">
        <f t="shared" si="7"/>
        <v>1</v>
      </c>
      <c r="L236" s="54">
        <f>INDEX('Forces+Stresses'!C:C, MATCH(Summary!$A236, 'Forces+Stresses'!$A:$A, 0))</f>
        <v>81.790000000000006</v>
      </c>
      <c r="M236" s="55">
        <f>INDEX('Forces+Stresses'!D:D, MATCH(Summary!$A236, 'Forces+Stresses'!$A:$A, 0))</f>
        <v>81.790000000000006</v>
      </c>
      <c r="N236" s="55">
        <f>IFERROR(INDEX('Forces+Stresses'!Q:Q, MATCH(Summary!$A236, 'Forces+Stresses'!$A:$A, 0)), INDEX(Flexjoints!D:D, MATCH(Summary!$A236, Flexjoints!$A:$A, 0)))</f>
        <v>1.6869999999999998E-8</v>
      </c>
      <c r="O236" s="56">
        <f>IFERROR(INDEX('Forces+Stresses'!R:R, MATCH(Summary!$A236, 'Forces+Stresses'!$A:$A, 0)), INDEX(Flexjoints!E:E, MATCH(Summary!$A236, Flexjoints!$A:$A, 0)))</f>
        <v>8.9370000000000002E-7</v>
      </c>
      <c r="P236" s="33" t="str">
        <f>IF(INDEX(Labels!B:B, MATCH(Summary!$A236, Labels!$A:$A, 0)) = 0, "", INDEX(Labels!B:B, MATCH(Summary!$A236, Labels!$A:$A, 0)))</f>
        <v>{Casing Soil String}</v>
      </c>
      <c r="Q236" s="35" t="str">
        <f>IF(INDEX(Labels!C:C, MATCH(Summary!$A236, Labels!$A:$A, 0)) = 0, "", INDEX(Labels!C:C, MATCH(Summary!$A236, Labels!$A:$A, 0)))</f>
        <v>{HP Extension Joint}</v>
      </c>
      <c r="R236" s="33" t="str">
        <f>IF(INDEX(Labels!D:D, MATCH(Summary!$A236, Labels!$A:$A, 0)) = 0, "", INDEX(Labels!D:D, MATCH(Summary!$A236, Labels!$A:$A, 0)))</f>
        <v/>
      </c>
      <c r="S236" s="35" t="str">
        <f>IF(INDEX(Labels!E:E, MATCH(Summary!$A236, Labels!$A:$A, 0)) = 0, "", INDEX(Labels!E:E, MATCH(Summary!$A236, Labels!$A:$A, 0)))</f>
        <v/>
      </c>
      <c r="T236" s="33" t="str">
        <f>IF(INDEX(Labels!F:F, MATCH(Summary!$A236, Labels!$A:$A, 0)) = 0, "", INDEX(Labels!F:F, MATCH(Summary!$A236, Labels!$A:$A, 0)))</f>
        <v/>
      </c>
      <c r="U236" s="35" t="str">
        <f>IF(INDEX(Labels!G:G, MATCH(Summary!$A236, Labels!$A:$A, 0)) = 0, "", INDEX(Labels!G:G, MATCH(Summary!$A236, Labels!$A:$A, 0)))</f>
        <v/>
      </c>
      <c r="V236" s="62" t="str">
        <f>IF(INDEX(Labels!H:H, MATCH(Summary!$A236, Labels!$A:$A, 0)) = 0, "", INDEX(Labels!H:H, MATCH(Summary!$A236, Labels!$A:$A, 0)))</f>
        <v/>
      </c>
      <c r="W236" t="str">
        <f>IF(INDEX(Labels!I:I, MATCH(Summary!$A236, Labels!$A:$A, 0)) = 0, "", INDEX(Labels!I:I, MATCH(Summary!$A236, Labels!$A:$A, 0)))</f>
        <v/>
      </c>
      <c r="X236" t="str">
        <f>IF(INDEX(Labels!J:J, MATCH(Summary!$A236, Labels!$A:$A, 0)) = 0, "", INDEX(Labels!J:J, MATCH(Summary!$A236, Labels!$A:$A, 0)))</f>
        <v/>
      </c>
    </row>
    <row r="237" spans="1:24" x14ac:dyDescent="0.2">
      <c r="A237" s="33">
        <f>Labels!A238</f>
        <v>231</v>
      </c>
      <c r="B237" s="34">
        <f>INDEX(EchoData!B:B, MATCH(Summary!$A237, EchoData!$A:$A, 0))</f>
        <v>233</v>
      </c>
      <c r="C237" s="35">
        <f>INDEX(EchoData!C:C, MATCH(Summary!$A237, EchoData!$A:$A, 0))</f>
        <v>234</v>
      </c>
      <c r="D237" s="42">
        <f>INDEX(Displacements!B:B, MATCH(Summary!$B237, Displacements!$A:$A, 0))</f>
        <v>-1</v>
      </c>
      <c r="E237" s="43">
        <f>INDEX(Displacements!C:C, MATCH(Summary!$B237, Displacements!$A:$A, 0))</f>
        <v>0</v>
      </c>
      <c r="F237" s="44">
        <f>INDEX(Displacements!D:D, MATCH(Summary!$B237, Displacements!$A:$A, 0))</f>
        <v>0</v>
      </c>
      <c r="G237" s="42">
        <f>INDEX(Displacements!B:B, MATCH(Summary!$C237, Displacements!$A:$A, 0))</f>
        <v>-0.5</v>
      </c>
      <c r="H237" s="43">
        <f>INDEX(Displacements!C:C, MATCH(Summary!$C237, Displacements!$A:$A, 0))</f>
        <v>0</v>
      </c>
      <c r="I237" s="44">
        <f>INDEX(Displacements!D:D, MATCH(Summary!$C237, Displacements!$A:$A, 0))</f>
        <v>0</v>
      </c>
      <c r="J237" s="42">
        <f t="shared" si="6"/>
        <v>0.5</v>
      </c>
      <c r="K237" s="49">
        <f t="shared" si="7"/>
        <v>1</v>
      </c>
      <c r="L237" s="54">
        <f>INDEX('Forces+Stresses'!C:C, MATCH(Summary!$A237, 'Forces+Stresses'!$A:$A, 0))</f>
        <v>83.21</v>
      </c>
      <c r="M237" s="55">
        <f>INDEX('Forces+Stresses'!D:D, MATCH(Summary!$A237, 'Forces+Stresses'!$A:$A, 0))</f>
        <v>83.21</v>
      </c>
      <c r="N237" s="55">
        <f>IFERROR(INDEX('Forces+Stresses'!Q:Q, MATCH(Summary!$A237, 'Forces+Stresses'!$A:$A, 0)), INDEX(Flexjoints!D:D, MATCH(Summary!$A237, Flexjoints!$A:$A, 0)))</f>
        <v>1.5739999999999997E-8</v>
      </c>
      <c r="O237" s="56">
        <f>IFERROR(INDEX('Forces+Stresses'!R:R, MATCH(Summary!$A237, 'Forces+Stresses'!$A:$A, 0)), INDEX(Flexjoints!E:E, MATCH(Summary!$A237, Flexjoints!$A:$A, 0)))</f>
        <v>8.9970000000000004E-7</v>
      </c>
      <c r="P237" s="33" t="str">
        <f>IF(INDEX(Labels!B:B, MATCH(Summary!$A237, Labels!$A:$A, 0)) = 0, "", INDEX(Labels!B:B, MATCH(Summary!$A237, Labels!$A:$A, 0)))</f>
        <v>{Casing Soil String}</v>
      </c>
      <c r="Q237" s="35" t="str">
        <f>IF(INDEX(Labels!C:C, MATCH(Summary!$A237, Labels!$A:$A, 0)) = 0, "", INDEX(Labels!C:C, MATCH(Summary!$A237, Labels!$A:$A, 0)))</f>
        <v>{HP Extension Joint}</v>
      </c>
      <c r="R237" s="33" t="str">
        <f>IF(INDEX(Labels!D:D, MATCH(Summary!$A237, Labels!$A:$A, 0)) = 0, "", INDEX(Labels!D:D, MATCH(Summary!$A237, Labels!$A:$A, 0)))</f>
        <v/>
      </c>
      <c r="S237" s="35" t="str">
        <f>IF(INDEX(Labels!E:E, MATCH(Summary!$A237, Labels!$A:$A, 0)) = 0, "", INDEX(Labels!E:E, MATCH(Summary!$A237, Labels!$A:$A, 0)))</f>
        <v/>
      </c>
      <c r="T237" s="33" t="str">
        <f>IF(INDEX(Labels!F:F, MATCH(Summary!$A237, Labels!$A:$A, 0)) = 0, "", INDEX(Labels!F:F, MATCH(Summary!$A237, Labels!$A:$A, 0)))</f>
        <v/>
      </c>
      <c r="U237" s="35" t="str">
        <f>IF(INDEX(Labels!G:G, MATCH(Summary!$A237, Labels!$A:$A, 0)) = 0, "", INDEX(Labels!G:G, MATCH(Summary!$A237, Labels!$A:$A, 0)))</f>
        <v/>
      </c>
      <c r="V237" s="62" t="str">
        <f>IF(INDEX(Labels!H:H, MATCH(Summary!$A237, Labels!$A:$A, 0)) = 0, "", INDEX(Labels!H:H, MATCH(Summary!$A237, Labels!$A:$A, 0)))</f>
        <v/>
      </c>
      <c r="W237" t="str">
        <f>IF(INDEX(Labels!I:I, MATCH(Summary!$A237, Labels!$A:$A, 0)) = 0, "", INDEX(Labels!I:I, MATCH(Summary!$A237, Labels!$A:$A, 0)))</f>
        <v/>
      </c>
      <c r="X237" t="str">
        <f>IF(INDEX(Labels!J:J, MATCH(Summary!$A237, Labels!$A:$A, 0)) = 0, "", INDEX(Labels!J:J, MATCH(Summary!$A237, Labels!$A:$A, 0)))</f>
        <v/>
      </c>
    </row>
    <row r="238" spans="1:24" x14ac:dyDescent="0.2">
      <c r="A238" s="33">
        <f>Labels!A239</f>
        <v>232</v>
      </c>
      <c r="B238" s="34">
        <f>INDEX(EchoData!B:B, MATCH(Summary!$A238, EchoData!$A:$A, 0))</f>
        <v>234</v>
      </c>
      <c r="C238" s="35">
        <f>INDEX(EchoData!C:C, MATCH(Summary!$A238, EchoData!$A:$A, 0))</f>
        <v>235</v>
      </c>
      <c r="D238" s="42">
        <f>INDEX(Displacements!B:B, MATCH(Summary!$B238, Displacements!$A:$A, 0))</f>
        <v>-0.5</v>
      </c>
      <c r="E238" s="43">
        <f>INDEX(Displacements!C:C, MATCH(Summary!$B238, Displacements!$A:$A, 0))</f>
        <v>0</v>
      </c>
      <c r="F238" s="44">
        <f>INDEX(Displacements!D:D, MATCH(Summary!$B238, Displacements!$A:$A, 0))</f>
        <v>0</v>
      </c>
      <c r="G238" s="42">
        <f>INDEX(Displacements!B:B, MATCH(Summary!$C238, Displacements!$A:$A, 0))</f>
        <v>-0.249</v>
      </c>
      <c r="H238" s="43">
        <f>INDEX(Displacements!C:C, MATCH(Summary!$C238, Displacements!$A:$A, 0))</f>
        <v>0</v>
      </c>
      <c r="I238" s="44">
        <f>INDEX(Displacements!D:D, MATCH(Summary!$C238, Displacements!$A:$A, 0))</f>
        <v>0</v>
      </c>
      <c r="J238" s="42">
        <f t="shared" si="6"/>
        <v>0.251</v>
      </c>
      <c r="K238" s="49">
        <f t="shared" si="7"/>
        <v>0.502</v>
      </c>
      <c r="L238" s="54">
        <f>INDEX('Forces+Stresses'!C:C, MATCH(Summary!$A238, 'Forces+Stresses'!$A:$A, 0))</f>
        <v>84.62</v>
      </c>
      <c r="M238" s="55">
        <f>INDEX('Forces+Stresses'!D:D, MATCH(Summary!$A238, 'Forces+Stresses'!$A:$A, 0))</f>
        <v>84.62</v>
      </c>
      <c r="N238" s="55">
        <f>IFERROR(INDEX('Forces+Stresses'!Q:Q, MATCH(Summary!$A238, 'Forces+Stresses'!$A:$A, 0)), INDEX(Flexjoints!D:D, MATCH(Summary!$A238, Flexjoints!$A:$A, 0)))</f>
        <v>1.4830000000000001E-8</v>
      </c>
      <c r="O238" s="56">
        <f>IFERROR(INDEX('Forces+Stresses'!R:R, MATCH(Summary!$A238, 'Forces+Stresses'!$A:$A, 0)), INDEX(Flexjoints!E:E, MATCH(Summary!$A238, Flexjoints!$A:$A, 0)))</f>
        <v>9.0599999999999999E-7</v>
      </c>
      <c r="P238" s="33" t="str">
        <f>IF(INDEX(Labels!B:B, MATCH(Summary!$A238, Labels!$A:$A, 0)) = 0, "", INDEX(Labels!B:B, MATCH(Summary!$A238, Labels!$A:$A, 0)))</f>
        <v>{Casing Soil String}</v>
      </c>
      <c r="Q238" s="35" t="str">
        <f>IF(INDEX(Labels!C:C, MATCH(Summary!$A238, Labels!$A:$A, 0)) = 0, "", INDEX(Labels!C:C, MATCH(Summary!$A238, Labels!$A:$A, 0)))</f>
        <v>{HP Extension Joint}</v>
      </c>
      <c r="R238" s="33" t="str">
        <f>IF(INDEX(Labels!D:D, MATCH(Summary!$A238, Labels!$A:$A, 0)) = 0, "", INDEX(Labels!D:D, MATCH(Summary!$A238, Labels!$A:$A, 0)))</f>
        <v/>
      </c>
      <c r="S238" s="35" t="str">
        <f>IF(INDEX(Labels!E:E, MATCH(Summary!$A238, Labels!$A:$A, 0)) = 0, "", INDEX(Labels!E:E, MATCH(Summary!$A238, Labels!$A:$A, 0)))</f>
        <v/>
      </c>
      <c r="T238" s="33" t="str">
        <f>IF(INDEX(Labels!F:F, MATCH(Summary!$A238, Labels!$A:$A, 0)) = 0, "", INDEX(Labels!F:F, MATCH(Summary!$A238, Labels!$A:$A, 0)))</f>
        <v/>
      </c>
      <c r="U238" s="35" t="str">
        <f>IF(INDEX(Labels!G:G, MATCH(Summary!$A238, Labels!$A:$A, 0)) = 0, "", INDEX(Labels!G:G, MATCH(Summary!$A238, Labels!$A:$A, 0)))</f>
        <v/>
      </c>
      <c r="V238" s="62" t="str">
        <f>IF(INDEX(Labels!H:H, MATCH(Summary!$A238, Labels!$A:$A, 0)) = 0, "", INDEX(Labels!H:H, MATCH(Summary!$A238, Labels!$A:$A, 0)))</f>
        <v/>
      </c>
      <c r="W238" t="str">
        <f>IF(INDEX(Labels!I:I, MATCH(Summary!$A238, Labels!$A:$A, 0)) = 0, "", INDEX(Labels!I:I, MATCH(Summary!$A238, Labels!$A:$A, 0)))</f>
        <v/>
      </c>
      <c r="X238" t="str">
        <f>IF(INDEX(Labels!J:J, MATCH(Summary!$A238, Labels!$A:$A, 0)) = 0, "", INDEX(Labels!J:J, MATCH(Summary!$A238, Labels!$A:$A, 0)))</f>
        <v/>
      </c>
    </row>
    <row r="239" spans="1:24" x14ac:dyDescent="0.2">
      <c r="A239" s="33">
        <f>Labels!A240</f>
        <v>233</v>
      </c>
      <c r="B239" s="34">
        <f>INDEX(EchoData!B:B, MATCH(Summary!$A239, EchoData!$A:$A, 0))</f>
        <v>235</v>
      </c>
      <c r="C239" s="35">
        <f>INDEX(EchoData!C:C, MATCH(Summary!$A239, EchoData!$A:$A, 0))</f>
        <v>236</v>
      </c>
      <c r="D239" s="42">
        <f>INDEX(Displacements!B:B, MATCH(Summary!$B239, Displacements!$A:$A, 0))</f>
        <v>-0.249</v>
      </c>
      <c r="E239" s="43">
        <f>INDEX(Displacements!C:C, MATCH(Summary!$B239, Displacements!$A:$A, 0))</f>
        <v>0</v>
      </c>
      <c r="F239" s="44">
        <f>INDEX(Displacements!D:D, MATCH(Summary!$B239, Displacements!$A:$A, 0))</f>
        <v>0</v>
      </c>
      <c r="G239" s="42">
        <f>INDEX(Displacements!B:B, MATCH(Summary!$C239, Displacements!$A:$A, 0))</f>
        <v>-0.1</v>
      </c>
      <c r="H239" s="43">
        <f>INDEX(Displacements!C:C, MATCH(Summary!$C239, Displacements!$A:$A, 0))</f>
        <v>0</v>
      </c>
      <c r="I239" s="44">
        <f>INDEX(Displacements!D:D, MATCH(Summary!$C239, Displacements!$A:$A, 0))</f>
        <v>0</v>
      </c>
      <c r="J239" s="42">
        <f t="shared" si="6"/>
        <v>0.14899999999999999</v>
      </c>
      <c r="K239" s="49">
        <f t="shared" si="7"/>
        <v>0.59362549800796804</v>
      </c>
      <c r="L239" s="54">
        <f>INDEX('Forces+Stresses'!C:C, MATCH(Summary!$A239, 'Forces+Stresses'!$A:$A, 0))</f>
        <v>85.33</v>
      </c>
      <c r="M239" s="55">
        <f>INDEX('Forces+Stresses'!D:D, MATCH(Summary!$A239, 'Forces+Stresses'!$A:$A, 0))</f>
        <v>85.33</v>
      </c>
      <c r="N239" s="55">
        <f>IFERROR(INDEX('Forces+Stresses'!Q:Q, MATCH(Summary!$A239, 'Forces+Stresses'!$A:$A, 0)), INDEX(Flexjoints!D:D, MATCH(Summary!$A239, Flexjoints!$A:$A, 0)))</f>
        <v>1.447E-8</v>
      </c>
      <c r="O239" s="56">
        <f>IFERROR(INDEX('Forces+Stresses'!R:R, MATCH(Summary!$A239, 'Forces+Stresses'!$A:$A, 0)), INDEX(Flexjoints!E:E, MATCH(Summary!$A239, Flexjoints!$A:$A, 0)))</f>
        <v>9.0920000000000002E-7</v>
      </c>
      <c r="P239" s="33" t="str">
        <f>IF(INDEX(Labels!B:B, MATCH(Summary!$A239, Labels!$A:$A, 0)) = 0, "", INDEX(Labels!B:B, MATCH(Summary!$A239, Labels!$A:$A, 0)))</f>
        <v>{Casing Soil String}</v>
      </c>
      <c r="Q239" s="35" t="str">
        <f>IF(INDEX(Labels!C:C, MATCH(Summary!$A239, Labels!$A:$A, 0)) = 0, "", INDEX(Labels!C:C, MATCH(Summary!$A239, Labels!$A:$A, 0)))</f>
        <v>{HP Extension Joint}</v>
      </c>
      <c r="R239" s="33" t="str">
        <f>IF(INDEX(Labels!D:D, MATCH(Summary!$A239, Labels!$A:$A, 0)) = 0, "", INDEX(Labels!D:D, MATCH(Summary!$A239, Labels!$A:$A, 0)))</f>
        <v/>
      </c>
      <c r="S239" s="35" t="str">
        <f>IF(INDEX(Labels!E:E, MATCH(Summary!$A239, Labels!$A:$A, 0)) = 0, "", INDEX(Labels!E:E, MATCH(Summary!$A239, Labels!$A:$A, 0)))</f>
        <v/>
      </c>
      <c r="T239" s="33" t="str">
        <f>IF(INDEX(Labels!F:F, MATCH(Summary!$A239, Labels!$A:$A, 0)) = 0, "", INDEX(Labels!F:F, MATCH(Summary!$A239, Labels!$A:$A, 0)))</f>
        <v/>
      </c>
      <c r="U239" s="35" t="str">
        <f>IF(INDEX(Labels!G:G, MATCH(Summary!$A239, Labels!$A:$A, 0)) = 0, "", INDEX(Labels!G:G, MATCH(Summary!$A239, Labels!$A:$A, 0)))</f>
        <v/>
      </c>
      <c r="V239" s="62" t="str">
        <f>IF(INDEX(Labels!H:H, MATCH(Summary!$A239, Labels!$A:$A, 0)) = 0, "", INDEX(Labels!H:H, MATCH(Summary!$A239, Labels!$A:$A, 0)))</f>
        <v/>
      </c>
      <c r="W239" t="str">
        <f>IF(INDEX(Labels!I:I, MATCH(Summary!$A239, Labels!$A:$A, 0)) = 0, "", INDEX(Labels!I:I, MATCH(Summary!$A239, Labels!$A:$A, 0)))</f>
        <v/>
      </c>
      <c r="X239" t="str">
        <f>IF(INDEX(Labels!J:J, MATCH(Summary!$A239, Labels!$A:$A, 0)) = 0, "", INDEX(Labels!J:J, MATCH(Summary!$A239, Labels!$A:$A, 0)))</f>
        <v/>
      </c>
    </row>
    <row r="240" spans="1:24" x14ac:dyDescent="0.2">
      <c r="A240" s="33">
        <f>Labels!A241</f>
        <v>234</v>
      </c>
      <c r="B240" s="34">
        <f>INDEX(EchoData!B:B, MATCH(Summary!$A240, EchoData!$A:$A, 0))</f>
        <v>236</v>
      </c>
      <c r="C240" s="35">
        <f>INDEX(EchoData!C:C, MATCH(Summary!$A240, EchoData!$A:$A, 0))</f>
        <v>238</v>
      </c>
      <c r="D240" s="42">
        <f>INDEX(Displacements!B:B, MATCH(Summary!$B240, Displacements!$A:$A, 0))</f>
        <v>-0.1</v>
      </c>
      <c r="E240" s="43">
        <f>INDEX(Displacements!C:C, MATCH(Summary!$B240, Displacements!$A:$A, 0))</f>
        <v>0</v>
      </c>
      <c r="F240" s="44">
        <f>INDEX(Displacements!D:D, MATCH(Summary!$B240, Displacements!$A:$A, 0))</f>
        <v>0</v>
      </c>
      <c r="G240" s="42">
        <f>INDEX(Displacements!B:B, MATCH(Summary!$C240, Displacements!$A:$A, 0))</f>
        <v>0</v>
      </c>
      <c r="H240" s="43">
        <f>INDEX(Displacements!C:C, MATCH(Summary!$C240, Displacements!$A:$A, 0))</f>
        <v>0</v>
      </c>
      <c r="I240" s="44">
        <f>INDEX(Displacements!D:D, MATCH(Summary!$C240, Displacements!$A:$A, 0))</f>
        <v>0</v>
      </c>
      <c r="J240" s="42">
        <f t="shared" si="6"/>
        <v>0.1</v>
      </c>
      <c r="K240" s="49">
        <f t="shared" si="7"/>
        <v>0.67114093959731547</v>
      </c>
      <c r="L240" s="54">
        <f>INDEX('Forces+Stresses'!C:C, MATCH(Summary!$A240, 'Forces+Stresses'!$A:$A, 0))</f>
        <v>85.75</v>
      </c>
      <c r="M240" s="55">
        <f>INDEX('Forces+Stresses'!D:D, MATCH(Summary!$A240, 'Forces+Stresses'!$A:$A, 0))</f>
        <v>85.75</v>
      </c>
      <c r="N240" s="55">
        <f>IFERROR(INDEX('Forces+Stresses'!Q:Q, MATCH(Summary!$A240, 'Forces+Stresses'!$A:$A, 0)), INDEX(Flexjoints!D:D, MATCH(Summary!$A240, Flexjoints!$A:$A, 0)))</f>
        <v>1.4290000000000001E-8</v>
      </c>
      <c r="O240" s="56">
        <f>IFERROR(INDEX('Forces+Stresses'!R:R, MATCH(Summary!$A240, 'Forces+Stresses'!$A:$A, 0)), INDEX(Flexjoints!E:E, MATCH(Summary!$A240, Flexjoints!$A:$A, 0)))</f>
        <v>9.1109999999999995E-7</v>
      </c>
      <c r="P240" s="33" t="str">
        <f>IF(INDEX(Labels!B:B, MATCH(Summary!$A240, Labels!$A:$A, 0)) = 0, "", INDEX(Labels!B:B, MATCH(Summary!$A240, Labels!$A:$A, 0)))</f>
        <v>{Casing Soil String}</v>
      </c>
      <c r="Q240" s="35" t="str">
        <f>IF(INDEX(Labels!C:C, MATCH(Summary!$A240, Labels!$A:$A, 0)) = 0, "", INDEX(Labels!C:C, MATCH(Summary!$A240, Labels!$A:$A, 0)))</f>
        <v>{HP Extension Joint}</v>
      </c>
      <c r="R240" s="33" t="str">
        <f>IF(INDEX(Labels!D:D, MATCH(Summary!$A240, Labels!$A:$A, 0)) = 0, "", INDEX(Labels!D:D, MATCH(Summary!$A240, Labels!$A:$A, 0)))</f>
        <v/>
      </c>
      <c r="S240" s="35" t="str">
        <f>IF(INDEX(Labels!E:E, MATCH(Summary!$A240, Labels!$A:$A, 0)) = 0, "", INDEX(Labels!E:E, MATCH(Summary!$A240, Labels!$A:$A, 0)))</f>
        <v>{Casing Soil String_Last}</v>
      </c>
      <c r="T240" s="33" t="str">
        <f>IF(INDEX(Labels!F:F, MATCH(Summary!$A240, Labels!$A:$A, 0)) = 0, "", INDEX(Labels!F:F, MATCH(Summary!$A240, Labels!$A:$A, 0)))</f>
        <v/>
      </c>
      <c r="U240" s="35" t="str">
        <f>IF(INDEX(Labels!G:G, MATCH(Summary!$A240, Labels!$A:$A, 0)) = 0, "", INDEX(Labels!G:G, MATCH(Summary!$A240, Labels!$A:$A, 0)))</f>
        <v>{HP Extension Joint_Last}</v>
      </c>
      <c r="V240" s="62" t="str">
        <f>IF(INDEX(Labels!H:H, MATCH(Summary!$A240, Labels!$A:$A, 0)) = 0, "", INDEX(Labels!H:H, MATCH(Summary!$A240, Labels!$A:$A, 0)))</f>
        <v/>
      </c>
      <c r="W240" t="str">
        <f>IF(INDEX(Labels!I:I, MATCH(Summary!$A240, Labels!$A:$A, 0)) = 0, "", INDEX(Labels!I:I, MATCH(Summary!$A240, Labels!$A:$A, 0)))</f>
        <v/>
      </c>
      <c r="X240" t="str">
        <f>IF(INDEX(Labels!J:J, MATCH(Summary!$A240, Labels!$A:$A, 0)) = 0, "", INDEX(Labels!J:J, MATCH(Summary!$A240, Labels!$A:$A, 0)))</f>
        <v/>
      </c>
    </row>
    <row r="241" spans="1:24" x14ac:dyDescent="0.2">
      <c r="A241" s="33">
        <f>Labels!A242</f>
        <v>235</v>
      </c>
      <c r="B241" s="34">
        <f>INDEX(EchoData!B:B, MATCH(Summary!$A241, EchoData!$A:$A, 0))</f>
        <v>238</v>
      </c>
      <c r="C241" s="35">
        <f>INDEX(EchoData!C:C, MATCH(Summary!$A241, EchoData!$A:$A, 0))</f>
        <v>239</v>
      </c>
      <c r="D241" s="42">
        <f>INDEX(Displacements!B:B, MATCH(Summary!$B241, Displacements!$A:$A, 0))</f>
        <v>0</v>
      </c>
      <c r="E241" s="43">
        <f>INDEX(Displacements!C:C, MATCH(Summary!$B241, Displacements!$A:$A, 0))</f>
        <v>0</v>
      </c>
      <c r="F241" s="44">
        <f>INDEX(Displacements!D:D, MATCH(Summary!$B241, Displacements!$A:$A, 0))</f>
        <v>0</v>
      </c>
      <c r="G241" s="42">
        <f>INDEX(Displacements!B:B, MATCH(Summary!$C241, Displacements!$A:$A, 0))</f>
        <v>0.09</v>
      </c>
      <c r="H241" s="43">
        <f>INDEX(Displacements!C:C, MATCH(Summary!$C241, Displacements!$A:$A, 0))</f>
        <v>0</v>
      </c>
      <c r="I241" s="44">
        <f>INDEX(Displacements!D:D, MATCH(Summary!$C241, Displacements!$A:$A, 0))</f>
        <v>0</v>
      </c>
      <c r="J241" s="42">
        <f t="shared" si="6"/>
        <v>0.09</v>
      </c>
      <c r="K241" s="49" t="str">
        <f t="shared" si="7"/>
        <v>N/A</v>
      </c>
      <c r="L241" s="54">
        <f>INDEX('Forces+Stresses'!C:C, MATCH(Summary!$A241, 'Forces+Stresses'!$A:$A, 0))</f>
        <v>86.03</v>
      </c>
      <c r="M241" s="55">
        <f>INDEX('Forces+Stresses'!D:D, MATCH(Summary!$A241, 'Forces+Stresses'!$A:$A, 0))</f>
        <v>86.03</v>
      </c>
      <c r="N241" s="55">
        <f>IFERROR(INDEX('Forces+Stresses'!Q:Q, MATCH(Summary!$A241, 'Forces+Stresses'!$A:$A, 0)), INDEX(Flexjoints!D:D, MATCH(Summary!$A241, Flexjoints!$A:$A, 0)))</f>
        <v>1.418E-8</v>
      </c>
      <c r="O241" s="56">
        <f>IFERROR(INDEX('Forces+Stresses'!R:R, MATCH(Summary!$A241, 'Forces+Stresses'!$A:$A, 0)), INDEX(Flexjoints!E:E, MATCH(Summary!$A241, Flexjoints!$A:$A, 0)))</f>
        <v>9.1239999999999994E-7</v>
      </c>
      <c r="P241" s="33" t="str">
        <f>IF(INDEX(Labels!B:B, MATCH(Summary!$A241, Labels!$A:$A, 0)) = 0, "", INDEX(Labels!B:B, MATCH(Summary!$A241, Labels!$A:$A, 0)))</f>
        <v>{Casing &amp; HPH Internal String}</v>
      </c>
      <c r="Q241" s="35" t="str">
        <f>IF(INDEX(Labels!C:C, MATCH(Summary!$A241, Labels!$A:$A, 0)) = 0, "", INDEX(Labels!C:C, MATCH(Summary!$A241, Labels!$A:$A, 0)))</f>
        <v>{HP Extension Joint SW}</v>
      </c>
      <c r="R241" s="33" t="str">
        <f>IF(INDEX(Labels!D:D, MATCH(Summary!$A241, Labels!$A:$A, 0)) = 0, "", INDEX(Labels!D:D, MATCH(Summary!$A241, Labels!$A:$A, 0)))</f>
        <v>{Casing &amp; HPH Internal String_First}</v>
      </c>
      <c r="S241" s="35" t="str">
        <f>IF(INDEX(Labels!E:E, MATCH(Summary!$A241, Labels!$A:$A, 0)) = 0, "", INDEX(Labels!E:E, MATCH(Summary!$A241, Labels!$A:$A, 0)))</f>
        <v/>
      </c>
      <c r="T241" s="33" t="str">
        <f>IF(INDEX(Labels!F:F, MATCH(Summary!$A241, Labels!$A:$A, 0)) = 0, "", INDEX(Labels!F:F, MATCH(Summary!$A241, Labels!$A:$A, 0)))</f>
        <v>{HP Extension Joint SW_First}</v>
      </c>
      <c r="U241" s="35" t="str">
        <f>IF(INDEX(Labels!G:G, MATCH(Summary!$A241, Labels!$A:$A, 0)) = 0, "", INDEX(Labels!G:G, MATCH(Summary!$A241, Labels!$A:$A, 0)))</f>
        <v/>
      </c>
      <c r="V241" s="62" t="str">
        <f>IF(INDEX(Labels!H:H, MATCH(Summary!$A241, Labels!$A:$A, 0)) = 0, "", INDEX(Labels!H:H, MATCH(Summary!$A241, Labels!$A:$A, 0)))</f>
        <v/>
      </c>
      <c r="W241" t="str">
        <f>IF(INDEX(Labels!I:I, MATCH(Summary!$A241, Labels!$A:$A, 0)) = 0, "", INDEX(Labels!I:I, MATCH(Summary!$A241, Labels!$A:$A, 0)))</f>
        <v/>
      </c>
      <c r="X241" t="str">
        <f>IF(INDEX(Labels!J:J, MATCH(Summary!$A241, Labels!$A:$A, 0)) = 0, "", INDEX(Labels!J:J, MATCH(Summary!$A241, Labels!$A:$A, 0)))</f>
        <v/>
      </c>
    </row>
    <row r="242" spans="1:24" x14ac:dyDescent="0.2">
      <c r="A242" s="33">
        <f>Labels!A243</f>
        <v>236</v>
      </c>
      <c r="B242" s="34">
        <f>INDEX(EchoData!B:B, MATCH(Summary!$A242, EchoData!$A:$A, 0))</f>
        <v>239</v>
      </c>
      <c r="C242" s="35">
        <f>INDEX(EchoData!C:C, MATCH(Summary!$A242, EchoData!$A:$A, 0))</f>
        <v>240</v>
      </c>
      <c r="D242" s="42">
        <f>INDEX(Displacements!B:B, MATCH(Summary!$B242, Displacements!$A:$A, 0))</f>
        <v>0.09</v>
      </c>
      <c r="E242" s="43">
        <f>INDEX(Displacements!C:C, MATCH(Summary!$B242, Displacements!$A:$A, 0))</f>
        <v>0</v>
      </c>
      <c r="F242" s="44">
        <f>INDEX(Displacements!D:D, MATCH(Summary!$B242, Displacements!$A:$A, 0))</f>
        <v>0</v>
      </c>
      <c r="G242" s="42">
        <f>INDEX(Displacements!B:B, MATCH(Summary!$C242, Displacements!$A:$A, 0))</f>
        <v>0.224</v>
      </c>
      <c r="H242" s="43">
        <f>INDEX(Displacements!C:C, MATCH(Summary!$C242, Displacements!$A:$A, 0))</f>
        <v>0</v>
      </c>
      <c r="I242" s="44">
        <f>INDEX(Displacements!D:D, MATCH(Summary!$C242, Displacements!$A:$A, 0))</f>
        <v>0</v>
      </c>
      <c r="J242" s="42">
        <f t="shared" si="6"/>
        <v>0.13400000000000001</v>
      </c>
      <c r="K242" s="49">
        <f t="shared" si="7"/>
        <v>1.4888888888888889</v>
      </c>
      <c r="L242" s="54">
        <f>INDEX('Forces+Stresses'!C:C, MATCH(Summary!$A242, 'Forces+Stresses'!$A:$A, 0))</f>
        <v>86.29</v>
      </c>
      <c r="M242" s="55">
        <f>INDEX('Forces+Stresses'!D:D, MATCH(Summary!$A242, 'Forces+Stresses'!$A:$A, 0))</f>
        <v>86.29</v>
      </c>
      <c r="N242" s="55">
        <f>IFERROR(INDEX('Forces+Stresses'!Q:Q, MATCH(Summary!$A242, 'Forces+Stresses'!$A:$A, 0)), INDEX(Flexjoints!D:D, MATCH(Summary!$A242, Flexjoints!$A:$A, 0)))</f>
        <v>1.4090000000000001E-8</v>
      </c>
      <c r="O242" s="56">
        <f>IFERROR(INDEX('Forces+Stresses'!R:R, MATCH(Summary!$A242, 'Forces+Stresses'!$A:$A, 0)), INDEX(Flexjoints!E:E, MATCH(Summary!$A242, Flexjoints!$A:$A, 0)))</f>
        <v>9.1360000000000003E-7</v>
      </c>
      <c r="P242" s="33" t="str">
        <f>IF(INDEX(Labels!B:B, MATCH(Summary!$A242, Labels!$A:$A, 0)) = 0, "", INDEX(Labels!B:B, MATCH(Summary!$A242, Labels!$A:$A, 0)))</f>
        <v>{Casing &amp; HPH Internal String}</v>
      </c>
      <c r="Q242" s="35" t="str">
        <f>IF(INDEX(Labels!C:C, MATCH(Summary!$A242, Labels!$A:$A, 0)) = 0, "", INDEX(Labels!C:C, MATCH(Summary!$A242, Labels!$A:$A, 0)))</f>
        <v>{HP Extension Joint SW}</v>
      </c>
      <c r="R242" s="33" t="str">
        <f>IF(INDEX(Labels!D:D, MATCH(Summary!$A242, Labels!$A:$A, 0)) = 0, "", INDEX(Labels!D:D, MATCH(Summary!$A242, Labels!$A:$A, 0)))</f>
        <v/>
      </c>
      <c r="S242" s="35" t="str">
        <f>IF(INDEX(Labels!E:E, MATCH(Summary!$A242, Labels!$A:$A, 0)) = 0, "", INDEX(Labels!E:E, MATCH(Summary!$A242, Labels!$A:$A, 0)))</f>
        <v/>
      </c>
      <c r="T242" s="33" t="str">
        <f>IF(INDEX(Labels!F:F, MATCH(Summary!$A242, Labels!$A:$A, 0)) = 0, "", INDEX(Labels!F:F, MATCH(Summary!$A242, Labels!$A:$A, 0)))</f>
        <v/>
      </c>
      <c r="U242" s="35" t="str">
        <f>IF(INDEX(Labels!G:G, MATCH(Summary!$A242, Labels!$A:$A, 0)) = 0, "", INDEX(Labels!G:G, MATCH(Summary!$A242, Labels!$A:$A, 0)))</f>
        <v/>
      </c>
      <c r="V242" s="62" t="str">
        <f>IF(INDEX(Labels!H:H, MATCH(Summary!$A242, Labels!$A:$A, 0)) = 0, "", INDEX(Labels!H:H, MATCH(Summary!$A242, Labels!$A:$A, 0)))</f>
        <v/>
      </c>
      <c r="W242" t="str">
        <f>IF(INDEX(Labels!I:I, MATCH(Summary!$A242, Labels!$A:$A, 0)) = 0, "", INDEX(Labels!I:I, MATCH(Summary!$A242, Labels!$A:$A, 0)))</f>
        <v/>
      </c>
      <c r="X242" t="str">
        <f>IF(INDEX(Labels!J:J, MATCH(Summary!$A242, Labels!$A:$A, 0)) = 0, "", INDEX(Labels!J:J, MATCH(Summary!$A242, Labels!$A:$A, 0)))</f>
        <v/>
      </c>
    </row>
    <row r="243" spans="1:24" x14ac:dyDescent="0.2">
      <c r="A243" s="33">
        <f>Labels!A244</f>
        <v>237</v>
      </c>
      <c r="B243" s="34">
        <f>INDEX(EchoData!B:B, MATCH(Summary!$A243, EchoData!$A:$A, 0))</f>
        <v>240</v>
      </c>
      <c r="C243" s="35">
        <f>INDEX(EchoData!C:C, MATCH(Summary!$A243, EchoData!$A:$A, 0))</f>
        <v>241</v>
      </c>
      <c r="D243" s="42">
        <f>INDEX(Displacements!B:B, MATCH(Summary!$B243, Displacements!$A:$A, 0))</f>
        <v>0.224</v>
      </c>
      <c r="E243" s="43">
        <f>INDEX(Displacements!C:C, MATCH(Summary!$B243, Displacements!$A:$A, 0))</f>
        <v>0</v>
      </c>
      <c r="F243" s="44">
        <f>INDEX(Displacements!D:D, MATCH(Summary!$B243, Displacements!$A:$A, 0))</f>
        <v>0</v>
      </c>
      <c r="G243" s="42">
        <f>INDEX(Displacements!B:B, MATCH(Summary!$C243, Displacements!$A:$A, 0))</f>
        <v>0.5</v>
      </c>
      <c r="H243" s="43">
        <f>INDEX(Displacements!C:C, MATCH(Summary!$C243, Displacements!$A:$A, 0))</f>
        <v>0</v>
      </c>
      <c r="I243" s="44">
        <f>INDEX(Displacements!D:D, MATCH(Summary!$C243, Displacements!$A:$A, 0))</f>
        <v>0</v>
      </c>
      <c r="J243" s="42">
        <f t="shared" si="6"/>
        <v>0.27600000000000002</v>
      </c>
      <c r="K243" s="49">
        <f t="shared" si="7"/>
        <v>2.0597014925373136</v>
      </c>
      <c r="L243" s="54">
        <f>INDEX('Forces+Stresses'!C:C, MATCH(Summary!$A243, 'Forces+Stresses'!$A:$A, 0))</f>
        <v>86.67</v>
      </c>
      <c r="M243" s="55">
        <f>INDEX('Forces+Stresses'!D:D, MATCH(Summary!$A243, 'Forces+Stresses'!$A:$A, 0))</f>
        <v>86.67</v>
      </c>
      <c r="N243" s="55">
        <f>IFERROR(INDEX('Forces+Stresses'!Q:Q, MATCH(Summary!$A243, 'Forces+Stresses'!$A:$A, 0)), INDEX(Flexjoints!D:D, MATCH(Summary!$A243, Flexjoints!$A:$A, 0)))</f>
        <v>1.398E-8</v>
      </c>
      <c r="O243" s="56">
        <f>IFERROR(INDEX('Forces+Stresses'!R:R, MATCH(Summary!$A243, 'Forces+Stresses'!$A:$A, 0)), INDEX(Flexjoints!E:E, MATCH(Summary!$A243, Flexjoints!$A:$A, 0)))</f>
        <v>9.1529999999999994E-7</v>
      </c>
      <c r="P243" s="33" t="str">
        <f>IF(INDEX(Labels!B:B, MATCH(Summary!$A243, Labels!$A:$A, 0)) = 0, "", INDEX(Labels!B:B, MATCH(Summary!$A243, Labels!$A:$A, 0)))</f>
        <v>{Casing &amp; HPH Internal String}</v>
      </c>
      <c r="Q243" s="35" t="str">
        <f>IF(INDEX(Labels!C:C, MATCH(Summary!$A243, Labels!$A:$A, 0)) = 0, "", INDEX(Labels!C:C, MATCH(Summary!$A243, Labels!$A:$A, 0)))</f>
        <v>{HP Extension Joint SW}</v>
      </c>
      <c r="R243" s="33" t="str">
        <f>IF(INDEX(Labels!D:D, MATCH(Summary!$A243, Labels!$A:$A, 0)) = 0, "", INDEX(Labels!D:D, MATCH(Summary!$A243, Labels!$A:$A, 0)))</f>
        <v/>
      </c>
      <c r="S243" s="35" t="str">
        <f>IF(INDEX(Labels!E:E, MATCH(Summary!$A243, Labels!$A:$A, 0)) = 0, "", INDEX(Labels!E:E, MATCH(Summary!$A243, Labels!$A:$A, 0)))</f>
        <v/>
      </c>
      <c r="T243" s="33" t="str">
        <f>IF(INDEX(Labels!F:F, MATCH(Summary!$A243, Labels!$A:$A, 0)) = 0, "", INDEX(Labels!F:F, MATCH(Summary!$A243, Labels!$A:$A, 0)))</f>
        <v/>
      </c>
      <c r="U243" s="35" t="str">
        <f>IF(INDEX(Labels!G:G, MATCH(Summary!$A243, Labels!$A:$A, 0)) = 0, "", INDEX(Labels!G:G, MATCH(Summary!$A243, Labels!$A:$A, 0)))</f>
        <v/>
      </c>
      <c r="V243" s="62" t="str">
        <f>IF(INDEX(Labels!H:H, MATCH(Summary!$A243, Labels!$A:$A, 0)) = 0, "", INDEX(Labels!H:H, MATCH(Summary!$A243, Labels!$A:$A, 0)))</f>
        <v/>
      </c>
      <c r="W243" t="str">
        <f>IF(INDEX(Labels!I:I, MATCH(Summary!$A243, Labels!$A:$A, 0)) = 0, "", INDEX(Labels!I:I, MATCH(Summary!$A243, Labels!$A:$A, 0)))</f>
        <v/>
      </c>
      <c r="X243" t="str">
        <f>IF(INDEX(Labels!J:J, MATCH(Summary!$A243, Labels!$A:$A, 0)) = 0, "", INDEX(Labels!J:J, MATCH(Summary!$A243, Labels!$A:$A, 0)))</f>
        <v/>
      </c>
    </row>
    <row r="244" spans="1:24" x14ac:dyDescent="0.2">
      <c r="A244" s="33">
        <f>Labels!A245</f>
        <v>238</v>
      </c>
      <c r="B244" s="34">
        <f>INDEX(EchoData!B:B, MATCH(Summary!$A244, EchoData!$A:$A, 0))</f>
        <v>241</v>
      </c>
      <c r="C244" s="35">
        <f>INDEX(EchoData!C:C, MATCH(Summary!$A244, EchoData!$A:$A, 0))</f>
        <v>242</v>
      </c>
      <c r="D244" s="42">
        <f>INDEX(Displacements!B:B, MATCH(Summary!$B244, Displacements!$A:$A, 0))</f>
        <v>0.5</v>
      </c>
      <c r="E244" s="43">
        <f>INDEX(Displacements!C:C, MATCH(Summary!$B244, Displacements!$A:$A, 0))</f>
        <v>0</v>
      </c>
      <c r="F244" s="44">
        <f>INDEX(Displacements!D:D, MATCH(Summary!$B244, Displacements!$A:$A, 0))</f>
        <v>0</v>
      </c>
      <c r="G244" s="42">
        <f>INDEX(Displacements!B:B, MATCH(Summary!$C244, Displacements!$A:$A, 0))</f>
        <v>0.74299999999999999</v>
      </c>
      <c r="H244" s="43">
        <f>INDEX(Displacements!C:C, MATCH(Summary!$C244, Displacements!$A:$A, 0))</f>
        <v>0</v>
      </c>
      <c r="I244" s="44">
        <f>INDEX(Displacements!D:D, MATCH(Summary!$C244, Displacements!$A:$A, 0))</f>
        <v>0</v>
      </c>
      <c r="J244" s="42">
        <f t="shared" si="6"/>
        <v>0.24299999999999999</v>
      </c>
      <c r="K244" s="49">
        <f t="shared" si="7"/>
        <v>0.88043478260869557</v>
      </c>
      <c r="L244" s="54">
        <f>INDEX('Forces+Stresses'!C:C, MATCH(Summary!$A244, 'Forces+Stresses'!$A:$A, 0))</f>
        <v>87.44</v>
      </c>
      <c r="M244" s="55">
        <f>INDEX('Forces+Stresses'!D:D, MATCH(Summary!$A244, 'Forces+Stresses'!$A:$A, 0))</f>
        <v>87.44</v>
      </c>
      <c r="N244" s="55">
        <f>IFERROR(INDEX('Forces+Stresses'!Q:Q, MATCH(Summary!$A244, 'Forces+Stresses'!$A:$A, 0)), INDEX(Flexjoints!D:D, MATCH(Summary!$A244, Flexjoints!$A:$A, 0)))</f>
        <v>1.3819999999999999E-8</v>
      </c>
      <c r="O244" s="56">
        <f>IFERROR(INDEX('Forces+Stresses'!R:R, MATCH(Summary!$A244, 'Forces+Stresses'!$A:$A, 0)), INDEX(Flexjoints!E:E, MATCH(Summary!$A244, Flexjoints!$A:$A, 0)))</f>
        <v>9.1900000000000001E-7</v>
      </c>
      <c r="P244" s="33" t="str">
        <f>IF(INDEX(Labels!B:B, MATCH(Summary!$A244, Labels!$A:$A, 0)) = 0, "", INDEX(Labels!B:B, MATCH(Summary!$A244, Labels!$A:$A, 0)))</f>
        <v>{Casing &amp; HPH Internal String}</v>
      </c>
      <c r="Q244" s="35" t="str">
        <f>IF(INDEX(Labels!C:C, MATCH(Summary!$A244, Labels!$A:$A, 0)) = 0, "", INDEX(Labels!C:C, MATCH(Summary!$A244, Labels!$A:$A, 0)))</f>
        <v>{HP Extension Joint SW}</v>
      </c>
      <c r="R244" s="33" t="str">
        <f>IF(INDEX(Labels!D:D, MATCH(Summary!$A244, Labels!$A:$A, 0)) = 0, "", INDEX(Labels!D:D, MATCH(Summary!$A244, Labels!$A:$A, 0)))</f>
        <v/>
      </c>
      <c r="S244" s="35" t="str">
        <f>IF(INDEX(Labels!E:E, MATCH(Summary!$A244, Labels!$A:$A, 0)) = 0, "", INDEX(Labels!E:E, MATCH(Summary!$A244, Labels!$A:$A, 0)))</f>
        <v/>
      </c>
      <c r="T244" s="33" t="str">
        <f>IF(INDEX(Labels!F:F, MATCH(Summary!$A244, Labels!$A:$A, 0)) = 0, "", INDEX(Labels!F:F, MATCH(Summary!$A244, Labels!$A:$A, 0)))</f>
        <v/>
      </c>
      <c r="U244" s="35" t="str">
        <f>IF(INDEX(Labels!G:G, MATCH(Summary!$A244, Labels!$A:$A, 0)) = 0, "", INDEX(Labels!G:G, MATCH(Summary!$A244, Labels!$A:$A, 0)))</f>
        <v/>
      </c>
      <c r="V244" s="62" t="str">
        <f>IF(INDEX(Labels!H:H, MATCH(Summary!$A244, Labels!$A:$A, 0)) = 0, "", INDEX(Labels!H:H, MATCH(Summary!$A244, Labels!$A:$A, 0)))</f>
        <v/>
      </c>
      <c r="W244" t="str">
        <f>IF(INDEX(Labels!I:I, MATCH(Summary!$A244, Labels!$A:$A, 0)) = 0, "", INDEX(Labels!I:I, MATCH(Summary!$A244, Labels!$A:$A, 0)))</f>
        <v/>
      </c>
      <c r="X244" t="str">
        <f>IF(INDEX(Labels!J:J, MATCH(Summary!$A244, Labels!$A:$A, 0)) = 0, "", INDEX(Labels!J:J, MATCH(Summary!$A244, Labels!$A:$A, 0)))</f>
        <v/>
      </c>
    </row>
    <row r="245" spans="1:24" x14ac:dyDescent="0.2">
      <c r="A245" s="33">
        <f>Labels!A246</f>
        <v>239</v>
      </c>
      <c r="B245" s="34">
        <f>INDEX(EchoData!B:B, MATCH(Summary!$A245, EchoData!$A:$A, 0))</f>
        <v>242</v>
      </c>
      <c r="C245" s="35">
        <f>INDEX(EchoData!C:C, MATCH(Summary!$A245, EchoData!$A:$A, 0))</f>
        <v>243</v>
      </c>
      <c r="D245" s="42">
        <f>INDEX(Displacements!B:B, MATCH(Summary!$B245, Displacements!$A:$A, 0))</f>
        <v>0.74299999999999999</v>
      </c>
      <c r="E245" s="43">
        <f>INDEX(Displacements!C:C, MATCH(Summary!$B245, Displacements!$A:$A, 0))</f>
        <v>0</v>
      </c>
      <c r="F245" s="44">
        <f>INDEX(Displacements!D:D, MATCH(Summary!$B245, Displacements!$A:$A, 0))</f>
        <v>0</v>
      </c>
      <c r="G245" s="42">
        <f>INDEX(Displacements!B:B, MATCH(Summary!$C245, Displacements!$A:$A, 0))</f>
        <v>0.89700000000000002</v>
      </c>
      <c r="H245" s="43">
        <f>INDEX(Displacements!C:C, MATCH(Summary!$C245, Displacements!$A:$A, 0))</f>
        <v>0</v>
      </c>
      <c r="I245" s="44">
        <f>INDEX(Displacements!D:D, MATCH(Summary!$C245, Displacements!$A:$A, 0))</f>
        <v>0</v>
      </c>
      <c r="J245" s="42">
        <f t="shared" si="6"/>
        <v>0.15400000000000003</v>
      </c>
      <c r="K245" s="49">
        <f t="shared" si="7"/>
        <v>0.6337448559670783</v>
      </c>
      <c r="L245" s="54">
        <f>INDEX('Forces+Stresses'!C:C, MATCH(Summary!$A245, 'Forces+Stresses'!$A:$A, 0))</f>
        <v>88.13</v>
      </c>
      <c r="M245" s="55">
        <f>INDEX('Forces+Stresses'!D:D, MATCH(Summary!$A245, 'Forces+Stresses'!$A:$A, 0))</f>
        <v>88.13</v>
      </c>
      <c r="N245" s="55">
        <f>IFERROR(INDEX('Forces+Stresses'!Q:Q, MATCH(Summary!$A245, 'Forces+Stresses'!$A:$A, 0)), INDEX(Flexjoints!D:D, MATCH(Summary!$A245, Flexjoints!$A:$A, 0)))</f>
        <v>1.3750000000000001E-8</v>
      </c>
      <c r="O245" s="56">
        <f>IFERROR(INDEX('Forces+Stresses'!R:R, MATCH(Summary!$A245, 'Forces+Stresses'!$A:$A, 0)), INDEX(Flexjoints!E:E, MATCH(Summary!$A245, Flexjoints!$A:$A, 0)))</f>
        <v>9.2230000000000005E-7</v>
      </c>
      <c r="P245" s="33" t="str">
        <f>IF(INDEX(Labels!B:B, MATCH(Summary!$A245, Labels!$A:$A, 0)) = 0, "", INDEX(Labels!B:B, MATCH(Summary!$A245, Labels!$A:$A, 0)))</f>
        <v>{Casing &amp; HPH Internal String}</v>
      </c>
      <c r="Q245" s="35" t="str">
        <f>IF(INDEX(Labels!C:C, MATCH(Summary!$A245, Labels!$A:$A, 0)) = 0, "", INDEX(Labels!C:C, MATCH(Summary!$A245, Labels!$A:$A, 0)))</f>
        <v>{HP Extension Joint SW}</v>
      </c>
      <c r="R245" s="33" t="str">
        <f>IF(INDEX(Labels!D:D, MATCH(Summary!$A245, Labels!$A:$A, 0)) = 0, "", INDEX(Labels!D:D, MATCH(Summary!$A245, Labels!$A:$A, 0)))</f>
        <v/>
      </c>
      <c r="S245" s="35" t="str">
        <f>IF(INDEX(Labels!E:E, MATCH(Summary!$A245, Labels!$A:$A, 0)) = 0, "", INDEX(Labels!E:E, MATCH(Summary!$A245, Labels!$A:$A, 0)))</f>
        <v/>
      </c>
      <c r="T245" s="33" t="str">
        <f>IF(INDEX(Labels!F:F, MATCH(Summary!$A245, Labels!$A:$A, 0)) = 0, "", INDEX(Labels!F:F, MATCH(Summary!$A245, Labels!$A:$A, 0)))</f>
        <v/>
      </c>
      <c r="U245" s="35" t="str">
        <f>IF(INDEX(Labels!G:G, MATCH(Summary!$A245, Labels!$A:$A, 0)) = 0, "", INDEX(Labels!G:G, MATCH(Summary!$A245, Labels!$A:$A, 0)))</f>
        <v/>
      </c>
      <c r="V245" s="62" t="str">
        <f>IF(INDEX(Labels!H:H, MATCH(Summary!$A245, Labels!$A:$A, 0)) = 0, "", INDEX(Labels!H:H, MATCH(Summary!$A245, Labels!$A:$A, 0)))</f>
        <v/>
      </c>
      <c r="W245" t="str">
        <f>IF(INDEX(Labels!I:I, MATCH(Summary!$A245, Labels!$A:$A, 0)) = 0, "", INDEX(Labels!I:I, MATCH(Summary!$A245, Labels!$A:$A, 0)))</f>
        <v/>
      </c>
      <c r="X245" t="str">
        <f>IF(INDEX(Labels!J:J, MATCH(Summary!$A245, Labels!$A:$A, 0)) = 0, "", INDEX(Labels!J:J, MATCH(Summary!$A245, Labels!$A:$A, 0)))</f>
        <v/>
      </c>
    </row>
    <row r="246" spans="1:24" x14ac:dyDescent="0.2">
      <c r="A246" s="33">
        <f>Labels!A247</f>
        <v>240</v>
      </c>
      <c r="B246" s="34">
        <f>INDEX(EchoData!B:B, MATCH(Summary!$A246, EchoData!$A:$A, 0))</f>
        <v>243</v>
      </c>
      <c r="C246" s="35">
        <f>INDEX(EchoData!C:C, MATCH(Summary!$A246, EchoData!$A:$A, 0))</f>
        <v>244</v>
      </c>
      <c r="D246" s="42">
        <f>INDEX(Displacements!B:B, MATCH(Summary!$B246, Displacements!$A:$A, 0))</f>
        <v>0.89700000000000002</v>
      </c>
      <c r="E246" s="43">
        <f>INDEX(Displacements!C:C, MATCH(Summary!$B246, Displacements!$A:$A, 0))</f>
        <v>0</v>
      </c>
      <c r="F246" s="44">
        <f>INDEX(Displacements!D:D, MATCH(Summary!$B246, Displacements!$A:$A, 0))</f>
        <v>0</v>
      </c>
      <c r="G246" s="42">
        <f>INDEX(Displacements!B:B, MATCH(Summary!$C246, Displacements!$A:$A, 0))</f>
        <v>1</v>
      </c>
      <c r="H246" s="43">
        <f>INDEX(Displacements!C:C, MATCH(Summary!$C246, Displacements!$A:$A, 0))</f>
        <v>0</v>
      </c>
      <c r="I246" s="44">
        <f>INDEX(Displacements!D:D, MATCH(Summary!$C246, Displacements!$A:$A, 0))</f>
        <v>0</v>
      </c>
      <c r="J246" s="42">
        <f t="shared" si="6"/>
        <v>0.10299999999999998</v>
      </c>
      <c r="K246" s="49">
        <f t="shared" si="7"/>
        <v>0.66883116883116855</v>
      </c>
      <c r="L246" s="54">
        <f>INDEX('Forces+Stresses'!C:C, MATCH(Summary!$A246, 'Forces+Stresses'!$A:$A, 0))</f>
        <v>88.57</v>
      </c>
      <c r="M246" s="55">
        <f>INDEX('Forces+Stresses'!D:D, MATCH(Summary!$A246, 'Forces+Stresses'!$A:$A, 0))</f>
        <v>88.57</v>
      </c>
      <c r="N246" s="55">
        <f>IFERROR(INDEX('Forces+Stresses'!Q:Q, MATCH(Summary!$A246, 'Forces+Stresses'!$A:$A, 0)), INDEX(Flexjoints!D:D, MATCH(Summary!$A246, Flexjoints!$A:$A, 0)))</f>
        <v>1.3750000000000001E-8</v>
      </c>
      <c r="O246" s="56">
        <f>IFERROR(INDEX('Forces+Stresses'!R:R, MATCH(Summary!$A246, 'Forces+Stresses'!$A:$A, 0)), INDEX(Flexjoints!E:E, MATCH(Summary!$A246, Flexjoints!$A:$A, 0)))</f>
        <v>9.2439999999999999E-7</v>
      </c>
      <c r="P246" s="33" t="str">
        <f>IF(INDEX(Labels!B:B, MATCH(Summary!$A246, Labels!$A:$A, 0)) = 0, "", INDEX(Labels!B:B, MATCH(Summary!$A246, Labels!$A:$A, 0)))</f>
        <v>{Casing &amp; HPH Internal String}</v>
      </c>
      <c r="Q246" s="35" t="str">
        <f>IF(INDEX(Labels!C:C, MATCH(Summary!$A246, Labels!$A:$A, 0)) = 0, "", INDEX(Labels!C:C, MATCH(Summary!$A246, Labels!$A:$A, 0)))</f>
        <v>{HP Extension Joint SW}</v>
      </c>
      <c r="R246" s="33" t="str">
        <f>IF(INDEX(Labels!D:D, MATCH(Summary!$A246, Labels!$A:$A, 0)) = 0, "", INDEX(Labels!D:D, MATCH(Summary!$A246, Labels!$A:$A, 0)))</f>
        <v/>
      </c>
      <c r="S246" s="35" t="str">
        <f>IF(INDEX(Labels!E:E, MATCH(Summary!$A246, Labels!$A:$A, 0)) = 0, "", INDEX(Labels!E:E, MATCH(Summary!$A246, Labels!$A:$A, 0)))</f>
        <v/>
      </c>
      <c r="T246" s="33" t="str">
        <f>IF(INDEX(Labels!F:F, MATCH(Summary!$A246, Labels!$A:$A, 0)) = 0, "", INDEX(Labels!F:F, MATCH(Summary!$A246, Labels!$A:$A, 0)))</f>
        <v/>
      </c>
      <c r="U246" s="35" t="str">
        <f>IF(INDEX(Labels!G:G, MATCH(Summary!$A246, Labels!$A:$A, 0)) = 0, "", INDEX(Labels!G:G, MATCH(Summary!$A246, Labels!$A:$A, 0)))</f>
        <v/>
      </c>
      <c r="V246" s="62" t="str">
        <f>IF(INDEX(Labels!H:H, MATCH(Summary!$A246, Labels!$A:$A, 0)) = 0, "", INDEX(Labels!H:H, MATCH(Summary!$A246, Labels!$A:$A, 0)))</f>
        <v/>
      </c>
      <c r="W246" t="str">
        <f>IF(INDEX(Labels!I:I, MATCH(Summary!$A246, Labels!$A:$A, 0)) = 0, "", INDEX(Labels!I:I, MATCH(Summary!$A246, Labels!$A:$A, 0)))</f>
        <v/>
      </c>
      <c r="X246" t="str">
        <f>IF(INDEX(Labels!J:J, MATCH(Summary!$A246, Labels!$A:$A, 0)) = 0, "", INDEX(Labels!J:J, MATCH(Summary!$A246, Labels!$A:$A, 0)))</f>
        <v/>
      </c>
    </row>
    <row r="247" spans="1:24" x14ac:dyDescent="0.2">
      <c r="A247" s="33">
        <f>Labels!A248</f>
        <v>241</v>
      </c>
      <c r="B247" s="34">
        <f>INDEX(EchoData!B:B, MATCH(Summary!$A247, EchoData!$A:$A, 0))</f>
        <v>244</v>
      </c>
      <c r="C247" s="35">
        <f>INDEX(EchoData!C:C, MATCH(Summary!$A247, EchoData!$A:$A, 0))</f>
        <v>245</v>
      </c>
      <c r="D247" s="42">
        <f>INDEX(Displacements!B:B, MATCH(Summary!$B247, Displacements!$A:$A, 0))</f>
        <v>1</v>
      </c>
      <c r="E247" s="43">
        <f>INDEX(Displacements!C:C, MATCH(Summary!$B247, Displacements!$A:$A, 0))</f>
        <v>0</v>
      </c>
      <c r="F247" s="44">
        <f>INDEX(Displacements!D:D, MATCH(Summary!$B247, Displacements!$A:$A, 0))</f>
        <v>0</v>
      </c>
      <c r="G247" s="42">
        <f>INDEX(Displacements!B:B, MATCH(Summary!$C247, Displacements!$A:$A, 0))</f>
        <v>1.171</v>
      </c>
      <c r="H247" s="43">
        <f>INDEX(Displacements!C:C, MATCH(Summary!$C247, Displacements!$A:$A, 0))</f>
        <v>0</v>
      </c>
      <c r="I247" s="44">
        <f>INDEX(Displacements!D:D, MATCH(Summary!$C247, Displacements!$A:$A, 0))</f>
        <v>0</v>
      </c>
      <c r="J247" s="42">
        <f t="shared" si="6"/>
        <v>0.17100000000000004</v>
      </c>
      <c r="K247" s="49">
        <f t="shared" si="7"/>
        <v>1.6601941747572824</v>
      </c>
      <c r="L247" s="54">
        <f>INDEX('Forces+Stresses'!C:C, MATCH(Summary!$A247, 'Forces+Stresses'!$A:$A, 0))</f>
        <v>88.86</v>
      </c>
      <c r="M247" s="55">
        <f>INDEX('Forces+Stresses'!D:D, MATCH(Summary!$A247, 'Forces+Stresses'!$A:$A, 0))</f>
        <v>88.86</v>
      </c>
      <c r="N247" s="55">
        <f>IFERROR(INDEX('Forces+Stresses'!Q:Q, MATCH(Summary!$A247, 'Forces+Stresses'!$A:$A, 0)), INDEX(Flexjoints!D:D, MATCH(Summary!$A247, Flexjoints!$A:$A, 0)))</f>
        <v>1.377E-8</v>
      </c>
      <c r="O247" s="56">
        <f>IFERROR(INDEX('Forces+Stresses'!R:R, MATCH(Summary!$A247, 'Forces+Stresses'!$A:$A, 0)), INDEX(Flexjoints!E:E, MATCH(Summary!$A247, Flexjoints!$A:$A, 0)))</f>
        <v>9.259E-7</v>
      </c>
      <c r="P247" s="33" t="str">
        <f>IF(INDEX(Labels!B:B, MATCH(Summary!$A247, Labels!$A:$A, 0)) = 0, "", INDEX(Labels!B:B, MATCH(Summary!$A247, Labels!$A:$A, 0)))</f>
        <v>{Casing &amp; HPH Internal String}</v>
      </c>
      <c r="Q247" s="35" t="str">
        <f>IF(INDEX(Labels!C:C, MATCH(Summary!$A247, Labels!$A:$A, 0)) = 0, "", INDEX(Labels!C:C, MATCH(Summary!$A247, Labels!$A:$A, 0)))</f>
        <v>{HP Extension Joint SW}</v>
      </c>
      <c r="R247" s="33" t="str">
        <f>IF(INDEX(Labels!D:D, MATCH(Summary!$A247, Labels!$A:$A, 0)) = 0, "", INDEX(Labels!D:D, MATCH(Summary!$A247, Labels!$A:$A, 0)))</f>
        <v/>
      </c>
      <c r="S247" s="35" t="str">
        <f>IF(INDEX(Labels!E:E, MATCH(Summary!$A247, Labels!$A:$A, 0)) = 0, "", INDEX(Labels!E:E, MATCH(Summary!$A247, Labels!$A:$A, 0)))</f>
        <v/>
      </c>
      <c r="T247" s="33" t="str">
        <f>IF(INDEX(Labels!F:F, MATCH(Summary!$A247, Labels!$A:$A, 0)) = 0, "", INDEX(Labels!F:F, MATCH(Summary!$A247, Labels!$A:$A, 0)))</f>
        <v/>
      </c>
      <c r="U247" s="35" t="str">
        <f>IF(INDEX(Labels!G:G, MATCH(Summary!$A247, Labels!$A:$A, 0)) = 0, "", INDEX(Labels!G:G, MATCH(Summary!$A247, Labels!$A:$A, 0)))</f>
        <v>{HP Extension Joint SW_Last}</v>
      </c>
      <c r="V247" s="62" t="str">
        <f>IF(INDEX(Labels!H:H, MATCH(Summary!$A247, Labels!$A:$A, 0)) = 0, "", INDEX(Labels!H:H, MATCH(Summary!$A247, Labels!$A:$A, 0)))</f>
        <v/>
      </c>
      <c r="W247" t="str">
        <f>IF(INDEX(Labels!I:I, MATCH(Summary!$A247, Labels!$A:$A, 0)) = 0, "", INDEX(Labels!I:I, MATCH(Summary!$A247, Labels!$A:$A, 0)))</f>
        <v/>
      </c>
      <c r="X247" t="str">
        <f>IF(INDEX(Labels!J:J, MATCH(Summary!$A247, Labels!$A:$A, 0)) = 0, "", INDEX(Labels!J:J, MATCH(Summary!$A247, Labels!$A:$A, 0)))</f>
        <v/>
      </c>
    </row>
    <row r="248" spans="1:24" x14ac:dyDescent="0.2">
      <c r="A248" s="33">
        <f>Labels!A249</f>
        <v>242</v>
      </c>
      <c r="B248" s="34">
        <f>INDEX(EchoData!B:B, MATCH(Summary!$A248, EchoData!$A:$A, 0))</f>
        <v>245</v>
      </c>
      <c r="C248" s="35">
        <f>INDEX(EchoData!C:C, MATCH(Summary!$A248, EchoData!$A:$A, 0))</f>
        <v>246</v>
      </c>
      <c r="D248" s="42">
        <f>INDEX(Displacements!B:B, MATCH(Summary!$B248, Displacements!$A:$A, 0))</f>
        <v>1.171</v>
      </c>
      <c r="E248" s="43">
        <f>INDEX(Displacements!C:C, MATCH(Summary!$B248, Displacements!$A:$A, 0))</f>
        <v>0</v>
      </c>
      <c r="F248" s="44">
        <f>INDEX(Displacements!D:D, MATCH(Summary!$B248, Displacements!$A:$A, 0))</f>
        <v>0</v>
      </c>
      <c r="G248" s="42">
        <f>INDEX(Displacements!B:B, MATCH(Summary!$C248, Displacements!$A:$A, 0))</f>
        <v>1.2709999999999999</v>
      </c>
      <c r="H248" s="43">
        <f>INDEX(Displacements!C:C, MATCH(Summary!$C248, Displacements!$A:$A, 0))</f>
        <v>0</v>
      </c>
      <c r="I248" s="44">
        <f>INDEX(Displacements!D:D, MATCH(Summary!$C248, Displacements!$A:$A, 0))</f>
        <v>0</v>
      </c>
      <c r="J248" s="42">
        <f t="shared" si="6"/>
        <v>9.9999999999999867E-2</v>
      </c>
      <c r="K248" s="49">
        <f t="shared" si="7"/>
        <v>0.58479532163742598</v>
      </c>
      <c r="L248" s="54">
        <f>INDEX('Forces+Stresses'!C:C, MATCH(Summary!$A248, 'Forces+Stresses'!$A:$A, 0))</f>
        <v>89.34</v>
      </c>
      <c r="M248" s="55">
        <f>INDEX('Forces+Stresses'!D:D, MATCH(Summary!$A248, 'Forces+Stresses'!$A:$A, 0))</f>
        <v>89.34</v>
      </c>
      <c r="N248" s="55">
        <f>IFERROR(INDEX('Forces+Stresses'!Q:Q, MATCH(Summary!$A248, 'Forces+Stresses'!$A:$A, 0)), INDEX(Flexjoints!D:D, MATCH(Summary!$A248, Flexjoints!$A:$A, 0)))</f>
        <v>1.3819999999999999E-8</v>
      </c>
      <c r="O248" s="56">
        <f>IFERROR(INDEX('Forces+Stresses'!R:R, MATCH(Summary!$A248, 'Forces+Stresses'!$A:$A, 0)), INDEX(Flexjoints!E:E, MATCH(Summary!$A248, Flexjoints!$A:$A, 0)))</f>
        <v>9.2829999999999997E-7</v>
      </c>
      <c r="P248" s="33" t="str">
        <f>IF(INDEX(Labels!B:B, MATCH(Summary!$A248, Labels!$A:$A, 0)) = 0, "", INDEX(Labels!B:B, MATCH(Summary!$A248, Labels!$A:$A, 0)))</f>
        <v>{Casing &amp; HPH Internal String}</v>
      </c>
      <c r="Q248" s="35" t="str">
        <f>IF(INDEX(Labels!C:C, MATCH(Summary!$A248, Labels!$A:$A, 0)) = 0, "", INDEX(Labels!C:C, MATCH(Summary!$A248, Labels!$A:$A, 0)))</f>
        <v>{HP Housing Internal}</v>
      </c>
      <c r="R248" s="33" t="str">
        <f>IF(INDEX(Labels!D:D, MATCH(Summary!$A248, Labels!$A:$A, 0)) = 0, "", INDEX(Labels!D:D, MATCH(Summary!$A248, Labels!$A:$A, 0)))</f>
        <v/>
      </c>
      <c r="S248" s="35" t="str">
        <f>IF(INDEX(Labels!E:E, MATCH(Summary!$A248, Labels!$A:$A, 0)) = 0, "", INDEX(Labels!E:E, MATCH(Summary!$A248, Labels!$A:$A, 0)))</f>
        <v/>
      </c>
      <c r="T248" s="33" t="str">
        <f>IF(INDEX(Labels!F:F, MATCH(Summary!$A248, Labels!$A:$A, 0)) = 0, "", INDEX(Labels!F:F, MATCH(Summary!$A248, Labels!$A:$A, 0)))</f>
        <v>{HP Housing Internal_First}</v>
      </c>
      <c r="U248" s="35" t="str">
        <f>IF(INDEX(Labels!G:G, MATCH(Summary!$A248, Labels!$A:$A, 0)) = 0, "", INDEX(Labels!G:G, MATCH(Summary!$A248, Labels!$A:$A, 0)))</f>
        <v/>
      </c>
      <c r="V248" s="62" t="str">
        <f>IF(INDEX(Labels!H:H, MATCH(Summary!$A248, Labels!$A:$A, 0)) = 0, "", INDEX(Labels!H:H, MATCH(Summary!$A248, Labels!$A:$A, 0)))</f>
        <v>{HPH_Lower_Equiv_Pt_Before}</v>
      </c>
      <c r="W248" t="str">
        <f>IF(INDEX(Labels!I:I, MATCH(Summary!$A248, Labels!$A:$A, 0)) = 0, "", INDEX(Labels!I:I, MATCH(Summary!$A248, Labels!$A:$A, 0)))</f>
        <v/>
      </c>
      <c r="X248" t="str">
        <f>IF(INDEX(Labels!J:J, MATCH(Summary!$A248, Labels!$A:$A, 0)) = 0, "", INDEX(Labels!J:J, MATCH(Summary!$A248, Labels!$A:$A, 0)))</f>
        <v/>
      </c>
    </row>
    <row r="249" spans="1:24" x14ac:dyDescent="0.2">
      <c r="A249" s="33">
        <f>Labels!A250</f>
        <v>243</v>
      </c>
      <c r="B249" s="34">
        <f>INDEX(EchoData!B:B, MATCH(Summary!$A249, EchoData!$A:$A, 0))</f>
        <v>246</v>
      </c>
      <c r="C249" s="35">
        <f>INDEX(EchoData!C:C, MATCH(Summary!$A249, EchoData!$A:$A, 0))</f>
        <v>247</v>
      </c>
      <c r="D249" s="42">
        <f>INDEX(Displacements!B:B, MATCH(Summary!$B249, Displacements!$A:$A, 0))</f>
        <v>1.2709999999999999</v>
      </c>
      <c r="E249" s="43">
        <f>INDEX(Displacements!C:C, MATCH(Summary!$B249, Displacements!$A:$A, 0))</f>
        <v>0</v>
      </c>
      <c r="F249" s="44">
        <f>INDEX(Displacements!D:D, MATCH(Summary!$B249, Displacements!$A:$A, 0))</f>
        <v>0</v>
      </c>
      <c r="G249" s="42">
        <f>INDEX(Displacements!B:B, MATCH(Summary!$C249, Displacements!$A:$A, 0))</f>
        <v>1.3939999999999999</v>
      </c>
      <c r="H249" s="43">
        <f>INDEX(Displacements!C:C, MATCH(Summary!$C249, Displacements!$A:$A, 0))</f>
        <v>0</v>
      </c>
      <c r="I249" s="44">
        <f>INDEX(Displacements!D:D, MATCH(Summary!$C249, Displacements!$A:$A, 0))</f>
        <v>0</v>
      </c>
      <c r="J249" s="42">
        <f t="shared" si="6"/>
        <v>0.123</v>
      </c>
      <c r="K249" s="49">
        <f t="shared" si="7"/>
        <v>1.2300000000000015</v>
      </c>
      <c r="L249" s="54">
        <f>INDEX('Forces+Stresses'!C:C, MATCH(Summary!$A249, 'Forces+Stresses'!$A:$A, 0))</f>
        <v>-2901</v>
      </c>
      <c r="M249" s="55">
        <f>INDEX('Forces+Stresses'!D:D, MATCH(Summary!$A249, 'Forces+Stresses'!$A:$A, 0))</f>
        <v>-2901</v>
      </c>
      <c r="N249" s="55">
        <f>IFERROR(INDEX('Forces+Stresses'!Q:Q, MATCH(Summary!$A249, 'Forces+Stresses'!$A:$A, 0)), INDEX(Flexjoints!D:D, MATCH(Summary!$A249, Flexjoints!$A:$A, 0)))</f>
        <v>8.6600000000000008E-8</v>
      </c>
      <c r="O249" s="56">
        <f>IFERROR(INDEX('Forces+Stresses'!R:R, MATCH(Summary!$A249, 'Forces+Stresses'!$A:$A, 0)), INDEX(Flexjoints!E:E, MATCH(Summary!$A249, Flexjoints!$A:$A, 0)))</f>
        <v>5.096E-6</v>
      </c>
      <c r="P249" s="33" t="str">
        <f>IF(INDEX(Labels!B:B, MATCH(Summary!$A249, Labels!$A:$A, 0)) = 0, "", INDEX(Labels!B:B, MATCH(Summary!$A249, Labels!$A:$A, 0)))</f>
        <v>{Casing &amp; HPH Internal String}</v>
      </c>
      <c r="Q249" s="35" t="str">
        <f>IF(INDEX(Labels!C:C, MATCH(Summary!$A249, Labels!$A:$A, 0)) = 0, "", INDEX(Labels!C:C, MATCH(Summary!$A249, Labels!$A:$A, 0)))</f>
        <v>{HP Housing Internal}</v>
      </c>
      <c r="R249" s="33" t="str">
        <f>IF(INDEX(Labels!D:D, MATCH(Summary!$A249, Labels!$A:$A, 0)) = 0, "", INDEX(Labels!D:D, MATCH(Summary!$A249, Labels!$A:$A, 0)))</f>
        <v/>
      </c>
      <c r="S249" s="35" t="str">
        <f>IF(INDEX(Labels!E:E, MATCH(Summary!$A249, Labels!$A:$A, 0)) = 0, "", INDEX(Labels!E:E, MATCH(Summary!$A249, Labels!$A:$A, 0)))</f>
        <v/>
      </c>
      <c r="T249" s="33" t="str">
        <f>IF(INDEX(Labels!F:F, MATCH(Summary!$A249, Labels!$A:$A, 0)) = 0, "", INDEX(Labels!F:F, MATCH(Summary!$A249, Labels!$A:$A, 0)))</f>
        <v/>
      </c>
      <c r="U249" s="35" t="str">
        <f>IF(INDEX(Labels!G:G, MATCH(Summary!$A249, Labels!$A:$A, 0)) = 0, "", INDEX(Labels!G:G, MATCH(Summary!$A249, Labels!$A:$A, 0)))</f>
        <v/>
      </c>
      <c r="V249" s="62" t="str">
        <f>IF(INDEX(Labels!H:H, MATCH(Summary!$A249, Labels!$A:$A, 0)) = 0, "", INDEX(Labels!H:H, MATCH(Summary!$A249, Labels!$A:$A, 0)))</f>
        <v>{HPH_Lower_Equiv_Pt_After}</v>
      </c>
      <c r="W249" t="str">
        <f>IF(INDEX(Labels!I:I, MATCH(Summary!$A249, Labels!$A:$A, 0)) = 0, "", INDEX(Labels!I:I, MATCH(Summary!$A249, Labels!$A:$A, 0)))</f>
        <v/>
      </c>
      <c r="X249" t="str">
        <f>IF(INDEX(Labels!J:J, MATCH(Summary!$A249, Labels!$A:$A, 0)) = 0, "", INDEX(Labels!J:J, MATCH(Summary!$A249, Labels!$A:$A, 0)))</f>
        <v/>
      </c>
    </row>
    <row r="250" spans="1:24" x14ac:dyDescent="0.2">
      <c r="A250" s="33">
        <f>Labels!A251</f>
        <v>244</v>
      </c>
      <c r="B250" s="34">
        <f>INDEX(EchoData!B:B, MATCH(Summary!$A250, EchoData!$A:$A, 0))</f>
        <v>247</v>
      </c>
      <c r="C250" s="35">
        <f>INDEX(EchoData!C:C, MATCH(Summary!$A250, EchoData!$A:$A, 0))</f>
        <v>248</v>
      </c>
      <c r="D250" s="42">
        <f>INDEX(Displacements!B:B, MATCH(Summary!$B250, Displacements!$A:$A, 0))</f>
        <v>1.3939999999999999</v>
      </c>
      <c r="E250" s="43">
        <f>INDEX(Displacements!C:C, MATCH(Summary!$B250, Displacements!$A:$A, 0))</f>
        <v>0</v>
      </c>
      <c r="F250" s="44">
        <f>INDEX(Displacements!D:D, MATCH(Summary!$B250, Displacements!$A:$A, 0))</f>
        <v>0</v>
      </c>
      <c r="G250" s="42">
        <f>INDEX(Displacements!B:B, MATCH(Summary!$C250, Displacements!$A:$A, 0))</f>
        <v>1.579</v>
      </c>
      <c r="H250" s="43">
        <f>INDEX(Displacements!C:C, MATCH(Summary!$C250, Displacements!$A:$A, 0))</f>
        <v>0</v>
      </c>
      <c r="I250" s="44">
        <f>INDEX(Displacements!D:D, MATCH(Summary!$C250, Displacements!$A:$A, 0))</f>
        <v>0</v>
      </c>
      <c r="J250" s="42">
        <f t="shared" si="6"/>
        <v>0.18500000000000005</v>
      </c>
      <c r="K250" s="49">
        <f t="shared" si="7"/>
        <v>1.504065040650407</v>
      </c>
      <c r="L250" s="54">
        <f>INDEX('Forces+Stresses'!C:C, MATCH(Summary!$A250, 'Forces+Stresses'!$A:$A, 0))</f>
        <v>-2900</v>
      </c>
      <c r="M250" s="55">
        <f>INDEX('Forces+Stresses'!D:D, MATCH(Summary!$A250, 'Forces+Stresses'!$A:$A, 0))</f>
        <v>-2900</v>
      </c>
      <c r="N250" s="55">
        <f>IFERROR(INDEX('Forces+Stresses'!Q:Q, MATCH(Summary!$A250, 'Forces+Stresses'!$A:$A, 0)), INDEX(Flexjoints!D:D, MATCH(Summary!$A250, Flexjoints!$A:$A, 0)))</f>
        <v>8.8780000000000005E-8</v>
      </c>
      <c r="O250" s="56">
        <f>IFERROR(INDEX('Forces+Stresses'!R:R, MATCH(Summary!$A250, 'Forces+Stresses'!$A:$A, 0)), INDEX(Flexjoints!E:E, MATCH(Summary!$A250, Flexjoints!$A:$A, 0)))</f>
        <v>5.0250000000000002E-6</v>
      </c>
      <c r="P250" s="33" t="str">
        <f>IF(INDEX(Labels!B:B, MATCH(Summary!$A250, Labels!$A:$A, 0)) = 0, "", INDEX(Labels!B:B, MATCH(Summary!$A250, Labels!$A:$A, 0)))</f>
        <v>{Casing &amp; HPH Internal String}</v>
      </c>
      <c r="Q250" s="35" t="str">
        <f>IF(INDEX(Labels!C:C, MATCH(Summary!$A250, Labels!$A:$A, 0)) = 0, "", INDEX(Labels!C:C, MATCH(Summary!$A250, Labels!$A:$A, 0)))</f>
        <v>{HP Housing Internal}</v>
      </c>
      <c r="R250" s="33" t="str">
        <f>IF(INDEX(Labels!D:D, MATCH(Summary!$A250, Labels!$A:$A, 0)) = 0, "", INDEX(Labels!D:D, MATCH(Summary!$A250, Labels!$A:$A, 0)))</f>
        <v/>
      </c>
      <c r="S250" s="35" t="str">
        <f>IF(INDEX(Labels!E:E, MATCH(Summary!$A250, Labels!$A:$A, 0)) = 0, "", INDEX(Labels!E:E, MATCH(Summary!$A250, Labels!$A:$A, 0)))</f>
        <v/>
      </c>
      <c r="T250" s="33" t="str">
        <f>IF(INDEX(Labels!F:F, MATCH(Summary!$A250, Labels!$A:$A, 0)) = 0, "", INDEX(Labels!F:F, MATCH(Summary!$A250, Labels!$A:$A, 0)))</f>
        <v/>
      </c>
      <c r="U250" s="35" t="str">
        <f>IF(INDEX(Labels!G:G, MATCH(Summary!$A250, Labels!$A:$A, 0)) = 0, "", INDEX(Labels!G:G, MATCH(Summary!$A250, Labels!$A:$A, 0)))</f>
        <v/>
      </c>
      <c r="V250" s="62" t="str">
        <f>IF(INDEX(Labels!H:H, MATCH(Summary!$A250, Labels!$A:$A, 0)) = 0, "", INDEX(Labels!H:H, MATCH(Summary!$A250, Labels!$A:$A, 0)))</f>
        <v/>
      </c>
      <c r="W250" t="str">
        <f>IF(INDEX(Labels!I:I, MATCH(Summary!$A250, Labels!$A:$A, 0)) = 0, "", INDEX(Labels!I:I, MATCH(Summary!$A250, Labels!$A:$A, 0)))</f>
        <v/>
      </c>
      <c r="X250" t="str">
        <f>IF(INDEX(Labels!J:J, MATCH(Summary!$A250, Labels!$A:$A, 0)) = 0, "", INDEX(Labels!J:J, MATCH(Summary!$A250, Labels!$A:$A, 0)))</f>
        <v/>
      </c>
    </row>
    <row r="251" spans="1:24" x14ac:dyDescent="0.2">
      <c r="A251" s="33">
        <f>Labels!A252</f>
        <v>245</v>
      </c>
      <c r="B251" s="34">
        <f>INDEX(EchoData!B:B, MATCH(Summary!$A251, EchoData!$A:$A, 0))</f>
        <v>248</v>
      </c>
      <c r="C251" s="35">
        <f>INDEX(EchoData!C:C, MATCH(Summary!$A251, EchoData!$A:$A, 0))</f>
        <v>249</v>
      </c>
      <c r="D251" s="42">
        <f>INDEX(Displacements!B:B, MATCH(Summary!$B251, Displacements!$A:$A, 0))</f>
        <v>1.579</v>
      </c>
      <c r="E251" s="43">
        <f>INDEX(Displacements!C:C, MATCH(Summary!$B251, Displacements!$A:$A, 0))</f>
        <v>0</v>
      </c>
      <c r="F251" s="44">
        <f>INDEX(Displacements!D:D, MATCH(Summary!$B251, Displacements!$A:$A, 0))</f>
        <v>0</v>
      </c>
      <c r="G251" s="42">
        <f>INDEX(Displacements!B:B, MATCH(Summary!$C251, Displacements!$A:$A, 0))</f>
        <v>1.764</v>
      </c>
      <c r="H251" s="43">
        <f>INDEX(Displacements!C:C, MATCH(Summary!$C251, Displacements!$A:$A, 0))</f>
        <v>0</v>
      </c>
      <c r="I251" s="44">
        <f>INDEX(Displacements!D:D, MATCH(Summary!$C251, Displacements!$A:$A, 0))</f>
        <v>0</v>
      </c>
      <c r="J251" s="42">
        <f t="shared" si="6"/>
        <v>0.18500000000000005</v>
      </c>
      <c r="K251" s="49">
        <f t="shared" si="7"/>
        <v>1</v>
      </c>
      <c r="L251" s="54">
        <f>INDEX('Forces+Stresses'!C:C, MATCH(Summary!$A251, 'Forces+Stresses'!$A:$A, 0))</f>
        <v>-2898</v>
      </c>
      <c r="M251" s="55">
        <f>INDEX('Forces+Stresses'!D:D, MATCH(Summary!$A251, 'Forces+Stresses'!$A:$A, 0))</f>
        <v>-2898</v>
      </c>
      <c r="N251" s="55">
        <f>IFERROR(INDEX('Forces+Stresses'!Q:Q, MATCH(Summary!$A251, 'Forces+Stresses'!$A:$A, 0)), INDEX(Flexjoints!D:D, MATCH(Summary!$A251, Flexjoints!$A:$A, 0)))</f>
        <v>8.0509999999999998E-8</v>
      </c>
      <c r="O251" s="56">
        <f>IFERROR(INDEX('Forces+Stresses'!R:R, MATCH(Summary!$A251, 'Forces+Stresses'!$A:$A, 0)), INDEX(Flexjoints!E:E, MATCH(Summary!$A251, Flexjoints!$A:$A, 0)))</f>
        <v>4.9199999999999995E-6</v>
      </c>
      <c r="P251" s="33" t="str">
        <f>IF(INDEX(Labels!B:B, MATCH(Summary!$A251, Labels!$A:$A, 0)) = 0, "", INDEX(Labels!B:B, MATCH(Summary!$A251, Labels!$A:$A, 0)))</f>
        <v>{Casing &amp; HPH Internal String}</v>
      </c>
      <c r="Q251" s="35" t="str">
        <f>IF(INDEX(Labels!C:C, MATCH(Summary!$A251, Labels!$A:$A, 0)) = 0, "", INDEX(Labels!C:C, MATCH(Summary!$A251, Labels!$A:$A, 0)))</f>
        <v>{HP Housing Internal}</v>
      </c>
      <c r="R251" s="33" t="str">
        <f>IF(INDEX(Labels!D:D, MATCH(Summary!$A251, Labels!$A:$A, 0)) = 0, "", INDEX(Labels!D:D, MATCH(Summary!$A251, Labels!$A:$A, 0)))</f>
        <v/>
      </c>
      <c r="S251" s="35" t="str">
        <f>IF(INDEX(Labels!E:E, MATCH(Summary!$A251, Labels!$A:$A, 0)) = 0, "", INDEX(Labels!E:E, MATCH(Summary!$A251, Labels!$A:$A, 0)))</f>
        <v/>
      </c>
      <c r="T251" s="33" t="str">
        <f>IF(INDEX(Labels!F:F, MATCH(Summary!$A251, Labels!$A:$A, 0)) = 0, "", INDEX(Labels!F:F, MATCH(Summary!$A251, Labels!$A:$A, 0)))</f>
        <v/>
      </c>
      <c r="U251" s="35" t="str">
        <f>IF(INDEX(Labels!G:G, MATCH(Summary!$A251, Labels!$A:$A, 0)) = 0, "", INDEX(Labels!G:G, MATCH(Summary!$A251, Labels!$A:$A, 0)))</f>
        <v/>
      </c>
      <c r="V251" s="62" t="str">
        <f>IF(INDEX(Labels!H:H, MATCH(Summary!$A251, Labels!$A:$A, 0)) = 0, "", INDEX(Labels!H:H, MATCH(Summary!$A251, Labels!$A:$A, 0)))</f>
        <v/>
      </c>
      <c r="W251" t="str">
        <f>IF(INDEX(Labels!I:I, MATCH(Summary!$A251, Labels!$A:$A, 0)) = 0, "", INDEX(Labels!I:I, MATCH(Summary!$A251, Labels!$A:$A, 0)))</f>
        <v/>
      </c>
      <c r="X251" t="str">
        <f>IF(INDEX(Labels!J:J, MATCH(Summary!$A251, Labels!$A:$A, 0)) = 0, "", INDEX(Labels!J:J, MATCH(Summary!$A251, Labels!$A:$A, 0)))</f>
        <v/>
      </c>
    </row>
    <row r="252" spans="1:24" x14ac:dyDescent="0.2">
      <c r="A252" s="33">
        <f>Labels!A253</f>
        <v>246</v>
      </c>
      <c r="B252" s="34">
        <f>INDEX(EchoData!B:B, MATCH(Summary!$A252, EchoData!$A:$A, 0))</f>
        <v>249</v>
      </c>
      <c r="C252" s="35">
        <f>INDEX(EchoData!C:C, MATCH(Summary!$A252, EchoData!$A:$A, 0))</f>
        <v>250</v>
      </c>
      <c r="D252" s="42">
        <f>INDEX(Displacements!B:B, MATCH(Summary!$B252, Displacements!$A:$A, 0))</f>
        <v>1.764</v>
      </c>
      <c r="E252" s="43">
        <f>INDEX(Displacements!C:C, MATCH(Summary!$B252, Displacements!$A:$A, 0))</f>
        <v>0</v>
      </c>
      <c r="F252" s="44">
        <f>INDEX(Displacements!D:D, MATCH(Summary!$B252, Displacements!$A:$A, 0))</f>
        <v>0</v>
      </c>
      <c r="G252" s="42">
        <f>INDEX(Displacements!B:B, MATCH(Summary!$C252, Displacements!$A:$A, 0))</f>
        <v>1.9059999999999999</v>
      </c>
      <c r="H252" s="43">
        <f>INDEX(Displacements!C:C, MATCH(Summary!$C252, Displacements!$A:$A, 0))</f>
        <v>0</v>
      </c>
      <c r="I252" s="44">
        <f>INDEX(Displacements!D:D, MATCH(Summary!$C252, Displacements!$A:$A, 0))</f>
        <v>0</v>
      </c>
      <c r="J252" s="42">
        <f t="shared" si="6"/>
        <v>0.1419999999999999</v>
      </c>
      <c r="K252" s="49">
        <f t="shared" si="7"/>
        <v>0.76756756756756683</v>
      </c>
      <c r="L252" s="54">
        <f>INDEX('Forces+Stresses'!C:C, MATCH(Summary!$A252, 'Forces+Stresses'!$A:$A, 0))</f>
        <v>-2896</v>
      </c>
      <c r="M252" s="55">
        <f>INDEX('Forces+Stresses'!D:D, MATCH(Summary!$A252, 'Forces+Stresses'!$A:$A, 0))</f>
        <v>-2896</v>
      </c>
      <c r="N252" s="55">
        <f>IFERROR(INDEX('Forces+Stresses'!Q:Q, MATCH(Summary!$A252, 'Forces+Stresses'!$A:$A, 0)), INDEX(Flexjoints!D:D, MATCH(Summary!$A252, Flexjoints!$A:$A, 0)))</f>
        <v>7.0799999999999999E-8</v>
      </c>
      <c r="O252" s="56">
        <f>IFERROR(INDEX('Forces+Stresses'!R:R, MATCH(Summary!$A252, 'Forces+Stresses'!$A:$A, 0)), INDEX(Flexjoints!E:E, MATCH(Summary!$A252, Flexjoints!$A:$A, 0)))</f>
        <v>4.814E-6</v>
      </c>
      <c r="P252" s="33" t="str">
        <f>IF(INDEX(Labels!B:B, MATCH(Summary!$A252, Labels!$A:$A, 0)) = 0, "", INDEX(Labels!B:B, MATCH(Summary!$A252, Labels!$A:$A, 0)))</f>
        <v>{Casing &amp; HPH Internal String}</v>
      </c>
      <c r="Q252" s="35" t="str">
        <f>IF(INDEX(Labels!C:C, MATCH(Summary!$A252, Labels!$A:$A, 0)) = 0, "", INDEX(Labels!C:C, MATCH(Summary!$A252, Labels!$A:$A, 0)))</f>
        <v>{HP Housing Internal}</v>
      </c>
      <c r="R252" s="33" t="str">
        <f>IF(INDEX(Labels!D:D, MATCH(Summary!$A252, Labels!$A:$A, 0)) = 0, "", INDEX(Labels!D:D, MATCH(Summary!$A252, Labels!$A:$A, 0)))</f>
        <v/>
      </c>
      <c r="S252" s="35" t="str">
        <f>IF(INDEX(Labels!E:E, MATCH(Summary!$A252, Labels!$A:$A, 0)) = 0, "", INDEX(Labels!E:E, MATCH(Summary!$A252, Labels!$A:$A, 0)))</f>
        <v/>
      </c>
      <c r="T252" s="33" t="str">
        <f>IF(INDEX(Labels!F:F, MATCH(Summary!$A252, Labels!$A:$A, 0)) = 0, "", INDEX(Labels!F:F, MATCH(Summary!$A252, Labels!$A:$A, 0)))</f>
        <v/>
      </c>
      <c r="U252" s="35" t="str">
        <f>IF(INDEX(Labels!G:G, MATCH(Summary!$A252, Labels!$A:$A, 0)) = 0, "", INDEX(Labels!G:G, MATCH(Summary!$A252, Labels!$A:$A, 0)))</f>
        <v/>
      </c>
      <c r="V252" s="62" t="str">
        <f>IF(INDEX(Labels!H:H, MATCH(Summary!$A252, Labels!$A:$A, 0)) = 0, "", INDEX(Labels!H:H, MATCH(Summary!$A252, Labels!$A:$A, 0)))</f>
        <v/>
      </c>
      <c r="W252" t="str">
        <f>IF(INDEX(Labels!I:I, MATCH(Summary!$A252, Labels!$A:$A, 0)) = 0, "", INDEX(Labels!I:I, MATCH(Summary!$A252, Labels!$A:$A, 0)))</f>
        <v/>
      </c>
      <c r="X252" t="str">
        <f>IF(INDEX(Labels!J:J, MATCH(Summary!$A252, Labels!$A:$A, 0)) = 0, "", INDEX(Labels!J:J, MATCH(Summary!$A252, Labels!$A:$A, 0)))</f>
        <v/>
      </c>
    </row>
    <row r="253" spans="1:24" x14ac:dyDescent="0.2">
      <c r="A253" s="33">
        <f>Labels!A254</f>
        <v>247</v>
      </c>
      <c r="B253" s="34">
        <f>INDEX(EchoData!B:B, MATCH(Summary!$A253, EchoData!$A:$A, 0))</f>
        <v>250</v>
      </c>
      <c r="C253" s="35">
        <f>INDEX(EchoData!C:C, MATCH(Summary!$A253, EchoData!$A:$A, 0))</f>
        <v>253</v>
      </c>
      <c r="D253" s="42">
        <f>INDEX(Displacements!B:B, MATCH(Summary!$B253, Displacements!$A:$A, 0))</f>
        <v>1.9059999999999999</v>
      </c>
      <c r="E253" s="43">
        <f>INDEX(Displacements!C:C, MATCH(Summary!$B253, Displacements!$A:$A, 0))</f>
        <v>0</v>
      </c>
      <c r="F253" s="44">
        <f>INDEX(Displacements!D:D, MATCH(Summary!$B253, Displacements!$A:$A, 0))</f>
        <v>0</v>
      </c>
      <c r="G253" s="42">
        <f>INDEX(Displacements!B:B, MATCH(Summary!$C253, Displacements!$A:$A, 0))</f>
        <v>2</v>
      </c>
      <c r="H253" s="43">
        <f>INDEX(Displacements!C:C, MATCH(Summary!$C253, Displacements!$A:$A, 0))</f>
        <v>0</v>
      </c>
      <c r="I253" s="44">
        <f>INDEX(Displacements!D:D, MATCH(Summary!$C253, Displacements!$A:$A, 0))</f>
        <v>0</v>
      </c>
      <c r="J253" s="42">
        <f t="shared" si="6"/>
        <v>9.4000000000000083E-2</v>
      </c>
      <c r="K253" s="49">
        <f t="shared" si="7"/>
        <v>0.6619718309859165</v>
      </c>
      <c r="L253" s="54">
        <f>INDEX('Forces+Stresses'!C:C, MATCH(Summary!$A253, 'Forces+Stresses'!$A:$A, 0))</f>
        <v>-2895</v>
      </c>
      <c r="M253" s="55">
        <f>INDEX('Forces+Stresses'!D:D, MATCH(Summary!$A253, 'Forces+Stresses'!$A:$A, 0))</f>
        <v>-2895</v>
      </c>
      <c r="N253" s="55">
        <f>IFERROR(INDEX('Forces+Stresses'!Q:Q, MATCH(Summary!$A253, 'Forces+Stresses'!$A:$A, 0)), INDEX(Flexjoints!D:D, MATCH(Summary!$A253, Flexjoints!$A:$A, 0)))</f>
        <v>6.4750000000000007E-8</v>
      </c>
      <c r="O253" s="56">
        <f>IFERROR(INDEX('Forces+Stresses'!R:R, MATCH(Summary!$A253, 'Forces+Stresses'!$A:$A, 0)), INDEX(Flexjoints!E:E, MATCH(Summary!$A253, Flexjoints!$A:$A, 0)))</f>
        <v>4.7330000000000003E-6</v>
      </c>
      <c r="P253" s="33" t="str">
        <f>IF(INDEX(Labels!B:B, MATCH(Summary!$A253, Labels!$A:$A, 0)) = 0, "", INDEX(Labels!B:B, MATCH(Summary!$A253, Labels!$A:$A, 0)))</f>
        <v>{Casing &amp; HPH Internal String}</v>
      </c>
      <c r="Q253" s="35" t="str">
        <f>IF(INDEX(Labels!C:C, MATCH(Summary!$A253, Labels!$A:$A, 0)) = 0, "", INDEX(Labels!C:C, MATCH(Summary!$A253, Labels!$A:$A, 0)))</f>
        <v>{HP Housing Internal}</v>
      </c>
      <c r="R253" s="33" t="str">
        <f>IF(INDEX(Labels!D:D, MATCH(Summary!$A253, Labels!$A:$A, 0)) = 0, "", INDEX(Labels!D:D, MATCH(Summary!$A253, Labels!$A:$A, 0)))</f>
        <v/>
      </c>
      <c r="S253" s="35" t="str">
        <f>IF(INDEX(Labels!E:E, MATCH(Summary!$A253, Labels!$A:$A, 0)) = 0, "", INDEX(Labels!E:E, MATCH(Summary!$A253, Labels!$A:$A, 0)))</f>
        <v>{Casing &amp; HPH Internal String_Last}</v>
      </c>
      <c r="T253" s="33" t="str">
        <f>IF(INDEX(Labels!F:F, MATCH(Summary!$A253, Labels!$A:$A, 0)) = 0, "", INDEX(Labels!F:F, MATCH(Summary!$A253, Labels!$A:$A, 0)))</f>
        <v/>
      </c>
      <c r="U253" s="35" t="str">
        <f>IF(INDEX(Labels!G:G, MATCH(Summary!$A253, Labels!$A:$A, 0)) = 0, "", INDEX(Labels!G:G, MATCH(Summary!$A253, Labels!$A:$A, 0)))</f>
        <v>{HP Housing Internal_Last}</v>
      </c>
      <c r="V253" s="62" t="str">
        <f>IF(INDEX(Labels!H:H, MATCH(Summary!$A253, Labels!$A:$A, 0)) = 0, "", INDEX(Labels!H:H, MATCH(Summary!$A253, Labels!$A:$A, 0)))</f>
        <v/>
      </c>
      <c r="W253" t="str">
        <f>IF(INDEX(Labels!I:I, MATCH(Summary!$A253, Labels!$A:$A, 0)) = 0, "", INDEX(Labels!I:I, MATCH(Summary!$A253, Labels!$A:$A, 0)))</f>
        <v/>
      </c>
      <c r="X253" t="str">
        <f>IF(INDEX(Labels!J:J, MATCH(Summary!$A253, Labels!$A:$A, 0)) = 0, "", INDEX(Labels!J:J, MATCH(Summary!$A253, Labels!$A:$A, 0)))</f>
        <v/>
      </c>
    </row>
    <row r="254" spans="1:24" x14ac:dyDescent="0.2">
      <c r="A254" s="33">
        <f>Labels!A255</f>
        <v>248</v>
      </c>
      <c r="B254" s="34">
        <f>INDEX(EchoData!B:B, MATCH(Summary!$A254, EchoData!$A:$A, 0))</f>
        <v>252</v>
      </c>
      <c r="C254" s="35">
        <f>INDEX(EchoData!C:C, MATCH(Summary!$A254, EchoData!$A:$A, 0))</f>
        <v>253</v>
      </c>
      <c r="D254" s="42">
        <f>INDEX(Displacements!B:B, MATCH(Summary!$B254, Displacements!$A:$A, 0))</f>
        <v>0</v>
      </c>
      <c r="E254" s="43">
        <f>INDEX(Displacements!C:C, MATCH(Summary!$B254, Displacements!$A:$A, 0))</f>
        <v>0</v>
      </c>
      <c r="F254" s="44">
        <f>INDEX(Displacements!D:D, MATCH(Summary!$B254, Displacements!$A:$A, 0))</f>
        <v>0</v>
      </c>
      <c r="G254" s="42">
        <f>INDEX(Displacements!B:B, MATCH(Summary!$C254, Displacements!$A:$A, 0))</f>
        <v>2</v>
      </c>
      <c r="H254" s="43">
        <f>INDEX(Displacements!C:C, MATCH(Summary!$C254, Displacements!$A:$A, 0))</f>
        <v>0</v>
      </c>
      <c r="I254" s="44">
        <f>INDEX(Displacements!D:D, MATCH(Summary!$C254, Displacements!$A:$A, 0))</f>
        <v>0</v>
      </c>
      <c r="J254" s="42">
        <f t="shared" si="6"/>
        <v>2</v>
      </c>
      <c r="K254" s="49" t="str">
        <f t="shared" si="7"/>
        <v>N/A</v>
      </c>
      <c r="L254" s="54">
        <f>INDEX('Forces+Stresses'!C:C, MATCH(Summary!$A254, 'Forces+Stresses'!$A:$A, 0))</f>
        <v>-5.1979999999999996E-9</v>
      </c>
      <c r="M254" s="55">
        <f>INDEX('Forces+Stresses'!D:D, MATCH(Summary!$A254, 'Forces+Stresses'!$A:$A, 0))</f>
        <v>6.847E-9</v>
      </c>
      <c r="N254" s="55">
        <f>IFERROR(INDEX('Forces+Stresses'!Q:Q, MATCH(Summary!$A254, 'Forces+Stresses'!$A:$A, 0)), INDEX(Flexjoints!D:D, MATCH(Summary!$A254, Flexjoints!$A:$A, 0)))</f>
        <v>4.1409999999999995E-21</v>
      </c>
      <c r="O254" s="56">
        <f>IFERROR(INDEX('Forces+Stresses'!R:R, MATCH(Summary!$A254, 'Forces+Stresses'!$A:$A, 0)), INDEX(Flexjoints!E:E, MATCH(Summary!$A254, Flexjoints!$A:$A, 0)))</f>
        <v>4.4039999999999998E-19</v>
      </c>
      <c r="P254" s="33" t="str">
        <f>IF(INDEX(Labels!B:B, MATCH(Summary!$A254, Labels!$A:$A, 0)) = 0, "", INDEX(Labels!B:B, MATCH(Summary!$A254, Labels!$A:$A, 0)))</f>
        <v>{Marine Riser String}</v>
      </c>
      <c r="Q254" s="35" t="str">
        <f>IF(INDEX(Labels!C:C, MATCH(Summary!$A254, Labels!$A:$A, 0)) = 0, "", INDEX(Labels!C:C, MATCH(Summary!$A254, Labels!$A:$A, 0)))</f>
        <v>{MR Dummy}</v>
      </c>
      <c r="R254" s="33" t="str">
        <f>IF(INDEX(Labels!D:D, MATCH(Summary!$A254, Labels!$A:$A, 0)) = 0, "", INDEX(Labels!D:D, MATCH(Summary!$A254, Labels!$A:$A, 0)))</f>
        <v>{Marine Riser String_First}</v>
      </c>
      <c r="S254" s="35" t="str">
        <f>IF(INDEX(Labels!E:E, MATCH(Summary!$A254, Labels!$A:$A, 0)) = 0, "", INDEX(Labels!E:E, MATCH(Summary!$A254, Labels!$A:$A, 0)))</f>
        <v/>
      </c>
      <c r="T254" s="33" t="str">
        <f>IF(INDEX(Labels!F:F, MATCH(Summary!$A254, Labels!$A:$A, 0)) = 0, "", INDEX(Labels!F:F, MATCH(Summary!$A254, Labels!$A:$A, 0)))</f>
        <v>{MR Dummy_First}</v>
      </c>
      <c r="U254" s="35" t="str">
        <f>IF(INDEX(Labels!G:G, MATCH(Summary!$A254, Labels!$A:$A, 0)) = 0, "", INDEX(Labels!G:G, MATCH(Summary!$A254, Labels!$A:$A, 0)))</f>
        <v>{MR Dummy_Last}</v>
      </c>
      <c r="V254" s="62" t="str">
        <f>IF(INDEX(Labels!H:H, MATCH(Summary!$A254, Labels!$A:$A, 0)) = 0, "", INDEX(Labels!H:H, MATCH(Summary!$A254, Labels!$A:$A, 0)))</f>
        <v>{HPH_Upper_Equiv_Pt_Before}</v>
      </c>
      <c r="W254" t="str">
        <f>IF(INDEX(Labels!I:I, MATCH(Summary!$A254, Labels!$A:$A, 0)) = 0, "", INDEX(Labels!I:I, MATCH(Summary!$A254, Labels!$A:$A, 0)))</f>
        <v/>
      </c>
      <c r="X254" t="str">
        <f>IF(INDEX(Labels!J:J, MATCH(Summary!$A254, Labels!$A:$A, 0)) = 0, "", INDEX(Labels!J:J, MATCH(Summary!$A254, Labels!$A:$A, 0)))</f>
        <v/>
      </c>
    </row>
    <row r="255" spans="1:24" x14ac:dyDescent="0.2">
      <c r="A255" s="33">
        <f>Labels!A256</f>
        <v>249</v>
      </c>
      <c r="B255" s="34">
        <f>INDEX(EchoData!B:B, MATCH(Summary!$A255, EchoData!$A:$A, 0))</f>
        <v>253</v>
      </c>
      <c r="C255" s="35">
        <f>INDEX(EchoData!C:C, MATCH(Summary!$A255, EchoData!$A:$A, 0))</f>
        <v>254</v>
      </c>
      <c r="D255" s="42">
        <f>INDEX(Displacements!B:B, MATCH(Summary!$B255, Displacements!$A:$A, 0))</f>
        <v>2</v>
      </c>
      <c r="E255" s="43">
        <f>INDEX(Displacements!C:C, MATCH(Summary!$B255, Displacements!$A:$A, 0))</f>
        <v>0</v>
      </c>
      <c r="F255" s="44">
        <f>INDEX(Displacements!D:D, MATCH(Summary!$B255, Displacements!$A:$A, 0))</f>
        <v>0</v>
      </c>
      <c r="G255" s="42">
        <f>INDEX(Displacements!B:B, MATCH(Summary!$C255, Displacements!$A:$A, 0))</f>
        <v>2.097</v>
      </c>
      <c r="H255" s="43">
        <f>INDEX(Displacements!C:C, MATCH(Summary!$C255, Displacements!$A:$A, 0))</f>
        <v>0</v>
      </c>
      <c r="I255" s="44">
        <f>INDEX(Displacements!D:D, MATCH(Summary!$C255, Displacements!$A:$A, 0))</f>
        <v>0</v>
      </c>
      <c r="J255" s="42">
        <f t="shared" si="6"/>
        <v>9.6999999999999975E-2</v>
      </c>
      <c r="K255" s="49">
        <f t="shared" si="7"/>
        <v>4.8499999999999988E-2</v>
      </c>
      <c r="L255" s="54">
        <f>INDEX('Forces+Stresses'!C:C, MATCH(Summary!$A255, 'Forces+Stresses'!$A:$A, 0))</f>
        <v>-1545</v>
      </c>
      <c r="M255" s="55">
        <f>INDEX('Forces+Stresses'!D:D, MATCH(Summary!$A255, 'Forces+Stresses'!$A:$A, 0))</f>
        <v>-1545</v>
      </c>
      <c r="N255" s="55">
        <f>IFERROR(INDEX('Forces+Stresses'!Q:Q, MATCH(Summary!$A255, 'Forces+Stresses'!$A:$A, 0)), INDEX(Flexjoints!D:D, MATCH(Summary!$A255, Flexjoints!$A:$A, 0)))</f>
        <v>1.673E-7</v>
      </c>
      <c r="O255" s="56">
        <f>IFERROR(INDEX('Forces+Stresses'!R:R, MATCH(Summary!$A255, 'Forces+Stresses'!$A:$A, 0)), INDEX(Flexjoints!E:E, MATCH(Summary!$A255, Flexjoints!$A:$A, 0)))</f>
        <v>1.271E-5</v>
      </c>
      <c r="P255" s="33" t="str">
        <f>IF(INDEX(Labels!B:B, MATCH(Summary!$A255, Labels!$A:$A, 0)) = 0, "", INDEX(Labels!B:B, MATCH(Summary!$A255, Labels!$A:$A, 0)))</f>
        <v>{Marine Riser String}</v>
      </c>
      <c r="Q255" s="35" t="str">
        <f>IF(INDEX(Labels!C:C, MATCH(Summary!$A255, Labels!$A:$A, 0)) = 0, "", INDEX(Labels!C:C, MATCH(Summary!$A255, Labels!$A:$A, 0)))</f>
        <v>{HP Housing External}</v>
      </c>
      <c r="R255" s="33" t="str">
        <f>IF(INDEX(Labels!D:D, MATCH(Summary!$A255, Labels!$A:$A, 0)) = 0, "", INDEX(Labels!D:D, MATCH(Summary!$A255, Labels!$A:$A, 0)))</f>
        <v/>
      </c>
      <c r="S255" s="35" t="str">
        <f>IF(INDEX(Labels!E:E, MATCH(Summary!$A255, Labels!$A:$A, 0)) = 0, "", INDEX(Labels!E:E, MATCH(Summary!$A255, Labels!$A:$A, 0)))</f>
        <v/>
      </c>
      <c r="T255" s="33" t="str">
        <f>IF(INDEX(Labels!F:F, MATCH(Summary!$A255, Labels!$A:$A, 0)) = 0, "", INDEX(Labels!F:F, MATCH(Summary!$A255, Labels!$A:$A, 0)))</f>
        <v>{HP Housing External_First}</v>
      </c>
      <c r="U255" s="35" t="str">
        <f>IF(INDEX(Labels!G:G, MATCH(Summary!$A255, Labels!$A:$A, 0)) = 0, "", INDEX(Labels!G:G, MATCH(Summary!$A255, Labels!$A:$A, 0)))</f>
        <v/>
      </c>
      <c r="V255" s="62" t="str">
        <f>IF(INDEX(Labels!H:H, MATCH(Summary!$A255, Labels!$A:$A, 0)) = 0, "", INDEX(Labels!H:H, MATCH(Summary!$A255, Labels!$A:$A, 0)))</f>
        <v>{HPH_Upper_Equiv_Pt_After}</v>
      </c>
      <c r="W255" t="str">
        <f>IF(INDEX(Labels!I:I, MATCH(Summary!$A255, Labels!$A:$A, 0)) = 0, "", INDEX(Labels!I:I, MATCH(Summary!$A255, Labels!$A:$A, 0)))</f>
        <v/>
      </c>
      <c r="X255" t="str">
        <f>IF(INDEX(Labels!J:J, MATCH(Summary!$A255, Labels!$A:$A, 0)) = 0, "", INDEX(Labels!J:J, MATCH(Summary!$A255, Labels!$A:$A, 0)))</f>
        <v/>
      </c>
    </row>
    <row r="256" spans="1:24" x14ac:dyDescent="0.2">
      <c r="A256" s="33">
        <f>Labels!A257</f>
        <v>250</v>
      </c>
      <c r="B256" s="34">
        <f>INDEX(EchoData!B:B, MATCH(Summary!$A256, EchoData!$A:$A, 0))</f>
        <v>254</v>
      </c>
      <c r="C256" s="35">
        <f>INDEX(EchoData!C:C, MATCH(Summary!$A256, EchoData!$A:$A, 0))</f>
        <v>255</v>
      </c>
      <c r="D256" s="42">
        <f>INDEX(Displacements!B:B, MATCH(Summary!$B256, Displacements!$A:$A, 0))</f>
        <v>2.097</v>
      </c>
      <c r="E256" s="43">
        <f>INDEX(Displacements!C:C, MATCH(Summary!$B256, Displacements!$A:$A, 0))</f>
        <v>0</v>
      </c>
      <c r="F256" s="44">
        <f>INDEX(Displacements!D:D, MATCH(Summary!$B256, Displacements!$A:$A, 0))</f>
        <v>0</v>
      </c>
      <c r="G256" s="42">
        <f>INDEX(Displacements!B:B, MATCH(Summary!$C256, Displacements!$A:$A, 0))</f>
        <v>2.242</v>
      </c>
      <c r="H256" s="43">
        <f>INDEX(Displacements!C:C, MATCH(Summary!$C256, Displacements!$A:$A, 0))</f>
        <v>0</v>
      </c>
      <c r="I256" s="44">
        <f>INDEX(Displacements!D:D, MATCH(Summary!$C256, Displacements!$A:$A, 0))</f>
        <v>0</v>
      </c>
      <c r="J256" s="42">
        <f t="shared" si="6"/>
        <v>0.14500000000000002</v>
      </c>
      <c r="K256" s="49">
        <f t="shared" si="7"/>
        <v>1.4948453608247427</v>
      </c>
      <c r="L256" s="54">
        <f>INDEX('Forces+Stresses'!C:C, MATCH(Summary!$A256, 'Forces+Stresses'!$A:$A, 0))</f>
        <v>-1544</v>
      </c>
      <c r="M256" s="55">
        <f>INDEX('Forces+Stresses'!D:D, MATCH(Summary!$A256, 'Forces+Stresses'!$A:$A, 0))</f>
        <v>-1544</v>
      </c>
      <c r="N256" s="55">
        <f>IFERROR(INDEX('Forces+Stresses'!Q:Q, MATCH(Summary!$A256, 'Forces+Stresses'!$A:$A, 0)), INDEX(Flexjoints!D:D, MATCH(Summary!$A256, Flexjoints!$A:$A, 0)))</f>
        <v>1.6080000000000001E-7</v>
      </c>
      <c r="O256" s="56">
        <f>IFERROR(INDEX('Forces+Stresses'!R:R, MATCH(Summary!$A256, 'Forces+Stresses'!$A:$A, 0)), INDEX(Flexjoints!E:E, MATCH(Summary!$A256, Flexjoints!$A:$A, 0)))</f>
        <v>1.256E-5</v>
      </c>
      <c r="P256" s="33" t="str">
        <f>IF(INDEX(Labels!B:B, MATCH(Summary!$A256, Labels!$A:$A, 0)) = 0, "", INDEX(Labels!B:B, MATCH(Summary!$A256, Labels!$A:$A, 0)))</f>
        <v>{Marine Riser String}</v>
      </c>
      <c r="Q256" s="35" t="str">
        <f>IF(INDEX(Labels!C:C, MATCH(Summary!$A256, Labels!$A:$A, 0)) = 0, "", INDEX(Labels!C:C, MATCH(Summary!$A256, Labels!$A:$A, 0)))</f>
        <v>{HP Housing External}</v>
      </c>
      <c r="R256" s="33" t="str">
        <f>IF(INDEX(Labels!D:D, MATCH(Summary!$A256, Labels!$A:$A, 0)) = 0, "", INDEX(Labels!D:D, MATCH(Summary!$A256, Labels!$A:$A, 0)))</f>
        <v/>
      </c>
      <c r="S256" s="35" t="str">
        <f>IF(INDEX(Labels!E:E, MATCH(Summary!$A256, Labels!$A:$A, 0)) = 0, "", INDEX(Labels!E:E, MATCH(Summary!$A256, Labels!$A:$A, 0)))</f>
        <v/>
      </c>
      <c r="T256" s="33" t="str">
        <f>IF(INDEX(Labels!F:F, MATCH(Summary!$A256, Labels!$A:$A, 0)) = 0, "", INDEX(Labels!F:F, MATCH(Summary!$A256, Labels!$A:$A, 0)))</f>
        <v/>
      </c>
      <c r="U256" s="35" t="str">
        <f>IF(INDEX(Labels!G:G, MATCH(Summary!$A256, Labels!$A:$A, 0)) = 0, "", INDEX(Labels!G:G, MATCH(Summary!$A256, Labels!$A:$A, 0)))</f>
        <v/>
      </c>
      <c r="V256" s="62" t="str">
        <f>IF(INDEX(Labels!H:H, MATCH(Summary!$A256, Labels!$A:$A, 0)) = 0, "", INDEX(Labels!H:H, MATCH(Summary!$A256, Labels!$A:$A, 0)))</f>
        <v/>
      </c>
      <c r="W256" t="str">
        <f>IF(INDEX(Labels!I:I, MATCH(Summary!$A256, Labels!$A:$A, 0)) = 0, "", INDEX(Labels!I:I, MATCH(Summary!$A256, Labels!$A:$A, 0)))</f>
        <v/>
      </c>
      <c r="X256" t="str">
        <f>IF(INDEX(Labels!J:J, MATCH(Summary!$A256, Labels!$A:$A, 0)) = 0, "", INDEX(Labels!J:J, MATCH(Summary!$A256, Labels!$A:$A, 0)))</f>
        <v/>
      </c>
    </row>
    <row r="257" spans="1:24" x14ac:dyDescent="0.2">
      <c r="A257" s="33">
        <f>Labels!A258</f>
        <v>251</v>
      </c>
      <c r="B257" s="34">
        <f>INDEX(EchoData!B:B, MATCH(Summary!$A257, EchoData!$A:$A, 0))</f>
        <v>255</v>
      </c>
      <c r="C257" s="35">
        <f>INDEX(EchoData!C:C, MATCH(Summary!$A257, EchoData!$A:$A, 0))</f>
        <v>256</v>
      </c>
      <c r="D257" s="42">
        <f>INDEX(Displacements!B:B, MATCH(Summary!$B257, Displacements!$A:$A, 0))</f>
        <v>2.242</v>
      </c>
      <c r="E257" s="43">
        <f>INDEX(Displacements!C:C, MATCH(Summary!$B257, Displacements!$A:$A, 0))</f>
        <v>0</v>
      </c>
      <c r="F257" s="44">
        <f>INDEX(Displacements!D:D, MATCH(Summary!$B257, Displacements!$A:$A, 0))</f>
        <v>0</v>
      </c>
      <c r="G257" s="42">
        <f>INDEX(Displacements!B:B, MATCH(Summary!$C257, Displacements!$A:$A, 0))</f>
        <v>2.4590000000000001</v>
      </c>
      <c r="H257" s="43">
        <f>INDEX(Displacements!C:C, MATCH(Summary!$C257, Displacements!$A:$A, 0))</f>
        <v>0</v>
      </c>
      <c r="I257" s="44">
        <f>INDEX(Displacements!D:D, MATCH(Summary!$C257, Displacements!$A:$A, 0))</f>
        <v>0</v>
      </c>
      <c r="J257" s="42">
        <f t="shared" si="6"/>
        <v>0.21700000000000008</v>
      </c>
      <c r="K257" s="49">
        <f t="shared" si="7"/>
        <v>1.4965517241379314</v>
      </c>
      <c r="L257" s="54">
        <f>INDEX('Forces+Stresses'!C:C, MATCH(Summary!$A257, 'Forces+Stresses'!$A:$A, 0))</f>
        <v>-1543</v>
      </c>
      <c r="M257" s="55">
        <f>INDEX('Forces+Stresses'!D:D, MATCH(Summary!$A257, 'Forces+Stresses'!$A:$A, 0))</f>
        <v>-1543</v>
      </c>
      <c r="N257" s="55">
        <f>IFERROR(INDEX('Forces+Stresses'!Q:Q, MATCH(Summary!$A257, 'Forces+Stresses'!$A:$A, 0)), INDEX(Flexjoints!D:D, MATCH(Summary!$A257, Flexjoints!$A:$A, 0)))</f>
        <v>1.5599999999999999E-7</v>
      </c>
      <c r="O257" s="56">
        <f>IFERROR(INDEX('Forces+Stresses'!R:R, MATCH(Summary!$A257, 'Forces+Stresses'!$A:$A, 0)), INDEX(Flexjoints!E:E, MATCH(Summary!$A257, Flexjoints!$A:$A, 0)))</f>
        <v>1.234E-5</v>
      </c>
      <c r="P257" s="33" t="str">
        <f>IF(INDEX(Labels!B:B, MATCH(Summary!$A257, Labels!$A:$A, 0)) = 0, "", INDEX(Labels!B:B, MATCH(Summary!$A257, Labels!$A:$A, 0)))</f>
        <v>{Marine Riser String}</v>
      </c>
      <c r="Q257" s="35" t="str">
        <f>IF(INDEX(Labels!C:C, MATCH(Summary!$A257, Labels!$A:$A, 0)) = 0, "", INDEX(Labels!C:C, MATCH(Summary!$A257, Labels!$A:$A, 0)))</f>
        <v>{HP Housing External}</v>
      </c>
      <c r="R257" s="33" t="str">
        <f>IF(INDEX(Labels!D:D, MATCH(Summary!$A257, Labels!$A:$A, 0)) = 0, "", INDEX(Labels!D:D, MATCH(Summary!$A257, Labels!$A:$A, 0)))</f>
        <v/>
      </c>
      <c r="S257" s="35" t="str">
        <f>IF(INDEX(Labels!E:E, MATCH(Summary!$A257, Labels!$A:$A, 0)) = 0, "", INDEX(Labels!E:E, MATCH(Summary!$A257, Labels!$A:$A, 0)))</f>
        <v/>
      </c>
      <c r="T257" s="33" t="str">
        <f>IF(INDEX(Labels!F:F, MATCH(Summary!$A257, Labels!$A:$A, 0)) = 0, "", INDEX(Labels!F:F, MATCH(Summary!$A257, Labels!$A:$A, 0)))</f>
        <v/>
      </c>
      <c r="U257" s="35" t="str">
        <f>IF(INDEX(Labels!G:G, MATCH(Summary!$A257, Labels!$A:$A, 0)) = 0, "", INDEX(Labels!G:G, MATCH(Summary!$A257, Labels!$A:$A, 0)))</f>
        <v/>
      </c>
      <c r="V257" s="62" t="str">
        <f>IF(INDEX(Labels!H:H, MATCH(Summary!$A257, Labels!$A:$A, 0)) = 0, "", INDEX(Labels!H:H, MATCH(Summary!$A257, Labels!$A:$A, 0)))</f>
        <v/>
      </c>
      <c r="W257" t="str">
        <f>IF(INDEX(Labels!I:I, MATCH(Summary!$A257, Labels!$A:$A, 0)) = 0, "", INDEX(Labels!I:I, MATCH(Summary!$A257, Labels!$A:$A, 0)))</f>
        <v/>
      </c>
      <c r="X257" t="str">
        <f>IF(INDEX(Labels!J:J, MATCH(Summary!$A257, Labels!$A:$A, 0)) = 0, "", INDEX(Labels!J:J, MATCH(Summary!$A257, Labels!$A:$A, 0)))</f>
        <v/>
      </c>
    </row>
    <row r="258" spans="1:24" x14ac:dyDescent="0.2">
      <c r="A258" s="33">
        <f>Labels!A259</f>
        <v>252</v>
      </c>
      <c r="B258" s="34">
        <f>INDEX(EchoData!B:B, MATCH(Summary!$A258, EchoData!$A:$A, 0))</f>
        <v>256</v>
      </c>
      <c r="C258" s="35">
        <f>INDEX(EchoData!C:C, MATCH(Summary!$A258, EchoData!$A:$A, 0))</f>
        <v>257</v>
      </c>
      <c r="D258" s="42">
        <f>INDEX(Displacements!B:B, MATCH(Summary!$B258, Displacements!$A:$A, 0))</f>
        <v>2.4590000000000001</v>
      </c>
      <c r="E258" s="43">
        <f>INDEX(Displacements!C:C, MATCH(Summary!$B258, Displacements!$A:$A, 0))</f>
        <v>0</v>
      </c>
      <c r="F258" s="44">
        <f>INDEX(Displacements!D:D, MATCH(Summary!$B258, Displacements!$A:$A, 0))</f>
        <v>0</v>
      </c>
      <c r="G258" s="42">
        <f>INDEX(Displacements!B:B, MATCH(Summary!$C258, Displacements!$A:$A, 0))</f>
        <v>2.71</v>
      </c>
      <c r="H258" s="43">
        <f>INDEX(Displacements!C:C, MATCH(Summary!$C258, Displacements!$A:$A, 0))</f>
        <v>0</v>
      </c>
      <c r="I258" s="44">
        <f>INDEX(Displacements!D:D, MATCH(Summary!$C258, Displacements!$A:$A, 0))</f>
        <v>0</v>
      </c>
      <c r="J258" s="42">
        <f t="shared" si="6"/>
        <v>0.25099999999999989</v>
      </c>
      <c r="K258" s="49">
        <f t="shared" si="7"/>
        <v>1.1566820276497687</v>
      </c>
      <c r="L258" s="54">
        <f>INDEX('Forces+Stresses'!C:C, MATCH(Summary!$A258, 'Forces+Stresses'!$A:$A, 0))</f>
        <v>-1541</v>
      </c>
      <c r="M258" s="55">
        <f>INDEX('Forces+Stresses'!D:D, MATCH(Summary!$A258, 'Forces+Stresses'!$A:$A, 0))</f>
        <v>-1541</v>
      </c>
      <c r="N258" s="55">
        <f>IFERROR(INDEX('Forces+Stresses'!Q:Q, MATCH(Summary!$A258, 'Forces+Stresses'!$A:$A, 0)), INDEX(Flexjoints!D:D, MATCH(Summary!$A258, Flexjoints!$A:$A, 0)))</f>
        <v>1.6080000000000001E-7</v>
      </c>
      <c r="O258" s="56">
        <f>IFERROR(INDEX('Forces+Stresses'!R:R, MATCH(Summary!$A258, 'Forces+Stresses'!$A:$A, 0)), INDEX(Flexjoints!E:E, MATCH(Summary!$A258, Flexjoints!$A:$A, 0)))</f>
        <v>1.2E-5</v>
      </c>
      <c r="P258" s="33" t="str">
        <f>IF(INDEX(Labels!B:B, MATCH(Summary!$A258, Labels!$A:$A, 0)) = 0, "", INDEX(Labels!B:B, MATCH(Summary!$A258, Labels!$A:$A, 0)))</f>
        <v>{Marine Riser String}</v>
      </c>
      <c r="Q258" s="35" t="str">
        <f>IF(INDEX(Labels!C:C, MATCH(Summary!$A258, Labels!$A:$A, 0)) = 0, "", INDEX(Labels!C:C, MATCH(Summary!$A258, Labels!$A:$A, 0)))</f>
        <v>{HP Housing External}</v>
      </c>
      <c r="R258" s="33" t="str">
        <f>IF(INDEX(Labels!D:D, MATCH(Summary!$A258, Labels!$A:$A, 0)) = 0, "", INDEX(Labels!D:D, MATCH(Summary!$A258, Labels!$A:$A, 0)))</f>
        <v/>
      </c>
      <c r="S258" s="35" t="str">
        <f>IF(INDEX(Labels!E:E, MATCH(Summary!$A258, Labels!$A:$A, 0)) = 0, "", INDEX(Labels!E:E, MATCH(Summary!$A258, Labels!$A:$A, 0)))</f>
        <v/>
      </c>
      <c r="T258" s="33" t="str">
        <f>IF(INDEX(Labels!F:F, MATCH(Summary!$A258, Labels!$A:$A, 0)) = 0, "", INDEX(Labels!F:F, MATCH(Summary!$A258, Labels!$A:$A, 0)))</f>
        <v/>
      </c>
      <c r="U258" s="35" t="str">
        <f>IF(INDEX(Labels!G:G, MATCH(Summary!$A258, Labels!$A:$A, 0)) = 0, "", INDEX(Labels!G:G, MATCH(Summary!$A258, Labels!$A:$A, 0)))</f>
        <v/>
      </c>
      <c r="V258" s="62" t="str">
        <f>IF(INDEX(Labels!H:H, MATCH(Summary!$A258, Labels!$A:$A, 0)) = 0, "", INDEX(Labels!H:H, MATCH(Summary!$A258, Labels!$A:$A, 0)))</f>
        <v/>
      </c>
      <c r="W258" t="str">
        <f>IF(INDEX(Labels!I:I, MATCH(Summary!$A258, Labels!$A:$A, 0)) = 0, "", INDEX(Labels!I:I, MATCH(Summary!$A258, Labels!$A:$A, 0)))</f>
        <v/>
      </c>
      <c r="X258" t="str">
        <f>IF(INDEX(Labels!J:J, MATCH(Summary!$A258, Labels!$A:$A, 0)) = 0, "", INDEX(Labels!J:J, MATCH(Summary!$A258, Labels!$A:$A, 0)))</f>
        <v/>
      </c>
    </row>
    <row r="259" spans="1:24" x14ac:dyDescent="0.2">
      <c r="A259" s="33">
        <f>Labels!A260</f>
        <v>253</v>
      </c>
      <c r="B259" s="34">
        <f>INDEX(EchoData!B:B, MATCH(Summary!$A259, EchoData!$A:$A, 0))</f>
        <v>257</v>
      </c>
      <c r="C259" s="35">
        <f>INDEX(EchoData!C:C, MATCH(Summary!$A259, EchoData!$A:$A, 0))</f>
        <v>258</v>
      </c>
      <c r="D259" s="42">
        <f>INDEX(Displacements!B:B, MATCH(Summary!$B259, Displacements!$A:$A, 0))</f>
        <v>2.71</v>
      </c>
      <c r="E259" s="43">
        <f>INDEX(Displacements!C:C, MATCH(Summary!$B259, Displacements!$A:$A, 0))</f>
        <v>0</v>
      </c>
      <c r="F259" s="44">
        <f>INDEX(Displacements!D:D, MATCH(Summary!$B259, Displacements!$A:$A, 0))</f>
        <v>0</v>
      </c>
      <c r="G259" s="42">
        <f>INDEX(Displacements!B:B, MATCH(Summary!$C259, Displacements!$A:$A, 0))</f>
        <v>3</v>
      </c>
      <c r="H259" s="43">
        <f>INDEX(Displacements!C:C, MATCH(Summary!$C259, Displacements!$A:$A, 0))</f>
        <v>0</v>
      </c>
      <c r="I259" s="44">
        <f>INDEX(Displacements!D:D, MATCH(Summary!$C259, Displacements!$A:$A, 0))</f>
        <v>0</v>
      </c>
      <c r="J259" s="42">
        <f t="shared" si="6"/>
        <v>0.29000000000000004</v>
      </c>
      <c r="K259" s="49">
        <f t="shared" si="7"/>
        <v>1.1553784860557776</v>
      </c>
      <c r="L259" s="54">
        <f>INDEX('Forces+Stresses'!C:C, MATCH(Summary!$A259, 'Forces+Stresses'!$A:$A, 0))</f>
        <v>-1539</v>
      </c>
      <c r="M259" s="55">
        <f>INDEX('Forces+Stresses'!D:D, MATCH(Summary!$A259, 'Forces+Stresses'!$A:$A, 0))</f>
        <v>-1539</v>
      </c>
      <c r="N259" s="55">
        <f>IFERROR(INDEX('Forces+Stresses'!Q:Q, MATCH(Summary!$A259, 'Forces+Stresses'!$A:$A, 0)), INDEX(Flexjoints!D:D, MATCH(Summary!$A259, Flexjoints!$A:$A, 0)))</f>
        <v>1.7599999999999999E-7</v>
      </c>
      <c r="O259" s="56">
        <f>IFERROR(INDEX('Forces+Stresses'!R:R, MATCH(Summary!$A259, 'Forces+Stresses'!$A:$A, 0)), INDEX(Flexjoints!E:E, MATCH(Summary!$A259, Flexjoints!$A:$A, 0)))</f>
        <v>1.1610000000000001E-5</v>
      </c>
      <c r="P259" s="33" t="str">
        <f>IF(INDEX(Labels!B:B, MATCH(Summary!$A259, Labels!$A:$A, 0)) = 0, "", INDEX(Labels!B:B, MATCH(Summary!$A259, Labels!$A:$A, 0)))</f>
        <v>{Marine Riser String}</v>
      </c>
      <c r="Q259" s="35" t="str">
        <f>IF(INDEX(Labels!C:C, MATCH(Summary!$A259, Labels!$A:$A, 0)) = 0, "", INDEX(Labels!C:C, MATCH(Summary!$A259, Labels!$A:$A, 0)))</f>
        <v>{HP Housing External}</v>
      </c>
      <c r="R259" s="33" t="str">
        <f>IF(INDEX(Labels!D:D, MATCH(Summary!$A259, Labels!$A:$A, 0)) = 0, "", INDEX(Labels!D:D, MATCH(Summary!$A259, Labels!$A:$A, 0)))</f>
        <v/>
      </c>
      <c r="S259" s="35" t="str">
        <f>IF(INDEX(Labels!E:E, MATCH(Summary!$A259, Labels!$A:$A, 0)) = 0, "", INDEX(Labels!E:E, MATCH(Summary!$A259, Labels!$A:$A, 0)))</f>
        <v/>
      </c>
      <c r="T259" s="33" t="str">
        <f>IF(INDEX(Labels!F:F, MATCH(Summary!$A259, Labels!$A:$A, 0)) = 0, "", INDEX(Labels!F:F, MATCH(Summary!$A259, Labels!$A:$A, 0)))</f>
        <v/>
      </c>
      <c r="U259" s="35" t="str">
        <f>IF(INDEX(Labels!G:G, MATCH(Summary!$A259, Labels!$A:$A, 0)) = 0, "", INDEX(Labels!G:G, MATCH(Summary!$A259, Labels!$A:$A, 0)))</f>
        <v>{HP Housing External_Last}</v>
      </c>
      <c r="V259" s="62" t="str">
        <f>IF(INDEX(Labels!H:H, MATCH(Summary!$A259, Labels!$A:$A, 0)) = 0, "", INDEX(Labels!H:H, MATCH(Summary!$A259, Labels!$A:$A, 0)))</f>
        <v>{BOP_Connector_Before}</v>
      </c>
      <c r="W259" t="str">
        <f>IF(INDEX(Labels!I:I, MATCH(Summary!$A259, Labels!$A:$A, 0)) = 0, "", INDEX(Labels!I:I, MATCH(Summary!$A259, Labels!$A:$A, 0)))</f>
        <v/>
      </c>
      <c r="X259" t="str">
        <f>IF(INDEX(Labels!J:J, MATCH(Summary!$A259, Labels!$A:$A, 0)) = 0, "", INDEX(Labels!J:J, MATCH(Summary!$A259, Labels!$A:$A, 0)))</f>
        <v/>
      </c>
    </row>
    <row r="260" spans="1:24" x14ac:dyDescent="0.2">
      <c r="A260" s="33">
        <f>Labels!A261</f>
        <v>254</v>
      </c>
      <c r="B260" s="34">
        <f>INDEX(EchoData!B:B, MATCH(Summary!$A260, EchoData!$A:$A, 0))</f>
        <v>258</v>
      </c>
      <c r="C260" s="35">
        <f>INDEX(EchoData!C:C, MATCH(Summary!$A260, EchoData!$A:$A, 0))</f>
        <v>259</v>
      </c>
      <c r="D260" s="42">
        <f>INDEX(Displacements!B:B, MATCH(Summary!$B260, Displacements!$A:$A, 0))</f>
        <v>3</v>
      </c>
      <c r="E260" s="43">
        <f>INDEX(Displacements!C:C, MATCH(Summary!$B260, Displacements!$A:$A, 0))</f>
        <v>0</v>
      </c>
      <c r="F260" s="44">
        <f>INDEX(Displacements!D:D, MATCH(Summary!$B260, Displacements!$A:$A, 0))</f>
        <v>0</v>
      </c>
      <c r="G260" s="42">
        <f>INDEX(Displacements!B:B, MATCH(Summary!$C260, Displacements!$A:$A, 0))</f>
        <v>3.2690000000000001</v>
      </c>
      <c r="H260" s="43">
        <f>INDEX(Displacements!C:C, MATCH(Summary!$C260, Displacements!$A:$A, 0))</f>
        <v>0</v>
      </c>
      <c r="I260" s="44">
        <f>INDEX(Displacements!D:D, MATCH(Summary!$C260, Displacements!$A:$A, 0))</f>
        <v>0</v>
      </c>
      <c r="J260" s="42">
        <f t="shared" si="6"/>
        <v>0.26900000000000013</v>
      </c>
      <c r="K260" s="49">
        <f t="shared" si="7"/>
        <v>0.92758620689655202</v>
      </c>
      <c r="L260" s="54">
        <f>INDEX('Forces+Stresses'!C:C, MATCH(Summary!$A260, 'Forces+Stresses'!$A:$A, 0))</f>
        <v>-1536</v>
      </c>
      <c r="M260" s="55">
        <f>INDEX('Forces+Stresses'!D:D, MATCH(Summary!$A260, 'Forces+Stresses'!$A:$A, 0))</f>
        <v>-1536</v>
      </c>
      <c r="N260" s="55">
        <f>IFERROR(INDEX('Forces+Stresses'!Q:Q, MATCH(Summary!$A260, 'Forces+Stresses'!$A:$A, 0)), INDEX(Flexjoints!D:D, MATCH(Summary!$A260, Flexjoints!$A:$A, 0)))</f>
        <v>1.568E-7</v>
      </c>
      <c r="O260" s="56">
        <f>IFERROR(INDEX('Forces+Stresses'!R:R, MATCH(Summary!$A260, 'Forces+Stresses'!$A:$A, 0)), INDEX(Flexjoints!E:E, MATCH(Summary!$A260, Flexjoints!$A:$A, 0)))</f>
        <v>1.1220000000000001E-5</v>
      </c>
      <c r="P260" s="33" t="str">
        <f>IF(INDEX(Labels!B:B, MATCH(Summary!$A260, Labels!$A:$A, 0)) = 0, "", INDEX(Labels!B:B, MATCH(Summary!$A260, Labels!$A:$A, 0)))</f>
        <v>{Marine Riser String}</v>
      </c>
      <c r="Q260" s="35" t="str">
        <f>IF(INDEX(Labels!C:C, MATCH(Summary!$A260, Labels!$A:$A, 0)) = 0, "", INDEX(Labels!C:C, MATCH(Summary!$A260, Labels!$A:$A, 0)))</f>
        <v>{BOP}</v>
      </c>
      <c r="R260" s="33" t="str">
        <f>IF(INDEX(Labels!D:D, MATCH(Summary!$A260, Labels!$A:$A, 0)) = 0, "", INDEX(Labels!D:D, MATCH(Summary!$A260, Labels!$A:$A, 0)))</f>
        <v/>
      </c>
      <c r="S260" s="35" t="str">
        <f>IF(INDEX(Labels!E:E, MATCH(Summary!$A260, Labels!$A:$A, 0)) = 0, "", INDEX(Labels!E:E, MATCH(Summary!$A260, Labels!$A:$A, 0)))</f>
        <v/>
      </c>
      <c r="T260" s="33" t="str">
        <f>IF(INDEX(Labels!F:F, MATCH(Summary!$A260, Labels!$A:$A, 0)) = 0, "", INDEX(Labels!F:F, MATCH(Summary!$A260, Labels!$A:$A, 0)))</f>
        <v>{BOP_First}</v>
      </c>
      <c r="U260" s="35" t="str">
        <f>IF(INDEX(Labels!G:G, MATCH(Summary!$A260, Labels!$A:$A, 0)) = 0, "", INDEX(Labels!G:G, MATCH(Summary!$A260, Labels!$A:$A, 0)))</f>
        <v/>
      </c>
      <c r="V260" s="62" t="str">
        <f>IF(INDEX(Labels!H:H, MATCH(Summary!$A260, Labels!$A:$A, 0)) = 0, "", INDEX(Labels!H:H, MATCH(Summary!$A260, Labels!$A:$A, 0)))</f>
        <v>{BOP_Connector_After}</v>
      </c>
      <c r="W260" t="str">
        <f>IF(INDEX(Labels!I:I, MATCH(Summary!$A260, Labels!$A:$A, 0)) = 0, "", INDEX(Labels!I:I, MATCH(Summary!$A260, Labels!$A:$A, 0)))</f>
        <v/>
      </c>
      <c r="X260" t="str">
        <f>IF(INDEX(Labels!J:J, MATCH(Summary!$A260, Labels!$A:$A, 0)) = 0, "", INDEX(Labels!J:J, MATCH(Summary!$A260, Labels!$A:$A, 0)))</f>
        <v/>
      </c>
    </row>
    <row r="261" spans="1:24" x14ac:dyDescent="0.2">
      <c r="A261" s="33">
        <f>Labels!A262</f>
        <v>255</v>
      </c>
      <c r="B261" s="34">
        <f>INDEX(EchoData!B:B, MATCH(Summary!$A261, EchoData!$A:$A, 0))</f>
        <v>259</v>
      </c>
      <c r="C261" s="35">
        <f>INDEX(EchoData!C:C, MATCH(Summary!$A261, EchoData!$A:$A, 0))</f>
        <v>260</v>
      </c>
      <c r="D261" s="42">
        <f>INDEX(Displacements!B:B, MATCH(Summary!$B261, Displacements!$A:$A, 0))</f>
        <v>3.2690000000000001</v>
      </c>
      <c r="E261" s="43">
        <f>INDEX(Displacements!C:C, MATCH(Summary!$B261, Displacements!$A:$A, 0))</f>
        <v>0</v>
      </c>
      <c r="F261" s="44">
        <f>INDEX(Displacements!D:D, MATCH(Summary!$B261, Displacements!$A:$A, 0))</f>
        <v>0</v>
      </c>
      <c r="G261" s="42">
        <f>INDEX(Displacements!B:B, MATCH(Summary!$C261, Displacements!$A:$A, 0))</f>
        <v>3.6720000000000002</v>
      </c>
      <c r="H261" s="43">
        <f>INDEX(Displacements!C:C, MATCH(Summary!$C261, Displacements!$A:$A, 0))</f>
        <v>0</v>
      </c>
      <c r="I261" s="44">
        <f>INDEX(Displacements!D:D, MATCH(Summary!$C261, Displacements!$A:$A, 0))</f>
        <v>0</v>
      </c>
      <c r="J261" s="42">
        <f t="shared" si="6"/>
        <v>0.40300000000000002</v>
      </c>
      <c r="K261" s="49">
        <f t="shared" si="7"/>
        <v>1.4981412639405198</v>
      </c>
      <c r="L261" s="54">
        <f>INDEX('Forces+Stresses'!C:C, MATCH(Summary!$A261, 'Forces+Stresses'!$A:$A, 0))</f>
        <v>-1460</v>
      </c>
      <c r="M261" s="55">
        <f>INDEX('Forces+Stresses'!D:D, MATCH(Summary!$A261, 'Forces+Stresses'!$A:$A, 0))</f>
        <v>-1460</v>
      </c>
      <c r="N261" s="55">
        <f>IFERROR(INDEX('Forces+Stresses'!Q:Q, MATCH(Summary!$A261, 'Forces+Stresses'!$A:$A, 0)), INDEX(Flexjoints!D:D, MATCH(Summary!$A261, Flexjoints!$A:$A, 0)))</f>
        <v>1.755E-7</v>
      </c>
      <c r="O261" s="56">
        <f>IFERROR(INDEX('Forces+Stresses'!R:R, MATCH(Summary!$A261, 'Forces+Stresses'!$A:$A, 0)), INDEX(Flexjoints!E:E, MATCH(Summary!$A261, Flexjoints!$A:$A, 0)))</f>
        <v>1.0859999999999999E-5</v>
      </c>
      <c r="P261" s="33" t="str">
        <f>IF(INDEX(Labels!B:B, MATCH(Summary!$A261, Labels!$A:$A, 0)) = 0, "", INDEX(Labels!B:B, MATCH(Summary!$A261, Labels!$A:$A, 0)))</f>
        <v>{Marine Riser String}</v>
      </c>
      <c r="Q261" s="35" t="str">
        <f>IF(INDEX(Labels!C:C, MATCH(Summary!$A261, Labels!$A:$A, 0)) = 0, "", INDEX(Labels!C:C, MATCH(Summary!$A261, Labels!$A:$A, 0)))</f>
        <v>{BOP}</v>
      </c>
      <c r="R261" s="33" t="str">
        <f>IF(INDEX(Labels!D:D, MATCH(Summary!$A261, Labels!$A:$A, 0)) = 0, "", INDEX(Labels!D:D, MATCH(Summary!$A261, Labels!$A:$A, 0)))</f>
        <v/>
      </c>
      <c r="S261" s="35" t="str">
        <f>IF(INDEX(Labels!E:E, MATCH(Summary!$A261, Labels!$A:$A, 0)) = 0, "", INDEX(Labels!E:E, MATCH(Summary!$A261, Labels!$A:$A, 0)))</f>
        <v/>
      </c>
      <c r="T261" s="33" t="str">
        <f>IF(INDEX(Labels!F:F, MATCH(Summary!$A261, Labels!$A:$A, 0)) = 0, "", INDEX(Labels!F:F, MATCH(Summary!$A261, Labels!$A:$A, 0)))</f>
        <v/>
      </c>
      <c r="U261" s="35" t="str">
        <f>IF(INDEX(Labels!G:G, MATCH(Summary!$A261, Labels!$A:$A, 0)) = 0, "", INDEX(Labels!G:G, MATCH(Summary!$A261, Labels!$A:$A, 0)))</f>
        <v/>
      </c>
      <c r="V261" s="62" t="str">
        <f>IF(INDEX(Labels!H:H, MATCH(Summary!$A261, Labels!$A:$A, 0)) = 0, "", INDEX(Labels!H:H, MATCH(Summary!$A261, Labels!$A:$A, 0)))</f>
        <v/>
      </c>
      <c r="W261" t="str">
        <f>IF(INDEX(Labels!I:I, MATCH(Summary!$A261, Labels!$A:$A, 0)) = 0, "", INDEX(Labels!I:I, MATCH(Summary!$A261, Labels!$A:$A, 0)))</f>
        <v/>
      </c>
      <c r="X261" t="str">
        <f>IF(INDEX(Labels!J:J, MATCH(Summary!$A261, Labels!$A:$A, 0)) = 0, "", INDEX(Labels!J:J, MATCH(Summary!$A261, Labels!$A:$A, 0)))</f>
        <v/>
      </c>
    </row>
    <row r="262" spans="1:24" x14ac:dyDescent="0.2">
      <c r="A262" s="33">
        <f>Labels!A263</f>
        <v>256</v>
      </c>
      <c r="B262" s="34">
        <f>INDEX(EchoData!B:B, MATCH(Summary!$A262, EchoData!$A:$A, 0))</f>
        <v>260</v>
      </c>
      <c r="C262" s="35">
        <f>INDEX(EchoData!C:C, MATCH(Summary!$A262, EchoData!$A:$A, 0))</f>
        <v>261</v>
      </c>
      <c r="D262" s="42">
        <f>INDEX(Displacements!B:B, MATCH(Summary!$B262, Displacements!$A:$A, 0))</f>
        <v>3.6720000000000002</v>
      </c>
      <c r="E262" s="43">
        <f>INDEX(Displacements!C:C, MATCH(Summary!$B262, Displacements!$A:$A, 0))</f>
        <v>0</v>
      </c>
      <c r="F262" s="44">
        <f>INDEX(Displacements!D:D, MATCH(Summary!$B262, Displacements!$A:$A, 0))</f>
        <v>0</v>
      </c>
      <c r="G262" s="42">
        <f>INDEX(Displacements!B:B, MATCH(Summary!$C262, Displacements!$A:$A, 0))</f>
        <v>4.2759999999999998</v>
      </c>
      <c r="H262" s="43">
        <f>INDEX(Displacements!C:C, MATCH(Summary!$C262, Displacements!$A:$A, 0))</f>
        <v>0</v>
      </c>
      <c r="I262" s="44">
        <f>INDEX(Displacements!D:D, MATCH(Summary!$C262, Displacements!$A:$A, 0))</f>
        <v>0</v>
      </c>
      <c r="J262" s="42">
        <f t="shared" si="6"/>
        <v>0.60399999999999965</v>
      </c>
      <c r="K262" s="49">
        <f t="shared" si="7"/>
        <v>1.4987593052109172</v>
      </c>
      <c r="L262" s="54">
        <f>INDEX('Forces+Stresses'!C:C, MATCH(Summary!$A262, 'Forces+Stresses'!$A:$A, 0))</f>
        <v>-1346</v>
      </c>
      <c r="M262" s="55">
        <f>INDEX('Forces+Stresses'!D:D, MATCH(Summary!$A262, 'Forces+Stresses'!$A:$A, 0))</f>
        <v>-1346</v>
      </c>
      <c r="N262" s="55">
        <f>IFERROR(INDEX('Forces+Stresses'!Q:Q, MATCH(Summary!$A262, 'Forces+Stresses'!$A:$A, 0)), INDEX(Flexjoints!D:D, MATCH(Summary!$A262, Flexjoints!$A:$A, 0)))</f>
        <v>2.0799999999999998E-7</v>
      </c>
      <c r="O262" s="56">
        <f>IFERROR(INDEX('Forces+Stresses'!R:R, MATCH(Summary!$A262, 'Forces+Stresses'!$A:$A, 0)), INDEX(Flexjoints!E:E, MATCH(Summary!$A262, Flexjoints!$A:$A, 0)))</f>
        <v>1.0340000000000001E-5</v>
      </c>
      <c r="P262" s="33" t="str">
        <f>IF(INDEX(Labels!B:B, MATCH(Summary!$A262, Labels!$A:$A, 0)) = 0, "", INDEX(Labels!B:B, MATCH(Summary!$A262, Labels!$A:$A, 0)))</f>
        <v>{Marine Riser String}</v>
      </c>
      <c r="Q262" s="35" t="str">
        <f>IF(INDEX(Labels!C:C, MATCH(Summary!$A262, Labels!$A:$A, 0)) = 0, "", INDEX(Labels!C:C, MATCH(Summary!$A262, Labels!$A:$A, 0)))</f>
        <v>{BOP}</v>
      </c>
      <c r="R262" s="33" t="str">
        <f>IF(INDEX(Labels!D:D, MATCH(Summary!$A262, Labels!$A:$A, 0)) = 0, "", INDEX(Labels!D:D, MATCH(Summary!$A262, Labels!$A:$A, 0)))</f>
        <v/>
      </c>
      <c r="S262" s="35" t="str">
        <f>IF(INDEX(Labels!E:E, MATCH(Summary!$A262, Labels!$A:$A, 0)) = 0, "", INDEX(Labels!E:E, MATCH(Summary!$A262, Labels!$A:$A, 0)))</f>
        <v/>
      </c>
      <c r="T262" s="33" t="str">
        <f>IF(INDEX(Labels!F:F, MATCH(Summary!$A262, Labels!$A:$A, 0)) = 0, "", INDEX(Labels!F:F, MATCH(Summary!$A262, Labels!$A:$A, 0)))</f>
        <v/>
      </c>
      <c r="U262" s="35" t="str">
        <f>IF(INDEX(Labels!G:G, MATCH(Summary!$A262, Labels!$A:$A, 0)) = 0, "", INDEX(Labels!G:G, MATCH(Summary!$A262, Labels!$A:$A, 0)))</f>
        <v/>
      </c>
      <c r="V262" s="62" t="str">
        <f>IF(INDEX(Labels!H:H, MATCH(Summary!$A262, Labels!$A:$A, 0)) = 0, "", INDEX(Labels!H:H, MATCH(Summary!$A262, Labels!$A:$A, 0)))</f>
        <v/>
      </c>
      <c r="W262" t="str">
        <f>IF(INDEX(Labels!I:I, MATCH(Summary!$A262, Labels!$A:$A, 0)) = 0, "", INDEX(Labels!I:I, MATCH(Summary!$A262, Labels!$A:$A, 0)))</f>
        <v/>
      </c>
      <c r="X262" t="str">
        <f>IF(INDEX(Labels!J:J, MATCH(Summary!$A262, Labels!$A:$A, 0)) = 0, "", INDEX(Labels!J:J, MATCH(Summary!$A262, Labels!$A:$A, 0)))</f>
        <v/>
      </c>
    </row>
    <row r="263" spans="1:24" x14ac:dyDescent="0.2">
      <c r="A263" s="33">
        <f>Labels!A264</f>
        <v>257</v>
      </c>
      <c r="B263" s="34">
        <f>INDEX(EchoData!B:B, MATCH(Summary!$A263, EchoData!$A:$A, 0))</f>
        <v>261</v>
      </c>
      <c r="C263" s="35">
        <f>INDEX(EchoData!C:C, MATCH(Summary!$A263, EchoData!$A:$A, 0))</f>
        <v>262</v>
      </c>
      <c r="D263" s="42">
        <f>INDEX(Displacements!B:B, MATCH(Summary!$B263, Displacements!$A:$A, 0))</f>
        <v>4.2759999999999998</v>
      </c>
      <c r="E263" s="43">
        <f>INDEX(Displacements!C:C, MATCH(Summary!$B263, Displacements!$A:$A, 0))</f>
        <v>0</v>
      </c>
      <c r="F263" s="44">
        <f>INDEX(Displacements!D:D, MATCH(Summary!$B263, Displacements!$A:$A, 0))</f>
        <v>0</v>
      </c>
      <c r="G263" s="42">
        <f>INDEX(Displacements!B:B, MATCH(Summary!$C263, Displacements!$A:$A, 0))</f>
        <v>5.1719999999999997</v>
      </c>
      <c r="H263" s="43">
        <f>INDEX(Displacements!C:C, MATCH(Summary!$C263, Displacements!$A:$A, 0))</f>
        <v>0</v>
      </c>
      <c r="I263" s="44">
        <f>INDEX(Displacements!D:D, MATCH(Summary!$C263, Displacements!$A:$A, 0))</f>
        <v>0</v>
      </c>
      <c r="J263" s="42">
        <f t="shared" ref="J263:J326" si="8">SQRT((G263 - D263)^2 + (H263 - E263)^2 + (I263 - F263)^2)</f>
        <v>0.89599999999999991</v>
      </c>
      <c r="K263" s="49">
        <f t="shared" ref="K263:K326" si="9">IF(P263 = P262, J263/J262, "N/A")</f>
        <v>1.4834437086092722</v>
      </c>
      <c r="L263" s="54">
        <f>INDEX('Forces+Stresses'!C:C, MATCH(Summary!$A263, 'Forces+Stresses'!$A:$A, 0))</f>
        <v>-1174</v>
      </c>
      <c r="M263" s="55">
        <f>INDEX('Forces+Stresses'!D:D, MATCH(Summary!$A263, 'Forces+Stresses'!$A:$A, 0))</f>
        <v>-1174</v>
      </c>
      <c r="N263" s="55">
        <f>IFERROR(INDEX('Forces+Stresses'!Q:Q, MATCH(Summary!$A263, 'Forces+Stresses'!$A:$A, 0)), INDEX(Flexjoints!D:D, MATCH(Summary!$A263, Flexjoints!$A:$A, 0)))</f>
        <v>1.3750000000000001E-7</v>
      </c>
      <c r="O263" s="56">
        <f>IFERROR(INDEX('Forces+Stresses'!R:R, MATCH(Summary!$A263, 'Forces+Stresses'!$A:$A, 0)), INDEX(Flexjoints!E:E, MATCH(Summary!$A263, Flexjoints!$A:$A, 0)))</f>
        <v>9.6139999999999998E-6</v>
      </c>
      <c r="P263" s="33" t="str">
        <f>IF(INDEX(Labels!B:B, MATCH(Summary!$A263, Labels!$A:$A, 0)) = 0, "", INDEX(Labels!B:B, MATCH(Summary!$A263, Labels!$A:$A, 0)))</f>
        <v>{Marine Riser String}</v>
      </c>
      <c r="Q263" s="35" t="str">
        <f>IF(INDEX(Labels!C:C, MATCH(Summary!$A263, Labels!$A:$A, 0)) = 0, "", INDEX(Labels!C:C, MATCH(Summary!$A263, Labels!$A:$A, 0)))</f>
        <v>{BOP}</v>
      </c>
      <c r="R263" s="33" t="str">
        <f>IF(INDEX(Labels!D:D, MATCH(Summary!$A263, Labels!$A:$A, 0)) = 0, "", INDEX(Labels!D:D, MATCH(Summary!$A263, Labels!$A:$A, 0)))</f>
        <v/>
      </c>
      <c r="S263" s="35" t="str">
        <f>IF(INDEX(Labels!E:E, MATCH(Summary!$A263, Labels!$A:$A, 0)) = 0, "", INDEX(Labels!E:E, MATCH(Summary!$A263, Labels!$A:$A, 0)))</f>
        <v/>
      </c>
      <c r="T263" s="33" t="str">
        <f>IF(INDEX(Labels!F:F, MATCH(Summary!$A263, Labels!$A:$A, 0)) = 0, "", INDEX(Labels!F:F, MATCH(Summary!$A263, Labels!$A:$A, 0)))</f>
        <v/>
      </c>
      <c r="U263" s="35" t="str">
        <f>IF(INDEX(Labels!G:G, MATCH(Summary!$A263, Labels!$A:$A, 0)) = 0, "", INDEX(Labels!G:G, MATCH(Summary!$A263, Labels!$A:$A, 0)))</f>
        <v/>
      </c>
      <c r="V263" s="62" t="str">
        <f>IF(INDEX(Labels!H:H, MATCH(Summary!$A263, Labels!$A:$A, 0)) = 0, "", INDEX(Labels!H:H, MATCH(Summary!$A263, Labels!$A:$A, 0)))</f>
        <v/>
      </c>
      <c r="W263" t="str">
        <f>IF(INDEX(Labels!I:I, MATCH(Summary!$A263, Labels!$A:$A, 0)) = 0, "", INDEX(Labels!I:I, MATCH(Summary!$A263, Labels!$A:$A, 0)))</f>
        <v/>
      </c>
      <c r="X263" t="str">
        <f>IF(INDEX(Labels!J:J, MATCH(Summary!$A263, Labels!$A:$A, 0)) = 0, "", INDEX(Labels!J:J, MATCH(Summary!$A263, Labels!$A:$A, 0)))</f>
        <v/>
      </c>
    </row>
    <row r="264" spans="1:24" x14ac:dyDescent="0.2">
      <c r="A264" s="33">
        <f>Labels!A265</f>
        <v>258</v>
      </c>
      <c r="B264" s="34">
        <f>INDEX(EchoData!B:B, MATCH(Summary!$A264, EchoData!$A:$A, 0))</f>
        <v>262</v>
      </c>
      <c r="C264" s="35">
        <f>INDEX(EchoData!C:C, MATCH(Summary!$A264, EchoData!$A:$A, 0))</f>
        <v>263</v>
      </c>
      <c r="D264" s="42">
        <f>INDEX(Displacements!B:B, MATCH(Summary!$B264, Displacements!$A:$A, 0))</f>
        <v>5.1719999999999997</v>
      </c>
      <c r="E264" s="43">
        <f>INDEX(Displacements!C:C, MATCH(Summary!$B264, Displacements!$A:$A, 0))</f>
        <v>0</v>
      </c>
      <c r="F264" s="44">
        <f>INDEX(Displacements!D:D, MATCH(Summary!$B264, Displacements!$A:$A, 0))</f>
        <v>0</v>
      </c>
      <c r="G264" s="42">
        <f>INDEX(Displacements!B:B, MATCH(Summary!$C264, Displacements!$A:$A, 0))</f>
        <v>6.0670000000000002</v>
      </c>
      <c r="H264" s="43">
        <f>INDEX(Displacements!C:C, MATCH(Summary!$C264, Displacements!$A:$A, 0))</f>
        <v>0</v>
      </c>
      <c r="I264" s="44">
        <f>INDEX(Displacements!D:D, MATCH(Summary!$C264, Displacements!$A:$A, 0))</f>
        <v>0</v>
      </c>
      <c r="J264" s="42">
        <f t="shared" si="8"/>
        <v>0.89500000000000046</v>
      </c>
      <c r="K264" s="49">
        <f t="shared" si="9"/>
        <v>0.99888392857142916</v>
      </c>
      <c r="L264" s="54">
        <f>INDEX('Forces+Stresses'!C:C, MATCH(Summary!$A264, 'Forces+Stresses'!$A:$A, 0))</f>
        <v>-920.7</v>
      </c>
      <c r="M264" s="55">
        <f>INDEX('Forces+Stresses'!D:D, MATCH(Summary!$A264, 'Forces+Stresses'!$A:$A, 0))</f>
        <v>-920.7</v>
      </c>
      <c r="N264" s="55">
        <f>IFERROR(INDEX('Forces+Stresses'!Q:Q, MATCH(Summary!$A264, 'Forces+Stresses'!$A:$A, 0)), INDEX(Flexjoints!D:D, MATCH(Summary!$A264, Flexjoints!$A:$A, 0)))</f>
        <v>1.42E-7</v>
      </c>
      <c r="O264" s="56">
        <f>IFERROR(INDEX('Forces+Stresses'!R:R, MATCH(Summary!$A264, 'Forces+Stresses'!$A:$A, 0)), INDEX(Flexjoints!E:E, MATCH(Summary!$A264, Flexjoints!$A:$A, 0)))</f>
        <v>8.6969999999999999E-6</v>
      </c>
      <c r="P264" s="33" t="str">
        <f>IF(INDEX(Labels!B:B, MATCH(Summary!$A264, Labels!$A:$A, 0)) = 0, "", INDEX(Labels!B:B, MATCH(Summary!$A264, Labels!$A:$A, 0)))</f>
        <v>{Marine Riser String}</v>
      </c>
      <c r="Q264" s="35" t="str">
        <f>IF(INDEX(Labels!C:C, MATCH(Summary!$A264, Labels!$A:$A, 0)) = 0, "", INDEX(Labels!C:C, MATCH(Summary!$A264, Labels!$A:$A, 0)))</f>
        <v>{BOP}</v>
      </c>
      <c r="R264" s="33" t="str">
        <f>IF(INDEX(Labels!D:D, MATCH(Summary!$A264, Labels!$A:$A, 0)) = 0, "", INDEX(Labels!D:D, MATCH(Summary!$A264, Labels!$A:$A, 0)))</f>
        <v/>
      </c>
      <c r="S264" s="35" t="str">
        <f>IF(INDEX(Labels!E:E, MATCH(Summary!$A264, Labels!$A:$A, 0)) = 0, "", INDEX(Labels!E:E, MATCH(Summary!$A264, Labels!$A:$A, 0)))</f>
        <v/>
      </c>
      <c r="T264" s="33" t="str">
        <f>IF(INDEX(Labels!F:F, MATCH(Summary!$A264, Labels!$A:$A, 0)) = 0, "", INDEX(Labels!F:F, MATCH(Summary!$A264, Labels!$A:$A, 0)))</f>
        <v/>
      </c>
      <c r="U264" s="35" t="str">
        <f>IF(INDEX(Labels!G:G, MATCH(Summary!$A264, Labels!$A:$A, 0)) = 0, "", INDEX(Labels!G:G, MATCH(Summary!$A264, Labels!$A:$A, 0)))</f>
        <v/>
      </c>
      <c r="V264" s="62" t="str">
        <f>IF(INDEX(Labels!H:H, MATCH(Summary!$A264, Labels!$A:$A, 0)) = 0, "", INDEX(Labels!H:H, MATCH(Summary!$A264, Labels!$A:$A, 0)))</f>
        <v/>
      </c>
      <c r="W264" t="str">
        <f>IF(INDEX(Labels!I:I, MATCH(Summary!$A264, Labels!$A:$A, 0)) = 0, "", INDEX(Labels!I:I, MATCH(Summary!$A264, Labels!$A:$A, 0)))</f>
        <v/>
      </c>
      <c r="X264" t="str">
        <f>IF(INDEX(Labels!J:J, MATCH(Summary!$A264, Labels!$A:$A, 0)) = 0, "", INDEX(Labels!J:J, MATCH(Summary!$A264, Labels!$A:$A, 0)))</f>
        <v/>
      </c>
    </row>
    <row r="265" spans="1:24" x14ac:dyDescent="0.2">
      <c r="A265" s="33">
        <f>Labels!A266</f>
        <v>259</v>
      </c>
      <c r="B265" s="34">
        <f>INDEX(EchoData!B:B, MATCH(Summary!$A265, EchoData!$A:$A, 0))</f>
        <v>263</v>
      </c>
      <c r="C265" s="35">
        <f>INDEX(EchoData!C:C, MATCH(Summary!$A265, EchoData!$A:$A, 0))</f>
        <v>264</v>
      </c>
      <c r="D265" s="42">
        <f>INDEX(Displacements!B:B, MATCH(Summary!$B265, Displacements!$A:$A, 0))</f>
        <v>6.0670000000000002</v>
      </c>
      <c r="E265" s="43">
        <f>INDEX(Displacements!C:C, MATCH(Summary!$B265, Displacements!$A:$A, 0))</f>
        <v>0</v>
      </c>
      <c r="F265" s="44">
        <f>INDEX(Displacements!D:D, MATCH(Summary!$B265, Displacements!$A:$A, 0))</f>
        <v>0</v>
      </c>
      <c r="G265" s="42">
        <f>INDEX(Displacements!B:B, MATCH(Summary!$C265, Displacements!$A:$A, 0))</f>
        <v>6.9619999999999997</v>
      </c>
      <c r="H265" s="43">
        <f>INDEX(Displacements!C:C, MATCH(Summary!$C265, Displacements!$A:$A, 0))</f>
        <v>0</v>
      </c>
      <c r="I265" s="44">
        <f>INDEX(Displacements!D:D, MATCH(Summary!$C265, Displacements!$A:$A, 0))</f>
        <v>0</v>
      </c>
      <c r="J265" s="42">
        <f t="shared" si="8"/>
        <v>0.89499999999999957</v>
      </c>
      <c r="K265" s="49">
        <f t="shared" si="9"/>
        <v>0.999999999999999</v>
      </c>
      <c r="L265" s="54">
        <f>INDEX('Forces+Stresses'!C:C, MATCH(Summary!$A265, 'Forces+Stresses'!$A:$A, 0))</f>
        <v>-667</v>
      </c>
      <c r="M265" s="55">
        <f>INDEX('Forces+Stresses'!D:D, MATCH(Summary!$A265, 'Forces+Stresses'!$A:$A, 0))</f>
        <v>-667</v>
      </c>
      <c r="N265" s="55">
        <f>IFERROR(INDEX('Forces+Stresses'!Q:Q, MATCH(Summary!$A265, 'Forces+Stresses'!$A:$A, 0)), INDEX(Flexjoints!D:D, MATCH(Summary!$A265, Flexjoints!$A:$A, 0)))</f>
        <v>2.2289999999999999E-7</v>
      </c>
      <c r="O265" s="56">
        <f>IFERROR(INDEX('Forces+Stresses'!R:R, MATCH(Summary!$A265, 'Forces+Stresses'!$A:$A, 0)), INDEX(Flexjoints!E:E, MATCH(Summary!$A265, Flexjoints!$A:$A, 0)))</f>
        <v>7.909E-6</v>
      </c>
      <c r="P265" s="33" t="str">
        <f>IF(INDEX(Labels!B:B, MATCH(Summary!$A265, Labels!$A:$A, 0)) = 0, "", INDEX(Labels!B:B, MATCH(Summary!$A265, Labels!$A:$A, 0)))</f>
        <v>{Marine Riser String}</v>
      </c>
      <c r="Q265" s="35" t="str">
        <f>IF(INDEX(Labels!C:C, MATCH(Summary!$A265, Labels!$A:$A, 0)) = 0, "", INDEX(Labels!C:C, MATCH(Summary!$A265, Labels!$A:$A, 0)))</f>
        <v>{BOP}</v>
      </c>
      <c r="R265" s="33" t="str">
        <f>IF(INDEX(Labels!D:D, MATCH(Summary!$A265, Labels!$A:$A, 0)) = 0, "", INDEX(Labels!D:D, MATCH(Summary!$A265, Labels!$A:$A, 0)))</f>
        <v/>
      </c>
      <c r="S265" s="35" t="str">
        <f>IF(INDEX(Labels!E:E, MATCH(Summary!$A265, Labels!$A:$A, 0)) = 0, "", INDEX(Labels!E:E, MATCH(Summary!$A265, Labels!$A:$A, 0)))</f>
        <v/>
      </c>
      <c r="T265" s="33" t="str">
        <f>IF(INDEX(Labels!F:F, MATCH(Summary!$A265, Labels!$A:$A, 0)) = 0, "", INDEX(Labels!F:F, MATCH(Summary!$A265, Labels!$A:$A, 0)))</f>
        <v/>
      </c>
      <c r="U265" s="35" t="str">
        <f>IF(INDEX(Labels!G:G, MATCH(Summary!$A265, Labels!$A:$A, 0)) = 0, "", INDEX(Labels!G:G, MATCH(Summary!$A265, Labels!$A:$A, 0)))</f>
        <v/>
      </c>
      <c r="V265" s="62" t="str">
        <f>IF(INDEX(Labels!H:H, MATCH(Summary!$A265, Labels!$A:$A, 0)) = 0, "", INDEX(Labels!H:H, MATCH(Summary!$A265, Labels!$A:$A, 0)))</f>
        <v/>
      </c>
      <c r="W265" t="str">
        <f>IF(INDEX(Labels!I:I, MATCH(Summary!$A265, Labels!$A:$A, 0)) = 0, "", INDEX(Labels!I:I, MATCH(Summary!$A265, Labels!$A:$A, 0)))</f>
        <v/>
      </c>
      <c r="X265" t="str">
        <f>IF(INDEX(Labels!J:J, MATCH(Summary!$A265, Labels!$A:$A, 0)) = 0, "", INDEX(Labels!J:J, MATCH(Summary!$A265, Labels!$A:$A, 0)))</f>
        <v/>
      </c>
    </row>
    <row r="266" spans="1:24" x14ac:dyDescent="0.2">
      <c r="A266" s="33">
        <f>Labels!A267</f>
        <v>260</v>
      </c>
      <c r="B266" s="34">
        <f>INDEX(EchoData!B:B, MATCH(Summary!$A266, EchoData!$A:$A, 0))</f>
        <v>264</v>
      </c>
      <c r="C266" s="35">
        <f>INDEX(EchoData!C:C, MATCH(Summary!$A266, EchoData!$A:$A, 0))</f>
        <v>265</v>
      </c>
      <c r="D266" s="42">
        <f>INDEX(Displacements!B:B, MATCH(Summary!$B266, Displacements!$A:$A, 0))</f>
        <v>6.9619999999999997</v>
      </c>
      <c r="E266" s="43">
        <f>INDEX(Displacements!C:C, MATCH(Summary!$B266, Displacements!$A:$A, 0))</f>
        <v>0</v>
      </c>
      <c r="F266" s="44">
        <f>INDEX(Displacements!D:D, MATCH(Summary!$B266, Displacements!$A:$A, 0))</f>
        <v>0</v>
      </c>
      <c r="G266" s="42">
        <f>INDEX(Displacements!B:B, MATCH(Summary!$C266, Displacements!$A:$A, 0))</f>
        <v>7.8579999999999997</v>
      </c>
      <c r="H266" s="43">
        <f>INDEX(Displacements!C:C, MATCH(Summary!$C266, Displacements!$A:$A, 0))</f>
        <v>0</v>
      </c>
      <c r="I266" s="44">
        <f>INDEX(Displacements!D:D, MATCH(Summary!$C266, Displacements!$A:$A, 0))</f>
        <v>0</v>
      </c>
      <c r="J266" s="42">
        <f t="shared" si="8"/>
        <v>0.89599999999999991</v>
      </c>
      <c r="K266" s="49">
        <f t="shared" si="9"/>
        <v>1.0011173184357545</v>
      </c>
      <c r="L266" s="54">
        <f>INDEX('Forces+Stresses'!C:C, MATCH(Summary!$A266, 'Forces+Stresses'!$A:$A, 0))</f>
        <v>-413.2</v>
      </c>
      <c r="M266" s="55">
        <f>INDEX('Forces+Stresses'!D:D, MATCH(Summary!$A266, 'Forces+Stresses'!$A:$A, 0))</f>
        <v>-413.2</v>
      </c>
      <c r="N266" s="55">
        <f>IFERROR(INDEX('Forces+Stresses'!Q:Q, MATCH(Summary!$A266, 'Forces+Stresses'!$A:$A, 0)), INDEX(Flexjoints!D:D, MATCH(Summary!$A266, Flexjoints!$A:$A, 0)))</f>
        <v>1.2200000000000001E-7</v>
      </c>
      <c r="O266" s="56">
        <f>IFERROR(INDEX('Forces+Stresses'!R:R, MATCH(Summary!$A266, 'Forces+Stresses'!$A:$A, 0)), INDEX(Flexjoints!E:E, MATCH(Summary!$A266, Flexjoints!$A:$A, 0)))</f>
        <v>7.1960000000000002E-6</v>
      </c>
      <c r="P266" s="33" t="str">
        <f>IF(INDEX(Labels!B:B, MATCH(Summary!$A266, Labels!$A:$A, 0)) = 0, "", INDEX(Labels!B:B, MATCH(Summary!$A266, Labels!$A:$A, 0)))</f>
        <v>{Marine Riser String}</v>
      </c>
      <c r="Q266" s="35" t="str">
        <f>IF(INDEX(Labels!C:C, MATCH(Summary!$A266, Labels!$A:$A, 0)) = 0, "", INDEX(Labels!C:C, MATCH(Summary!$A266, Labels!$A:$A, 0)))</f>
        <v>{BOP}</v>
      </c>
      <c r="R266" s="33" t="str">
        <f>IF(INDEX(Labels!D:D, MATCH(Summary!$A266, Labels!$A:$A, 0)) = 0, "", INDEX(Labels!D:D, MATCH(Summary!$A266, Labels!$A:$A, 0)))</f>
        <v/>
      </c>
      <c r="S266" s="35" t="str">
        <f>IF(INDEX(Labels!E:E, MATCH(Summary!$A266, Labels!$A:$A, 0)) = 0, "", INDEX(Labels!E:E, MATCH(Summary!$A266, Labels!$A:$A, 0)))</f>
        <v/>
      </c>
      <c r="T266" s="33" t="str">
        <f>IF(INDEX(Labels!F:F, MATCH(Summary!$A266, Labels!$A:$A, 0)) = 0, "", INDEX(Labels!F:F, MATCH(Summary!$A266, Labels!$A:$A, 0)))</f>
        <v/>
      </c>
      <c r="U266" s="35" t="str">
        <f>IF(INDEX(Labels!G:G, MATCH(Summary!$A266, Labels!$A:$A, 0)) = 0, "", INDEX(Labels!G:G, MATCH(Summary!$A266, Labels!$A:$A, 0)))</f>
        <v/>
      </c>
      <c r="V266" s="62" t="str">
        <f>IF(INDEX(Labels!H:H, MATCH(Summary!$A266, Labels!$A:$A, 0)) = 0, "", INDEX(Labels!H:H, MATCH(Summary!$A266, Labels!$A:$A, 0)))</f>
        <v/>
      </c>
      <c r="W266" t="str">
        <f>IF(INDEX(Labels!I:I, MATCH(Summary!$A266, Labels!$A:$A, 0)) = 0, "", INDEX(Labels!I:I, MATCH(Summary!$A266, Labels!$A:$A, 0)))</f>
        <v/>
      </c>
      <c r="X266" t="str">
        <f>IF(INDEX(Labels!J:J, MATCH(Summary!$A266, Labels!$A:$A, 0)) = 0, "", INDEX(Labels!J:J, MATCH(Summary!$A266, Labels!$A:$A, 0)))</f>
        <v/>
      </c>
    </row>
    <row r="267" spans="1:24" x14ac:dyDescent="0.2">
      <c r="A267" s="33">
        <f>Labels!A268</f>
        <v>261</v>
      </c>
      <c r="B267" s="34">
        <f>INDEX(EchoData!B:B, MATCH(Summary!$A267, EchoData!$A:$A, 0))</f>
        <v>265</v>
      </c>
      <c r="C267" s="35">
        <f>INDEX(EchoData!C:C, MATCH(Summary!$A267, EchoData!$A:$A, 0))</f>
        <v>266</v>
      </c>
      <c r="D267" s="42">
        <f>INDEX(Displacements!B:B, MATCH(Summary!$B267, Displacements!$A:$A, 0))</f>
        <v>7.8579999999999997</v>
      </c>
      <c r="E267" s="43">
        <f>INDEX(Displacements!C:C, MATCH(Summary!$B267, Displacements!$A:$A, 0))</f>
        <v>0</v>
      </c>
      <c r="F267" s="44">
        <f>INDEX(Displacements!D:D, MATCH(Summary!$B267, Displacements!$A:$A, 0))</f>
        <v>0</v>
      </c>
      <c r="G267" s="42">
        <f>INDEX(Displacements!B:B, MATCH(Summary!$C267, Displacements!$A:$A, 0))</f>
        <v>8.7530000000000001</v>
      </c>
      <c r="H267" s="43">
        <f>INDEX(Displacements!C:C, MATCH(Summary!$C267, Displacements!$A:$A, 0))</f>
        <v>0</v>
      </c>
      <c r="I267" s="44">
        <f>INDEX(Displacements!D:D, MATCH(Summary!$C267, Displacements!$A:$A, 0))</f>
        <v>0</v>
      </c>
      <c r="J267" s="42">
        <f t="shared" si="8"/>
        <v>0.89500000000000046</v>
      </c>
      <c r="K267" s="49">
        <f t="shared" si="9"/>
        <v>0.99888392857142916</v>
      </c>
      <c r="L267" s="54">
        <f>INDEX('Forces+Stresses'!C:C, MATCH(Summary!$A267, 'Forces+Stresses'!$A:$A, 0))</f>
        <v>-159.5</v>
      </c>
      <c r="M267" s="55">
        <f>INDEX('Forces+Stresses'!D:D, MATCH(Summary!$A267, 'Forces+Stresses'!$A:$A, 0))</f>
        <v>-159.5</v>
      </c>
      <c r="N267" s="55">
        <f>IFERROR(INDEX('Forces+Stresses'!Q:Q, MATCH(Summary!$A267, 'Forces+Stresses'!$A:$A, 0)), INDEX(Flexjoints!D:D, MATCH(Summary!$A267, Flexjoints!$A:$A, 0)))</f>
        <v>1.572E-7</v>
      </c>
      <c r="O267" s="56">
        <f>IFERROR(INDEX('Forces+Stresses'!R:R, MATCH(Summary!$A267, 'Forces+Stresses'!$A:$A, 0)), INDEX(Flexjoints!E:E, MATCH(Summary!$A267, Flexjoints!$A:$A, 0)))</f>
        <v>6.5010000000000001E-6</v>
      </c>
      <c r="P267" s="33" t="str">
        <f>IF(INDEX(Labels!B:B, MATCH(Summary!$A267, Labels!$A:$A, 0)) = 0, "", INDEX(Labels!B:B, MATCH(Summary!$A267, Labels!$A:$A, 0)))</f>
        <v>{Marine Riser String}</v>
      </c>
      <c r="Q267" s="35" t="str">
        <f>IF(INDEX(Labels!C:C, MATCH(Summary!$A267, Labels!$A:$A, 0)) = 0, "", INDEX(Labels!C:C, MATCH(Summary!$A267, Labels!$A:$A, 0)))</f>
        <v>{BOP}</v>
      </c>
      <c r="R267" s="33" t="str">
        <f>IF(INDEX(Labels!D:D, MATCH(Summary!$A267, Labels!$A:$A, 0)) = 0, "", INDEX(Labels!D:D, MATCH(Summary!$A267, Labels!$A:$A, 0)))</f>
        <v/>
      </c>
      <c r="S267" s="35" t="str">
        <f>IF(INDEX(Labels!E:E, MATCH(Summary!$A267, Labels!$A:$A, 0)) = 0, "", INDEX(Labels!E:E, MATCH(Summary!$A267, Labels!$A:$A, 0)))</f>
        <v/>
      </c>
      <c r="T267" s="33" t="str">
        <f>IF(INDEX(Labels!F:F, MATCH(Summary!$A267, Labels!$A:$A, 0)) = 0, "", INDEX(Labels!F:F, MATCH(Summary!$A267, Labels!$A:$A, 0)))</f>
        <v/>
      </c>
      <c r="U267" s="35" t="str">
        <f>IF(INDEX(Labels!G:G, MATCH(Summary!$A267, Labels!$A:$A, 0)) = 0, "", INDEX(Labels!G:G, MATCH(Summary!$A267, Labels!$A:$A, 0)))</f>
        <v/>
      </c>
      <c r="V267" s="62" t="str">
        <f>IF(INDEX(Labels!H:H, MATCH(Summary!$A267, Labels!$A:$A, 0)) = 0, "", INDEX(Labels!H:H, MATCH(Summary!$A267, Labels!$A:$A, 0)))</f>
        <v/>
      </c>
      <c r="W267" t="str">
        <f>IF(INDEX(Labels!I:I, MATCH(Summary!$A267, Labels!$A:$A, 0)) = 0, "", INDEX(Labels!I:I, MATCH(Summary!$A267, Labels!$A:$A, 0)))</f>
        <v/>
      </c>
      <c r="X267" t="str">
        <f>IF(INDEX(Labels!J:J, MATCH(Summary!$A267, Labels!$A:$A, 0)) = 0, "", INDEX(Labels!J:J, MATCH(Summary!$A267, Labels!$A:$A, 0)))</f>
        <v/>
      </c>
    </row>
    <row r="268" spans="1:24" x14ac:dyDescent="0.2">
      <c r="A268" s="33">
        <f>Labels!A269</f>
        <v>262</v>
      </c>
      <c r="B268" s="34">
        <f>INDEX(EchoData!B:B, MATCH(Summary!$A268, EchoData!$A:$A, 0))</f>
        <v>266</v>
      </c>
      <c r="C268" s="35">
        <f>INDEX(EchoData!C:C, MATCH(Summary!$A268, EchoData!$A:$A, 0))</f>
        <v>267</v>
      </c>
      <c r="D268" s="42">
        <f>INDEX(Displacements!B:B, MATCH(Summary!$B268, Displacements!$A:$A, 0))</f>
        <v>8.7530000000000001</v>
      </c>
      <c r="E268" s="43">
        <f>INDEX(Displacements!C:C, MATCH(Summary!$B268, Displacements!$A:$A, 0))</f>
        <v>0</v>
      </c>
      <c r="F268" s="44">
        <f>INDEX(Displacements!D:D, MATCH(Summary!$B268, Displacements!$A:$A, 0))</f>
        <v>0</v>
      </c>
      <c r="G268" s="42">
        <f>INDEX(Displacements!B:B, MATCH(Summary!$C268, Displacements!$A:$A, 0))</f>
        <v>9.6489999999999991</v>
      </c>
      <c r="H268" s="43">
        <f>INDEX(Displacements!C:C, MATCH(Summary!$C268, Displacements!$A:$A, 0))</f>
        <v>0</v>
      </c>
      <c r="I268" s="44">
        <f>INDEX(Displacements!D:D, MATCH(Summary!$C268, Displacements!$A:$A, 0))</f>
        <v>0</v>
      </c>
      <c r="J268" s="42">
        <f t="shared" si="8"/>
        <v>0.89599999999999902</v>
      </c>
      <c r="K268" s="49">
        <f t="shared" si="9"/>
        <v>1.0011173184357525</v>
      </c>
      <c r="L268" s="54">
        <f>INDEX('Forces+Stresses'!C:C, MATCH(Summary!$A268, 'Forces+Stresses'!$A:$A, 0))</f>
        <v>94.23</v>
      </c>
      <c r="M268" s="55">
        <f>INDEX('Forces+Stresses'!D:D, MATCH(Summary!$A268, 'Forces+Stresses'!$A:$A, 0))</f>
        <v>94.23</v>
      </c>
      <c r="N268" s="55">
        <f>IFERROR(INDEX('Forces+Stresses'!Q:Q, MATCH(Summary!$A268, 'Forces+Stresses'!$A:$A, 0)), INDEX(Flexjoints!D:D, MATCH(Summary!$A268, Flexjoints!$A:$A, 0)))</f>
        <v>1.4929999999999999E-8</v>
      </c>
      <c r="O268" s="56">
        <f>IFERROR(INDEX('Forces+Stresses'!R:R, MATCH(Summary!$A268, 'Forces+Stresses'!$A:$A, 0)), INDEX(Flexjoints!E:E, MATCH(Summary!$A268, Flexjoints!$A:$A, 0)))</f>
        <v>5.8889999999999999E-6</v>
      </c>
      <c r="P268" s="33" t="str">
        <f>IF(INDEX(Labels!B:B, MATCH(Summary!$A268, Labels!$A:$A, 0)) = 0, "", INDEX(Labels!B:B, MATCH(Summary!$A268, Labels!$A:$A, 0)))</f>
        <v>{Marine Riser String}</v>
      </c>
      <c r="Q268" s="35" t="str">
        <f>IF(INDEX(Labels!C:C, MATCH(Summary!$A268, Labels!$A:$A, 0)) = 0, "", INDEX(Labels!C:C, MATCH(Summary!$A268, Labels!$A:$A, 0)))</f>
        <v>{BOP}</v>
      </c>
      <c r="R268" s="33" t="str">
        <f>IF(INDEX(Labels!D:D, MATCH(Summary!$A268, Labels!$A:$A, 0)) = 0, "", INDEX(Labels!D:D, MATCH(Summary!$A268, Labels!$A:$A, 0)))</f>
        <v/>
      </c>
      <c r="S268" s="35" t="str">
        <f>IF(INDEX(Labels!E:E, MATCH(Summary!$A268, Labels!$A:$A, 0)) = 0, "", INDEX(Labels!E:E, MATCH(Summary!$A268, Labels!$A:$A, 0)))</f>
        <v/>
      </c>
      <c r="T268" s="33" t="str">
        <f>IF(INDEX(Labels!F:F, MATCH(Summary!$A268, Labels!$A:$A, 0)) = 0, "", INDEX(Labels!F:F, MATCH(Summary!$A268, Labels!$A:$A, 0)))</f>
        <v/>
      </c>
      <c r="U268" s="35" t="str">
        <f>IF(INDEX(Labels!G:G, MATCH(Summary!$A268, Labels!$A:$A, 0)) = 0, "", INDEX(Labels!G:G, MATCH(Summary!$A268, Labels!$A:$A, 0)))</f>
        <v/>
      </c>
      <c r="V268" s="62" t="str">
        <f>IF(INDEX(Labels!H:H, MATCH(Summary!$A268, Labels!$A:$A, 0)) = 0, "", INDEX(Labels!H:H, MATCH(Summary!$A268, Labels!$A:$A, 0)))</f>
        <v/>
      </c>
      <c r="W268" t="str">
        <f>IF(INDEX(Labels!I:I, MATCH(Summary!$A268, Labels!$A:$A, 0)) = 0, "", INDEX(Labels!I:I, MATCH(Summary!$A268, Labels!$A:$A, 0)))</f>
        <v/>
      </c>
      <c r="X268" t="str">
        <f>IF(INDEX(Labels!J:J, MATCH(Summary!$A268, Labels!$A:$A, 0)) = 0, "", INDEX(Labels!J:J, MATCH(Summary!$A268, Labels!$A:$A, 0)))</f>
        <v/>
      </c>
    </row>
    <row r="269" spans="1:24" x14ac:dyDescent="0.2">
      <c r="A269" s="33">
        <f>Labels!A270</f>
        <v>263</v>
      </c>
      <c r="B269" s="34">
        <f>INDEX(EchoData!B:B, MATCH(Summary!$A269, EchoData!$A:$A, 0))</f>
        <v>267</v>
      </c>
      <c r="C269" s="35">
        <f>INDEX(EchoData!C:C, MATCH(Summary!$A269, EchoData!$A:$A, 0))</f>
        <v>268</v>
      </c>
      <c r="D269" s="42">
        <f>INDEX(Displacements!B:B, MATCH(Summary!$B269, Displacements!$A:$A, 0))</f>
        <v>9.6489999999999991</v>
      </c>
      <c r="E269" s="43">
        <f>INDEX(Displacements!C:C, MATCH(Summary!$B269, Displacements!$A:$A, 0))</f>
        <v>0</v>
      </c>
      <c r="F269" s="44">
        <f>INDEX(Displacements!D:D, MATCH(Summary!$B269, Displacements!$A:$A, 0))</f>
        <v>0</v>
      </c>
      <c r="G269" s="42">
        <f>INDEX(Displacements!B:B, MATCH(Summary!$C269, Displacements!$A:$A, 0))</f>
        <v>10.253</v>
      </c>
      <c r="H269" s="43">
        <f>INDEX(Displacements!C:C, MATCH(Summary!$C269, Displacements!$A:$A, 0))</f>
        <v>0</v>
      </c>
      <c r="I269" s="44">
        <f>INDEX(Displacements!D:D, MATCH(Summary!$C269, Displacements!$A:$A, 0))</f>
        <v>0</v>
      </c>
      <c r="J269" s="42">
        <f t="shared" si="8"/>
        <v>0.60400000000000098</v>
      </c>
      <c r="K269" s="49">
        <f t="shared" si="9"/>
        <v>0.67410714285714468</v>
      </c>
      <c r="L269" s="54">
        <f>INDEX('Forces+Stresses'!C:C, MATCH(Summary!$A269, 'Forces+Stresses'!$A:$A, 0))</f>
        <v>348</v>
      </c>
      <c r="M269" s="55">
        <f>INDEX('Forces+Stresses'!D:D, MATCH(Summary!$A269, 'Forces+Stresses'!$A:$A, 0))</f>
        <v>348</v>
      </c>
      <c r="N269" s="55">
        <f>IFERROR(INDEX('Forces+Stresses'!Q:Q, MATCH(Summary!$A269, 'Forces+Stresses'!$A:$A, 0)), INDEX(Flexjoints!D:D, MATCH(Summary!$A269, Flexjoints!$A:$A, 0)))</f>
        <v>1.8689999999999999E-7</v>
      </c>
      <c r="O269" s="56">
        <f>IFERROR(INDEX('Forces+Stresses'!R:R, MATCH(Summary!$A269, 'Forces+Stresses'!$A:$A, 0)), INDEX(Flexjoints!E:E, MATCH(Summary!$A269, Flexjoints!$A:$A, 0)))</f>
        <v>5.2960000000000006E-6</v>
      </c>
      <c r="P269" s="33" t="str">
        <f>IF(INDEX(Labels!B:B, MATCH(Summary!$A269, Labels!$A:$A, 0)) = 0, "", INDEX(Labels!B:B, MATCH(Summary!$A269, Labels!$A:$A, 0)))</f>
        <v>{Marine Riser String}</v>
      </c>
      <c r="Q269" s="35" t="str">
        <f>IF(INDEX(Labels!C:C, MATCH(Summary!$A269, Labels!$A:$A, 0)) = 0, "", INDEX(Labels!C:C, MATCH(Summary!$A269, Labels!$A:$A, 0)))</f>
        <v>{BOP}</v>
      </c>
      <c r="R269" s="33" t="str">
        <f>IF(INDEX(Labels!D:D, MATCH(Summary!$A269, Labels!$A:$A, 0)) = 0, "", INDEX(Labels!D:D, MATCH(Summary!$A269, Labels!$A:$A, 0)))</f>
        <v/>
      </c>
      <c r="S269" s="35" t="str">
        <f>IF(INDEX(Labels!E:E, MATCH(Summary!$A269, Labels!$A:$A, 0)) = 0, "", INDEX(Labels!E:E, MATCH(Summary!$A269, Labels!$A:$A, 0)))</f>
        <v/>
      </c>
      <c r="T269" s="33" t="str">
        <f>IF(INDEX(Labels!F:F, MATCH(Summary!$A269, Labels!$A:$A, 0)) = 0, "", INDEX(Labels!F:F, MATCH(Summary!$A269, Labels!$A:$A, 0)))</f>
        <v/>
      </c>
      <c r="U269" s="35" t="str">
        <f>IF(INDEX(Labels!G:G, MATCH(Summary!$A269, Labels!$A:$A, 0)) = 0, "", INDEX(Labels!G:G, MATCH(Summary!$A269, Labels!$A:$A, 0)))</f>
        <v/>
      </c>
      <c r="V269" s="62" t="str">
        <f>IF(INDEX(Labels!H:H, MATCH(Summary!$A269, Labels!$A:$A, 0)) = 0, "", INDEX(Labels!H:H, MATCH(Summary!$A269, Labels!$A:$A, 0)))</f>
        <v/>
      </c>
      <c r="W269" t="str">
        <f>IF(INDEX(Labels!I:I, MATCH(Summary!$A269, Labels!$A:$A, 0)) = 0, "", INDEX(Labels!I:I, MATCH(Summary!$A269, Labels!$A:$A, 0)))</f>
        <v/>
      </c>
      <c r="X269" t="str">
        <f>IF(INDEX(Labels!J:J, MATCH(Summary!$A269, Labels!$A:$A, 0)) = 0, "", INDEX(Labels!J:J, MATCH(Summary!$A269, Labels!$A:$A, 0)))</f>
        <v/>
      </c>
    </row>
    <row r="270" spans="1:24" x14ac:dyDescent="0.2">
      <c r="A270" s="33">
        <f>Labels!A271</f>
        <v>264</v>
      </c>
      <c r="B270" s="34">
        <f>INDEX(EchoData!B:B, MATCH(Summary!$A270, EchoData!$A:$A, 0))</f>
        <v>268</v>
      </c>
      <c r="C270" s="35">
        <f>INDEX(EchoData!C:C, MATCH(Summary!$A270, EchoData!$A:$A, 0))</f>
        <v>269</v>
      </c>
      <c r="D270" s="42">
        <f>INDEX(Displacements!B:B, MATCH(Summary!$B270, Displacements!$A:$A, 0))</f>
        <v>10.253</v>
      </c>
      <c r="E270" s="43">
        <f>INDEX(Displacements!C:C, MATCH(Summary!$B270, Displacements!$A:$A, 0))</f>
        <v>0</v>
      </c>
      <c r="F270" s="44">
        <f>INDEX(Displacements!D:D, MATCH(Summary!$B270, Displacements!$A:$A, 0))</f>
        <v>0</v>
      </c>
      <c r="G270" s="42">
        <f>INDEX(Displacements!B:B, MATCH(Summary!$C270, Displacements!$A:$A, 0))</f>
        <v>10.656000000000001</v>
      </c>
      <c r="H270" s="43">
        <f>INDEX(Displacements!C:C, MATCH(Summary!$C270, Displacements!$A:$A, 0))</f>
        <v>0</v>
      </c>
      <c r="I270" s="44">
        <f>INDEX(Displacements!D:D, MATCH(Summary!$C270, Displacements!$A:$A, 0))</f>
        <v>0</v>
      </c>
      <c r="J270" s="42">
        <f t="shared" si="8"/>
        <v>0.40300000000000047</v>
      </c>
      <c r="K270" s="49">
        <f t="shared" si="9"/>
        <v>0.6672185430463573</v>
      </c>
      <c r="L270" s="54">
        <f>INDEX('Forces+Stresses'!C:C, MATCH(Summary!$A270, 'Forces+Stresses'!$A:$A, 0))</f>
        <v>519.20000000000005</v>
      </c>
      <c r="M270" s="55">
        <f>INDEX('Forces+Stresses'!D:D, MATCH(Summary!$A270, 'Forces+Stresses'!$A:$A, 0))</f>
        <v>519.20000000000005</v>
      </c>
      <c r="N270" s="55">
        <f>IFERROR(INDEX('Forces+Stresses'!Q:Q, MATCH(Summary!$A270, 'Forces+Stresses'!$A:$A, 0)), INDEX(Flexjoints!D:D, MATCH(Summary!$A270, Flexjoints!$A:$A, 0)))</f>
        <v>8.1359999999999995E-8</v>
      </c>
      <c r="O270" s="56">
        <f>IFERROR(INDEX('Forces+Stresses'!R:R, MATCH(Summary!$A270, 'Forces+Stresses'!$A:$A, 0)), INDEX(Flexjoints!E:E, MATCH(Summary!$A270, Flexjoints!$A:$A, 0)))</f>
        <v>4.8970000000000007E-6</v>
      </c>
      <c r="P270" s="33" t="str">
        <f>IF(INDEX(Labels!B:B, MATCH(Summary!$A270, Labels!$A:$A, 0)) = 0, "", INDEX(Labels!B:B, MATCH(Summary!$A270, Labels!$A:$A, 0)))</f>
        <v>{Marine Riser String}</v>
      </c>
      <c r="Q270" s="35" t="str">
        <f>IF(INDEX(Labels!C:C, MATCH(Summary!$A270, Labels!$A:$A, 0)) = 0, "", INDEX(Labels!C:C, MATCH(Summary!$A270, Labels!$A:$A, 0)))</f>
        <v>{BOP}</v>
      </c>
      <c r="R270" s="33" t="str">
        <f>IF(INDEX(Labels!D:D, MATCH(Summary!$A270, Labels!$A:$A, 0)) = 0, "", INDEX(Labels!D:D, MATCH(Summary!$A270, Labels!$A:$A, 0)))</f>
        <v/>
      </c>
      <c r="S270" s="35" t="str">
        <f>IF(INDEX(Labels!E:E, MATCH(Summary!$A270, Labels!$A:$A, 0)) = 0, "", INDEX(Labels!E:E, MATCH(Summary!$A270, Labels!$A:$A, 0)))</f>
        <v/>
      </c>
      <c r="T270" s="33" t="str">
        <f>IF(INDEX(Labels!F:F, MATCH(Summary!$A270, Labels!$A:$A, 0)) = 0, "", INDEX(Labels!F:F, MATCH(Summary!$A270, Labels!$A:$A, 0)))</f>
        <v/>
      </c>
      <c r="U270" s="35" t="str">
        <f>IF(INDEX(Labels!G:G, MATCH(Summary!$A270, Labels!$A:$A, 0)) = 0, "", INDEX(Labels!G:G, MATCH(Summary!$A270, Labels!$A:$A, 0)))</f>
        <v/>
      </c>
      <c r="V270" s="62" t="str">
        <f>IF(INDEX(Labels!H:H, MATCH(Summary!$A270, Labels!$A:$A, 0)) = 0, "", INDEX(Labels!H:H, MATCH(Summary!$A270, Labels!$A:$A, 0)))</f>
        <v/>
      </c>
      <c r="W270" t="str">
        <f>IF(INDEX(Labels!I:I, MATCH(Summary!$A270, Labels!$A:$A, 0)) = 0, "", INDEX(Labels!I:I, MATCH(Summary!$A270, Labels!$A:$A, 0)))</f>
        <v/>
      </c>
      <c r="X270" t="str">
        <f>IF(INDEX(Labels!J:J, MATCH(Summary!$A270, Labels!$A:$A, 0)) = 0, "", INDEX(Labels!J:J, MATCH(Summary!$A270, Labels!$A:$A, 0)))</f>
        <v/>
      </c>
    </row>
    <row r="271" spans="1:24" x14ac:dyDescent="0.2">
      <c r="A271" s="33">
        <f>Labels!A272</f>
        <v>265</v>
      </c>
      <c r="B271" s="34">
        <f>INDEX(EchoData!B:B, MATCH(Summary!$A271, EchoData!$A:$A, 0))</f>
        <v>269</v>
      </c>
      <c r="C271" s="35">
        <f>INDEX(EchoData!C:C, MATCH(Summary!$A271, EchoData!$A:$A, 0))</f>
        <v>270</v>
      </c>
      <c r="D271" s="42">
        <f>INDEX(Displacements!B:B, MATCH(Summary!$B271, Displacements!$A:$A, 0))</f>
        <v>10.656000000000001</v>
      </c>
      <c r="E271" s="43">
        <f>INDEX(Displacements!C:C, MATCH(Summary!$B271, Displacements!$A:$A, 0))</f>
        <v>0</v>
      </c>
      <c r="F271" s="44">
        <f>INDEX(Displacements!D:D, MATCH(Summary!$B271, Displacements!$A:$A, 0))</f>
        <v>0</v>
      </c>
      <c r="G271" s="42">
        <f>INDEX(Displacements!B:B, MATCH(Summary!$C271, Displacements!$A:$A, 0))</f>
        <v>10.925000000000001</v>
      </c>
      <c r="H271" s="43">
        <f>INDEX(Displacements!C:C, MATCH(Summary!$C271, Displacements!$A:$A, 0))</f>
        <v>0</v>
      </c>
      <c r="I271" s="44">
        <f>INDEX(Displacements!D:D, MATCH(Summary!$C271, Displacements!$A:$A, 0))</f>
        <v>0</v>
      </c>
      <c r="J271" s="42">
        <f t="shared" si="8"/>
        <v>0.26900000000000013</v>
      </c>
      <c r="K271" s="49">
        <f t="shared" si="9"/>
        <v>0.66749379652605412</v>
      </c>
      <c r="L271" s="54">
        <f>INDEX('Forces+Stresses'!C:C, MATCH(Summary!$A271, 'Forces+Stresses'!$A:$A, 0))</f>
        <v>633.4</v>
      </c>
      <c r="M271" s="55">
        <f>INDEX('Forces+Stresses'!D:D, MATCH(Summary!$A271, 'Forces+Stresses'!$A:$A, 0))</f>
        <v>633.4</v>
      </c>
      <c r="N271" s="55">
        <f>IFERROR(INDEX('Forces+Stresses'!Q:Q, MATCH(Summary!$A271, 'Forces+Stresses'!$A:$A, 0)), INDEX(Flexjoints!D:D, MATCH(Summary!$A271, Flexjoints!$A:$A, 0)))</f>
        <v>8.2580000000000002E-8</v>
      </c>
      <c r="O271" s="56">
        <f>IFERROR(INDEX('Forces+Stresses'!R:R, MATCH(Summary!$A271, 'Forces+Stresses'!$A:$A, 0)), INDEX(Flexjoints!E:E, MATCH(Summary!$A271, Flexjoints!$A:$A, 0)))</f>
        <v>4.6309999999999994E-6</v>
      </c>
      <c r="P271" s="33" t="str">
        <f>IF(INDEX(Labels!B:B, MATCH(Summary!$A271, Labels!$A:$A, 0)) = 0, "", INDEX(Labels!B:B, MATCH(Summary!$A271, Labels!$A:$A, 0)))</f>
        <v>{Marine Riser String}</v>
      </c>
      <c r="Q271" s="35" t="str">
        <f>IF(INDEX(Labels!C:C, MATCH(Summary!$A271, Labels!$A:$A, 0)) = 0, "", INDEX(Labels!C:C, MATCH(Summary!$A271, Labels!$A:$A, 0)))</f>
        <v>{BOP}</v>
      </c>
      <c r="R271" s="33" t="str">
        <f>IF(INDEX(Labels!D:D, MATCH(Summary!$A271, Labels!$A:$A, 0)) = 0, "", INDEX(Labels!D:D, MATCH(Summary!$A271, Labels!$A:$A, 0)))</f>
        <v/>
      </c>
      <c r="S271" s="35" t="str">
        <f>IF(INDEX(Labels!E:E, MATCH(Summary!$A271, Labels!$A:$A, 0)) = 0, "", INDEX(Labels!E:E, MATCH(Summary!$A271, Labels!$A:$A, 0)))</f>
        <v/>
      </c>
      <c r="T271" s="33" t="str">
        <f>IF(INDEX(Labels!F:F, MATCH(Summary!$A271, Labels!$A:$A, 0)) = 0, "", INDEX(Labels!F:F, MATCH(Summary!$A271, Labels!$A:$A, 0)))</f>
        <v/>
      </c>
      <c r="U271" s="35" t="str">
        <f>IF(INDEX(Labels!G:G, MATCH(Summary!$A271, Labels!$A:$A, 0)) = 0, "", INDEX(Labels!G:G, MATCH(Summary!$A271, Labels!$A:$A, 0)))</f>
        <v>{BOP_Last}</v>
      </c>
      <c r="V271" s="62" t="str">
        <f>IF(INDEX(Labels!H:H, MATCH(Summary!$A271, Labels!$A:$A, 0)) = 0, "", INDEX(Labels!H:H, MATCH(Summary!$A271, Labels!$A:$A, 0)))</f>
        <v/>
      </c>
      <c r="W271" t="str">
        <f>IF(INDEX(Labels!I:I, MATCH(Summary!$A271, Labels!$A:$A, 0)) = 0, "", INDEX(Labels!I:I, MATCH(Summary!$A271, Labels!$A:$A, 0)))</f>
        <v/>
      </c>
      <c r="X271" t="str">
        <f>IF(INDEX(Labels!J:J, MATCH(Summary!$A271, Labels!$A:$A, 0)) = 0, "", INDEX(Labels!J:J, MATCH(Summary!$A271, Labels!$A:$A, 0)))</f>
        <v/>
      </c>
    </row>
    <row r="272" spans="1:24" x14ac:dyDescent="0.2">
      <c r="A272" s="33">
        <f>Labels!A273</f>
        <v>266</v>
      </c>
      <c r="B272" s="34">
        <f>INDEX(EchoData!B:B, MATCH(Summary!$A272, EchoData!$A:$A, 0))</f>
        <v>270</v>
      </c>
      <c r="C272" s="35">
        <f>INDEX(EchoData!C:C, MATCH(Summary!$A272, EchoData!$A:$A, 0))</f>
        <v>271</v>
      </c>
      <c r="D272" s="42">
        <f>INDEX(Displacements!B:B, MATCH(Summary!$B272, Displacements!$A:$A, 0))</f>
        <v>10.925000000000001</v>
      </c>
      <c r="E272" s="43">
        <f>INDEX(Displacements!C:C, MATCH(Summary!$B272, Displacements!$A:$A, 0))</f>
        <v>0</v>
      </c>
      <c r="F272" s="44">
        <f>INDEX(Displacements!D:D, MATCH(Summary!$B272, Displacements!$A:$A, 0))</f>
        <v>0</v>
      </c>
      <c r="G272" s="42">
        <f>INDEX(Displacements!B:B, MATCH(Summary!$C272, Displacements!$A:$A, 0))</f>
        <v>11.224</v>
      </c>
      <c r="H272" s="43">
        <f>INDEX(Displacements!C:C, MATCH(Summary!$C272, Displacements!$A:$A, 0))</f>
        <v>0</v>
      </c>
      <c r="I272" s="44">
        <f>INDEX(Displacements!D:D, MATCH(Summary!$C272, Displacements!$A:$A, 0))</f>
        <v>0</v>
      </c>
      <c r="J272" s="42">
        <f t="shared" si="8"/>
        <v>0.29899999999999949</v>
      </c>
      <c r="K272" s="49">
        <f t="shared" si="9"/>
        <v>1.1115241635687707</v>
      </c>
      <c r="L272" s="54">
        <f>INDEX('Forces+Stresses'!C:C, MATCH(Summary!$A272, 'Forces+Stresses'!$A:$A, 0))</f>
        <v>709.5</v>
      </c>
      <c r="M272" s="55">
        <f>INDEX('Forces+Stresses'!D:D, MATCH(Summary!$A272, 'Forces+Stresses'!$A:$A, 0))</f>
        <v>709.5</v>
      </c>
      <c r="N272" s="55">
        <f>IFERROR(INDEX('Forces+Stresses'!Q:Q, MATCH(Summary!$A272, 'Forces+Stresses'!$A:$A, 0)), INDEX(Flexjoints!D:D, MATCH(Summary!$A272, Flexjoints!$A:$A, 0)))</f>
        <v>1.1459999999999999E-7</v>
      </c>
      <c r="O272" s="56">
        <f>IFERROR(INDEX('Forces+Stresses'!R:R, MATCH(Summary!$A272, 'Forces+Stresses'!$A:$A, 0)), INDEX(Flexjoints!E:E, MATCH(Summary!$A272, Flexjoints!$A:$A, 0)))</f>
        <v>4.454E-6</v>
      </c>
      <c r="P272" s="33" t="str">
        <f>IF(INDEX(Labels!B:B, MATCH(Summary!$A272, Labels!$A:$A, 0)) = 0, "", INDEX(Labels!B:B, MATCH(Summary!$A272, Labels!$A:$A, 0)))</f>
        <v>{Marine Riser String}</v>
      </c>
      <c r="Q272" s="35" t="str">
        <f>IF(INDEX(Labels!C:C, MATCH(Summary!$A272, Labels!$A:$A, 0)) = 0, "", INDEX(Labels!C:C, MATCH(Summary!$A272, Labels!$A:$A, 0)))</f>
        <v>{LMRP}</v>
      </c>
      <c r="R272" s="33" t="str">
        <f>IF(INDEX(Labels!D:D, MATCH(Summary!$A272, Labels!$A:$A, 0)) = 0, "", INDEX(Labels!D:D, MATCH(Summary!$A272, Labels!$A:$A, 0)))</f>
        <v/>
      </c>
      <c r="S272" s="35" t="str">
        <f>IF(INDEX(Labels!E:E, MATCH(Summary!$A272, Labels!$A:$A, 0)) = 0, "", INDEX(Labels!E:E, MATCH(Summary!$A272, Labels!$A:$A, 0)))</f>
        <v/>
      </c>
      <c r="T272" s="33" t="str">
        <f>IF(INDEX(Labels!F:F, MATCH(Summary!$A272, Labels!$A:$A, 0)) = 0, "", INDEX(Labels!F:F, MATCH(Summary!$A272, Labels!$A:$A, 0)))</f>
        <v>{LMRP_First}</v>
      </c>
      <c r="U272" s="35" t="str">
        <f>IF(INDEX(Labels!G:G, MATCH(Summary!$A272, Labels!$A:$A, 0)) = 0, "", INDEX(Labels!G:G, MATCH(Summary!$A272, Labels!$A:$A, 0)))</f>
        <v/>
      </c>
      <c r="V272" s="62" t="str">
        <f>IF(INDEX(Labels!H:H, MATCH(Summary!$A272, Labels!$A:$A, 0)) = 0, "", INDEX(Labels!H:H, MATCH(Summary!$A272, Labels!$A:$A, 0)))</f>
        <v/>
      </c>
      <c r="W272" t="str">
        <f>IF(INDEX(Labels!I:I, MATCH(Summary!$A272, Labels!$A:$A, 0)) = 0, "", INDEX(Labels!I:I, MATCH(Summary!$A272, Labels!$A:$A, 0)))</f>
        <v/>
      </c>
      <c r="X272" t="str">
        <f>IF(INDEX(Labels!J:J, MATCH(Summary!$A272, Labels!$A:$A, 0)) = 0, "", INDEX(Labels!J:J, MATCH(Summary!$A272, Labels!$A:$A, 0)))</f>
        <v/>
      </c>
    </row>
    <row r="273" spans="1:24" x14ac:dyDescent="0.2">
      <c r="A273" s="33">
        <f>Labels!A274</f>
        <v>267</v>
      </c>
      <c r="B273" s="34">
        <f>INDEX(EchoData!B:B, MATCH(Summary!$A273, EchoData!$A:$A, 0))</f>
        <v>271</v>
      </c>
      <c r="C273" s="35">
        <f>INDEX(EchoData!C:C, MATCH(Summary!$A273, EchoData!$A:$A, 0))</f>
        <v>272</v>
      </c>
      <c r="D273" s="42">
        <f>INDEX(Displacements!B:B, MATCH(Summary!$B273, Displacements!$A:$A, 0))</f>
        <v>11.224</v>
      </c>
      <c r="E273" s="43">
        <f>INDEX(Displacements!C:C, MATCH(Summary!$B273, Displacements!$A:$A, 0))</f>
        <v>0</v>
      </c>
      <c r="F273" s="44">
        <f>INDEX(Displacements!D:D, MATCH(Summary!$B273, Displacements!$A:$A, 0))</f>
        <v>0</v>
      </c>
      <c r="G273" s="42">
        <f>INDEX(Displacements!B:B, MATCH(Summary!$C273, Displacements!$A:$A, 0))</f>
        <v>11.673</v>
      </c>
      <c r="H273" s="43">
        <f>INDEX(Displacements!C:C, MATCH(Summary!$C273, Displacements!$A:$A, 0))</f>
        <v>0</v>
      </c>
      <c r="I273" s="44">
        <f>INDEX(Displacements!D:D, MATCH(Summary!$C273, Displacements!$A:$A, 0))</f>
        <v>0</v>
      </c>
      <c r="J273" s="42">
        <f t="shared" si="8"/>
        <v>0.44899999999999984</v>
      </c>
      <c r="K273" s="49">
        <f t="shared" si="9"/>
        <v>1.5016722408026777</v>
      </c>
      <c r="L273" s="54">
        <f>INDEX('Forces+Stresses'!C:C, MATCH(Summary!$A273, 'Forces+Stresses'!$A:$A, 0))</f>
        <v>771.4</v>
      </c>
      <c r="M273" s="55">
        <f>INDEX('Forces+Stresses'!D:D, MATCH(Summary!$A273, 'Forces+Stresses'!$A:$A, 0))</f>
        <v>771.4</v>
      </c>
      <c r="N273" s="55">
        <f>IFERROR(INDEX('Forces+Stresses'!Q:Q, MATCH(Summary!$A273, 'Forces+Stresses'!$A:$A, 0)), INDEX(Flexjoints!D:D, MATCH(Summary!$A273, Flexjoints!$A:$A, 0)))</f>
        <v>1.5689999999999998E-7</v>
      </c>
      <c r="O273" s="56">
        <f>IFERROR(INDEX('Forces+Stresses'!R:R, MATCH(Summary!$A273, 'Forces+Stresses'!$A:$A, 0)), INDEX(Flexjoints!E:E, MATCH(Summary!$A273, Flexjoints!$A:$A, 0)))</f>
        <v>4.2579999999999997E-6</v>
      </c>
      <c r="P273" s="33" t="str">
        <f>IF(INDEX(Labels!B:B, MATCH(Summary!$A273, Labels!$A:$A, 0)) = 0, "", INDEX(Labels!B:B, MATCH(Summary!$A273, Labels!$A:$A, 0)))</f>
        <v>{Marine Riser String}</v>
      </c>
      <c r="Q273" s="35" t="str">
        <f>IF(INDEX(Labels!C:C, MATCH(Summary!$A273, Labels!$A:$A, 0)) = 0, "", INDEX(Labels!C:C, MATCH(Summary!$A273, Labels!$A:$A, 0)))</f>
        <v>{LMRP}</v>
      </c>
      <c r="R273" s="33" t="str">
        <f>IF(INDEX(Labels!D:D, MATCH(Summary!$A273, Labels!$A:$A, 0)) = 0, "", INDEX(Labels!D:D, MATCH(Summary!$A273, Labels!$A:$A, 0)))</f>
        <v/>
      </c>
      <c r="S273" s="35" t="str">
        <f>IF(INDEX(Labels!E:E, MATCH(Summary!$A273, Labels!$A:$A, 0)) = 0, "", INDEX(Labels!E:E, MATCH(Summary!$A273, Labels!$A:$A, 0)))</f>
        <v/>
      </c>
      <c r="T273" s="33" t="str">
        <f>IF(INDEX(Labels!F:F, MATCH(Summary!$A273, Labels!$A:$A, 0)) = 0, "", INDEX(Labels!F:F, MATCH(Summary!$A273, Labels!$A:$A, 0)))</f>
        <v/>
      </c>
      <c r="U273" s="35" t="str">
        <f>IF(INDEX(Labels!G:G, MATCH(Summary!$A273, Labels!$A:$A, 0)) = 0, "", INDEX(Labels!G:G, MATCH(Summary!$A273, Labels!$A:$A, 0)))</f>
        <v/>
      </c>
      <c r="V273" s="62" t="str">
        <f>IF(INDEX(Labels!H:H, MATCH(Summary!$A273, Labels!$A:$A, 0)) = 0, "", INDEX(Labels!H:H, MATCH(Summary!$A273, Labels!$A:$A, 0)))</f>
        <v/>
      </c>
      <c r="W273" t="str">
        <f>IF(INDEX(Labels!I:I, MATCH(Summary!$A273, Labels!$A:$A, 0)) = 0, "", INDEX(Labels!I:I, MATCH(Summary!$A273, Labels!$A:$A, 0)))</f>
        <v/>
      </c>
      <c r="X273" t="str">
        <f>IF(INDEX(Labels!J:J, MATCH(Summary!$A273, Labels!$A:$A, 0)) = 0, "", INDEX(Labels!J:J, MATCH(Summary!$A273, Labels!$A:$A, 0)))</f>
        <v/>
      </c>
    </row>
    <row r="274" spans="1:24" x14ac:dyDescent="0.2">
      <c r="A274" s="33">
        <f>Labels!A275</f>
        <v>268</v>
      </c>
      <c r="B274" s="34">
        <f>INDEX(EchoData!B:B, MATCH(Summary!$A274, EchoData!$A:$A, 0))</f>
        <v>272</v>
      </c>
      <c r="C274" s="35">
        <f>INDEX(EchoData!C:C, MATCH(Summary!$A274, EchoData!$A:$A, 0))</f>
        <v>273</v>
      </c>
      <c r="D274" s="42">
        <f>INDEX(Displacements!B:B, MATCH(Summary!$B274, Displacements!$A:$A, 0))</f>
        <v>11.673</v>
      </c>
      <c r="E274" s="43">
        <f>INDEX(Displacements!C:C, MATCH(Summary!$B274, Displacements!$A:$A, 0))</f>
        <v>0</v>
      </c>
      <c r="F274" s="44">
        <f>INDEX(Displacements!D:D, MATCH(Summary!$B274, Displacements!$A:$A, 0))</f>
        <v>0</v>
      </c>
      <c r="G274" s="42">
        <f>INDEX(Displacements!B:B, MATCH(Summary!$C274, Displacements!$A:$A, 0))</f>
        <v>12.346</v>
      </c>
      <c r="H274" s="43">
        <f>INDEX(Displacements!C:C, MATCH(Summary!$C274, Displacements!$A:$A, 0))</f>
        <v>0</v>
      </c>
      <c r="I274" s="44">
        <f>INDEX(Displacements!D:D, MATCH(Summary!$C274, Displacements!$A:$A, 0))</f>
        <v>0</v>
      </c>
      <c r="J274" s="42">
        <f t="shared" si="8"/>
        <v>0.67300000000000004</v>
      </c>
      <c r="K274" s="49">
        <f t="shared" si="9"/>
        <v>1.4988864142538982</v>
      </c>
      <c r="L274" s="54">
        <f>INDEX('Forces+Stresses'!C:C, MATCH(Summary!$A274, 'Forces+Stresses'!$A:$A, 0))</f>
        <v>864.1</v>
      </c>
      <c r="M274" s="55">
        <f>INDEX('Forces+Stresses'!D:D, MATCH(Summary!$A274, 'Forces+Stresses'!$A:$A, 0))</f>
        <v>864.1</v>
      </c>
      <c r="N274" s="55">
        <f>IFERROR(INDEX('Forces+Stresses'!Q:Q, MATCH(Summary!$A274, 'Forces+Stresses'!$A:$A, 0)), INDEX(Flexjoints!D:D, MATCH(Summary!$A274, Flexjoints!$A:$A, 0)))</f>
        <v>1.593E-7</v>
      </c>
      <c r="O274" s="56">
        <f>IFERROR(INDEX('Forces+Stresses'!R:R, MATCH(Summary!$A274, 'Forces+Stresses'!$A:$A, 0)), INDEX(Flexjoints!E:E, MATCH(Summary!$A274, Flexjoints!$A:$A, 0)))</f>
        <v>3.963E-6</v>
      </c>
      <c r="P274" s="33" t="str">
        <f>IF(INDEX(Labels!B:B, MATCH(Summary!$A274, Labels!$A:$A, 0)) = 0, "", INDEX(Labels!B:B, MATCH(Summary!$A274, Labels!$A:$A, 0)))</f>
        <v>{Marine Riser String}</v>
      </c>
      <c r="Q274" s="35" t="str">
        <f>IF(INDEX(Labels!C:C, MATCH(Summary!$A274, Labels!$A:$A, 0)) = 0, "", INDEX(Labels!C:C, MATCH(Summary!$A274, Labels!$A:$A, 0)))</f>
        <v>{LMRP}</v>
      </c>
      <c r="R274" s="33" t="str">
        <f>IF(INDEX(Labels!D:D, MATCH(Summary!$A274, Labels!$A:$A, 0)) = 0, "", INDEX(Labels!D:D, MATCH(Summary!$A274, Labels!$A:$A, 0)))</f>
        <v/>
      </c>
      <c r="S274" s="35" t="str">
        <f>IF(INDEX(Labels!E:E, MATCH(Summary!$A274, Labels!$A:$A, 0)) = 0, "", INDEX(Labels!E:E, MATCH(Summary!$A274, Labels!$A:$A, 0)))</f>
        <v/>
      </c>
      <c r="T274" s="33" t="str">
        <f>IF(INDEX(Labels!F:F, MATCH(Summary!$A274, Labels!$A:$A, 0)) = 0, "", INDEX(Labels!F:F, MATCH(Summary!$A274, Labels!$A:$A, 0)))</f>
        <v/>
      </c>
      <c r="U274" s="35" t="str">
        <f>IF(INDEX(Labels!G:G, MATCH(Summary!$A274, Labels!$A:$A, 0)) = 0, "", INDEX(Labels!G:G, MATCH(Summary!$A274, Labels!$A:$A, 0)))</f>
        <v/>
      </c>
      <c r="V274" s="62" t="str">
        <f>IF(INDEX(Labels!H:H, MATCH(Summary!$A274, Labels!$A:$A, 0)) = 0, "", INDEX(Labels!H:H, MATCH(Summary!$A274, Labels!$A:$A, 0)))</f>
        <v/>
      </c>
      <c r="W274" t="str">
        <f>IF(INDEX(Labels!I:I, MATCH(Summary!$A274, Labels!$A:$A, 0)) = 0, "", INDEX(Labels!I:I, MATCH(Summary!$A274, Labels!$A:$A, 0)))</f>
        <v/>
      </c>
      <c r="X274" t="str">
        <f>IF(INDEX(Labels!J:J, MATCH(Summary!$A274, Labels!$A:$A, 0)) = 0, "", INDEX(Labels!J:J, MATCH(Summary!$A274, Labels!$A:$A, 0)))</f>
        <v/>
      </c>
    </row>
    <row r="275" spans="1:24" x14ac:dyDescent="0.2">
      <c r="A275" s="33">
        <f>Labels!A276</f>
        <v>269</v>
      </c>
      <c r="B275" s="34">
        <f>INDEX(EchoData!B:B, MATCH(Summary!$A275, EchoData!$A:$A, 0))</f>
        <v>273</v>
      </c>
      <c r="C275" s="35">
        <f>INDEX(EchoData!C:C, MATCH(Summary!$A275, EchoData!$A:$A, 0))</f>
        <v>274</v>
      </c>
      <c r="D275" s="42">
        <f>INDEX(Displacements!B:B, MATCH(Summary!$B275, Displacements!$A:$A, 0))</f>
        <v>12.346</v>
      </c>
      <c r="E275" s="43">
        <f>INDEX(Displacements!C:C, MATCH(Summary!$B275, Displacements!$A:$A, 0))</f>
        <v>0</v>
      </c>
      <c r="F275" s="44">
        <f>INDEX(Displacements!D:D, MATCH(Summary!$B275, Displacements!$A:$A, 0))</f>
        <v>0</v>
      </c>
      <c r="G275" s="42">
        <f>INDEX(Displacements!B:B, MATCH(Summary!$C275, Displacements!$A:$A, 0))</f>
        <v>13.342000000000001</v>
      </c>
      <c r="H275" s="43">
        <f>INDEX(Displacements!C:C, MATCH(Summary!$C275, Displacements!$A:$A, 0))</f>
        <v>0</v>
      </c>
      <c r="I275" s="44">
        <f>INDEX(Displacements!D:D, MATCH(Summary!$C275, Displacements!$A:$A, 0))</f>
        <v>0</v>
      </c>
      <c r="J275" s="42">
        <f t="shared" si="8"/>
        <v>0.99600000000000044</v>
      </c>
      <c r="K275" s="49">
        <f t="shared" si="9"/>
        <v>1.4799405646359589</v>
      </c>
      <c r="L275" s="54">
        <f>INDEX('Forces+Stresses'!C:C, MATCH(Summary!$A275, 'Forces+Stresses'!$A:$A, 0))</f>
        <v>1003</v>
      </c>
      <c r="M275" s="55">
        <f>INDEX('Forces+Stresses'!D:D, MATCH(Summary!$A275, 'Forces+Stresses'!$A:$A, 0))</f>
        <v>1003</v>
      </c>
      <c r="N275" s="55">
        <f>IFERROR(INDEX('Forces+Stresses'!Q:Q, MATCH(Summary!$A275, 'Forces+Stresses'!$A:$A, 0)), INDEX(Flexjoints!D:D, MATCH(Summary!$A275, Flexjoints!$A:$A, 0)))</f>
        <v>1.2940000000000001E-7</v>
      </c>
      <c r="O275" s="56">
        <f>IFERROR(INDEX('Forces+Stresses'!R:R, MATCH(Summary!$A275, 'Forces+Stresses'!$A:$A, 0)), INDEX(Flexjoints!E:E, MATCH(Summary!$A275, Flexjoints!$A:$A, 0)))</f>
        <v>3.5209999999999998E-6</v>
      </c>
      <c r="P275" s="33" t="str">
        <f>IF(INDEX(Labels!B:B, MATCH(Summary!$A275, Labels!$A:$A, 0)) = 0, "", INDEX(Labels!B:B, MATCH(Summary!$A275, Labels!$A:$A, 0)))</f>
        <v>{Marine Riser String}</v>
      </c>
      <c r="Q275" s="35" t="str">
        <f>IF(INDEX(Labels!C:C, MATCH(Summary!$A275, Labels!$A:$A, 0)) = 0, "", INDEX(Labels!C:C, MATCH(Summary!$A275, Labels!$A:$A, 0)))</f>
        <v>{LMRP}</v>
      </c>
      <c r="R275" s="33" t="str">
        <f>IF(INDEX(Labels!D:D, MATCH(Summary!$A275, Labels!$A:$A, 0)) = 0, "", INDEX(Labels!D:D, MATCH(Summary!$A275, Labels!$A:$A, 0)))</f>
        <v/>
      </c>
      <c r="S275" s="35" t="str">
        <f>IF(INDEX(Labels!E:E, MATCH(Summary!$A275, Labels!$A:$A, 0)) = 0, "", INDEX(Labels!E:E, MATCH(Summary!$A275, Labels!$A:$A, 0)))</f>
        <v/>
      </c>
      <c r="T275" s="33" t="str">
        <f>IF(INDEX(Labels!F:F, MATCH(Summary!$A275, Labels!$A:$A, 0)) = 0, "", INDEX(Labels!F:F, MATCH(Summary!$A275, Labels!$A:$A, 0)))</f>
        <v/>
      </c>
      <c r="U275" s="35" t="str">
        <f>IF(INDEX(Labels!G:G, MATCH(Summary!$A275, Labels!$A:$A, 0)) = 0, "", INDEX(Labels!G:G, MATCH(Summary!$A275, Labels!$A:$A, 0)))</f>
        <v/>
      </c>
      <c r="V275" s="62" t="str">
        <f>IF(INDEX(Labels!H:H, MATCH(Summary!$A275, Labels!$A:$A, 0)) = 0, "", INDEX(Labels!H:H, MATCH(Summary!$A275, Labels!$A:$A, 0)))</f>
        <v/>
      </c>
      <c r="W275" t="str">
        <f>IF(INDEX(Labels!I:I, MATCH(Summary!$A275, Labels!$A:$A, 0)) = 0, "", INDEX(Labels!I:I, MATCH(Summary!$A275, Labels!$A:$A, 0)))</f>
        <v/>
      </c>
      <c r="X275" t="str">
        <f>IF(INDEX(Labels!J:J, MATCH(Summary!$A275, Labels!$A:$A, 0)) = 0, "", INDEX(Labels!J:J, MATCH(Summary!$A275, Labels!$A:$A, 0)))</f>
        <v/>
      </c>
    </row>
    <row r="276" spans="1:24" x14ac:dyDescent="0.2">
      <c r="A276" s="33">
        <f>Labels!A277</f>
        <v>270</v>
      </c>
      <c r="B276" s="34">
        <f>INDEX(EchoData!B:B, MATCH(Summary!$A276, EchoData!$A:$A, 0))</f>
        <v>274</v>
      </c>
      <c r="C276" s="35">
        <f>INDEX(EchoData!C:C, MATCH(Summary!$A276, EchoData!$A:$A, 0))</f>
        <v>275</v>
      </c>
      <c r="D276" s="42">
        <f>INDEX(Displacements!B:B, MATCH(Summary!$B276, Displacements!$A:$A, 0))</f>
        <v>13.342000000000001</v>
      </c>
      <c r="E276" s="43">
        <f>INDEX(Displacements!C:C, MATCH(Summary!$B276, Displacements!$A:$A, 0))</f>
        <v>0</v>
      </c>
      <c r="F276" s="44">
        <f>INDEX(Displacements!D:D, MATCH(Summary!$B276, Displacements!$A:$A, 0))</f>
        <v>0</v>
      </c>
      <c r="G276" s="42">
        <f>INDEX(Displacements!B:B, MATCH(Summary!$C276, Displacements!$A:$A, 0))</f>
        <v>14.339</v>
      </c>
      <c r="H276" s="43">
        <f>INDEX(Displacements!C:C, MATCH(Summary!$C276, Displacements!$A:$A, 0))</f>
        <v>0</v>
      </c>
      <c r="I276" s="44">
        <f>INDEX(Displacements!D:D, MATCH(Summary!$C276, Displacements!$A:$A, 0))</f>
        <v>0</v>
      </c>
      <c r="J276" s="42">
        <f t="shared" si="8"/>
        <v>0.99699999999999989</v>
      </c>
      <c r="K276" s="49">
        <f t="shared" si="9"/>
        <v>1.0010040160642564</v>
      </c>
      <c r="L276" s="54">
        <f>INDEX('Forces+Stresses'!C:C, MATCH(Summary!$A276, 'Forces+Stresses'!$A:$A, 0))</f>
        <v>1209</v>
      </c>
      <c r="M276" s="55">
        <f>INDEX('Forces+Stresses'!D:D, MATCH(Summary!$A276, 'Forces+Stresses'!$A:$A, 0))</f>
        <v>1209</v>
      </c>
      <c r="N276" s="55">
        <f>IFERROR(INDEX('Forces+Stresses'!Q:Q, MATCH(Summary!$A276, 'Forces+Stresses'!$A:$A, 0)), INDEX(Flexjoints!D:D, MATCH(Summary!$A276, Flexjoints!$A:$A, 0)))</f>
        <v>8.7600000000000004E-8</v>
      </c>
      <c r="O276" s="56">
        <f>IFERROR(INDEX('Forces+Stresses'!R:R, MATCH(Summary!$A276, 'Forces+Stresses'!$A:$A, 0)), INDEX(Flexjoints!E:E, MATCH(Summary!$A276, Flexjoints!$A:$A, 0)))</f>
        <v>2.8719999999999998E-6</v>
      </c>
      <c r="P276" s="33" t="str">
        <f>IF(INDEX(Labels!B:B, MATCH(Summary!$A276, Labels!$A:$A, 0)) = 0, "", INDEX(Labels!B:B, MATCH(Summary!$A276, Labels!$A:$A, 0)))</f>
        <v>{Marine Riser String}</v>
      </c>
      <c r="Q276" s="35" t="str">
        <f>IF(INDEX(Labels!C:C, MATCH(Summary!$A276, Labels!$A:$A, 0)) = 0, "", INDEX(Labels!C:C, MATCH(Summary!$A276, Labels!$A:$A, 0)))</f>
        <v>{LMRP}</v>
      </c>
      <c r="R276" s="33" t="str">
        <f>IF(INDEX(Labels!D:D, MATCH(Summary!$A276, Labels!$A:$A, 0)) = 0, "", INDEX(Labels!D:D, MATCH(Summary!$A276, Labels!$A:$A, 0)))</f>
        <v/>
      </c>
      <c r="S276" s="35" t="str">
        <f>IF(INDEX(Labels!E:E, MATCH(Summary!$A276, Labels!$A:$A, 0)) = 0, "", INDEX(Labels!E:E, MATCH(Summary!$A276, Labels!$A:$A, 0)))</f>
        <v/>
      </c>
      <c r="T276" s="33" t="str">
        <f>IF(INDEX(Labels!F:F, MATCH(Summary!$A276, Labels!$A:$A, 0)) = 0, "", INDEX(Labels!F:F, MATCH(Summary!$A276, Labels!$A:$A, 0)))</f>
        <v/>
      </c>
      <c r="U276" s="35" t="str">
        <f>IF(INDEX(Labels!G:G, MATCH(Summary!$A276, Labels!$A:$A, 0)) = 0, "", INDEX(Labels!G:G, MATCH(Summary!$A276, Labels!$A:$A, 0)))</f>
        <v/>
      </c>
      <c r="V276" s="62" t="str">
        <f>IF(INDEX(Labels!H:H, MATCH(Summary!$A276, Labels!$A:$A, 0)) = 0, "", INDEX(Labels!H:H, MATCH(Summary!$A276, Labels!$A:$A, 0)))</f>
        <v/>
      </c>
      <c r="W276" t="str">
        <f>IF(INDEX(Labels!I:I, MATCH(Summary!$A276, Labels!$A:$A, 0)) = 0, "", INDEX(Labels!I:I, MATCH(Summary!$A276, Labels!$A:$A, 0)))</f>
        <v/>
      </c>
      <c r="X276" t="str">
        <f>IF(INDEX(Labels!J:J, MATCH(Summary!$A276, Labels!$A:$A, 0)) = 0, "", INDEX(Labels!J:J, MATCH(Summary!$A276, Labels!$A:$A, 0)))</f>
        <v/>
      </c>
    </row>
    <row r="277" spans="1:24" x14ac:dyDescent="0.2">
      <c r="A277" s="33">
        <f>Labels!A278</f>
        <v>271</v>
      </c>
      <c r="B277" s="34">
        <f>INDEX(EchoData!B:B, MATCH(Summary!$A277, EchoData!$A:$A, 0))</f>
        <v>275</v>
      </c>
      <c r="C277" s="35">
        <f>INDEX(EchoData!C:C, MATCH(Summary!$A277, EchoData!$A:$A, 0))</f>
        <v>276</v>
      </c>
      <c r="D277" s="42">
        <f>INDEX(Displacements!B:B, MATCH(Summary!$B277, Displacements!$A:$A, 0))</f>
        <v>14.339</v>
      </c>
      <c r="E277" s="43">
        <f>INDEX(Displacements!C:C, MATCH(Summary!$B277, Displacements!$A:$A, 0))</f>
        <v>0</v>
      </c>
      <c r="F277" s="44">
        <f>INDEX(Displacements!D:D, MATCH(Summary!$B277, Displacements!$A:$A, 0))</f>
        <v>0</v>
      </c>
      <c r="G277" s="42">
        <f>INDEX(Displacements!B:B, MATCH(Summary!$C277, Displacements!$A:$A, 0))</f>
        <v>15.096</v>
      </c>
      <c r="H277" s="43">
        <f>INDEX(Displacements!C:C, MATCH(Summary!$C277, Displacements!$A:$A, 0))</f>
        <v>0</v>
      </c>
      <c r="I277" s="44">
        <f>INDEX(Displacements!D:D, MATCH(Summary!$C277, Displacements!$A:$A, 0))</f>
        <v>0</v>
      </c>
      <c r="J277" s="42">
        <f t="shared" si="8"/>
        <v>0.75699999999999967</v>
      </c>
      <c r="K277" s="49">
        <f t="shared" si="9"/>
        <v>0.75927783350050126</v>
      </c>
      <c r="L277" s="54">
        <f>INDEX('Forces+Stresses'!C:C, MATCH(Summary!$A277, 'Forces+Stresses'!$A:$A, 0))</f>
        <v>1415</v>
      </c>
      <c r="M277" s="55">
        <f>INDEX('Forces+Stresses'!D:D, MATCH(Summary!$A277, 'Forces+Stresses'!$A:$A, 0))</f>
        <v>1415</v>
      </c>
      <c r="N277" s="55">
        <f>IFERROR(INDEX('Forces+Stresses'!Q:Q, MATCH(Summary!$A277, 'Forces+Stresses'!$A:$A, 0)), INDEX(Flexjoints!D:D, MATCH(Summary!$A277, Flexjoints!$A:$A, 0)))</f>
        <v>4.9250000000000001E-8</v>
      </c>
      <c r="O277" s="56">
        <f>IFERROR(INDEX('Forces+Stresses'!R:R, MATCH(Summary!$A277, 'Forces+Stresses'!$A:$A, 0)), INDEX(Flexjoints!E:E, MATCH(Summary!$A277, Flexjoints!$A:$A, 0)))</f>
        <v>2.244E-6</v>
      </c>
      <c r="P277" s="33" t="str">
        <f>IF(INDEX(Labels!B:B, MATCH(Summary!$A277, Labels!$A:$A, 0)) = 0, "", INDEX(Labels!B:B, MATCH(Summary!$A277, Labels!$A:$A, 0)))</f>
        <v>{Marine Riser String}</v>
      </c>
      <c r="Q277" s="35" t="str">
        <f>IF(INDEX(Labels!C:C, MATCH(Summary!$A277, Labels!$A:$A, 0)) = 0, "", INDEX(Labels!C:C, MATCH(Summary!$A277, Labels!$A:$A, 0)))</f>
        <v>{LMRP}</v>
      </c>
      <c r="R277" s="33" t="str">
        <f>IF(INDEX(Labels!D:D, MATCH(Summary!$A277, Labels!$A:$A, 0)) = 0, "", INDEX(Labels!D:D, MATCH(Summary!$A277, Labels!$A:$A, 0)))</f>
        <v/>
      </c>
      <c r="S277" s="35" t="str">
        <f>IF(INDEX(Labels!E:E, MATCH(Summary!$A277, Labels!$A:$A, 0)) = 0, "", INDEX(Labels!E:E, MATCH(Summary!$A277, Labels!$A:$A, 0)))</f>
        <v/>
      </c>
      <c r="T277" s="33" t="str">
        <f>IF(INDEX(Labels!F:F, MATCH(Summary!$A277, Labels!$A:$A, 0)) = 0, "", INDEX(Labels!F:F, MATCH(Summary!$A277, Labels!$A:$A, 0)))</f>
        <v/>
      </c>
      <c r="U277" s="35" t="str">
        <f>IF(INDEX(Labels!G:G, MATCH(Summary!$A277, Labels!$A:$A, 0)) = 0, "", INDEX(Labels!G:G, MATCH(Summary!$A277, Labels!$A:$A, 0)))</f>
        <v/>
      </c>
      <c r="V277" s="62" t="str">
        <f>IF(INDEX(Labels!H:H, MATCH(Summary!$A277, Labels!$A:$A, 0)) = 0, "", INDEX(Labels!H:H, MATCH(Summary!$A277, Labels!$A:$A, 0)))</f>
        <v/>
      </c>
      <c r="W277" t="str">
        <f>IF(INDEX(Labels!I:I, MATCH(Summary!$A277, Labels!$A:$A, 0)) = 0, "", INDEX(Labels!I:I, MATCH(Summary!$A277, Labels!$A:$A, 0)))</f>
        <v/>
      </c>
      <c r="X277" t="str">
        <f>IF(INDEX(Labels!J:J, MATCH(Summary!$A277, Labels!$A:$A, 0)) = 0, "", INDEX(Labels!J:J, MATCH(Summary!$A277, Labels!$A:$A, 0)))</f>
        <v/>
      </c>
    </row>
    <row r="278" spans="1:24" x14ac:dyDescent="0.2">
      <c r="A278" s="33">
        <f>Labels!A279</f>
        <v>272</v>
      </c>
      <c r="B278" s="34">
        <f>INDEX(EchoData!B:B, MATCH(Summary!$A278, EchoData!$A:$A, 0))</f>
        <v>276</v>
      </c>
      <c r="C278" s="35">
        <f>INDEX(EchoData!C:C, MATCH(Summary!$A278, EchoData!$A:$A, 0))</f>
        <v>277</v>
      </c>
      <c r="D278" s="42">
        <f>INDEX(Displacements!B:B, MATCH(Summary!$B278, Displacements!$A:$A, 0))</f>
        <v>15.096</v>
      </c>
      <c r="E278" s="43">
        <f>INDEX(Displacements!C:C, MATCH(Summary!$B278, Displacements!$A:$A, 0))</f>
        <v>0</v>
      </c>
      <c r="F278" s="44">
        <f>INDEX(Displacements!D:D, MATCH(Summary!$B278, Displacements!$A:$A, 0))</f>
        <v>0</v>
      </c>
      <c r="G278" s="42">
        <f>INDEX(Displacements!B:B, MATCH(Summary!$C278, Displacements!$A:$A, 0))</f>
        <v>15.601000000000001</v>
      </c>
      <c r="H278" s="43">
        <f>INDEX(Displacements!C:C, MATCH(Summary!$C278, Displacements!$A:$A, 0))</f>
        <v>0</v>
      </c>
      <c r="I278" s="44">
        <f>INDEX(Displacements!D:D, MATCH(Summary!$C278, Displacements!$A:$A, 0))</f>
        <v>0</v>
      </c>
      <c r="J278" s="42">
        <f t="shared" si="8"/>
        <v>0.50500000000000078</v>
      </c>
      <c r="K278" s="49">
        <f t="shared" si="9"/>
        <v>0.66710700132100531</v>
      </c>
      <c r="L278" s="54">
        <f>INDEX('Forces+Stresses'!C:C, MATCH(Summary!$A278, 'Forces+Stresses'!$A:$A, 0))</f>
        <v>1572</v>
      </c>
      <c r="M278" s="55">
        <f>INDEX('Forces+Stresses'!D:D, MATCH(Summary!$A278, 'Forces+Stresses'!$A:$A, 0))</f>
        <v>1572</v>
      </c>
      <c r="N278" s="55">
        <f>IFERROR(INDEX('Forces+Stresses'!Q:Q, MATCH(Summary!$A278, 'Forces+Stresses'!$A:$A, 0)), INDEX(Flexjoints!D:D, MATCH(Summary!$A278, Flexjoints!$A:$A, 0)))</f>
        <v>2.2670000000000001E-8</v>
      </c>
      <c r="O278" s="56">
        <f>IFERROR(INDEX('Forces+Stresses'!R:R, MATCH(Summary!$A278, 'Forces+Stresses'!$A:$A, 0)), INDEX(Flexjoints!E:E, MATCH(Summary!$A278, Flexjoints!$A:$A, 0)))</f>
        <v>1.759E-6</v>
      </c>
      <c r="P278" s="33" t="str">
        <f>IF(INDEX(Labels!B:B, MATCH(Summary!$A278, Labels!$A:$A, 0)) = 0, "", INDEX(Labels!B:B, MATCH(Summary!$A278, Labels!$A:$A, 0)))</f>
        <v>{Marine Riser String}</v>
      </c>
      <c r="Q278" s="35" t="str">
        <f>IF(INDEX(Labels!C:C, MATCH(Summary!$A278, Labels!$A:$A, 0)) = 0, "", INDEX(Labels!C:C, MATCH(Summary!$A278, Labels!$A:$A, 0)))</f>
        <v>{LMRP}</v>
      </c>
      <c r="R278" s="33" t="str">
        <f>IF(INDEX(Labels!D:D, MATCH(Summary!$A278, Labels!$A:$A, 0)) = 0, "", INDEX(Labels!D:D, MATCH(Summary!$A278, Labels!$A:$A, 0)))</f>
        <v/>
      </c>
      <c r="S278" s="35" t="str">
        <f>IF(INDEX(Labels!E:E, MATCH(Summary!$A278, Labels!$A:$A, 0)) = 0, "", INDEX(Labels!E:E, MATCH(Summary!$A278, Labels!$A:$A, 0)))</f>
        <v/>
      </c>
      <c r="T278" s="33" t="str">
        <f>IF(INDEX(Labels!F:F, MATCH(Summary!$A278, Labels!$A:$A, 0)) = 0, "", INDEX(Labels!F:F, MATCH(Summary!$A278, Labels!$A:$A, 0)))</f>
        <v/>
      </c>
      <c r="U278" s="35" t="str">
        <f>IF(INDEX(Labels!G:G, MATCH(Summary!$A278, Labels!$A:$A, 0)) = 0, "", INDEX(Labels!G:G, MATCH(Summary!$A278, Labels!$A:$A, 0)))</f>
        <v/>
      </c>
      <c r="V278" s="62" t="str">
        <f>IF(INDEX(Labels!H:H, MATCH(Summary!$A278, Labels!$A:$A, 0)) = 0, "", INDEX(Labels!H:H, MATCH(Summary!$A278, Labels!$A:$A, 0)))</f>
        <v/>
      </c>
      <c r="W278" t="str">
        <f>IF(INDEX(Labels!I:I, MATCH(Summary!$A278, Labels!$A:$A, 0)) = 0, "", INDEX(Labels!I:I, MATCH(Summary!$A278, Labels!$A:$A, 0)))</f>
        <v/>
      </c>
      <c r="X278" t="str">
        <f>IF(INDEX(Labels!J:J, MATCH(Summary!$A278, Labels!$A:$A, 0)) = 0, "", INDEX(Labels!J:J, MATCH(Summary!$A278, Labels!$A:$A, 0)))</f>
        <v/>
      </c>
    </row>
    <row r="279" spans="1:24" x14ac:dyDescent="0.2">
      <c r="A279" s="33">
        <f>Labels!A280</f>
        <v>273</v>
      </c>
      <c r="B279" s="34">
        <f>INDEX(EchoData!B:B, MATCH(Summary!$A279, EchoData!$A:$A, 0))</f>
        <v>277</v>
      </c>
      <c r="C279" s="35">
        <f>INDEX(EchoData!C:C, MATCH(Summary!$A279, EchoData!$A:$A, 0))</f>
        <v>278</v>
      </c>
      <c r="D279" s="42">
        <f>INDEX(Displacements!B:B, MATCH(Summary!$B279, Displacements!$A:$A, 0))</f>
        <v>15.601000000000001</v>
      </c>
      <c r="E279" s="43">
        <f>INDEX(Displacements!C:C, MATCH(Summary!$B279, Displacements!$A:$A, 0))</f>
        <v>0</v>
      </c>
      <c r="F279" s="44">
        <f>INDEX(Displacements!D:D, MATCH(Summary!$B279, Displacements!$A:$A, 0))</f>
        <v>0</v>
      </c>
      <c r="G279" s="42">
        <f>INDEX(Displacements!B:B, MATCH(Summary!$C279, Displacements!$A:$A, 0))</f>
        <v>15.936999999999999</v>
      </c>
      <c r="H279" s="43">
        <f>INDEX(Displacements!C:C, MATCH(Summary!$C279, Displacements!$A:$A, 0))</f>
        <v>0</v>
      </c>
      <c r="I279" s="44">
        <f>INDEX(Displacements!D:D, MATCH(Summary!$C279, Displacements!$A:$A, 0))</f>
        <v>0</v>
      </c>
      <c r="J279" s="42">
        <f t="shared" si="8"/>
        <v>0.33599999999999852</v>
      </c>
      <c r="K279" s="49">
        <f t="shared" si="9"/>
        <v>0.66534653465346139</v>
      </c>
      <c r="L279" s="54">
        <f>INDEX('Forces+Stresses'!C:C, MATCH(Summary!$A279, 'Forces+Stresses'!$A:$A, 0))</f>
        <v>1676</v>
      </c>
      <c r="M279" s="55">
        <f>INDEX('Forces+Stresses'!D:D, MATCH(Summary!$A279, 'Forces+Stresses'!$A:$A, 0))</f>
        <v>1676</v>
      </c>
      <c r="N279" s="55">
        <f>IFERROR(INDEX('Forces+Stresses'!Q:Q, MATCH(Summary!$A279, 'Forces+Stresses'!$A:$A, 0)), INDEX(Flexjoints!D:D, MATCH(Summary!$A279, Flexjoints!$A:$A, 0)))</f>
        <v>6.2700000000000001E-9</v>
      </c>
      <c r="O279" s="56">
        <f>IFERROR(INDEX('Forces+Stresses'!R:R, MATCH(Summary!$A279, 'Forces+Stresses'!$A:$A, 0)), INDEX(Flexjoints!E:E, MATCH(Summary!$A279, Flexjoints!$A:$A, 0)))</f>
        <v>1.4319999999999998E-6</v>
      </c>
      <c r="P279" s="33" t="str">
        <f>IF(INDEX(Labels!B:B, MATCH(Summary!$A279, Labels!$A:$A, 0)) = 0, "", INDEX(Labels!B:B, MATCH(Summary!$A279, Labels!$A:$A, 0)))</f>
        <v>{Marine Riser String}</v>
      </c>
      <c r="Q279" s="35" t="str">
        <f>IF(INDEX(Labels!C:C, MATCH(Summary!$A279, Labels!$A:$A, 0)) = 0, "", INDEX(Labels!C:C, MATCH(Summary!$A279, Labels!$A:$A, 0)))</f>
        <v>{LMRP}</v>
      </c>
      <c r="R279" s="33" t="str">
        <f>IF(INDEX(Labels!D:D, MATCH(Summary!$A279, Labels!$A:$A, 0)) = 0, "", INDEX(Labels!D:D, MATCH(Summary!$A279, Labels!$A:$A, 0)))</f>
        <v/>
      </c>
      <c r="S279" s="35" t="str">
        <f>IF(INDEX(Labels!E:E, MATCH(Summary!$A279, Labels!$A:$A, 0)) = 0, "", INDEX(Labels!E:E, MATCH(Summary!$A279, Labels!$A:$A, 0)))</f>
        <v/>
      </c>
      <c r="T279" s="33" t="str">
        <f>IF(INDEX(Labels!F:F, MATCH(Summary!$A279, Labels!$A:$A, 0)) = 0, "", INDEX(Labels!F:F, MATCH(Summary!$A279, Labels!$A:$A, 0)))</f>
        <v/>
      </c>
      <c r="U279" s="35" t="str">
        <f>IF(INDEX(Labels!G:G, MATCH(Summary!$A279, Labels!$A:$A, 0)) = 0, "", INDEX(Labels!G:G, MATCH(Summary!$A279, Labels!$A:$A, 0)))</f>
        <v/>
      </c>
      <c r="V279" s="62" t="str">
        <f>IF(INDEX(Labels!H:H, MATCH(Summary!$A279, Labels!$A:$A, 0)) = 0, "", INDEX(Labels!H:H, MATCH(Summary!$A279, Labels!$A:$A, 0)))</f>
        <v/>
      </c>
      <c r="W279" t="str">
        <f>IF(INDEX(Labels!I:I, MATCH(Summary!$A279, Labels!$A:$A, 0)) = 0, "", INDEX(Labels!I:I, MATCH(Summary!$A279, Labels!$A:$A, 0)))</f>
        <v/>
      </c>
      <c r="X279" t="str">
        <f>IF(INDEX(Labels!J:J, MATCH(Summary!$A279, Labels!$A:$A, 0)) = 0, "", INDEX(Labels!J:J, MATCH(Summary!$A279, Labels!$A:$A, 0)))</f>
        <v/>
      </c>
    </row>
    <row r="280" spans="1:24" x14ac:dyDescent="0.2">
      <c r="A280" s="33">
        <f>Labels!A281</f>
        <v>274</v>
      </c>
      <c r="B280" s="34">
        <f>INDEX(EchoData!B:B, MATCH(Summary!$A280, EchoData!$A:$A, 0))</f>
        <v>278</v>
      </c>
      <c r="C280" s="35">
        <f>INDEX(EchoData!C:C, MATCH(Summary!$A280, EchoData!$A:$A, 0))</f>
        <v>279</v>
      </c>
      <c r="D280" s="42">
        <f>INDEX(Displacements!B:B, MATCH(Summary!$B280, Displacements!$A:$A, 0))</f>
        <v>15.936999999999999</v>
      </c>
      <c r="E280" s="43">
        <f>INDEX(Displacements!C:C, MATCH(Summary!$B280, Displacements!$A:$A, 0))</f>
        <v>0</v>
      </c>
      <c r="F280" s="44">
        <f>INDEX(Displacements!D:D, MATCH(Summary!$B280, Displacements!$A:$A, 0))</f>
        <v>0</v>
      </c>
      <c r="G280" s="42">
        <f>INDEX(Displacements!B:B, MATCH(Summary!$C280, Displacements!$A:$A, 0))</f>
        <v>16.161999999999999</v>
      </c>
      <c r="H280" s="43">
        <f>INDEX(Displacements!C:C, MATCH(Summary!$C280, Displacements!$A:$A, 0))</f>
        <v>0</v>
      </c>
      <c r="I280" s="44">
        <f>INDEX(Displacements!D:D, MATCH(Summary!$C280, Displacements!$A:$A, 0))</f>
        <v>0</v>
      </c>
      <c r="J280" s="42">
        <f t="shared" si="8"/>
        <v>0.22499999999999964</v>
      </c>
      <c r="K280" s="49">
        <f t="shared" si="9"/>
        <v>0.66964285714285898</v>
      </c>
      <c r="L280" s="54">
        <f>INDEX('Forces+Stresses'!C:C, MATCH(Summary!$A280, 'Forces+Stresses'!$A:$A, 0))</f>
        <v>1746</v>
      </c>
      <c r="M280" s="55">
        <f>INDEX('Forces+Stresses'!D:D, MATCH(Summary!$A280, 'Forces+Stresses'!$A:$A, 0))</f>
        <v>1746</v>
      </c>
      <c r="N280" s="55">
        <f>IFERROR(INDEX('Forces+Stresses'!Q:Q, MATCH(Summary!$A280, 'Forces+Stresses'!$A:$A, 0)), INDEX(Flexjoints!D:D, MATCH(Summary!$A280, Flexjoints!$A:$A, 0)))</f>
        <v>4.1640000000000001E-9</v>
      </c>
      <c r="O280" s="56">
        <f>IFERROR(INDEX('Forces+Stresses'!R:R, MATCH(Summary!$A280, 'Forces+Stresses'!$A:$A, 0)), INDEX(Flexjoints!E:E, MATCH(Summary!$A280, Flexjoints!$A:$A, 0)))</f>
        <v>1.212E-6</v>
      </c>
      <c r="P280" s="33" t="str">
        <f>IF(INDEX(Labels!B:B, MATCH(Summary!$A280, Labels!$A:$A, 0)) = 0, "", INDEX(Labels!B:B, MATCH(Summary!$A280, Labels!$A:$A, 0)))</f>
        <v>{Marine Riser String}</v>
      </c>
      <c r="Q280" s="35" t="str">
        <f>IF(INDEX(Labels!C:C, MATCH(Summary!$A280, Labels!$A:$A, 0)) = 0, "", INDEX(Labels!C:C, MATCH(Summary!$A280, Labels!$A:$A, 0)))</f>
        <v>{LMRP}</v>
      </c>
      <c r="R280" s="33" t="str">
        <f>IF(INDEX(Labels!D:D, MATCH(Summary!$A280, Labels!$A:$A, 0)) = 0, "", INDEX(Labels!D:D, MATCH(Summary!$A280, Labels!$A:$A, 0)))</f>
        <v/>
      </c>
      <c r="S280" s="35" t="str">
        <f>IF(INDEX(Labels!E:E, MATCH(Summary!$A280, Labels!$A:$A, 0)) = 0, "", INDEX(Labels!E:E, MATCH(Summary!$A280, Labels!$A:$A, 0)))</f>
        <v/>
      </c>
      <c r="T280" s="33" t="str">
        <f>IF(INDEX(Labels!F:F, MATCH(Summary!$A280, Labels!$A:$A, 0)) = 0, "", INDEX(Labels!F:F, MATCH(Summary!$A280, Labels!$A:$A, 0)))</f>
        <v/>
      </c>
      <c r="U280" s="35" t="str">
        <f>IF(INDEX(Labels!G:G, MATCH(Summary!$A280, Labels!$A:$A, 0)) = 0, "", INDEX(Labels!G:G, MATCH(Summary!$A280, Labels!$A:$A, 0)))</f>
        <v/>
      </c>
      <c r="V280" s="62" t="str">
        <f>IF(INDEX(Labels!H:H, MATCH(Summary!$A280, Labels!$A:$A, 0)) = 0, "", INDEX(Labels!H:H, MATCH(Summary!$A280, Labels!$A:$A, 0)))</f>
        <v/>
      </c>
      <c r="W280" t="str">
        <f>IF(INDEX(Labels!I:I, MATCH(Summary!$A280, Labels!$A:$A, 0)) = 0, "", INDEX(Labels!I:I, MATCH(Summary!$A280, Labels!$A:$A, 0)))</f>
        <v/>
      </c>
      <c r="X280" t="str">
        <f>IF(INDEX(Labels!J:J, MATCH(Summary!$A280, Labels!$A:$A, 0)) = 0, "", INDEX(Labels!J:J, MATCH(Summary!$A280, Labels!$A:$A, 0)))</f>
        <v/>
      </c>
    </row>
    <row r="281" spans="1:24" x14ac:dyDescent="0.2">
      <c r="A281" s="33">
        <f>Labels!A282</f>
        <v>275</v>
      </c>
      <c r="B281" s="34">
        <f>INDEX(EchoData!B:B, MATCH(Summary!$A281, EchoData!$A:$A, 0))</f>
        <v>279</v>
      </c>
      <c r="C281" s="35">
        <f>INDEX(EchoData!C:C, MATCH(Summary!$A281, EchoData!$A:$A, 0))</f>
        <v>280</v>
      </c>
      <c r="D281" s="42">
        <f>INDEX(Displacements!B:B, MATCH(Summary!$B281, Displacements!$A:$A, 0))</f>
        <v>16.161999999999999</v>
      </c>
      <c r="E281" s="43">
        <f>INDEX(Displacements!C:C, MATCH(Summary!$B281, Displacements!$A:$A, 0))</f>
        <v>0</v>
      </c>
      <c r="F281" s="44">
        <f>INDEX(Displacements!D:D, MATCH(Summary!$B281, Displacements!$A:$A, 0))</f>
        <v>0</v>
      </c>
      <c r="G281" s="42">
        <f>INDEX(Displacements!B:B, MATCH(Summary!$C281, Displacements!$A:$A, 0))</f>
        <v>16.311</v>
      </c>
      <c r="H281" s="43">
        <f>INDEX(Displacements!C:C, MATCH(Summary!$C281, Displacements!$A:$A, 0))</f>
        <v>0</v>
      </c>
      <c r="I281" s="44">
        <f>INDEX(Displacements!D:D, MATCH(Summary!$C281, Displacements!$A:$A, 0))</f>
        <v>0</v>
      </c>
      <c r="J281" s="42">
        <f t="shared" si="8"/>
        <v>0.14900000000000091</v>
      </c>
      <c r="K281" s="49">
        <f t="shared" si="9"/>
        <v>0.66222222222222726</v>
      </c>
      <c r="L281" s="54">
        <f>INDEX('Forces+Stresses'!C:C, MATCH(Summary!$A281, 'Forces+Stresses'!$A:$A, 0))</f>
        <v>1792</v>
      </c>
      <c r="M281" s="55">
        <f>INDEX('Forces+Stresses'!D:D, MATCH(Summary!$A281, 'Forces+Stresses'!$A:$A, 0))</f>
        <v>1792</v>
      </c>
      <c r="N281" s="55">
        <f>IFERROR(INDEX('Forces+Stresses'!Q:Q, MATCH(Summary!$A281, 'Forces+Stresses'!$A:$A, 0)), INDEX(Flexjoints!D:D, MATCH(Summary!$A281, Flexjoints!$A:$A, 0)))</f>
        <v>1.076E-8</v>
      </c>
      <c r="O281" s="56">
        <f>IFERROR(INDEX('Forces+Stresses'!R:R, MATCH(Summary!$A281, 'Forces+Stresses'!$A:$A, 0)), INDEX(Flexjoints!E:E, MATCH(Summary!$A281, Flexjoints!$A:$A, 0)))</f>
        <v>1.065E-6</v>
      </c>
      <c r="P281" s="33" t="str">
        <f>IF(INDEX(Labels!B:B, MATCH(Summary!$A281, Labels!$A:$A, 0)) = 0, "", INDEX(Labels!B:B, MATCH(Summary!$A281, Labels!$A:$A, 0)))</f>
        <v>{Marine Riser String}</v>
      </c>
      <c r="Q281" s="35" t="str">
        <f>IF(INDEX(Labels!C:C, MATCH(Summary!$A281, Labels!$A:$A, 0)) = 0, "", INDEX(Labels!C:C, MATCH(Summary!$A281, Labels!$A:$A, 0)))</f>
        <v>{LMRP}</v>
      </c>
      <c r="R281" s="33" t="str">
        <f>IF(INDEX(Labels!D:D, MATCH(Summary!$A281, Labels!$A:$A, 0)) = 0, "", INDEX(Labels!D:D, MATCH(Summary!$A281, Labels!$A:$A, 0)))</f>
        <v/>
      </c>
      <c r="S281" s="35" t="str">
        <f>IF(INDEX(Labels!E:E, MATCH(Summary!$A281, Labels!$A:$A, 0)) = 0, "", INDEX(Labels!E:E, MATCH(Summary!$A281, Labels!$A:$A, 0)))</f>
        <v/>
      </c>
      <c r="T281" s="33" t="str">
        <f>IF(INDEX(Labels!F:F, MATCH(Summary!$A281, Labels!$A:$A, 0)) = 0, "", INDEX(Labels!F:F, MATCH(Summary!$A281, Labels!$A:$A, 0)))</f>
        <v/>
      </c>
      <c r="U281" s="35" t="str">
        <f>IF(INDEX(Labels!G:G, MATCH(Summary!$A281, Labels!$A:$A, 0)) = 0, "", INDEX(Labels!G:G, MATCH(Summary!$A281, Labels!$A:$A, 0)))</f>
        <v/>
      </c>
      <c r="V281" s="62" t="str">
        <f>IF(INDEX(Labels!H:H, MATCH(Summary!$A281, Labels!$A:$A, 0)) = 0, "", INDEX(Labels!H:H, MATCH(Summary!$A281, Labels!$A:$A, 0)))</f>
        <v/>
      </c>
      <c r="W281" t="str">
        <f>IF(INDEX(Labels!I:I, MATCH(Summary!$A281, Labels!$A:$A, 0)) = 0, "", INDEX(Labels!I:I, MATCH(Summary!$A281, Labels!$A:$A, 0)))</f>
        <v/>
      </c>
      <c r="X281" t="str">
        <f>IF(INDEX(Labels!J:J, MATCH(Summary!$A281, Labels!$A:$A, 0)) = 0, "", INDEX(Labels!J:J, MATCH(Summary!$A281, Labels!$A:$A, 0)))</f>
        <v/>
      </c>
    </row>
    <row r="282" spans="1:24" x14ac:dyDescent="0.2">
      <c r="A282" s="33">
        <f>Labels!A283</f>
        <v>276</v>
      </c>
      <c r="B282" s="34">
        <f>INDEX(EchoData!B:B, MATCH(Summary!$A282, EchoData!$A:$A, 0))</f>
        <v>280</v>
      </c>
      <c r="C282" s="35">
        <f>INDEX(EchoData!C:C, MATCH(Summary!$A282, EchoData!$A:$A, 0))</f>
        <v>281</v>
      </c>
      <c r="D282" s="42">
        <f>INDEX(Displacements!B:B, MATCH(Summary!$B282, Displacements!$A:$A, 0))</f>
        <v>16.311</v>
      </c>
      <c r="E282" s="43">
        <f>INDEX(Displacements!C:C, MATCH(Summary!$B282, Displacements!$A:$A, 0))</f>
        <v>0</v>
      </c>
      <c r="F282" s="44">
        <f>INDEX(Displacements!D:D, MATCH(Summary!$B282, Displacements!$A:$A, 0))</f>
        <v>0</v>
      </c>
      <c r="G282" s="42">
        <f>INDEX(Displacements!B:B, MATCH(Summary!$C282, Displacements!$A:$A, 0))</f>
        <v>16.411000000000001</v>
      </c>
      <c r="H282" s="43">
        <f>INDEX(Displacements!C:C, MATCH(Summary!$C282, Displacements!$A:$A, 0))</f>
        <v>0</v>
      </c>
      <c r="I282" s="44">
        <f>INDEX(Displacements!D:D, MATCH(Summary!$C282, Displacements!$A:$A, 0))</f>
        <v>0</v>
      </c>
      <c r="J282" s="42">
        <f t="shared" si="8"/>
        <v>0.10000000000000142</v>
      </c>
      <c r="K282" s="49">
        <f t="shared" si="9"/>
        <v>0.67114093959732091</v>
      </c>
      <c r="L282" s="54">
        <f>INDEX('Forces+Stresses'!C:C, MATCH(Summary!$A282, 'Forces+Stresses'!$A:$A, 0))</f>
        <v>1823</v>
      </c>
      <c r="M282" s="55">
        <f>INDEX('Forces+Stresses'!D:D, MATCH(Summary!$A282, 'Forces+Stresses'!$A:$A, 0))</f>
        <v>1823</v>
      </c>
      <c r="N282" s="55">
        <f>IFERROR(INDEX('Forces+Stresses'!Q:Q, MATCH(Summary!$A282, 'Forces+Stresses'!$A:$A, 0)), INDEX(Flexjoints!D:D, MATCH(Summary!$A282, Flexjoints!$A:$A, 0)))</f>
        <v>1.5049999999999999E-8</v>
      </c>
      <c r="O282" s="56">
        <f>IFERROR(INDEX('Forces+Stresses'!R:R, MATCH(Summary!$A282, 'Forces+Stresses'!$A:$A, 0)), INDEX(Flexjoints!E:E, MATCH(Summary!$A282, Flexjoints!$A:$A, 0)))</f>
        <v>9.668E-7</v>
      </c>
      <c r="P282" s="33" t="str">
        <f>IF(INDEX(Labels!B:B, MATCH(Summary!$A282, Labels!$A:$A, 0)) = 0, "", INDEX(Labels!B:B, MATCH(Summary!$A282, Labels!$A:$A, 0)))</f>
        <v>{Marine Riser String}</v>
      </c>
      <c r="Q282" s="35" t="str">
        <f>IF(INDEX(Labels!C:C, MATCH(Summary!$A282, Labels!$A:$A, 0)) = 0, "", INDEX(Labels!C:C, MATCH(Summary!$A282, Labels!$A:$A, 0)))</f>
        <v>{LMRP}</v>
      </c>
      <c r="R282" s="33" t="str">
        <f>IF(INDEX(Labels!D:D, MATCH(Summary!$A282, Labels!$A:$A, 0)) = 0, "", INDEX(Labels!D:D, MATCH(Summary!$A282, Labels!$A:$A, 0)))</f>
        <v/>
      </c>
      <c r="S282" s="35" t="str">
        <f>IF(INDEX(Labels!E:E, MATCH(Summary!$A282, Labels!$A:$A, 0)) = 0, "", INDEX(Labels!E:E, MATCH(Summary!$A282, Labels!$A:$A, 0)))</f>
        <v/>
      </c>
      <c r="T282" s="33" t="str">
        <f>IF(INDEX(Labels!F:F, MATCH(Summary!$A282, Labels!$A:$A, 0)) = 0, "", INDEX(Labels!F:F, MATCH(Summary!$A282, Labels!$A:$A, 0)))</f>
        <v/>
      </c>
      <c r="U282" s="35" t="str">
        <f>IF(INDEX(Labels!G:G, MATCH(Summary!$A282, Labels!$A:$A, 0)) = 0, "", INDEX(Labels!G:G, MATCH(Summary!$A282, Labels!$A:$A, 0)))</f>
        <v>{LMRP_Last}</v>
      </c>
      <c r="V282" s="62" t="str">
        <f>IF(INDEX(Labels!H:H, MATCH(Summary!$A282, Labels!$A:$A, 0)) = 0, "", INDEX(Labels!H:H, MATCH(Summary!$A282, Labels!$A:$A, 0)))</f>
        <v/>
      </c>
      <c r="W282" t="str">
        <f>IF(INDEX(Labels!I:I, MATCH(Summary!$A282, Labels!$A:$A, 0)) = 0, "", INDEX(Labels!I:I, MATCH(Summary!$A282, Labels!$A:$A, 0)))</f>
        <v/>
      </c>
      <c r="X282" t="str">
        <f>IF(INDEX(Labels!J:J, MATCH(Summary!$A282, Labels!$A:$A, 0)) = 0, "", INDEX(Labels!J:J, MATCH(Summary!$A282, Labels!$A:$A, 0)))</f>
        <v/>
      </c>
    </row>
    <row r="283" spans="1:24" x14ac:dyDescent="0.2">
      <c r="A283" s="33">
        <f>Labels!A284</f>
        <v>277</v>
      </c>
      <c r="B283" s="34">
        <f>INDEX(EchoData!B:B, MATCH(Summary!$A283, EchoData!$A:$A, 0))</f>
        <v>281</v>
      </c>
      <c r="C283" s="35">
        <f>INDEX(EchoData!C:C, MATCH(Summary!$A283, EchoData!$A:$A, 0))</f>
        <v>282</v>
      </c>
      <c r="D283" s="42">
        <f>INDEX(Displacements!B:B, MATCH(Summary!$B283, Displacements!$A:$A, 0))</f>
        <v>16.411000000000001</v>
      </c>
      <c r="E283" s="43">
        <f>INDEX(Displacements!C:C, MATCH(Summary!$B283, Displacements!$A:$A, 0))</f>
        <v>0</v>
      </c>
      <c r="F283" s="44">
        <f>INDEX(Displacements!D:D, MATCH(Summary!$B283, Displacements!$A:$A, 0))</f>
        <v>0</v>
      </c>
      <c r="G283" s="42">
        <f>INDEX(Displacements!B:B, MATCH(Summary!$C283, Displacements!$A:$A, 0))</f>
        <v>16.510999999999999</v>
      </c>
      <c r="H283" s="43">
        <f>INDEX(Displacements!C:C, MATCH(Summary!$C283, Displacements!$A:$A, 0))</f>
        <v>0</v>
      </c>
      <c r="I283" s="44">
        <f>INDEX(Displacements!D:D, MATCH(Summary!$C283, Displacements!$A:$A, 0))</f>
        <v>0</v>
      </c>
      <c r="J283" s="42">
        <f t="shared" si="8"/>
        <v>9.9999999999997868E-2</v>
      </c>
      <c r="K283" s="49">
        <f t="shared" si="9"/>
        <v>0.99999999999996447</v>
      </c>
      <c r="L283" s="54"/>
      <c r="M283" s="55"/>
      <c r="N283" s="55">
        <f>IFERROR(INDEX('Forces+Stresses'!Q:Q, MATCH(Summary!$A283, 'Forces+Stresses'!$A:$A, 0)), INDEX(Flexjoints!D:D, MATCH(Summary!$A283, Flexjoints!$A:$A, 0)))</f>
        <v>0</v>
      </c>
      <c r="O283" s="56">
        <f>IFERROR(INDEX('Forces+Stresses'!R:R, MATCH(Summary!$A283, 'Forces+Stresses'!$A:$A, 0)), INDEX(Flexjoints!E:E, MATCH(Summary!$A283, Flexjoints!$A:$A, 0)))</f>
        <v>0</v>
      </c>
      <c r="P283" s="33" t="str">
        <f>IF(INDEX(Labels!B:B, MATCH(Summary!$A283, Labels!$A:$A, 0)) = 0, "", INDEX(Labels!B:B, MATCH(Summary!$A283, Labels!$A:$A, 0)))</f>
        <v>{Marine Riser String}</v>
      </c>
      <c r="Q283" s="35" t="str">
        <f>IF(INDEX(Labels!C:C, MATCH(Summary!$A283, Labels!$A:$A, 0)) = 0, "", INDEX(Labels!C:C, MATCH(Summary!$A283, Labels!$A:$A, 0)))</f>
        <v>{LFJ Centre}</v>
      </c>
      <c r="R283" s="33" t="str">
        <f>IF(INDEX(Labels!D:D, MATCH(Summary!$A283, Labels!$A:$A, 0)) = 0, "", INDEX(Labels!D:D, MATCH(Summary!$A283, Labels!$A:$A, 0)))</f>
        <v/>
      </c>
      <c r="S283" s="35" t="str">
        <f>IF(INDEX(Labels!E:E, MATCH(Summary!$A283, Labels!$A:$A, 0)) = 0, "", INDEX(Labels!E:E, MATCH(Summary!$A283, Labels!$A:$A, 0)))</f>
        <v/>
      </c>
      <c r="T283" s="33" t="str">
        <f>IF(INDEX(Labels!F:F, MATCH(Summary!$A283, Labels!$A:$A, 0)) = 0, "", INDEX(Labels!F:F, MATCH(Summary!$A283, Labels!$A:$A, 0)))</f>
        <v>{LFJ Centre_First}</v>
      </c>
      <c r="U283" s="35" t="str">
        <f>IF(INDEX(Labels!G:G, MATCH(Summary!$A283, Labels!$A:$A, 0)) = 0, "", INDEX(Labels!G:G, MATCH(Summary!$A283, Labels!$A:$A, 0)))</f>
        <v>{LFJ Centre_Last}</v>
      </c>
      <c r="V283" s="62" t="str">
        <f>IF(INDEX(Labels!H:H, MATCH(Summary!$A283, Labels!$A:$A, 0)) = 0, "", INDEX(Labels!H:H, MATCH(Summary!$A283, Labels!$A:$A, 0)))</f>
        <v/>
      </c>
      <c r="W283" t="str">
        <f>IF(INDEX(Labels!I:I, MATCH(Summary!$A283, Labels!$A:$A, 0)) = 0, "", INDEX(Labels!I:I, MATCH(Summary!$A283, Labels!$A:$A, 0)))</f>
        <v/>
      </c>
      <c r="X283" t="str">
        <f>IF(INDEX(Labels!J:J, MATCH(Summary!$A283, Labels!$A:$A, 0)) = 0, "", INDEX(Labels!J:J, MATCH(Summary!$A283, Labels!$A:$A, 0)))</f>
        <v/>
      </c>
    </row>
    <row r="284" spans="1:24" x14ac:dyDescent="0.2">
      <c r="A284" s="33">
        <f>Labels!A285</f>
        <v>278</v>
      </c>
      <c r="B284" s="34">
        <f>INDEX(EchoData!B:B, MATCH(Summary!$A284, EchoData!$A:$A, 0))</f>
        <v>282</v>
      </c>
      <c r="C284" s="35">
        <f>INDEX(EchoData!C:C, MATCH(Summary!$A284, EchoData!$A:$A, 0))</f>
        <v>283</v>
      </c>
      <c r="D284" s="42">
        <f>INDEX(Displacements!B:B, MATCH(Summary!$B284, Displacements!$A:$A, 0))</f>
        <v>16.510999999999999</v>
      </c>
      <c r="E284" s="43">
        <f>INDEX(Displacements!C:C, MATCH(Summary!$B284, Displacements!$A:$A, 0))</f>
        <v>0</v>
      </c>
      <c r="F284" s="44">
        <f>INDEX(Displacements!D:D, MATCH(Summary!$B284, Displacements!$A:$A, 0))</f>
        <v>0</v>
      </c>
      <c r="G284" s="42">
        <f>INDEX(Displacements!B:B, MATCH(Summary!$C284, Displacements!$A:$A, 0))</f>
        <v>16.561</v>
      </c>
      <c r="H284" s="43">
        <f>INDEX(Displacements!C:C, MATCH(Summary!$C284, Displacements!$A:$A, 0))</f>
        <v>0</v>
      </c>
      <c r="I284" s="44">
        <f>INDEX(Displacements!D:D, MATCH(Summary!$C284, Displacements!$A:$A, 0))</f>
        <v>0</v>
      </c>
      <c r="J284" s="42">
        <f t="shared" si="8"/>
        <v>5.0000000000000711E-2</v>
      </c>
      <c r="K284" s="49">
        <f t="shared" si="9"/>
        <v>0.50000000000001776</v>
      </c>
      <c r="L284" s="54">
        <f>INDEX('Forces+Stresses'!C:C, MATCH(Summary!$A284, 'Forces+Stresses'!$A:$A, 0))</f>
        <v>1844</v>
      </c>
      <c r="M284" s="55">
        <f>INDEX('Forces+Stresses'!D:D, MATCH(Summary!$A284, 'Forces+Stresses'!$A:$A, 0))</f>
        <v>1844</v>
      </c>
      <c r="N284" s="55">
        <f>IFERROR(INDEX('Forces+Stresses'!Q:Q, MATCH(Summary!$A284, 'Forces+Stresses'!$A:$A, 0)), INDEX(Flexjoints!D:D, MATCH(Summary!$A284, Flexjoints!$A:$A, 0)))</f>
        <v>2.0940000000000001E-8</v>
      </c>
      <c r="O284" s="56">
        <f>IFERROR(INDEX('Forces+Stresses'!R:R, MATCH(Summary!$A284, 'Forces+Stresses'!$A:$A, 0)), INDEX(Flexjoints!E:E, MATCH(Summary!$A284, Flexjoints!$A:$A, 0)))</f>
        <v>8.4960000000000009E-7</v>
      </c>
      <c r="P284" s="33" t="str">
        <f>IF(INDEX(Labels!B:B, MATCH(Summary!$A284, Labels!$A:$A, 0)) = 0, "", INDEX(Labels!B:B, MATCH(Summary!$A284, Labels!$A:$A, 0)))</f>
        <v>{Marine Riser String}</v>
      </c>
      <c r="Q284" s="35" t="str">
        <f>IF(INDEX(Labels!C:C, MATCH(Summary!$A284, Labels!$A:$A, 0)) = 0, "", INDEX(Labels!C:C, MATCH(Summary!$A284, Labels!$A:$A, 0)))</f>
        <v>{LFJ Upper}</v>
      </c>
      <c r="R284" s="33" t="str">
        <f>IF(INDEX(Labels!D:D, MATCH(Summary!$A284, Labels!$A:$A, 0)) = 0, "", INDEX(Labels!D:D, MATCH(Summary!$A284, Labels!$A:$A, 0)))</f>
        <v/>
      </c>
      <c r="S284" s="35" t="str">
        <f>IF(INDEX(Labels!E:E, MATCH(Summary!$A284, Labels!$A:$A, 0)) = 0, "", INDEX(Labels!E:E, MATCH(Summary!$A284, Labels!$A:$A, 0)))</f>
        <v/>
      </c>
      <c r="T284" s="33" t="str">
        <f>IF(INDEX(Labels!F:F, MATCH(Summary!$A284, Labels!$A:$A, 0)) = 0, "", INDEX(Labels!F:F, MATCH(Summary!$A284, Labels!$A:$A, 0)))</f>
        <v>{LFJ Upper_First}</v>
      </c>
      <c r="U284" s="35" t="str">
        <f>IF(INDEX(Labels!G:G, MATCH(Summary!$A284, Labels!$A:$A, 0)) = 0, "", INDEX(Labels!G:G, MATCH(Summary!$A284, Labels!$A:$A, 0)))</f>
        <v/>
      </c>
      <c r="V284" s="62" t="str">
        <f>IF(INDEX(Labels!H:H, MATCH(Summary!$A284, Labels!$A:$A, 0)) = 0, "", INDEX(Labels!H:H, MATCH(Summary!$A284, Labels!$A:$A, 0)))</f>
        <v/>
      </c>
      <c r="W284" t="str">
        <f>IF(INDEX(Labels!I:I, MATCH(Summary!$A284, Labels!$A:$A, 0)) = 0, "", INDEX(Labels!I:I, MATCH(Summary!$A284, Labels!$A:$A, 0)))</f>
        <v/>
      </c>
      <c r="X284" t="str">
        <f>IF(INDEX(Labels!J:J, MATCH(Summary!$A284, Labels!$A:$A, 0)) = 0, "", INDEX(Labels!J:J, MATCH(Summary!$A284, Labels!$A:$A, 0)))</f>
        <v/>
      </c>
    </row>
    <row r="285" spans="1:24" x14ac:dyDescent="0.2">
      <c r="A285" s="33">
        <f>Labels!A286</f>
        <v>279</v>
      </c>
      <c r="B285" s="34">
        <f>INDEX(EchoData!B:B, MATCH(Summary!$A285, EchoData!$A:$A, 0))</f>
        <v>283</v>
      </c>
      <c r="C285" s="35">
        <f>INDEX(EchoData!C:C, MATCH(Summary!$A285, EchoData!$A:$A, 0))</f>
        <v>284</v>
      </c>
      <c r="D285" s="42">
        <f>INDEX(Displacements!B:B, MATCH(Summary!$B285, Displacements!$A:$A, 0))</f>
        <v>16.561</v>
      </c>
      <c r="E285" s="43">
        <f>INDEX(Displacements!C:C, MATCH(Summary!$B285, Displacements!$A:$A, 0))</f>
        <v>0</v>
      </c>
      <c r="F285" s="44">
        <f>INDEX(Displacements!D:D, MATCH(Summary!$B285, Displacements!$A:$A, 0))</f>
        <v>0</v>
      </c>
      <c r="G285" s="42">
        <f>INDEX(Displacements!B:B, MATCH(Summary!$C285, Displacements!$A:$A, 0))</f>
        <v>16.710999999999999</v>
      </c>
      <c r="H285" s="43">
        <f>INDEX(Displacements!C:C, MATCH(Summary!$C285, Displacements!$A:$A, 0))</f>
        <v>0</v>
      </c>
      <c r="I285" s="44">
        <f>INDEX(Displacements!D:D, MATCH(Summary!$C285, Displacements!$A:$A, 0))</f>
        <v>0</v>
      </c>
      <c r="J285" s="42">
        <f t="shared" si="8"/>
        <v>0.14999999999999858</v>
      </c>
      <c r="K285" s="49">
        <f t="shared" si="9"/>
        <v>2.9999999999999289</v>
      </c>
      <c r="L285" s="54">
        <f>INDEX('Forces+Stresses'!C:C, MATCH(Summary!$A285, 'Forces+Stresses'!$A:$A, 0))</f>
        <v>1842</v>
      </c>
      <c r="M285" s="55">
        <f>INDEX('Forces+Stresses'!D:D, MATCH(Summary!$A285, 'Forces+Stresses'!$A:$A, 0))</f>
        <v>1842</v>
      </c>
      <c r="N285" s="55">
        <f>IFERROR(INDEX('Forces+Stresses'!Q:Q, MATCH(Summary!$A285, 'Forces+Stresses'!$A:$A, 0)), INDEX(Flexjoints!D:D, MATCH(Summary!$A285, Flexjoints!$A:$A, 0)))</f>
        <v>2.2699999999999998E-8</v>
      </c>
      <c r="O285" s="56">
        <f>IFERROR(INDEX('Forces+Stresses'!R:R, MATCH(Summary!$A285, 'Forces+Stresses'!$A:$A, 0)), INDEX(Flexjoints!E:E, MATCH(Summary!$A285, Flexjoints!$A:$A, 0)))</f>
        <v>8.3330000000000003E-7</v>
      </c>
      <c r="P285" s="33" t="str">
        <f>IF(INDEX(Labels!B:B, MATCH(Summary!$A285, Labels!$A:$A, 0)) = 0, "", INDEX(Labels!B:B, MATCH(Summary!$A285, Labels!$A:$A, 0)))</f>
        <v>{Marine Riser String}</v>
      </c>
      <c r="Q285" s="35" t="str">
        <f>IF(INDEX(Labels!C:C, MATCH(Summary!$A285, Labels!$A:$A, 0)) = 0, "", INDEX(Labels!C:C, MATCH(Summary!$A285, Labels!$A:$A, 0)))</f>
        <v>{LFJ Upper}</v>
      </c>
      <c r="R285" s="33" t="str">
        <f>IF(INDEX(Labels!D:D, MATCH(Summary!$A285, Labels!$A:$A, 0)) = 0, "", INDEX(Labels!D:D, MATCH(Summary!$A285, Labels!$A:$A, 0)))</f>
        <v/>
      </c>
      <c r="S285" s="35" t="str">
        <f>IF(INDEX(Labels!E:E, MATCH(Summary!$A285, Labels!$A:$A, 0)) = 0, "", INDEX(Labels!E:E, MATCH(Summary!$A285, Labels!$A:$A, 0)))</f>
        <v/>
      </c>
      <c r="T285" s="33" t="str">
        <f>IF(INDEX(Labels!F:F, MATCH(Summary!$A285, Labels!$A:$A, 0)) = 0, "", INDEX(Labels!F:F, MATCH(Summary!$A285, Labels!$A:$A, 0)))</f>
        <v/>
      </c>
      <c r="U285" s="35" t="str">
        <f>IF(INDEX(Labels!G:G, MATCH(Summary!$A285, Labels!$A:$A, 0)) = 0, "", INDEX(Labels!G:G, MATCH(Summary!$A285, Labels!$A:$A, 0)))</f>
        <v>{LFJ Upper_Last}</v>
      </c>
      <c r="V285" s="62" t="str">
        <f>IF(INDEX(Labels!H:H, MATCH(Summary!$A285, Labels!$A:$A, 0)) = 0, "", INDEX(Labels!H:H, MATCH(Summary!$A285, Labels!$A:$A, 0)))</f>
        <v/>
      </c>
      <c r="W285" t="str">
        <f>IF(INDEX(Labels!I:I, MATCH(Summary!$A285, Labels!$A:$A, 0)) = 0, "", INDEX(Labels!I:I, MATCH(Summary!$A285, Labels!$A:$A, 0)))</f>
        <v/>
      </c>
      <c r="X285" t="str">
        <f>IF(INDEX(Labels!J:J, MATCH(Summary!$A285, Labels!$A:$A, 0)) = 0, "", INDEX(Labels!J:J, MATCH(Summary!$A285, Labels!$A:$A, 0)))</f>
        <v/>
      </c>
    </row>
    <row r="286" spans="1:24" x14ac:dyDescent="0.2">
      <c r="A286" s="33">
        <f>Labels!A287</f>
        <v>280</v>
      </c>
      <c r="B286" s="34">
        <f>INDEX(EchoData!B:B, MATCH(Summary!$A286, EchoData!$A:$A, 0))</f>
        <v>284</v>
      </c>
      <c r="C286" s="35">
        <f>INDEX(EchoData!C:C, MATCH(Summary!$A286, EchoData!$A:$A, 0))</f>
        <v>285</v>
      </c>
      <c r="D286" s="42">
        <f>INDEX(Displacements!B:B, MATCH(Summary!$B286, Displacements!$A:$A, 0))</f>
        <v>16.710999999999999</v>
      </c>
      <c r="E286" s="43">
        <f>INDEX(Displacements!C:C, MATCH(Summary!$B286, Displacements!$A:$A, 0))</f>
        <v>0</v>
      </c>
      <c r="F286" s="44">
        <f>INDEX(Displacements!D:D, MATCH(Summary!$B286, Displacements!$A:$A, 0))</f>
        <v>0</v>
      </c>
      <c r="G286" s="42">
        <f>INDEX(Displacements!B:B, MATCH(Summary!$C286, Displacements!$A:$A, 0))</f>
        <v>17.009</v>
      </c>
      <c r="H286" s="43">
        <f>INDEX(Displacements!C:C, MATCH(Summary!$C286, Displacements!$A:$A, 0))</f>
        <v>0</v>
      </c>
      <c r="I286" s="44">
        <f>INDEX(Displacements!D:D, MATCH(Summary!$C286, Displacements!$A:$A, 0))</f>
        <v>0</v>
      </c>
      <c r="J286" s="42">
        <f t="shared" si="8"/>
        <v>0.29800000000000182</v>
      </c>
      <c r="K286" s="49">
        <f t="shared" si="9"/>
        <v>1.9866666666666977</v>
      </c>
      <c r="L286" s="54">
        <f>INDEX('Forces+Stresses'!C:C, MATCH(Summary!$A286, 'Forces+Stresses'!$A:$A, 0))</f>
        <v>1838</v>
      </c>
      <c r="M286" s="55">
        <f>INDEX('Forces+Stresses'!D:D, MATCH(Summary!$A286, 'Forces+Stresses'!$A:$A, 0))</f>
        <v>1838</v>
      </c>
      <c r="N286" s="55">
        <f>IFERROR(INDEX('Forces+Stresses'!Q:Q, MATCH(Summary!$A286, 'Forces+Stresses'!$A:$A, 0)), INDEX(Flexjoints!D:D, MATCH(Summary!$A286, Flexjoints!$A:$A, 0)))</f>
        <v>2.7859999999999999E-8</v>
      </c>
      <c r="O286" s="56">
        <f>IFERROR(INDEX('Forces+Stresses'!R:R, MATCH(Summary!$A286, 'Forces+Stresses'!$A:$A, 0)), INDEX(Flexjoints!E:E, MATCH(Summary!$A286, Flexjoints!$A:$A, 0)))</f>
        <v>7.9049999999999999E-7</v>
      </c>
      <c r="P286" s="33" t="str">
        <f>IF(INDEX(Labels!B:B, MATCH(Summary!$A286, Labels!$A:$A, 0)) = 0, "", INDEX(Labels!B:B, MATCH(Summary!$A286, Labels!$A:$A, 0)))</f>
        <v>{Marine Riser String}</v>
      </c>
      <c r="Q286" s="35" t="str">
        <f>IF(INDEX(Labels!C:C, MATCH(Summary!$A286, Labels!$A:$A, 0)) = 0, "", INDEX(Labels!C:C, MATCH(Summary!$A286, Labels!$A:$A, 0)))</f>
        <v>{Termination Adapter}</v>
      </c>
      <c r="R286" s="33" t="str">
        <f>IF(INDEX(Labels!D:D, MATCH(Summary!$A286, Labels!$A:$A, 0)) = 0, "", INDEX(Labels!D:D, MATCH(Summary!$A286, Labels!$A:$A, 0)))</f>
        <v/>
      </c>
      <c r="S286" s="35" t="str">
        <f>IF(INDEX(Labels!E:E, MATCH(Summary!$A286, Labels!$A:$A, 0)) = 0, "", INDEX(Labels!E:E, MATCH(Summary!$A286, Labels!$A:$A, 0)))</f>
        <v/>
      </c>
      <c r="T286" s="33" t="str">
        <f>IF(INDEX(Labels!F:F, MATCH(Summary!$A286, Labels!$A:$A, 0)) = 0, "", INDEX(Labels!F:F, MATCH(Summary!$A286, Labels!$A:$A, 0)))</f>
        <v>{Termination Adapter_First}</v>
      </c>
      <c r="U286" s="35" t="str">
        <f>IF(INDEX(Labels!G:G, MATCH(Summary!$A286, Labels!$A:$A, 0)) = 0, "", INDEX(Labels!G:G, MATCH(Summary!$A286, Labels!$A:$A, 0)))</f>
        <v/>
      </c>
      <c r="V286" s="62" t="str">
        <f>IF(INDEX(Labels!H:H, MATCH(Summary!$A286, Labels!$A:$A, 0)) = 0, "", INDEX(Labels!H:H, MATCH(Summary!$A286, Labels!$A:$A, 0)))</f>
        <v/>
      </c>
      <c r="W286" t="str">
        <f>IF(INDEX(Labels!I:I, MATCH(Summary!$A286, Labels!$A:$A, 0)) = 0, "", INDEX(Labels!I:I, MATCH(Summary!$A286, Labels!$A:$A, 0)))</f>
        <v/>
      </c>
      <c r="X286" t="str">
        <f>IF(INDEX(Labels!J:J, MATCH(Summary!$A286, Labels!$A:$A, 0)) = 0, "", INDEX(Labels!J:J, MATCH(Summary!$A286, Labels!$A:$A, 0)))</f>
        <v/>
      </c>
    </row>
    <row r="287" spans="1:24" x14ac:dyDescent="0.2">
      <c r="A287" s="33">
        <f>Labels!A288</f>
        <v>281</v>
      </c>
      <c r="B287" s="34">
        <f>INDEX(EchoData!B:B, MATCH(Summary!$A287, EchoData!$A:$A, 0))</f>
        <v>285</v>
      </c>
      <c r="C287" s="35">
        <f>INDEX(EchoData!C:C, MATCH(Summary!$A287, EchoData!$A:$A, 0))</f>
        <v>286</v>
      </c>
      <c r="D287" s="42">
        <f>INDEX(Displacements!B:B, MATCH(Summary!$B287, Displacements!$A:$A, 0))</f>
        <v>17.009</v>
      </c>
      <c r="E287" s="43">
        <f>INDEX(Displacements!C:C, MATCH(Summary!$B287, Displacements!$A:$A, 0))</f>
        <v>0</v>
      </c>
      <c r="F287" s="44">
        <f>INDEX(Displacements!D:D, MATCH(Summary!$B287, Displacements!$A:$A, 0))</f>
        <v>0</v>
      </c>
      <c r="G287" s="42">
        <f>INDEX(Displacements!B:B, MATCH(Summary!$C287, Displacements!$A:$A, 0))</f>
        <v>17.457000000000001</v>
      </c>
      <c r="H287" s="43">
        <f>INDEX(Displacements!C:C, MATCH(Summary!$C287, Displacements!$A:$A, 0))</f>
        <v>0</v>
      </c>
      <c r="I287" s="44">
        <f>INDEX(Displacements!D:D, MATCH(Summary!$C287, Displacements!$A:$A, 0))</f>
        <v>0</v>
      </c>
      <c r="J287" s="42">
        <f t="shared" si="8"/>
        <v>0.4480000000000004</v>
      </c>
      <c r="K287" s="49">
        <f t="shared" si="9"/>
        <v>1.5033557046979786</v>
      </c>
      <c r="L287" s="54">
        <f>INDEX('Forces+Stresses'!C:C, MATCH(Summary!$A287, 'Forces+Stresses'!$A:$A, 0))</f>
        <v>1843</v>
      </c>
      <c r="M287" s="55">
        <f>INDEX('Forces+Stresses'!D:D, MATCH(Summary!$A287, 'Forces+Stresses'!$A:$A, 0))</f>
        <v>1843</v>
      </c>
      <c r="N287" s="55">
        <f>IFERROR(INDEX('Forces+Stresses'!Q:Q, MATCH(Summary!$A287, 'Forces+Stresses'!$A:$A, 0)), INDEX(Flexjoints!D:D, MATCH(Summary!$A287, Flexjoints!$A:$A, 0)))</f>
        <v>3.4100000000000001E-8</v>
      </c>
      <c r="O287" s="56">
        <f>IFERROR(INDEX('Forces+Stresses'!R:R, MATCH(Summary!$A287, 'Forces+Stresses'!$A:$A, 0)), INDEX(Flexjoints!E:E, MATCH(Summary!$A287, Flexjoints!$A:$A, 0)))</f>
        <v>7.075E-7</v>
      </c>
      <c r="P287" s="33" t="str">
        <f>IF(INDEX(Labels!B:B, MATCH(Summary!$A287, Labels!$A:$A, 0)) = 0, "", INDEX(Labels!B:B, MATCH(Summary!$A287, Labels!$A:$A, 0)))</f>
        <v>{Marine Riser String}</v>
      </c>
      <c r="Q287" s="35" t="str">
        <f>IF(INDEX(Labels!C:C, MATCH(Summary!$A287, Labels!$A:$A, 0)) = 0, "", INDEX(Labels!C:C, MATCH(Summary!$A287, Labels!$A:$A, 0)))</f>
        <v>{Termination Adapter}</v>
      </c>
      <c r="R287" s="33" t="str">
        <f>IF(INDEX(Labels!D:D, MATCH(Summary!$A287, Labels!$A:$A, 0)) = 0, "", INDEX(Labels!D:D, MATCH(Summary!$A287, Labels!$A:$A, 0)))</f>
        <v/>
      </c>
      <c r="S287" s="35" t="str">
        <f>IF(INDEX(Labels!E:E, MATCH(Summary!$A287, Labels!$A:$A, 0)) = 0, "", INDEX(Labels!E:E, MATCH(Summary!$A287, Labels!$A:$A, 0)))</f>
        <v/>
      </c>
      <c r="T287" s="33" t="str">
        <f>IF(INDEX(Labels!F:F, MATCH(Summary!$A287, Labels!$A:$A, 0)) = 0, "", INDEX(Labels!F:F, MATCH(Summary!$A287, Labels!$A:$A, 0)))</f>
        <v/>
      </c>
      <c r="U287" s="35" t="str">
        <f>IF(INDEX(Labels!G:G, MATCH(Summary!$A287, Labels!$A:$A, 0)) = 0, "", INDEX(Labels!G:G, MATCH(Summary!$A287, Labels!$A:$A, 0)))</f>
        <v/>
      </c>
      <c r="V287" s="62" t="str">
        <f>IF(INDEX(Labels!H:H, MATCH(Summary!$A287, Labels!$A:$A, 0)) = 0, "", INDEX(Labels!H:H, MATCH(Summary!$A287, Labels!$A:$A, 0)))</f>
        <v/>
      </c>
      <c r="W287" t="str">
        <f>IF(INDEX(Labels!I:I, MATCH(Summary!$A287, Labels!$A:$A, 0)) = 0, "", INDEX(Labels!I:I, MATCH(Summary!$A287, Labels!$A:$A, 0)))</f>
        <v/>
      </c>
      <c r="X287" t="str">
        <f>IF(INDEX(Labels!J:J, MATCH(Summary!$A287, Labels!$A:$A, 0)) = 0, "", INDEX(Labels!J:J, MATCH(Summary!$A287, Labels!$A:$A, 0)))</f>
        <v/>
      </c>
    </row>
    <row r="288" spans="1:24" x14ac:dyDescent="0.2">
      <c r="A288" s="33">
        <f>Labels!A289</f>
        <v>282</v>
      </c>
      <c r="B288" s="34">
        <f>INDEX(EchoData!B:B, MATCH(Summary!$A288, EchoData!$A:$A, 0))</f>
        <v>286</v>
      </c>
      <c r="C288" s="35">
        <f>INDEX(EchoData!C:C, MATCH(Summary!$A288, EchoData!$A:$A, 0))</f>
        <v>287</v>
      </c>
      <c r="D288" s="42">
        <f>INDEX(Displacements!B:B, MATCH(Summary!$B288, Displacements!$A:$A, 0))</f>
        <v>17.457000000000001</v>
      </c>
      <c r="E288" s="43">
        <f>INDEX(Displacements!C:C, MATCH(Summary!$B288, Displacements!$A:$A, 0))</f>
        <v>0</v>
      </c>
      <c r="F288" s="44">
        <f>INDEX(Displacements!D:D, MATCH(Summary!$B288, Displacements!$A:$A, 0))</f>
        <v>0</v>
      </c>
      <c r="G288" s="42">
        <f>INDEX(Displacements!B:B, MATCH(Summary!$C288, Displacements!$A:$A, 0))</f>
        <v>18.128</v>
      </c>
      <c r="H288" s="43">
        <f>INDEX(Displacements!C:C, MATCH(Summary!$C288, Displacements!$A:$A, 0))</f>
        <v>0</v>
      </c>
      <c r="I288" s="44">
        <f>INDEX(Displacements!D:D, MATCH(Summary!$C288, Displacements!$A:$A, 0))</f>
        <v>0</v>
      </c>
      <c r="J288" s="42">
        <f t="shared" si="8"/>
        <v>0.67099999999999937</v>
      </c>
      <c r="K288" s="49">
        <f t="shared" si="9"/>
        <v>1.4977678571428543</v>
      </c>
      <c r="L288" s="54">
        <f>INDEX('Forces+Stresses'!C:C, MATCH(Summary!$A288, 'Forces+Stresses'!$A:$A, 0))</f>
        <v>1850</v>
      </c>
      <c r="M288" s="55">
        <f>INDEX('Forces+Stresses'!D:D, MATCH(Summary!$A288, 'Forces+Stresses'!$A:$A, 0))</f>
        <v>1850</v>
      </c>
      <c r="N288" s="55">
        <f>IFERROR(INDEX('Forces+Stresses'!Q:Q, MATCH(Summary!$A288, 'Forces+Stresses'!$A:$A, 0)), INDEX(Flexjoints!D:D, MATCH(Summary!$A288, Flexjoints!$A:$A, 0)))</f>
        <v>5.7280000000000001E-9</v>
      </c>
      <c r="O288" s="56">
        <f>IFERROR(INDEX('Forces+Stresses'!R:R, MATCH(Summary!$A288, 'Forces+Stresses'!$A:$A, 0)), INDEX(Flexjoints!E:E, MATCH(Summary!$A288, Flexjoints!$A:$A, 0)))</f>
        <v>5.8509999999999991E-7</v>
      </c>
      <c r="P288" s="33" t="str">
        <f>IF(INDEX(Labels!B:B, MATCH(Summary!$A288, Labels!$A:$A, 0)) = 0, "", INDEX(Labels!B:B, MATCH(Summary!$A288, Labels!$A:$A, 0)))</f>
        <v>{Marine Riser String}</v>
      </c>
      <c r="Q288" s="35" t="str">
        <f>IF(INDEX(Labels!C:C, MATCH(Summary!$A288, Labels!$A:$A, 0)) = 0, "", INDEX(Labels!C:C, MATCH(Summary!$A288, Labels!$A:$A, 0)))</f>
        <v>{Termination Adapter}</v>
      </c>
      <c r="R288" s="33" t="str">
        <f>IF(INDEX(Labels!D:D, MATCH(Summary!$A288, Labels!$A:$A, 0)) = 0, "", INDEX(Labels!D:D, MATCH(Summary!$A288, Labels!$A:$A, 0)))</f>
        <v/>
      </c>
      <c r="S288" s="35" t="str">
        <f>IF(INDEX(Labels!E:E, MATCH(Summary!$A288, Labels!$A:$A, 0)) = 0, "", INDEX(Labels!E:E, MATCH(Summary!$A288, Labels!$A:$A, 0)))</f>
        <v/>
      </c>
      <c r="T288" s="33" t="str">
        <f>IF(INDEX(Labels!F:F, MATCH(Summary!$A288, Labels!$A:$A, 0)) = 0, "", INDEX(Labels!F:F, MATCH(Summary!$A288, Labels!$A:$A, 0)))</f>
        <v/>
      </c>
      <c r="U288" s="35" t="str">
        <f>IF(INDEX(Labels!G:G, MATCH(Summary!$A288, Labels!$A:$A, 0)) = 0, "", INDEX(Labels!G:G, MATCH(Summary!$A288, Labels!$A:$A, 0)))</f>
        <v/>
      </c>
      <c r="V288" s="62" t="str">
        <f>IF(INDEX(Labels!H:H, MATCH(Summary!$A288, Labels!$A:$A, 0)) = 0, "", INDEX(Labels!H:H, MATCH(Summary!$A288, Labels!$A:$A, 0)))</f>
        <v/>
      </c>
      <c r="W288" t="str">
        <f>IF(INDEX(Labels!I:I, MATCH(Summary!$A288, Labels!$A:$A, 0)) = 0, "", INDEX(Labels!I:I, MATCH(Summary!$A288, Labels!$A:$A, 0)))</f>
        <v/>
      </c>
      <c r="X288" t="str">
        <f>IF(INDEX(Labels!J:J, MATCH(Summary!$A288, Labels!$A:$A, 0)) = 0, "", INDEX(Labels!J:J, MATCH(Summary!$A288, Labels!$A:$A, 0)))</f>
        <v/>
      </c>
    </row>
    <row r="289" spans="1:24" x14ac:dyDescent="0.2">
      <c r="A289" s="33">
        <f>Labels!A290</f>
        <v>283</v>
      </c>
      <c r="B289" s="34">
        <f>INDEX(EchoData!B:B, MATCH(Summary!$A289, EchoData!$A:$A, 0))</f>
        <v>287</v>
      </c>
      <c r="C289" s="35">
        <f>INDEX(EchoData!C:C, MATCH(Summary!$A289, EchoData!$A:$A, 0))</f>
        <v>288</v>
      </c>
      <c r="D289" s="42">
        <f>INDEX(Displacements!B:B, MATCH(Summary!$B289, Displacements!$A:$A, 0))</f>
        <v>18.128</v>
      </c>
      <c r="E289" s="43">
        <f>INDEX(Displacements!C:C, MATCH(Summary!$B289, Displacements!$A:$A, 0))</f>
        <v>0</v>
      </c>
      <c r="F289" s="44">
        <f>INDEX(Displacements!D:D, MATCH(Summary!$B289, Displacements!$A:$A, 0))</f>
        <v>0</v>
      </c>
      <c r="G289" s="42">
        <f>INDEX(Displacements!B:B, MATCH(Summary!$C289, Displacements!$A:$A, 0))</f>
        <v>19.135000000000002</v>
      </c>
      <c r="H289" s="43">
        <f>INDEX(Displacements!C:C, MATCH(Summary!$C289, Displacements!$A:$A, 0))</f>
        <v>0</v>
      </c>
      <c r="I289" s="44">
        <f>INDEX(Displacements!D:D, MATCH(Summary!$C289, Displacements!$A:$A, 0))</f>
        <v>0</v>
      </c>
      <c r="J289" s="42">
        <f t="shared" si="8"/>
        <v>1.0070000000000014</v>
      </c>
      <c r="K289" s="49">
        <f t="shared" si="9"/>
        <v>1.5007451564828649</v>
      </c>
      <c r="L289" s="54">
        <f>INDEX('Forces+Stresses'!C:C, MATCH(Summary!$A289, 'Forces+Stresses'!$A:$A, 0))</f>
        <v>1861</v>
      </c>
      <c r="M289" s="55">
        <f>INDEX('Forces+Stresses'!D:D, MATCH(Summary!$A289, 'Forces+Stresses'!$A:$A, 0))</f>
        <v>1861</v>
      </c>
      <c r="N289" s="55">
        <f>IFERROR(INDEX('Forces+Stresses'!Q:Q, MATCH(Summary!$A289, 'Forces+Stresses'!$A:$A, 0)), INDEX(Flexjoints!D:D, MATCH(Summary!$A289, Flexjoints!$A:$A, 0)))</f>
        <v>8.8029999999999995E-9</v>
      </c>
      <c r="O289" s="56">
        <f>IFERROR(INDEX('Forces+Stresses'!R:R, MATCH(Summary!$A289, 'Forces+Stresses'!$A:$A, 0)), INDEX(Flexjoints!E:E, MATCH(Summary!$A289, Flexjoints!$A:$A, 0)))</f>
        <v>5.0489999999999992E-7</v>
      </c>
      <c r="P289" s="33" t="str">
        <f>IF(INDEX(Labels!B:B, MATCH(Summary!$A289, Labels!$A:$A, 0)) = 0, "", INDEX(Labels!B:B, MATCH(Summary!$A289, Labels!$A:$A, 0)))</f>
        <v>{Marine Riser String}</v>
      </c>
      <c r="Q289" s="35" t="str">
        <f>IF(INDEX(Labels!C:C, MATCH(Summary!$A289, Labels!$A:$A, 0)) = 0, "", INDEX(Labels!C:C, MATCH(Summary!$A289, Labels!$A:$A, 0)))</f>
        <v>{Termination Adapter}</v>
      </c>
      <c r="R289" s="33" t="str">
        <f>IF(INDEX(Labels!D:D, MATCH(Summary!$A289, Labels!$A:$A, 0)) = 0, "", INDEX(Labels!D:D, MATCH(Summary!$A289, Labels!$A:$A, 0)))</f>
        <v/>
      </c>
      <c r="S289" s="35" t="str">
        <f>IF(INDEX(Labels!E:E, MATCH(Summary!$A289, Labels!$A:$A, 0)) = 0, "", INDEX(Labels!E:E, MATCH(Summary!$A289, Labels!$A:$A, 0)))</f>
        <v/>
      </c>
      <c r="T289" s="33" t="str">
        <f>IF(INDEX(Labels!F:F, MATCH(Summary!$A289, Labels!$A:$A, 0)) = 0, "", INDEX(Labels!F:F, MATCH(Summary!$A289, Labels!$A:$A, 0)))</f>
        <v/>
      </c>
      <c r="U289" s="35" t="str">
        <f>IF(INDEX(Labels!G:G, MATCH(Summary!$A289, Labels!$A:$A, 0)) = 0, "", INDEX(Labels!G:G, MATCH(Summary!$A289, Labels!$A:$A, 0)))</f>
        <v/>
      </c>
      <c r="V289" s="62" t="str">
        <f>IF(INDEX(Labels!H:H, MATCH(Summary!$A289, Labels!$A:$A, 0)) = 0, "", INDEX(Labels!H:H, MATCH(Summary!$A289, Labels!$A:$A, 0)))</f>
        <v/>
      </c>
      <c r="W289" t="str">
        <f>IF(INDEX(Labels!I:I, MATCH(Summary!$A289, Labels!$A:$A, 0)) = 0, "", INDEX(Labels!I:I, MATCH(Summary!$A289, Labels!$A:$A, 0)))</f>
        <v/>
      </c>
      <c r="X289" t="str">
        <f>IF(INDEX(Labels!J:J, MATCH(Summary!$A289, Labels!$A:$A, 0)) = 0, "", INDEX(Labels!J:J, MATCH(Summary!$A289, Labels!$A:$A, 0)))</f>
        <v/>
      </c>
    </row>
    <row r="290" spans="1:24" x14ac:dyDescent="0.2">
      <c r="A290" s="33">
        <f>Labels!A291</f>
        <v>284</v>
      </c>
      <c r="B290" s="34">
        <f>INDEX(EchoData!B:B, MATCH(Summary!$A290, EchoData!$A:$A, 0))</f>
        <v>288</v>
      </c>
      <c r="C290" s="35">
        <f>INDEX(EchoData!C:C, MATCH(Summary!$A290, EchoData!$A:$A, 0))</f>
        <v>289</v>
      </c>
      <c r="D290" s="42">
        <f>INDEX(Displacements!B:B, MATCH(Summary!$B290, Displacements!$A:$A, 0))</f>
        <v>19.135000000000002</v>
      </c>
      <c r="E290" s="43">
        <f>INDEX(Displacements!C:C, MATCH(Summary!$B290, Displacements!$A:$A, 0))</f>
        <v>0</v>
      </c>
      <c r="F290" s="44">
        <f>INDEX(Displacements!D:D, MATCH(Summary!$B290, Displacements!$A:$A, 0))</f>
        <v>0</v>
      </c>
      <c r="G290" s="42">
        <f>INDEX(Displacements!B:B, MATCH(Summary!$C290, Displacements!$A:$A, 0))</f>
        <v>20.646000000000001</v>
      </c>
      <c r="H290" s="43">
        <f>INDEX(Displacements!C:C, MATCH(Summary!$C290, Displacements!$A:$A, 0))</f>
        <v>0</v>
      </c>
      <c r="I290" s="44">
        <f>INDEX(Displacements!D:D, MATCH(Summary!$C290, Displacements!$A:$A, 0))</f>
        <v>0</v>
      </c>
      <c r="J290" s="42">
        <f t="shared" si="8"/>
        <v>1.5109999999999992</v>
      </c>
      <c r="K290" s="49">
        <f t="shared" si="9"/>
        <v>1.5004965243296893</v>
      </c>
      <c r="L290" s="54">
        <f>INDEX('Forces+Stresses'!C:C, MATCH(Summary!$A290, 'Forces+Stresses'!$A:$A, 0))</f>
        <v>1877</v>
      </c>
      <c r="M290" s="55">
        <f>INDEX('Forces+Stresses'!D:D, MATCH(Summary!$A290, 'Forces+Stresses'!$A:$A, 0))</f>
        <v>1877</v>
      </c>
      <c r="N290" s="55">
        <f>IFERROR(INDEX('Forces+Stresses'!Q:Q, MATCH(Summary!$A290, 'Forces+Stresses'!$A:$A, 0)), INDEX(Flexjoints!D:D, MATCH(Summary!$A290, Flexjoints!$A:$A, 0)))</f>
        <v>2.098E-8</v>
      </c>
      <c r="O290" s="56">
        <f>IFERROR(INDEX('Forces+Stresses'!R:R, MATCH(Summary!$A290, 'Forces+Stresses'!$A:$A, 0)), INDEX(Flexjoints!E:E, MATCH(Summary!$A290, Flexjoints!$A:$A, 0)))</f>
        <v>6.6349999999999998E-7</v>
      </c>
      <c r="P290" s="33" t="str">
        <f>IF(INDEX(Labels!B:B, MATCH(Summary!$A290, Labels!$A:$A, 0)) = 0, "", INDEX(Labels!B:B, MATCH(Summary!$A290, Labels!$A:$A, 0)))</f>
        <v>{Marine Riser String}</v>
      </c>
      <c r="Q290" s="35" t="str">
        <f>IF(INDEX(Labels!C:C, MATCH(Summary!$A290, Labels!$A:$A, 0)) = 0, "", INDEX(Labels!C:C, MATCH(Summary!$A290, Labels!$A:$A, 0)))</f>
        <v>{Termination Adapter}</v>
      </c>
      <c r="R290" s="33" t="str">
        <f>IF(INDEX(Labels!D:D, MATCH(Summary!$A290, Labels!$A:$A, 0)) = 0, "", INDEX(Labels!D:D, MATCH(Summary!$A290, Labels!$A:$A, 0)))</f>
        <v/>
      </c>
      <c r="S290" s="35" t="str">
        <f>IF(INDEX(Labels!E:E, MATCH(Summary!$A290, Labels!$A:$A, 0)) = 0, "", INDEX(Labels!E:E, MATCH(Summary!$A290, Labels!$A:$A, 0)))</f>
        <v/>
      </c>
      <c r="T290" s="33" t="str">
        <f>IF(INDEX(Labels!F:F, MATCH(Summary!$A290, Labels!$A:$A, 0)) = 0, "", INDEX(Labels!F:F, MATCH(Summary!$A290, Labels!$A:$A, 0)))</f>
        <v/>
      </c>
      <c r="U290" s="35" t="str">
        <f>IF(INDEX(Labels!G:G, MATCH(Summary!$A290, Labels!$A:$A, 0)) = 0, "", INDEX(Labels!G:G, MATCH(Summary!$A290, Labels!$A:$A, 0)))</f>
        <v/>
      </c>
      <c r="V290" s="62" t="str">
        <f>IF(INDEX(Labels!H:H, MATCH(Summary!$A290, Labels!$A:$A, 0)) = 0, "", INDEX(Labels!H:H, MATCH(Summary!$A290, Labels!$A:$A, 0)))</f>
        <v/>
      </c>
      <c r="W290" t="str">
        <f>IF(INDEX(Labels!I:I, MATCH(Summary!$A290, Labels!$A:$A, 0)) = 0, "", INDEX(Labels!I:I, MATCH(Summary!$A290, Labels!$A:$A, 0)))</f>
        <v/>
      </c>
      <c r="X290" t="str">
        <f>IF(INDEX(Labels!J:J, MATCH(Summary!$A290, Labels!$A:$A, 0)) = 0, "", INDEX(Labels!J:J, MATCH(Summary!$A290, Labels!$A:$A, 0)))</f>
        <v/>
      </c>
    </row>
    <row r="291" spans="1:24" x14ac:dyDescent="0.2">
      <c r="A291" s="33">
        <f>Labels!A292</f>
        <v>285</v>
      </c>
      <c r="B291" s="34">
        <f>INDEX(EchoData!B:B, MATCH(Summary!$A291, EchoData!$A:$A, 0))</f>
        <v>289</v>
      </c>
      <c r="C291" s="35">
        <f>INDEX(EchoData!C:C, MATCH(Summary!$A291, EchoData!$A:$A, 0))</f>
        <v>290</v>
      </c>
      <c r="D291" s="42">
        <f>INDEX(Displacements!B:B, MATCH(Summary!$B291, Displacements!$A:$A, 0))</f>
        <v>20.646000000000001</v>
      </c>
      <c r="E291" s="43">
        <f>INDEX(Displacements!C:C, MATCH(Summary!$B291, Displacements!$A:$A, 0))</f>
        <v>0</v>
      </c>
      <c r="F291" s="44">
        <f>INDEX(Displacements!D:D, MATCH(Summary!$B291, Displacements!$A:$A, 0))</f>
        <v>0</v>
      </c>
      <c r="G291" s="42">
        <f>INDEX(Displacements!B:B, MATCH(Summary!$C291, Displacements!$A:$A, 0))</f>
        <v>22.911999999999999</v>
      </c>
      <c r="H291" s="43">
        <f>INDEX(Displacements!C:C, MATCH(Summary!$C291, Displacements!$A:$A, 0))</f>
        <v>0</v>
      </c>
      <c r="I291" s="44">
        <f>INDEX(Displacements!D:D, MATCH(Summary!$C291, Displacements!$A:$A, 0))</f>
        <v>0</v>
      </c>
      <c r="J291" s="42">
        <f t="shared" si="8"/>
        <v>2.2659999999999982</v>
      </c>
      <c r="K291" s="49">
        <f t="shared" si="9"/>
        <v>1.4996690933156847</v>
      </c>
      <c r="L291" s="54">
        <f>INDEX('Forces+Stresses'!C:C, MATCH(Summary!$A291, 'Forces+Stresses'!$A:$A, 0))</f>
        <v>1902</v>
      </c>
      <c r="M291" s="55">
        <f>INDEX('Forces+Stresses'!D:D, MATCH(Summary!$A291, 'Forces+Stresses'!$A:$A, 0))</f>
        <v>1902</v>
      </c>
      <c r="N291" s="55">
        <f>IFERROR(INDEX('Forces+Stresses'!Q:Q, MATCH(Summary!$A291, 'Forces+Stresses'!$A:$A, 0)), INDEX(Flexjoints!D:D, MATCH(Summary!$A291, Flexjoints!$A:$A, 0)))</f>
        <v>3.5859999999999998E-8</v>
      </c>
      <c r="O291" s="56">
        <f>IFERROR(INDEX('Forces+Stresses'!R:R, MATCH(Summary!$A291, 'Forces+Stresses'!$A:$A, 0)), INDEX(Flexjoints!E:E, MATCH(Summary!$A291, Flexjoints!$A:$A, 0)))</f>
        <v>1.006E-6</v>
      </c>
      <c r="P291" s="33" t="str">
        <f>IF(INDEX(Labels!B:B, MATCH(Summary!$A291, Labels!$A:$A, 0)) = 0, "", INDEX(Labels!B:B, MATCH(Summary!$A291, Labels!$A:$A, 0)))</f>
        <v>{Marine Riser String}</v>
      </c>
      <c r="Q291" s="35" t="str">
        <f>IF(INDEX(Labels!C:C, MATCH(Summary!$A291, Labels!$A:$A, 0)) = 0, "", INDEX(Labels!C:C, MATCH(Summary!$A291, Labels!$A:$A, 0)))</f>
        <v>{Termination Adapter}</v>
      </c>
      <c r="R291" s="33" t="str">
        <f>IF(INDEX(Labels!D:D, MATCH(Summary!$A291, Labels!$A:$A, 0)) = 0, "", INDEX(Labels!D:D, MATCH(Summary!$A291, Labels!$A:$A, 0)))</f>
        <v/>
      </c>
      <c r="S291" s="35" t="str">
        <f>IF(INDEX(Labels!E:E, MATCH(Summary!$A291, Labels!$A:$A, 0)) = 0, "", INDEX(Labels!E:E, MATCH(Summary!$A291, Labels!$A:$A, 0)))</f>
        <v/>
      </c>
      <c r="T291" s="33" t="str">
        <f>IF(INDEX(Labels!F:F, MATCH(Summary!$A291, Labels!$A:$A, 0)) = 0, "", INDEX(Labels!F:F, MATCH(Summary!$A291, Labels!$A:$A, 0)))</f>
        <v/>
      </c>
      <c r="U291" s="35" t="str">
        <f>IF(INDEX(Labels!G:G, MATCH(Summary!$A291, Labels!$A:$A, 0)) = 0, "", INDEX(Labels!G:G, MATCH(Summary!$A291, Labels!$A:$A, 0)))</f>
        <v/>
      </c>
      <c r="V291" s="62" t="str">
        <f>IF(INDEX(Labels!H:H, MATCH(Summary!$A291, Labels!$A:$A, 0)) = 0, "", INDEX(Labels!H:H, MATCH(Summary!$A291, Labels!$A:$A, 0)))</f>
        <v/>
      </c>
      <c r="W291" t="str">
        <f>IF(INDEX(Labels!I:I, MATCH(Summary!$A291, Labels!$A:$A, 0)) = 0, "", INDEX(Labels!I:I, MATCH(Summary!$A291, Labels!$A:$A, 0)))</f>
        <v/>
      </c>
      <c r="X291" t="str">
        <f>IF(INDEX(Labels!J:J, MATCH(Summary!$A291, Labels!$A:$A, 0)) = 0, "", INDEX(Labels!J:J, MATCH(Summary!$A291, Labels!$A:$A, 0)))</f>
        <v/>
      </c>
    </row>
    <row r="292" spans="1:24" x14ac:dyDescent="0.2">
      <c r="A292" s="33">
        <f>Labels!A293</f>
        <v>286</v>
      </c>
      <c r="B292" s="34">
        <f>INDEX(EchoData!B:B, MATCH(Summary!$A292, EchoData!$A:$A, 0))</f>
        <v>290</v>
      </c>
      <c r="C292" s="35">
        <f>INDEX(EchoData!C:C, MATCH(Summary!$A292, EchoData!$A:$A, 0))</f>
        <v>291</v>
      </c>
      <c r="D292" s="42">
        <f>INDEX(Displacements!B:B, MATCH(Summary!$B292, Displacements!$A:$A, 0))</f>
        <v>22.911999999999999</v>
      </c>
      <c r="E292" s="43">
        <f>INDEX(Displacements!C:C, MATCH(Summary!$B292, Displacements!$A:$A, 0))</f>
        <v>0</v>
      </c>
      <c r="F292" s="44">
        <f>INDEX(Displacements!D:D, MATCH(Summary!$B292, Displacements!$A:$A, 0))</f>
        <v>0</v>
      </c>
      <c r="G292" s="42">
        <f>INDEX(Displacements!B:B, MATCH(Summary!$C292, Displacements!$A:$A, 0))</f>
        <v>25.895</v>
      </c>
      <c r="H292" s="43">
        <f>INDEX(Displacements!C:C, MATCH(Summary!$C292, Displacements!$A:$A, 0))</f>
        <v>0</v>
      </c>
      <c r="I292" s="44">
        <f>INDEX(Displacements!D:D, MATCH(Summary!$C292, Displacements!$A:$A, 0))</f>
        <v>0</v>
      </c>
      <c r="J292" s="42">
        <f t="shared" si="8"/>
        <v>2.9830000000000005</v>
      </c>
      <c r="K292" s="49">
        <f t="shared" si="9"/>
        <v>1.3164165931156235</v>
      </c>
      <c r="L292" s="54">
        <f>INDEX('Forces+Stresses'!C:C, MATCH(Summary!$A292, 'Forces+Stresses'!$A:$A, 0))</f>
        <v>1939</v>
      </c>
      <c r="M292" s="55">
        <f>INDEX('Forces+Stresses'!D:D, MATCH(Summary!$A292, 'Forces+Stresses'!$A:$A, 0))</f>
        <v>1939</v>
      </c>
      <c r="N292" s="55">
        <f>IFERROR(INDEX('Forces+Stresses'!Q:Q, MATCH(Summary!$A292, 'Forces+Stresses'!$A:$A, 0)), INDEX(Flexjoints!D:D, MATCH(Summary!$A292, Flexjoints!$A:$A, 0)))</f>
        <v>3.6100000000000006E-8</v>
      </c>
      <c r="O292" s="56">
        <f>IFERROR(INDEX('Forces+Stresses'!R:R, MATCH(Summary!$A292, 'Forces+Stresses'!$A:$A, 0)), INDEX(Flexjoints!E:E, MATCH(Summary!$A292, Flexjoints!$A:$A, 0)))</f>
        <v>1.8109999999999999E-6</v>
      </c>
      <c r="P292" s="33" t="str">
        <f>IF(INDEX(Labels!B:B, MATCH(Summary!$A292, Labels!$A:$A, 0)) = 0, "", INDEX(Labels!B:B, MATCH(Summary!$A292, Labels!$A:$A, 0)))</f>
        <v>{Marine Riser String}</v>
      </c>
      <c r="Q292" s="35" t="str">
        <f>IF(INDEX(Labels!C:C, MATCH(Summary!$A292, Labels!$A:$A, 0)) = 0, "", INDEX(Labels!C:C, MATCH(Summary!$A292, Labels!$A:$A, 0)))</f>
        <v>{Termination Adapter}</v>
      </c>
      <c r="R292" s="33" t="str">
        <f>IF(INDEX(Labels!D:D, MATCH(Summary!$A292, Labels!$A:$A, 0)) = 0, "", INDEX(Labels!D:D, MATCH(Summary!$A292, Labels!$A:$A, 0)))</f>
        <v/>
      </c>
      <c r="S292" s="35" t="str">
        <f>IF(INDEX(Labels!E:E, MATCH(Summary!$A292, Labels!$A:$A, 0)) = 0, "", INDEX(Labels!E:E, MATCH(Summary!$A292, Labels!$A:$A, 0)))</f>
        <v/>
      </c>
      <c r="T292" s="33" t="str">
        <f>IF(INDEX(Labels!F:F, MATCH(Summary!$A292, Labels!$A:$A, 0)) = 0, "", INDEX(Labels!F:F, MATCH(Summary!$A292, Labels!$A:$A, 0)))</f>
        <v/>
      </c>
      <c r="U292" s="35" t="str">
        <f>IF(INDEX(Labels!G:G, MATCH(Summary!$A292, Labels!$A:$A, 0)) = 0, "", INDEX(Labels!G:G, MATCH(Summary!$A292, Labels!$A:$A, 0)))</f>
        <v/>
      </c>
      <c r="V292" s="62" t="str">
        <f>IF(INDEX(Labels!H:H, MATCH(Summary!$A292, Labels!$A:$A, 0)) = 0, "", INDEX(Labels!H:H, MATCH(Summary!$A292, Labels!$A:$A, 0)))</f>
        <v/>
      </c>
      <c r="W292" t="str">
        <f>IF(INDEX(Labels!I:I, MATCH(Summary!$A292, Labels!$A:$A, 0)) = 0, "", INDEX(Labels!I:I, MATCH(Summary!$A292, Labels!$A:$A, 0)))</f>
        <v/>
      </c>
      <c r="X292" t="str">
        <f>IF(INDEX(Labels!J:J, MATCH(Summary!$A292, Labels!$A:$A, 0)) = 0, "", INDEX(Labels!J:J, MATCH(Summary!$A292, Labels!$A:$A, 0)))</f>
        <v/>
      </c>
    </row>
    <row r="293" spans="1:24" x14ac:dyDescent="0.2">
      <c r="A293" s="33">
        <f>Labels!A294</f>
        <v>287</v>
      </c>
      <c r="B293" s="34">
        <f>INDEX(EchoData!B:B, MATCH(Summary!$A293, EchoData!$A:$A, 0))</f>
        <v>291</v>
      </c>
      <c r="C293" s="35">
        <f>INDEX(EchoData!C:C, MATCH(Summary!$A293, EchoData!$A:$A, 0))</f>
        <v>292</v>
      </c>
      <c r="D293" s="42">
        <f>INDEX(Displacements!B:B, MATCH(Summary!$B293, Displacements!$A:$A, 0))</f>
        <v>25.895</v>
      </c>
      <c r="E293" s="43">
        <f>INDEX(Displacements!C:C, MATCH(Summary!$B293, Displacements!$A:$A, 0))</f>
        <v>0</v>
      </c>
      <c r="F293" s="44">
        <f>INDEX(Displacements!D:D, MATCH(Summary!$B293, Displacements!$A:$A, 0))</f>
        <v>0</v>
      </c>
      <c r="G293" s="42">
        <f>INDEX(Displacements!B:B, MATCH(Summary!$C293, Displacements!$A:$A, 0))</f>
        <v>28.879000000000001</v>
      </c>
      <c r="H293" s="43">
        <f>INDEX(Displacements!C:C, MATCH(Summary!$C293, Displacements!$A:$A, 0))</f>
        <v>0</v>
      </c>
      <c r="I293" s="44">
        <f>INDEX(Displacements!D:D, MATCH(Summary!$C293, Displacements!$A:$A, 0))</f>
        <v>0</v>
      </c>
      <c r="J293" s="42">
        <f t="shared" si="8"/>
        <v>2.9840000000000018</v>
      </c>
      <c r="K293" s="49">
        <f t="shared" si="9"/>
        <v>1.0003352329869264</v>
      </c>
      <c r="L293" s="54">
        <f>INDEX('Forces+Stresses'!C:C, MATCH(Summary!$A293, 'Forces+Stresses'!$A:$A, 0))</f>
        <v>1987</v>
      </c>
      <c r="M293" s="55">
        <f>INDEX('Forces+Stresses'!D:D, MATCH(Summary!$A293, 'Forces+Stresses'!$A:$A, 0))</f>
        <v>1987</v>
      </c>
      <c r="N293" s="55">
        <f>IFERROR(INDEX('Forces+Stresses'!Q:Q, MATCH(Summary!$A293, 'Forces+Stresses'!$A:$A, 0)), INDEX(Flexjoints!D:D, MATCH(Summary!$A293, Flexjoints!$A:$A, 0)))</f>
        <v>1.9959999999999999E-7</v>
      </c>
      <c r="O293" s="56">
        <f>IFERROR(INDEX('Forces+Stresses'!R:R, MATCH(Summary!$A293, 'Forces+Stresses'!$A:$A, 0)), INDEX(Flexjoints!E:E, MATCH(Summary!$A293, Flexjoints!$A:$A, 0)))</f>
        <v>2.6170000000000001E-6</v>
      </c>
      <c r="P293" s="33" t="str">
        <f>IF(INDEX(Labels!B:B, MATCH(Summary!$A293, Labels!$A:$A, 0)) = 0, "", INDEX(Labels!B:B, MATCH(Summary!$A293, Labels!$A:$A, 0)))</f>
        <v>{Marine Riser String}</v>
      </c>
      <c r="Q293" s="35" t="str">
        <f>IF(INDEX(Labels!C:C, MATCH(Summary!$A293, Labels!$A:$A, 0)) = 0, "", INDEX(Labels!C:C, MATCH(Summary!$A293, Labels!$A:$A, 0)))</f>
        <v>{Termination Adapter}</v>
      </c>
      <c r="R293" s="33" t="str">
        <f>IF(INDEX(Labels!D:D, MATCH(Summary!$A293, Labels!$A:$A, 0)) = 0, "", INDEX(Labels!D:D, MATCH(Summary!$A293, Labels!$A:$A, 0)))</f>
        <v/>
      </c>
      <c r="S293" s="35" t="str">
        <f>IF(INDEX(Labels!E:E, MATCH(Summary!$A293, Labels!$A:$A, 0)) = 0, "", INDEX(Labels!E:E, MATCH(Summary!$A293, Labels!$A:$A, 0)))</f>
        <v/>
      </c>
      <c r="T293" s="33" t="str">
        <f>IF(INDEX(Labels!F:F, MATCH(Summary!$A293, Labels!$A:$A, 0)) = 0, "", INDEX(Labels!F:F, MATCH(Summary!$A293, Labels!$A:$A, 0)))</f>
        <v/>
      </c>
      <c r="U293" s="35" t="str">
        <f>IF(INDEX(Labels!G:G, MATCH(Summary!$A293, Labels!$A:$A, 0)) = 0, "", INDEX(Labels!G:G, MATCH(Summary!$A293, Labels!$A:$A, 0)))</f>
        <v/>
      </c>
      <c r="V293" s="62" t="str">
        <f>IF(INDEX(Labels!H:H, MATCH(Summary!$A293, Labels!$A:$A, 0)) = 0, "", INDEX(Labels!H:H, MATCH(Summary!$A293, Labels!$A:$A, 0)))</f>
        <v/>
      </c>
      <c r="W293" t="str">
        <f>IF(INDEX(Labels!I:I, MATCH(Summary!$A293, Labels!$A:$A, 0)) = 0, "", INDEX(Labels!I:I, MATCH(Summary!$A293, Labels!$A:$A, 0)))</f>
        <v/>
      </c>
      <c r="X293" t="str">
        <f>IF(INDEX(Labels!J:J, MATCH(Summary!$A293, Labels!$A:$A, 0)) = 0, "", INDEX(Labels!J:J, MATCH(Summary!$A293, Labels!$A:$A, 0)))</f>
        <v/>
      </c>
    </row>
    <row r="294" spans="1:24" x14ac:dyDescent="0.2">
      <c r="A294" s="33">
        <f>Labels!A295</f>
        <v>288</v>
      </c>
      <c r="B294" s="34">
        <f>INDEX(EchoData!B:B, MATCH(Summary!$A294, EchoData!$A:$A, 0))</f>
        <v>292</v>
      </c>
      <c r="C294" s="35">
        <f>INDEX(EchoData!C:C, MATCH(Summary!$A294, EchoData!$A:$A, 0))</f>
        <v>293</v>
      </c>
      <c r="D294" s="42">
        <f>INDEX(Displacements!B:B, MATCH(Summary!$B294, Displacements!$A:$A, 0))</f>
        <v>28.879000000000001</v>
      </c>
      <c r="E294" s="43">
        <f>INDEX(Displacements!C:C, MATCH(Summary!$B294, Displacements!$A:$A, 0))</f>
        <v>0</v>
      </c>
      <c r="F294" s="44">
        <f>INDEX(Displacements!D:D, MATCH(Summary!$B294, Displacements!$A:$A, 0))</f>
        <v>0</v>
      </c>
      <c r="G294" s="42">
        <f>INDEX(Displacements!B:B, MATCH(Summary!$C294, Displacements!$A:$A, 0))</f>
        <v>31.863</v>
      </c>
      <c r="H294" s="43">
        <f>INDEX(Displacements!C:C, MATCH(Summary!$C294, Displacements!$A:$A, 0))</f>
        <v>0</v>
      </c>
      <c r="I294" s="44">
        <f>INDEX(Displacements!D:D, MATCH(Summary!$C294, Displacements!$A:$A, 0))</f>
        <v>0</v>
      </c>
      <c r="J294" s="42">
        <f t="shared" si="8"/>
        <v>2.9839999999999982</v>
      </c>
      <c r="K294" s="49">
        <f t="shared" si="9"/>
        <v>0.99999999999999878</v>
      </c>
      <c r="L294" s="54">
        <f>INDEX('Forces+Stresses'!C:C, MATCH(Summary!$A294, 'Forces+Stresses'!$A:$A, 0))</f>
        <v>2036</v>
      </c>
      <c r="M294" s="55">
        <f>INDEX('Forces+Stresses'!D:D, MATCH(Summary!$A294, 'Forces+Stresses'!$A:$A, 0))</f>
        <v>2036</v>
      </c>
      <c r="N294" s="55">
        <f>IFERROR(INDEX('Forces+Stresses'!Q:Q, MATCH(Summary!$A294, 'Forces+Stresses'!$A:$A, 0)), INDEX(Flexjoints!D:D, MATCH(Summary!$A294, Flexjoints!$A:$A, 0)))</f>
        <v>2.022E-7</v>
      </c>
      <c r="O294" s="56">
        <f>IFERROR(INDEX('Forces+Stresses'!R:R, MATCH(Summary!$A294, 'Forces+Stresses'!$A:$A, 0)), INDEX(Flexjoints!E:E, MATCH(Summary!$A294, Flexjoints!$A:$A, 0)))</f>
        <v>3.0639999999999998E-6</v>
      </c>
      <c r="P294" s="33" t="str">
        <f>IF(INDEX(Labels!B:B, MATCH(Summary!$A294, Labels!$A:$A, 0)) = 0, "", INDEX(Labels!B:B, MATCH(Summary!$A294, Labels!$A:$A, 0)))</f>
        <v>{Marine Riser String}</v>
      </c>
      <c r="Q294" s="35" t="str">
        <f>IF(INDEX(Labels!C:C, MATCH(Summary!$A294, Labels!$A:$A, 0)) = 0, "", INDEX(Labels!C:C, MATCH(Summary!$A294, Labels!$A:$A, 0)))</f>
        <v>{Termination Adapter}</v>
      </c>
      <c r="R294" s="33" t="str">
        <f>IF(INDEX(Labels!D:D, MATCH(Summary!$A294, Labels!$A:$A, 0)) = 0, "", INDEX(Labels!D:D, MATCH(Summary!$A294, Labels!$A:$A, 0)))</f>
        <v/>
      </c>
      <c r="S294" s="35" t="str">
        <f>IF(INDEX(Labels!E:E, MATCH(Summary!$A294, Labels!$A:$A, 0)) = 0, "", INDEX(Labels!E:E, MATCH(Summary!$A294, Labels!$A:$A, 0)))</f>
        <v/>
      </c>
      <c r="T294" s="33" t="str">
        <f>IF(INDEX(Labels!F:F, MATCH(Summary!$A294, Labels!$A:$A, 0)) = 0, "", INDEX(Labels!F:F, MATCH(Summary!$A294, Labels!$A:$A, 0)))</f>
        <v/>
      </c>
      <c r="U294" s="35" t="str">
        <f>IF(INDEX(Labels!G:G, MATCH(Summary!$A294, Labels!$A:$A, 0)) = 0, "", INDEX(Labels!G:G, MATCH(Summary!$A294, Labels!$A:$A, 0)))</f>
        <v/>
      </c>
      <c r="V294" s="62" t="str">
        <f>IF(INDEX(Labels!H:H, MATCH(Summary!$A294, Labels!$A:$A, 0)) = 0, "", INDEX(Labels!H:H, MATCH(Summary!$A294, Labels!$A:$A, 0)))</f>
        <v/>
      </c>
      <c r="W294" t="str">
        <f>IF(INDEX(Labels!I:I, MATCH(Summary!$A294, Labels!$A:$A, 0)) = 0, "", INDEX(Labels!I:I, MATCH(Summary!$A294, Labels!$A:$A, 0)))</f>
        <v/>
      </c>
      <c r="X294" t="str">
        <f>IF(INDEX(Labels!J:J, MATCH(Summary!$A294, Labels!$A:$A, 0)) = 0, "", INDEX(Labels!J:J, MATCH(Summary!$A294, Labels!$A:$A, 0)))</f>
        <v/>
      </c>
    </row>
    <row r="295" spans="1:24" x14ac:dyDescent="0.2">
      <c r="A295" s="33">
        <f>Labels!A296</f>
        <v>289</v>
      </c>
      <c r="B295" s="34">
        <f>INDEX(EchoData!B:B, MATCH(Summary!$A295, EchoData!$A:$A, 0))</f>
        <v>293</v>
      </c>
      <c r="C295" s="35">
        <f>INDEX(EchoData!C:C, MATCH(Summary!$A295, EchoData!$A:$A, 0))</f>
        <v>294</v>
      </c>
      <c r="D295" s="42">
        <f>INDEX(Displacements!B:B, MATCH(Summary!$B295, Displacements!$A:$A, 0))</f>
        <v>31.863</v>
      </c>
      <c r="E295" s="43">
        <f>INDEX(Displacements!C:C, MATCH(Summary!$B295, Displacements!$A:$A, 0))</f>
        <v>0</v>
      </c>
      <c r="F295" s="44">
        <f>INDEX(Displacements!D:D, MATCH(Summary!$B295, Displacements!$A:$A, 0))</f>
        <v>0</v>
      </c>
      <c r="G295" s="42">
        <f>INDEX(Displacements!B:B, MATCH(Summary!$C295, Displacements!$A:$A, 0))</f>
        <v>34.847000000000001</v>
      </c>
      <c r="H295" s="43">
        <f>INDEX(Displacements!C:C, MATCH(Summary!$C295, Displacements!$A:$A, 0))</f>
        <v>0</v>
      </c>
      <c r="I295" s="44">
        <f>INDEX(Displacements!D:D, MATCH(Summary!$C295, Displacements!$A:$A, 0))</f>
        <v>0</v>
      </c>
      <c r="J295" s="42">
        <f t="shared" si="8"/>
        <v>2.9840000000000018</v>
      </c>
      <c r="K295" s="49">
        <f t="shared" si="9"/>
        <v>1.0000000000000011</v>
      </c>
      <c r="L295" s="54">
        <f>INDEX('Forces+Stresses'!C:C, MATCH(Summary!$A295, 'Forces+Stresses'!$A:$A, 0))</f>
        <v>2084</v>
      </c>
      <c r="M295" s="55">
        <f>INDEX('Forces+Stresses'!D:D, MATCH(Summary!$A295, 'Forces+Stresses'!$A:$A, 0))</f>
        <v>2084</v>
      </c>
      <c r="N295" s="55">
        <f>IFERROR(INDEX('Forces+Stresses'!Q:Q, MATCH(Summary!$A295, 'Forces+Stresses'!$A:$A, 0)), INDEX(Flexjoints!D:D, MATCH(Summary!$A295, Flexjoints!$A:$A, 0)))</f>
        <v>1.4259999999999999E-7</v>
      </c>
      <c r="O295" s="56">
        <f>IFERROR(INDEX('Forces+Stresses'!R:R, MATCH(Summary!$A295, 'Forces+Stresses'!$A:$A, 0)), INDEX(Flexjoints!E:E, MATCH(Summary!$A295, Flexjoints!$A:$A, 0)))</f>
        <v>3.1559999999999999E-6</v>
      </c>
      <c r="P295" s="33" t="str">
        <f>IF(INDEX(Labels!B:B, MATCH(Summary!$A295, Labels!$A:$A, 0)) = 0, "", INDEX(Labels!B:B, MATCH(Summary!$A295, Labels!$A:$A, 0)))</f>
        <v>{Marine Riser String}</v>
      </c>
      <c r="Q295" s="35" t="str">
        <f>IF(INDEX(Labels!C:C, MATCH(Summary!$A295, Labels!$A:$A, 0)) = 0, "", INDEX(Labels!C:C, MATCH(Summary!$A295, Labels!$A:$A, 0)))</f>
        <v>{Termination Adapter}</v>
      </c>
      <c r="R295" s="33" t="str">
        <f>IF(INDEX(Labels!D:D, MATCH(Summary!$A295, Labels!$A:$A, 0)) = 0, "", INDEX(Labels!D:D, MATCH(Summary!$A295, Labels!$A:$A, 0)))</f>
        <v/>
      </c>
      <c r="S295" s="35" t="str">
        <f>IF(INDEX(Labels!E:E, MATCH(Summary!$A295, Labels!$A:$A, 0)) = 0, "", INDEX(Labels!E:E, MATCH(Summary!$A295, Labels!$A:$A, 0)))</f>
        <v/>
      </c>
      <c r="T295" s="33" t="str">
        <f>IF(INDEX(Labels!F:F, MATCH(Summary!$A295, Labels!$A:$A, 0)) = 0, "", INDEX(Labels!F:F, MATCH(Summary!$A295, Labels!$A:$A, 0)))</f>
        <v/>
      </c>
      <c r="U295" s="35" t="str">
        <f>IF(INDEX(Labels!G:G, MATCH(Summary!$A295, Labels!$A:$A, 0)) = 0, "", INDEX(Labels!G:G, MATCH(Summary!$A295, Labels!$A:$A, 0)))</f>
        <v/>
      </c>
      <c r="V295" s="62" t="str">
        <f>IF(INDEX(Labels!H:H, MATCH(Summary!$A295, Labels!$A:$A, 0)) = 0, "", INDEX(Labels!H:H, MATCH(Summary!$A295, Labels!$A:$A, 0)))</f>
        <v/>
      </c>
      <c r="W295" t="str">
        <f>IF(INDEX(Labels!I:I, MATCH(Summary!$A295, Labels!$A:$A, 0)) = 0, "", INDEX(Labels!I:I, MATCH(Summary!$A295, Labels!$A:$A, 0)))</f>
        <v/>
      </c>
      <c r="X295" t="str">
        <f>IF(INDEX(Labels!J:J, MATCH(Summary!$A295, Labels!$A:$A, 0)) = 0, "", INDEX(Labels!J:J, MATCH(Summary!$A295, Labels!$A:$A, 0)))</f>
        <v/>
      </c>
    </row>
    <row r="296" spans="1:24" x14ac:dyDescent="0.2">
      <c r="A296" s="33">
        <f>Labels!A297</f>
        <v>290</v>
      </c>
      <c r="B296" s="34">
        <f>INDEX(EchoData!B:B, MATCH(Summary!$A296, EchoData!$A:$A, 0))</f>
        <v>294</v>
      </c>
      <c r="C296" s="35">
        <f>INDEX(EchoData!C:C, MATCH(Summary!$A296, EchoData!$A:$A, 0))</f>
        <v>295</v>
      </c>
      <c r="D296" s="42">
        <f>INDEX(Displacements!B:B, MATCH(Summary!$B296, Displacements!$A:$A, 0))</f>
        <v>34.847000000000001</v>
      </c>
      <c r="E296" s="43">
        <f>INDEX(Displacements!C:C, MATCH(Summary!$B296, Displacements!$A:$A, 0))</f>
        <v>0</v>
      </c>
      <c r="F296" s="44">
        <f>INDEX(Displacements!D:D, MATCH(Summary!$B296, Displacements!$A:$A, 0))</f>
        <v>0</v>
      </c>
      <c r="G296" s="42">
        <f>INDEX(Displacements!B:B, MATCH(Summary!$C296, Displacements!$A:$A, 0))</f>
        <v>37.085000000000001</v>
      </c>
      <c r="H296" s="43">
        <f>INDEX(Displacements!C:C, MATCH(Summary!$C296, Displacements!$A:$A, 0))</f>
        <v>0</v>
      </c>
      <c r="I296" s="44">
        <f>INDEX(Displacements!D:D, MATCH(Summary!$C296, Displacements!$A:$A, 0))</f>
        <v>0</v>
      </c>
      <c r="J296" s="42">
        <f t="shared" si="8"/>
        <v>2.2379999999999995</v>
      </c>
      <c r="K296" s="49">
        <f t="shared" si="9"/>
        <v>0.74999999999999944</v>
      </c>
      <c r="L296" s="54">
        <f>INDEX('Forces+Stresses'!C:C, MATCH(Summary!$A296, 'Forces+Stresses'!$A:$A, 0))</f>
        <v>2133</v>
      </c>
      <c r="M296" s="55">
        <f>INDEX('Forces+Stresses'!D:D, MATCH(Summary!$A296, 'Forces+Stresses'!$A:$A, 0))</f>
        <v>2133</v>
      </c>
      <c r="N296" s="55">
        <f>IFERROR(INDEX('Forces+Stresses'!Q:Q, MATCH(Summary!$A296, 'Forces+Stresses'!$A:$A, 0)), INDEX(Flexjoints!D:D, MATCH(Summary!$A296, Flexjoints!$A:$A, 0)))</f>
        <v>9.1590000000000002E-8</v>
      </c>
      <c r="O296" s="56">
        <f>IFERROR(INDEX('Forces+Stresses'!R:R, MATCH(Summary!$A296, 'Forces+Stresses'!$A:$A, 0)), INDEX(Flexjoints!E:E, MATCH(Summary!$A296, Flexjoints!$A:$A, 0)))</f>
        <v>3.32E-6</v>
      </c>
      <c r="P296" s="33" t="str">
        <f>IF(INDEX(Labels!B:B, MATCH(Summary!$A296, Labels!$A:$A, 0)) = 0, "", INDEX(Labels!B:B, MATCH(Summary!$A296, Labels!$A:$A, 0)))</f>
        <v>{Marine Riser String}</v>
      </c>
      <c r="Q296" s="35" t="str">
        <f>IF(INDEX(Labels!C:C, MATCH(Summary!$A296, Labels!$A:$A, 0)) = 0, "", INDEX(Labels!C:C, MATCH(Summary!$A296, Labels!$A:$A, 0)))</f>
        <v>{Termination Adapter}</v>
      </c>
      <c r="R296" s="33" t="str">
        <f>IF(INDEX(Labels!D:D, MATCH(Summary!$A296, Labels!$A:$A, 0)) = 0, "", INDEX(Labels!D:D, MATCH(Summary!$A296, Labels!$A:$A, 0)))</f>
        <v/>
      </c>
      <c r="S296" s="35" t="str">
        <f>IF(INDEX(Labels!E:E, MATCH(Summary!$A296, Labels!$A:$A, 0)) = 0, "", INDEX(Labels!E:E, MATCH(Summary!$A296, Labels!$A:$A, 0)))</f>
        <v/>
      </c>
      <c r="T296" s="33" t="str">
        <f>IF(INDEX(Labels!F:F, MATCH(Summary!$A296, Labels!$A:$A, 0)) = 0, "", INDEX(Labels!F:F, MATCH(Summary!$A296, Labels!$A:$A, 0)))</f>
        <v/>
      </c>
      <c r="U296" s="35" t="str">
        <f>IF(INDEX(Labels!G:G, MATCH(Summary!$A296, Labels!$A:$A, 0)) = 0, "", INDEX(Labels!G:G, MATCH(Summary!$A296, Labels!$A:$A, 0)))</f>
        <v/>
      </c>
      <c r="V296" s="62" t="str">
        <f>IF(INDEX(Labels!H:H, MATCH(Summary!$A296, Labels!$A:$A, 0)) = 0, "", INDEX(Labels!H:H, MATCH(Summary!$A296, Labels!$A:$A, 0)))</f>
        <v/>
      </c>
      <c r="W296" t="str">
        <f>IF(INDEX(Labels!I:I, MATCH(Summary!$A296, Labels!$A:$A, 0)) = 0, "", INDEX(Labels!I:I, MATCH(Summary!$A296, Labels!$A:$A, 0)))</f>
        <v/>
      </c>
      <c r="X296" t="str">
        <f>IF(INDEX(Labels!J:J, MATCH(Summary!$A296, Labels!$A:$A, 0)) = 0, "", INDEX(Labels!J:J, MATCH(Summary!$A296, Labels!$A:$A, 0)))</f>
        <v/>
      </c>
    </row>
    <row r="297" spans="1:24" x14ac:dyDescent="0.2">
      <c r="A297" s="33">
        <f>Labels!A298</f>
        <v>291</v>
      </c>
      <c r="B297" s="34">
        <f>INDEX(EchoData!B:B, MATCH(Summary!$A297, EchoData!$A:$A, 0))</f>
        <v>295</v>
      </c>
      <c r="C297" s="35">
        <f>INDEX(EchoData!C:C, MATCH(Summary!$A297, EchoData!$A:$A, 0))</f>
        <v>296</v>
      </c>
      <c r="D297" s="42">
        <f>INDEX(Displacements!B:B, MATCH(Summary!$B297, Displacements!$A:$A, 0))</f>
        <v>37.085000000000001</v>
      </c>
      <c r="E297" s="43">
        <f>INDEX(Displacements!C:C, MATCH(Summary!$B297, Displacements!$A:$A, 0))</f>
        <v>0</v>
      </c>
      <c r="F297" s="44">
        <f>INDEX(Displacements!D:D, MATCH(Summary!$B297, Displacements!$A:$A, 0))</f>
        <v>0</v>
      </c>
      <c r="G297" s="42">
        <f>INDEX(Displacements!B:B, MATCH(Summary!$C297, Displacements!$A:$A, 0))</f>
        <v>38.576000000000001</v>
      </c>
      <c r="H297" s="43">
        <f>INDEX(Displacements!C:C, MATCH(Summary!$C297, Displacements!$A:$A, 0))</f>
        <v>0</v>
      </c>
      <c r="I297" s="44">
        <f>INDEX(Displacements!D:D, MATCH(Summary!$C297, Displacements!$A:$A, 0))</f>
        <v>0</v>
      </c>
      <c r="J297" s="42">
        <f t="shared" si="8"/>
        <v>1.4909999999999997</v>
      </c>
      <c r="K297" s="49">
        <f t="shared" si="9"/>
        <v>0.66621983914209115</v>
      </c>
      <c r="L297" s="54">
        <f>INDEX('Forces+Stresses'!C:C, MATCH(Summary!$A297, 'Forces+Stresses'!$A:$A, 0))</f>
        <v>2169</v>
      </c>
      <c r="M297" s="55">
        <f>INDEX('Forces+Stresses'!D:D, MATCH(Summary!$A297, 'Forces+Stresses'!$A:$A, 0))</f>
        <v>2169</v>
      </c>
      <c r="N297" s="55">
        <f>IFERROR(INDEX('Forces+Stresses'!Q:Q, MATCH(Summary!$A297, 'Forces+Stresses'!$A:$A, 0)), INDEX(Flexjoints!D:D, MATCH(Summary!$A297, Flexjoints!$A:$A, 0)))</f>
        <v>1.105E-7</v>
      </c>
      <c r="O297" s="56">
        <f>IFERROR(INDEX('Forces+Stresses'!R:R, MATCH(Summary!$A297, 'Forces+Stresses'!$A:$A, 0)), INDEX(Flexjoints!E:E, MATCH(Summary!$A297, Flexjoints!$A:$A, 0)))</f>
        <v>3.2909999999999999E-6</v>
      </c>
      <c r="P297" s="33" t="str">
        <f>IF(INDEX(Labels!B:B, MATCH(Summary!$A297, Labels!$A:$A, 0)) = 0, "", INDEX(Labels!B:B, MATCH(Summary!$A297, Labels!$A:$A, 0)))</f>
        <v>{Marine Riser String}</v>
      </c>
      <c r="Q297" s="35" t="str">
        <f>IF(INDEX(Labels!C:C, MATCH(Summary!$A297, Labels!$A:$A, 0)) = 0, "", INDEX(Labels!C:C, MATCH(Summary!$A297, Labels!$A:$A, 0)))</f>
        <v>{Termination Adapter}</v>
      </c>
      <c r="R297" s="33" t="str">
        <f>IF(INDEX(Labels!D:D, MATCH(Summary!$A297, Labels!$A:$A, 0)) = 0, "", INDEX(Labels!D:D, MATCH(Summary!$A297, Labels!$A:$A, 0)))</f>
        <v/>
      </c>
      <c r="S297" s="35" t="str">
        <f>IF(INDEX(Labels!E:E, MATCH(Summary!$A297, Labels!$A:$A, 0)) = 0, "", INDEX(Labels!E:E, MATCH(Summary!$A297, Labels!$A:$A, 0)))</f>
        <v/>
      </c>
      <c r="T297" s="33" t="str">
        <f>IF(INDEX(Labels!F:F, MATCH(Summary!$A297, Labels!$A:$A, 0)) = 0, "", INDEX(Labels!F:F, MATCH(Summary!$A297, Labels!$A:$A, 0)))</f>
        <v/>
      </c>
      <c r="U297" s="35" t="str">
        <f>IF(INDEX(Labels!G:G, MATCH(Summary!$A297, Labels!$A:$A, 0)) = 0, "", INDEX(Labels!G:G, MATCH(Summary!$A297, Labels!$A:$A, 0)))</f>
        <v/>
      </c>
      <c r="V297" s="62" t="str">
        <f>IF(INDEX(Labels!H:H, MATCH(Summary!$A297, Labels!$A:$A, 0)) = 0, "", INDEX(Labels!H:H, MATCH(Summary!$A297, Labels!$A:$A, 0)))</f>
        <v/>
      </c>
      <c r="W297" t="str">
        <f>IF(INDEX(Labels!I:I, MATCH(Summary!$A297, Labels!$A:$A, 0)) = 0, "", INDEX(Labels!I:I, MATCH(Summary!$A297, Labels!$A:$A, 0)))</f>
        <v/>
      </c>
      <c r="X297" t="str">
        <f>IF(INDEX(Labels!J:J, MATCH(Summary!$A297, Labels!$A:$A, 0)) = 0, "", INDEX(Labels!J:J, MATCH(Summary!$A297, Labels!$A:$A, 0)))</f>
        <v/>
      </c>
    </row>
    <row r="298" spans="1:24" x14ac:dyDescent="0.2">
      <c r="A298" s="33">
        <f>Labels!A299</f>
        <v>292</v>
      </c>
      <c r="B298" s="34">
        <f>INDEX(EchoData!B:B, MATCH(Summary!$A298, EchoData!$A:$A, 0))</f>
        <v>296</v>
      </c>
      <c r="C298" s="35">
        <f>INDEX(EchoData!C:C, MATCH(Summary!$A298, EchoData!$A:$A, 0))</f>
        <v>297</v>
      </c>
      <c r="D298" s="42">
        <f>INDEX(Displacements!B:B, MATCH(Summary!$B298, Displacements!$A:$A, 0))</f>
        <v>38.576000000000001</v>
      </c>
      <c r="E298" s="43">
        <f>INDEX(Displacements!C:C, MATCH(Summary!$B298, Displacements!$A:$A, 0))</f>
        <v>0</v>
      </c>
      <c r="F298" s="44">
        <f>INDEX(Displacements!D:D, MATCH(Summary!$B298, Displacements!$A:$A, 0))</f>
        <v>0</v>
      </c>
      <c r="G298" s="42">
        <f>INDEX(Displacements!B:B, MATCH(Summary!$C298, Displacements!$A:$A, 0))</f>
        <v>39.570999999999998</v>
      </c>
      <c r="H298" s="43">
        <f>INDEX(Displacements!C:C, MATCH(Summary!$C298, Displacements!$A:$A, 0))</f>
        <v>0</v>
      </c>
      <c r="I298" s="44">
        <f>INDEX(Displacements!D:D, MATCH(Summary!$C298, Displacements!$A:$A, 0))</f>
        <v>0</v>
      </c>
      <c r="J298" s="42">
        <f t="shared" si="8"/>
        <v>0.99499999999999744</v>
      </c>
      <c r="K298" s="49">
        <f t="shared" si="9"/>
        <v>0.667337357478201</v>
      </c>
      <c r="L298" s="54">
        <f>INDEX('Forces+Stresses'!C:C, MATCH(Summary!$A298, 'Forces+Stresses'!$A:$A, 0))</f>
        <v>2194</v>
      </c>
      <c r="M298" s="55">
        <f>INDEX('Forces+Stresses'!D:D, MATCH(Summary!$A298, 'Forces+Stresses'!$A:$A, 0))</f>
        <v>2194</v>
      </c>
      <c r="N298" s="55">
        <f>IFERROR(INDEX('Forces+Stresses'!Q:Q, MATCH(Summary!$A298, 'Forces+Stresses'!$A:$A, 0)), INDEX(Flexjoints!D:D, MATCH(Summary!$A298, Flexjoints!$A:$A, 0)))</f>
        <v>1.4440000000000002E-7</v>
      </c>
      <c r="O298" s="56">
        <f>IFERROR(INDEX('Forces+Stresses'!R:R, MATCH(Summary!$A298, 'Forces+Stresses'!$A:$A, 0)), INDEX(Flexjoints!E:E, MATCH(Summary!$A298, Flexjoints!$A:$A, 0)))</f>
        <v>3.2030000000000001E-6</v>
      </c>
      <c r="P298" s="33" t="str">
        <f>IF(INDEX(Labels!B:B, MATCH(Summary!$A298, Labels!$A:$A, 0)) = 0, "", INDEX(Labels!B:B, MATCH(Summary!$A298, Labels!$A:$A, 0)))</f>
        <v>{Marine Riser String}</v>
      </c>
      <c r="Q298" s="35" t="str">
        <f>IF(INDEX(Labels!C:C, MATCH(Summary!$A298, Labels!$A:$A, 0)) = 0, "", INDEX(Labels!C:C, MATCH(Summary!$A298, Labels!$A:$A, 0)))</f>
        <v>{Termination Adapter}</v>
      </c>
      <c r="R298" s="33" t="str">
        <f>IF(INDEX(Labels!D:D, MATCH(Summary!$A298, Labels!$A:$A, 0)) = 0, "", INDEX(Labels!D:D, MATCH(Summary!$A298, Labels!$A:$A, 0)))</f>
        <v/>
      </c>
      <c r="S298" s="35" t="str">
        <f>IF(INDEX(Labels!E:E, MATCH(Summary!$A298, Labels!$A:$A, 0)) = 0, "", INDEX(Labels!E:E, MATCH(Summary!$A298, Labels!$A:$A, 0)))</f>
        <v/>
      </c>
      <c r="T298" s="33" t="str">
        <f>IF(INDEX(Labels!F:F, MATCH(Summary!$A298, Labels!$A:$A, 0)) = 0, "", INDEX(Labels!F:F, MATCH(Summary!$A298, Labels!$A:$A, 0)))</f>
        <v/>
      </c>
      <c r="U298" s="35" t="str">
        <f>IF(INDEX(Labels!G:G, MATCH(Summary!$A298, Labels!$A:$A, 0)) = 0, "", INDEX(Labels!G:G, MATCH(Summary!$A298, Labels!$A:$A, 0)))</f>
        <v>{Termination Adapter_Last}</v>
      </c>
      <c r="V298" s="62" t="str">
        <f>IF(INDEX(Labels!H:H, MATCH(Summary!$A298, Labels!$A:$A, 0)) = 0, "", INDEX(Labels!H:H, MATCH(Summary!$A298, Labels!$A:$A, 0)))</f>
        <v/>
      </c>
      <c r="W298" t="str">
        <f>IF(INDEX(Labels!I:I, MATCH(Summary!$A298, Labels!$A:$A, 0)) = 0, "", INDEX(Labels!I:I, MATCH(Summary!$A298, Labels!$A:$A, 0)))</f>
        <v/>
      </c>
      <c r="X298" t="str">
        <f>IF(INDEX(Labels!J:J, MATCH(Summary!$A298, Labels!$A:$A, 0)) = 0, "", INDEX(Labels!J:J, MATCH(Summary!$A298, Labels!$A:$A, 0)))</f>
        <v/>
      </c>
    </row>
    <row r="299" spans="1:24" x14ac:dyDescent="0.2">
      <c r="A299" s="33">
        <f>Labels!A300</f>
        <v>293</v>
      </c>
      <c r="B299" s="34">
        <f>INDEX(EchoData!B:B, MATCH(Summary!$A299, EchoData!$A:$A, 0))</f>
        <v>297</v>
      </c>
      <c r="C299" s="35">
        <f>INDEX(EchoData!C:C, MATCH(Summary!$A299, EchoData!$A:$A, 0))</f>
        <v>298</v>
      </c>
      <c r="D299" s="42">
        <f>INDEX(Displacements!B:B, MATCH(Summary!$B299, Displacements!$A:$A, 0))</f>
        <v>39.570999999999998</v>
      </c>
      <c r="E299" s="43">
        <f>INDEX(Displacements!C:C, MATCH(Summary!$B299, Displacements!$A:$A, 0))</f>
        <v>0</v>
      </c>
      <c r="F299" s="44">
        <f>INDEX(Displacements!D:D, MATCH(Summary!$B299, Displacements!$A:$A, 0))</f>
        <v>0</v>
      </c>
      <c r="G299" s="42">
        <f>INDEX(Displacements!B:B, MATCH(Summary!$C299, Displacements!$A:$A, 0))</f>
        <v>40.569000000000003</v>
      </c>
      <c r="H299" s="43">
        <f>INDEX(Displacements!C:C, MATCH(Summary!$C299, Displacements!$A:$A, 0))</f>
        <v>0</v>
      </c>
      <c r="I299" s="44">
        <f>INDEX(Displacements!D:D, MATCH(Summary!$C299, Displacements!$A:$A, 0))</f>
        <v>0</v>
      </c>
      <c r="J299" s="42">
        <f t="shared" si="8"/>
        <v>0.99800000000000466</v>
      </c>
      <c r="K299" s="49">
        <f t="shared" si="9"/>
        <v>1.0030150753768916</v>
      </c>
      <c r="L299" s="54">
        <f>INDEX('Forces+Stresses'!C:C, MATCH(Summary!$A299, 'Forces+Stresses'!$A:$A, 0))</f>
        <v>2210</v>
      </c>
      <c r="M299" s="55">
        <f>INDEX('Forces+Stresses'!D:D, MATCH(Summary!$A299, 'Forces+Stresses'!$A:$A, 0))</f>
        <v>2210</v>
      </c>
      <c r="N299" s="55">
        <f>IFERROR(INDEX('Forces+Stresses'!Q:Q, MATCH(Summary!$A299, 'Forces+Stresses'!$A:$A, 0)), INDEX(Flexjoints!D:D, MATCH(Summary!$A299, Flexjoints!$A:$A, 0)))</f>
        <v>9.3979999999999998E-8</v>
      </c>
      <c r="O299" s="56">
        <f>IFERROR(INDEX('Forces+Stresses'!R:R, MATCH(Summary!$A299, 'Forces+Stresses'!$A:$A, 0)), INDEX(Flexjoints!E:E, MATCH(Summary!$A299, Flexjoints!$A:$A, 0)))</f>
        <v>3.1319999999999998E-6</v>
      </c>
      <c r="P299" s="33" t="str">
        <f>IF(INDEX(Labels!B:B, MATCH(Summary!$A299, Labels!$A:$A, 0)) = 0, "", INDEX(Labels!B:B, MATCH(Summary!$A299, Labels!$A:$A, 0)))</f>
        <v>{Marine Riser String}</v>
      </c>
      <c r="Q299" s="35" t="str">
        <f>IF(INDEX(Labels!C:C, MATCH(Summary!$A299, Labels!$A:$A, 0)) = 0, "", INDEX(Labels!C:C, MATCH(Summary!$A299, Labels!$A:$A, 0)))</f>
        <v>{75ft 5000ft 0.875in Buoyant}</v>
      </c>
      <c r="R299" s="33" t="str">
        <f>IF(INDEX(Labels!D:D, MATCH(Summary!$A299, Labels!$A:$A, 0)) = 0, "", INDEX(Labels!D:D, MATCH(Summary!$A299, Labels!$A:$A, 0)))</f>
        <v/>
      </c>
      <c r="S299" s="35" t="str">
        <f>IF(INDEX(Labels!E:E, MATCH(Summary!$A299, Labels!$A:$A, 0)) = 0, "", INDEX(Labels!E:E, MATCH(Summary!$A299, Labels!$A:$A, 0)))</f>
        <v/>
      </c>
      <c r="T299" s="33" t="str">
        <f>IF(INDEX(Labels!F:F, MATCH(Summary!$A299, Labels!$A:$A, 0)) = 0, "", INDEX(Labels!F:F, MATCH(Summary!$A299, Labels!$A:$A, 0)))</f>
        <v>{75ft 5000ft 0.875in Buoyant_First}</v>
      </c>
      <c r="U299" s="35" t="str">
        <f>IF(INDEX(Labels!G:G, MATCH(Summary!$A299, Labels!$A:$A, 0)) = 0, "", INDEX(Labels!G:G, MATCH(Summary!$A299, Labels!$A:$A, 0)))</f>
        <v/>
      </c>
      <c r="V299" s="62" t="str">
        <f>IF(INDEX(Labels!H:H, MATCH(Summary!$A299, Labels!$A:$A, 0)) = 0, "", INDEX(Labels!H:H, MATCH(Summary!$A299, Labels!$A:$A, 0)))</f>
        <v/>
      </c>
      <c r="W299" t="str">
        <f>IF(INDEX(Labels!I:I, MATCH(Summary!$A299, Labels!$A:$A, 0)) = 0, "", INDEX(Labels!I:I, MATCH(Summary!$A299, Labels!$A:$A, 0)))</f>
        <v/>
      </c>
      <c r="X299" t="str">
        <f>IF(INDEX(Labels!J:J, MATCH(Summary!$A299, Labels!$A:$A, 0)) = 0, "", INDEX(Labels!J:J, MATCH(Summary!$A299, Labels!$A:$A, 0)))</f>
        <v/>
      </c>
    </row>
    <row r="300" spans="1:24" x14ac:dyDescent="0.2">
      <c r="A300" s="33">
        <f>Labels!A301</f>
        <v>294</v>
      </c>
      <c r="B300" s="34">
        <f>INDEX(EchoData!B:B, MATCH(Summary!$A300, EchoData!$A:$A, 0))</f>
        <v>298</v>
      </c>
      <c r="C300" s="35">
        <f>INDEX(EchoData!C:C, MATCH(Summary!$A300, EchoData!$A:$A, 0))</f>
        <v>299</v>
      </c>
      <c r="D300" s="42">
        <f>INDEX(Displacements!B:B, MATCH(Summary!$B300, Displacements!$A:$A, 0))</f>
        <v>40.569000000000003</v>
      </c>
      <c r="E300" s="43">
        <f>INDEX(Displacements!C:C, MATCH(Summary!$B300, Displacements!$A:$A, 0))</f>
        <v>0</v>
      </c>
      <c r="F300" s="44">
        <f>INDEX(Displacements!D:D, MATCH(Summary!$B300, Displacements!$A:$A, 0))</f>
        <v>0</v>
      </c>
      <c r="G300" s="42">
        <f>INDEX(Displacements!B:B, MATCH(Summary!$C300, Displacements!$A:$A, 0))</f>
        <v>42.064999999999998</v>
      </c>
      <c r="H300" s="43">
        <f>INDEX(Displacements!C:C, MATCH(Summary!$C300, Displacements!$A:$A, 0))</f>
        <v>0</v>
      </c>
      <c r="I300" s="44">
        <f>INDEX(Displacements!D:D, MATCH(Summary!$C300, Displacements!$A:$A, 0))</f>
        <v>0</v>
      </c>
      <c r="J300" s="42">
        <f t="shared" si="8"/>
        <v>1.4959999999999951</v>
      </c>
      <c r="K300" s="49">
        <f t="shared" si="9"/>
        <v>1.4989979959919721</v>
      </c>
      <c r="L300" s="54">
        <f>INDEX('Forces+Stresses'!C:C, MATCH(Summary!$A300, 'Forces+Stresses'!$A:$A, 0))</f>
        <v>2212</v>
      </c>
      <c r="M300" s="55">
        <f>INDEX('Forces+Stresses'!D:D, MATCH(Summary!$A300, 'Forces+Stresses'!$A:$A, 0))</f>
        <v>2212</v>
      </c>
      <c r="N300" s="55">
        <f>IFERROR(INDEX('Forces+Stresses'!Q:Q, MATCH(Summary!$A300, 'Forces+Stresses'!$A:$A, 0)), INDEX(Flexjoints!D:D, MATCH(Summary!$A300, Flexjoints!$A:$A, 0)))</f>
        <v>1.5339999999999998E-7</v>
      </c>
      <c r="O300" s="56">
        <f>IFERROR(INDEX('Forces+Stresses'!R:R, MATCH(Summary!$A300, 'Forces+Stresses'!$A:$A, 0)), INDEX(Flexjoints!E:E, MATCH(Summary!$A300, Flexjoints!$A:$A, 0)))</f>
        <v>3.044E-6</v>
      </c>
      <c r="P300" s="33" t="str">
        <f>IF(INDEX(Labels!B:B, MATCH(Summary!$A300, Labels!$A:$A, 0)) = 0, "", INDEX(Labels!B:B, MATCH(Summary!$A300, Labels!$A:$A, 0)))</f>
        <v>{Marine Riser String}</v>
      </c>
      <c r="Q300" s="35" t="str">
        <f>IF(INDEX(Labels!C:C, MATCH(Summary!$A300, Labels!$A:$A, 0)) = 0, "", INDEX(Labels!C:C, MATCH(Summary!$A300, Labels!$A:$A, 0)))</f>
        <v>{75ft 5000ft 0.875in Buoyant}</v>
      </c>
      <c r="R300" s="33" t="str">
        <f>IF(INDEX(Labels!D:D, MATCH(Summary!$A300, Labels!$A:$A, 0)) = 0, "", INDEX(Labels!D:D, MATCH(Summary!$A300, Labels!$A:$A, 0)))</f>
        <v/>
      </c>
      <c r="S300" s="35" t="str">
        <f>IF(INDEX(Labels!E:E, MATCH(Summary!$A300, Labels!$A:$A, 0)) = 0, "", INDEX(Labels!E:E, MATCH(Summary!$A300, Labels!$A:$A, 0)))</f>
        <v/>
      </c>
      <c r="T300" s="33" t="str">
        <f>IF(INDEX(Labels!F:F, MATCH(Summary!$A300, Labels!$A:$A, 0)) = 0, "", INDEX(Labels!F:F, MATCH(Summary!$A300, Labels!$A:$A, 0)))</f>
        <v/>
      </c>
      <c r="U300" s="35" t="str">
        <f>IF(INDEX(Labels!G:G, MATCH(Summary!$A300, Labels!$A:$A, 0)) = 0, "", INDEX(Labels!G:G, MATCH(Summary!$A300, Labels!$A:$A, 0)))</f>
        <v/>
      </c>
      <c r="V300" s="62" t="str">
        <f>IF(INDEX(Labels!H:H, MATCH(Summary!$A300, Labels!$A:$A, 0)) = 0, "", INDEX(Labels!H:H, MATCH(Summary!$A300, Labels!$A:$A, 0)))</f>
        <v/>
      </c>
      <c r="W300" t="str">
        <f>IF(INDEX(Labels!I:I, MATCH(Summary!$A300, Labels!$A:$A, 0)) = 0, "", INDEX(Labels!I:I, MATCH(Summary!$A300, Labels!$A:$A, 0)))</f>
        <v/>
      </c>
      <c r="X300" t="str">
        <f>IF(INDEX(Labels!J:J, MATCH(Summary!$A300, Labels!$A:$A, 0)) = 0, "", INDEX(Labels!J:J, MATCH(Summary!$A300, Labels!$A:$A, 0)))</f>
        <v/>
      </c>
    </row>
    <row r="301" spans="1:24" x14ac:dyDescent="0.2">
      <c r="A301" s="33">
        <f>Labels!A302</f>
        <v>295</v>
      </c>
      <c r="B301" s="34">
        <f>INDEX(EchoData!B:B, MATCH(Summary!$A301, EchoData!$A:$A, 0))</f>
        <v>299</v>
      </c>
      <c r="C301" s="35">
        <f>INDEX(EchoData!C:C, MATCH(Summary!$A301, EchoData!$A:$A, 0))</f>
        <v>300</v>
      </c>
      <c r="D301" s="42">
        <f>INDEX(Displacements!B:B, MATCH(Summary!$B301, Displacements!$A:$A, 0))</f>
        <v>42.064999999999998</v>
      </c>
      <c r="E301" s="43">
        <f>INDEX(Displacements!C:C, MATCH(Summary!$B301, Displacements!$A:$A, 0))</f>
        <v>0</v>
      </c>
      <c r="F301" s="44">
        <f>INDEX(Displacements!D:D, MATCH(Summary!$B301, Displacements!$A:$A, 0))</f>
        <v>0</v>
      </c>
      <c r="G301" s="42">
        <f>INDEX(Displacements!B:B, MATCH(Summary!$C301, Displacements!$A:$A, 0))</f>
        <v>44.308999999999997</v>
      </c>
      <c r="H301" s="43">
        <f>INDEX(Displacements!C:C, MATCH(Summary!$C301, Displacements!$A:$A, 0))</f>
        <v>0</v>
      </c>
      <c r="I301" s="44">
        <f>INDEX(Displacements!D:D, MATCH(Summary!$C301, Displacements!$A:$A, 0))</f>
        <v>0</v>
      </c>
      <c r="J301" s="42">
        <f t="shared" si="8"/>
        <v>2.2439999999999998</v>
      </c>
      <c r="K301" s="49">
        <f t="shared" si="9"/>
        <v>1.5000000000000047</v>
      </c>
      <c r="L301" s="54">
        <f>INDEX('Forces+Stresses'!C:C, MATCH(Summary!$A301, 'Forces+Stresses'!$A:$A, 0))</f>
        <v>2215</v>
      </c>
      <c r="M301" s="55">
        <f>INDEX('Forces+Stresses'!D:D, MATCH(Summary!$A301, 'Forces+Stresses'!$A:$A, 0))</f>
        <v>2215</v>
      </c>
      <c r="N301" s="55">
        <f>IFERROR(INDEX('Forces+Stresses'!Q:Q, MATCH(Summary!$A301, 'Forces+Stresses'!$A:$A, 0)), INDEX(Flexjoints!D:D, MATCH(Summary!$A301, Flexjoints!$A:$A, 0)))</f>
        <v>8.4629999999999997E-8</v>
      </c>
      <c r="O301" s="56">
        <f>IFERROR(INDEX('Forces+Stresses'!R:R, MATCH(Summary!$A301, 'Forces+Stresses'!$A:$A, 0)), INDEX(Flexjoints!E:E, MATCH(Summary!$A301, Flexjoints!$A:$A, 0)))</f>
        <v>2.869E-6</v>
      </c>
      <c r="P301" s="33" t="str">
        <f>IF(INDEX(Labels!B:B, MATCH(Summary!$A301, Labels!$A:$A, 0)) = 0, "", INDEX(Labels!B:B, MATCH(Summary!$A301, Labels!$A:$A, 0)))</f>
        <v>{Marine Riser String}</v>
      </c>
      <c r="Q301" s="35" t="str">
        <f>IF(INDEX(Labels!C:C, MATCH(Summary!$A301, Labels!$A:$A, 0)) = 0, "", INDEX(Labels!C:C, MATCH(Summary!$A301, Labels!$A:$A, 0)))</f>
        <v>{75ft 5000ft 0.875in Buoyant}</v>
      </c>
      <c r="R301" s="33" t="str">
        <f>IF(INDEX(Labels!D:D, MATCH(Summary!$A301, Labels!$A:$A, 0)) = 0, "", INDEX(Labels!D:D, MATCH(Summary!$A301, Labels!$A:$A, 0)))</f>
        <v/>
      </c>
      <c r="S301" s="35" t="str">
        <f>IF(INDEX(Labels!E:E, MATCH(Summary!$A301, Labels!$A:$A, 0)) = 0, "", INDEX(Labels!E:E, MATCH(Summary!$A301, Labels!$A:$A, 0)))</f>
        <v/>
      </c>
      <c r="T301" s="33" t="str">
        <f>IF(INDEX(Labels!F:F, MATCH(Summary!$A301, Labels!$A:$A, 0)) = 0, "", INDEX(Labels!F:F, MATCH(Summary!$A301, Labels!$A:$A, 0)))</f>
        <v/>
      </c>
      <c r="U301" s="35" t="str">
        <f>IF(INDEX(Labels!G:G, MATCH(Summary!$A301, Labels!$A:$A, 0)) = 0, "", INDEX(Labels!G:G, MATCH(Summary!$A301, Labels!$A:$A, 0)))</f>
        <v/>
      </c>
      <c r="V301" s="62" t="str">
        <f>IF(INDEX(Labels!H:H, MATCH(Summary!$A301, Labels!$A:$A, 0)) = 0, "", INDEX(Labels!H:H, MATCH(Summary!$A301, Labels!$A:$A, 0)))</f>
        <v/>
      </c>
      <c r="W301" t="str">
        <f>IF(INDEX(Labels!I:I, MATCH(Summary!$A301, Labels!$A:$A, 0)) = 0, "", INDEX(Labels!I:I, MATCH(Summary!$A301, Labels!$A:$A, 0)))</f>
        <v/>
      </c>
      <c r="X301" t="str">
        <f>IF(INDEX(Labels!J:J, MATCH(Summary!$A301, Labels!$A:$A, 0)) = 0, "", INDEX(Labels!J:J, MATCH(Summary!$A301, Labels!$A:$A, 0)))</f>
        <v/>
      </c>
    </row>
    <row r="302" spans="1:24" x14ac:dyDescent="0.2">
      <c r="A302" s="33">
        <f>Labels!A303</f>
        <v>296</v>
      </c>
      <c r="B302" s="34">
        <f>INDEX(EchoData!B:B, MATCH(Summary!$A302, EchoData!$A:$A, 0))</f>
        <v>300</v>
      </c>
      <c r="C302" s="35">
        <f>INDEX(EchoData!C:C, MATCH(Summary!$A302, EchoData!$A:$A, 0))</f>
        <v>301</v>
      </c>
      <c r="D302" s="42">
        <f>INDEX(Displacements!B:B, MATCH(Summary!$B302, Displacements!$A:$A, 0))</f>
        <v>44.308999999999997</v>
      </c>
      <c r="E302" s="43">
        <f>INDEX(Displacements!C:C, MATCH(Summary!$B302, Displacements!$A:$A, 0))</f>
        <v>0</v>
      </c>
      <c r="F302" s="44">
        <f>INDEX(Displacements!D:D, MATCH(Summary!$B302, Displacements!$A:$A, 0))</f>
        <v>0</v>
      </c>
      <c r="G302" s="42">
        <f>INDEX(Displacements!B:B, MATCH(Summary!$C302, Displacements!$A:$A, 0))</f>
        <v>47.676000000000002</v>
      </c>
      <c r="H302" s="43">
        <f>INDEX(Displacements!C:C, MATCH(Summary!$C302, Displacements!$A:$A, 0))</f>
        <v>0</v>
      </c>
      <c r="I302" s="44">
        <f>INDEX(Displacements!D:D, MATCH(Summary!$C302, Displacements!$A:$A, 0))</f>
        <v>0</v>
      </c>
      <c r="J302" s="42">
        <f t="shared" si="8"/>
        <v>3.3670000000000044</v>
      </c>
      <c r="K302" s="49">
        <f t="shared" si="9"/>
        <v>1.500445632798576</v>
      </c>
      <c r="L302" s="54">
        <f>INDEX('Forces+Stresses'!C:C, MATCH(Summary!$A302, 'Forces+Stresses'!$A:$A, 0))</f>
        <v>2219</v>
      </c>
      <c r="M302" s="55">
        <f>INDEX('Forces+Stresses'!D:D, MATCH(Summary!$A302, 'Forces+Stresses'!$A:$A, 0))</f>
        <v>2219</v>
      </c>
      <c r="N302" s="55">
        <f>IFERROR(INDEX('Forces+Stresses'!Q:Q, MATCH(Summary!$A302, 'Forces+Stresses'!$A:$A, 0)), INDEX(Flexjoints!D:D, MATCH(Summary!$A302, Flexjoints!$A:$A, 0)))</f>
        <v>1.2310000000000001E-7</v>
      </c>
      <c r="O302" s="56">
        <f>IFERROR(INDEX('Forces+Stresses'!R:R, MATCH(Summary!$A302, 'Forces+Stresses'!$A:$A, 0)), INDEX(Flexjoints!E:E, MATCH(Summary!$A302, Flexjoints!$A:$A, 0)))</f>
        <v>2.52E-6</v>
      </c>
      <c r="P302" s="33" t="str">
        <f>IF(INDEX(Labels!B:B, MATCH(Summary!$A302, Labels!$A:$A, 0)) = 0, "", INDEX(Labels!B:B, MATCH(Summary!$A302, Labels!$A:$A, 0)))</f>
        <v>{Marine Riser String}</v>
      </c>
      <c r="Q302" s="35" t="str">
        <f>IF(INDEX(Labels!C:C, MATCH(Summary!$A302, Labels!$A:$A, 0)) = 0, "", INDEX(Labels!C:C, MATCH(Summary!$A302, Labels!$A:$A, 0)))</f>
        <v>{75ft 5000ft 0.875in Buoyant}</v>
      </c>
      <c r="R302" s="33" t="str">
        <f>IF(INDEX(Labels!D:D, MATCH(Summary!$A302, Labels!$A:$A, 0)) = 0, "", INDEX(Labels!D:D, MATCH(Summary!$A302, Labels!$A:$A, 0)))</f>
        <v/>
      </c>
      <c r="S302" s="35" t="str">
        <f>IF(INDEX(Labels!E:E, MATCH(Summary!$A302, Labels!$A:$A, 0)) = 0, "", INDEX(Labels!E:E, MATCH(Summary!$A302, Labels!$A:$A, 0)))</f>
        <v/>
      </c>
      <c r="T302" s="33" t="str">
        <f>IF(INDEX(Labels!F:F, MATCH(Summary!$A302, Labels!$A:$A, 0)) = 0, "", INDEX(Labels!F:F, MATCH(Summary!$A302, Labels!$A:$A, 0)))</f>
        <v/>
      </c>
      <c r="U302" s="35" t="str">
        <f>IF(INDEX(Labels!G:G, MATCH(Summary!$A302, Labels!$A:$A, 0)) = 0, "", INDEX(Labels!G:G, MATCH(Summary!$A302, Labels!$A:$A, 0)))</f>
        <v/>
      </c>
      <c r="V302" s="62" t="str">
        <f>IF(INDEX(Labels!H:H, MATCH(Summary!$A302, Labels!$A:$A, 0)) = 0, "", INDEX(Labels!H:H, MATCH(Summary!$A302, Labels!$A:$A, 0)))</f>
        <v/>
      </c>
      <c r="W302" t="str">
        <f>IF(INDEX(Labels!I:I, MATCH(Summary!$A302, Labels!$A:$A, 0)) = 0, "", INDEX(Labels!I:I, MATCH(Summary!$A302, Labels!$A:$A, 0)))</f>
        <v/>
      </c>
      <c r="X302" t="str">
        <f>IF(INDEX(Labels!J:J, MATCH(Summary!$A302, Labels!$A:$A, 0)) = 0, "", INDEX(Labels!J:J, MATCH(Summary!$A302, Labels!$A:$A, 0)))</f>
        <v/>
      </c>
    </row>
    <row r="303" spans="1:24" x14ac:dyDescent="0.2">
      <c r="A303" s="33">
        <f>Labels!A304</f>
        <v>297</v>
      </c>
      <c r="B303" s="34">
        <f>INDEX(EchoData!B:B, MATCH(Summary!$A303, EchoData!$A:$A, 0))</f>
        <v>301</v>
      </c>
      <c r="C303" s="35">
        <f>INDEX(EchoData!C:C, MATCH(Summary!$A303, EchoData!$A:$A, 0))</f>
        <v>302</v>
      </c>
      <c r="D303" s="42">
        <f>INDEX(Displacements!B:B, MATCH(Summary!$B303, Displacements!$A:$A, 0))</f>
        <v>47.676000000000002</v>
      </c>
      <c r="E303" s="43">
        <f>INDEX(Displacements!C:C, MATCH(Summary!$B303, Displacements!$A:$A, 0))</f>
        <v>0</v>
      </c>
      <c r="F303" s="44">
        <f>INDEX(Displacements!D:D, MATCH(Summary!$B303, Displacements!$A:$A, 0))</f>
        <v>0</v>
      </c>
      <c r="G303" s="42">
        <f>INDEX(Displacements!B:B, MATCH(Summary!$C303, Displacements!$A:$A, 0))</f>
        <v>52.664000000000001</v>
      </c>
      <c r="H303" s="43">
        <f>INDEX(Displacements!C:C, MATCH(Summary!$C303, Displacements!$A:$A, 0))</f>
        <v>0</v>
      </c>
      <c r="I303" s="44">
        <f>INDEX(Displacements!D:D, MATCH(Summary!$C303, Displacements!$A:$A, 0))</f>
        <v>0</v>
      </c>
      <c r="J303" s="42">
        <f t="shared" si="8"/>
        <v>4.9879999999999995</v>
      </c>
      <c r="K303" s="49">
        <f t="shared" si="9"/>
        <v>1.4814374814374793</v>
      </c>
      <c r="L303" s="54">
        <f>INDEX('Forces+Stresses'!C:C, MATCH(Summary!$A303, 'Forces+Stresses'!$A:$A, 0))</f>
        <v>2225</v>
      </c>
      <c r="M303" s="55">
        <f>INDEX('Forces+Stresses'!D:D, MATCH(Summary!$A303, 'Forces+Stresses'!$A:$A, 0))</f>
        <v>2225</v>
      </c>
      <c r="N303" s="55">
        <f>IFERROR(INDEX('Forces+Stresses'!Q:Q, MATCH(Summary!$A303, 'Forces+Stresses'!$A:$A, 0)), INDEX(Flexjoints!D:D, MATCH(Summary!$A303, Flexjoints!$A:$A, 0)))</f>
        <v>5.847E-8</v>
      </c>
      <c r="O303" s="56">
        <f>IFERROR(INDEX('Forces+Stresses'!R:R, MATCH(Summary!$A303, 'Forces+Stresses'!$A:$A, 0)), INDEX(Flexjoints!E:E, MATCH(Summary!$A303, Flexjoints!$A:$A, 0)))</f>
        <v>2.486E-6</v>
      </c>
      <c r="P303" s="33" t="str">
        <f>IF(INDEX(Labels!B:B, MATCH(Summary!$A303, Labels!$A:$A, 0)) = 0, "", INDEX(Labels!B:B, MATCH(Summary!$A303, Labels!$A:$A, 0)))</f>
        <v>{Marine Riser String}</v>
      </c>
      <c r="Q303" s="35" t="str">
        <f>IF(INDEX(Labels!C:C, MATCH(Summary!$A303, Labels!$A:$A, 0)) = 0, "", INDEX(Labels!C:C, MATCH(Summary!$A303, Labels!$A:$A, 0)))</f>
        <v>{75ft 5000ft 0.875in Buoyant}</v>
      </c>
      <c r="R303" s="33" t="str">
        <f>IF(INDEX(Labels!D:D, MATCH(Summary!$A303, Labels!$A:$A, 0)) = 0, "", INDEX(Labels!D:D, MATCH(Summary!$A303, Labels!$A:$A, 0)))</f>
        <v/>
      </c>
      <c r="S303" s="35" t="str">
        <f>IF(INDEX(Labels!E:E, MATCH(Summary!$A303, Labels!$A:$A, 0)) = 0, "", INDEX(Labels!E:E, MATCH(Summary!$A303, Labels!$A:$A, 0)))</f>
        <v/>
      </c>
      <c r="T303" s="33" t="str">
        <f>IF(INDEX(Labels!F:F, MATCH(Summary!$A303, Labels!$A:$A, 0)) = 0, "", INDEX(Labels!F:F, MATCH(Summary!$A303, Labels!$A:$A, 0)))</f>
        <v/>
      </c>
      <c r="U303" s="35" t="str">
        <f>IF(INDEX(Labels!G:G, MATCH(Summary!$A303, Labels!$A:$A, 0)) = 0, "", INDEX(Labels!G:G, MATCH(Summary!$A303, Labels!$A:$A, 0)))</f>
        <v/>
      </c>
      <c r="V303" s="62" t="str">
        <f>IF(INDEX(Labels!H:H, MATCH(Summary!$A303, Labels!$A:$A, 0)) = 0, "", INDEX(Labels!H:H, MATCH(Summary!$A303, Labels!$A:$A, 0)))</f>
        <v/>
      </c>
      <c r="W303" t="str">
        <f>IF(INDEX(Labels!I:I, MATCH(Summary!$A303, Labels!$A:$A, 0)) = 0, "", INDEX(Labels!I:I, MATCH(Summary!$A303, Labels!$A:$A, 0)))</f>
        <v/>
      </c>
      <c r="X303" t="str">
        <f>IF(INDEX(Labels!J:J, MATCH(Summary!$A303, Labels!$A:$A, 0)) = 0, "", INDEX(Labels!J:J, MATCH(Summary!$A303, Labels!$A:$A, 0)))</f>
        <v/>
      </c>
    </row>
    <row r="304" spans="1:24" x14ac:dyDescent="0.2">
      <c r="A304" s="33">
        <f>Labels!A305</f>
        <v>298</v>
      </c>
      <c r="B304" s="34">
        <f>INDEX(EchoData!B:B, MATCH(Summary!$A304, EchoData!$A:$A, 0))</f>
        <v>302</v>
      </c>
      <c r="C304" s="35">
        <f>INDEX(EchoData!C:C, MATCH(Summary!$A304, EchoData!$A:$A, 0))</f>
        <v>303</v>
      </c>
      <c r="D304" s="42">
        <f>INDEX(Displacements!B:B, MATCH(Summary!$B304, Displacements!$A:$A, 0))</f>
        <v>52.664000000000001</v>
      </c>
      <c r="E304" s="43">
        <f>INDEX(Displacements!C:C, MATCH(Summary!$B304, Displacements!$A:$A, 0))</f>
        <v>0</v>
      </c>
      <c r="F304" s="44">
        <f>INDEX(Displacements!D:D, MATCH(Summary!$B304, Displacements!$A:$A, 0))</f>
        <v>0</v>
      </c>
      <c r="G304" s="42">
        <f>INDEX(Displacements!B:B, MATCH(Summary!$C304, Displacements!$A:$A, 0))</f>
        <v>57.651000000000003</v>
      </c>
      <c r="H304" s="43">
        <f>INDEX(Displacements!C:C, MATCH(Summary!$C304, Displacements!$A:$A, 0))</f>
        <v>0</v>
      </c>
      <c r="I304" s="44">
        <f>INDEX(Displacements!D:D, MATCH(Summary!$C304, Displacements!$A:$A, 0))</f>
        <v>0</v>
      </c>
      <c r="J304" s="42">
        <f t="shared" si="8"/>
        <v>4.9870000000000019</v>
      </c>
      <c r="K304" s="49">
        <f t="shared" si="9"/>
        <v>0.999799518845229</v>
      </c>
      <c r="L304" s="54">
        <f>INDEX('Forces+Stresses'!C:C, MATCH(Summary!$A304, 'Forces+Stresses'!$A:$A, 0))</f>
        <v>2234</v>
      </c>
      <c r="M304" s="55">
        <f>INDEX('Forces+Stresses'!D:D, MATCH(Summary!$A304, 'Forces+Stresses'!$A:$A, 0))</f>
        <v>2234</v>
      </c>
      <c r="N304" s="55">
        <f>IFERROR(INDEX('Forces+Stresses'!Q:Q, MATCH(Summary!$A304, 'Forces+Stresses'!$A:$A, 0)), INDEX(Flexjoints!D:D, MATCH(Summary!$A304, Flexjoints!$A:$A, 0)))</f>
        <v>1.487E-7</v>
      </c>
      <c r="O304" s="56">
        <f>IFERROR(INDEX('Forces+Stresses'!R:R, MATCH(Summary!$A304, 'Forces+Stresses'!$A:$A, 0)), INDEX(Flexjoints!E:E, MATCH(Summary!$A304, Flexjoints!$A:$A, 0)))</f>
        <v>2.5550000000000001E-6</v>
      </c>
      <c r="P304" s="33" t="str">
        <f>IF(INDEX(Labels!B:B, MATCH(Summary!$A304, Labels!$A:$A, 0)) = 0, "", INDEX(Labels!B:B, MATCH(Summary!$A304, Labels!$A:$A, 0)))</f>
        <v>{Marine Riser String}</v>
      </c>
      <c r="Q304" s="35" t="str">
        <f>IF(INDEX(Labels!C:C, MATCH(Summary!$A304, Labels!$A:$A, 0)) = 0, "", INDEX(Labels!C:C, MATCH(Summary!$A304, Labels!$A:$A, 0)))</f>
        <v>{75ft 5000ft 0.875in Buoyant}</v>
      </c>
      <c r="R304" s="33" t="str">
        <f>IF(INDEX(Labels!D:D, MATCH(Summary!$A304, Labels!$A:$A, 0)) = 0, "", INDEX(Labels!D:D, MATCH(Summary!$A304, Labels!$A:$A, 0)))</f>
        <v/>
      </c>
      <c r="S304" s="35" t="str">
        <f>IF(INDEX(Labels!E:E, MATCH(Summary!$A304, Labels!$A:$A, 0)) = 0, "", INDEX(Labels!E:E, MATCH(Summary!$A304, Labels!$A:$A, 0)))</f>
        <v/>
      </c>
      <c r="T304" s="33" t="str">
        <f>IF(INDEX(Labels!F:F, MATCH(Summary!$A304, Labels!$A:$A, 0)) = 0, "", INDEX(Labels!F:F, MATCH(Summary!$A304, Labels!$A:$A, 0)))</f>
        <v/>
      </c>
      <c r="U304" s="35" t="str">
        <f>IF(INDEX(Labels!G:G, MATCH(Summary!$A304, Labels!$A:$A, 0)) = 0, "", INDEX(Labels!G:G, MATCH(Summary!$A304, Labels!$A:$A, 0)))</f>
        <v/>
      </c>
      <c r="V304" s="62" t="str">
        <f>IF(INDEX(Labels!H:H, MATCH(Summary!$A304, Labels!$A:$A, 0)) = 0, "", INDEX(Labels!H:H, MATCH(Summary!$A304, Labels!$A:$A, 0)))</f>
        <v/>
      </c>
      <c r="W304" t="str">
        <f>IF(INDEX(Labels!I:I, MATCH(Summary!$A304, Labels!$A:$A, 0)) = 0, "", INDEX(Labels!I:I, MATCH(Summary!$A304, Labels!$A:$A, 0)))</f>
        <v/>
      </c>
      <c r="X304" t="str">
        <f>IF(INDEX(Labels!J:J, MATCH(Summary!$A304, Labels!$A:$A, 0)) = 0, "", INDEX(Labels!J:J, MATCH(Summary!$A304, Labels!$A:$A, 0)))</f>
        <v/>
      </c>
    </row>
    <row r="305" spans="1:24" x14ac:dyDescent="0.2">
      <c r="A305" s="33">
        <f>Labels!A306</f>
        <v>299</v>
      </c>
      <c r="B305" s="34">
        <f>INDEX(EchoData!B:B, MATCH(Summary!$A305, EchoData!$A:$A, 0))</f>
        <v>303</v>
      </c>
      <c r="C305" s="35">
        <f>INDEX(EchoData!C:C, MATCH(Summary!$A305, EchoData!$A:$A, 0))</f>
        <v>304</v>
      </c>
      <c r="D305" s="42">
        <f>INDEX(Displacements!B:B, MATCH(Summary!$B305, Displacements!$A:$A, 0))</f>
        <v>57.651000000000003</v>
      </c>
      <c r="E305" s="43">
        <f>INDEX(Displacements!C:C, MATCH(Summary!$B305, Displacements!$A:$A, 0))</f>
        <v>0</v>
      </c>
      <c r="F305" s="44">
        <f>INDEX(Displacements!D:D, MATCH(Summary!$B305, Displacements!$A:$A, 0))</f>
        <v>0</v>
      </c>
      <c r="G305" s="42">
        <f>INDEX(Displacements!B:B, MATCH(Summary!$C305, Displacements!$A:$A, 0))</f>
        <v>62.639000000000003</v>
      </c>
      <c r="H305" s="43">
        <f>INDEX(Displacements!C:C, MATCH(Summary!$C305, Displacements!$A:$A, 0))</f>
        <v>0</v>
      </c>
      <c r="I305" s="44">
        <f>INDEX(Displacements!D:D, MATCH(Summary!$C305, Displacements!$A:$A, 0))</f>
        <v>0</v>
      </c>
      <c r="J305" s="42">
        <f t="shared" si="8"/>
        <v>4.9879999999999995</v>
      </c>
      <c r="K305" s="49">
        <f t="shared" si="9"/>
        <v>1.0002005213555238</v>
      </c>
      <c r="L305" s="54">
        <f>INDEX('Forces+Stresses'!C:C, MATCH(Summary!$A305, 'Forces+Stresses'!$A:$A, 0))</f>
        <v>2244</v>
      </c>
      <c r="M305" s="55">
        <f>INDEX('Forces+Stresses'!D:D, MATCH(Summary!$A305, 'Forces+Stresses'!$A:$A, 0))</f>
        <v>2244</v>
      </c>
      <c r="N305" s="55">
        <f>IFERROR(INDEX('Forces+Stresses'!Q:Q, MATCH(Summary!$A305, 'Forces+Stresses'!$A:$A, 0)), INDEX(Flexjoints!D:D, MATCH(Summary!$A305, Flexjoints!$A:$A, 0)))</f>
        <v>1.938E-7</v>
      </c>
      <c r="O305" s="56">
        <f>IFERROR(INDEX('Forces+Stresses'!R:R, MATCH(Summary!$A305, 'Forces+Stresses'!$A:$A, 0)), INDEX(Flexjoints!E:E, MATCH(Summary!$A305, Flexjoints!$A:$A, 0)))</f>
        <v>2.5940000000000001E-6</v>
      </c>
      <c r="P305" s="33" t="str">
        <f>IF(INDEX(Labels!B:B, MATCH(Summary!$A305, Labels!$A:$A, 0)) = 0, "", INDEX(Labels!B:B, MATCH(Summary!$A305, Labels!$A:$A, 0)))</f>
        <v>{Marine Riser String}</v>
      </c>
      <c r="Q305" s="35" t="str">
        <f>IF(INDEX(Labels!C:C, MATCH(Summary!$A305, Labels!$A:$A, 0)) = 0, "", INDEX(Labels!C:C, MATCH(Summary!$A305, Labels!$A:$A, 0)))</f>
        <v>{75ft 5000ft 0.875in Buoyant}</v>
      </c>
      <c r="R305" s="33" t="str">
        <f>IF(INDEX(Labels!D:D, MATCH(Summary!$A305, Labels!$A:$A, 0)) = 0, "", INDEX(Labels!D:D, MATCH(Summary!$A305, Labels!$A:$A, 0)))</f>
        <v/>
      </c>
      <c r="S305" s="35" t="str">
        <f>IF(INDEX(Labels!E:E, MATCH(Summary!$A305, Labels!$A:$A, 0)) = 0, "", INDEX(Labels!E:E, MATCH(Summary!$A305, Labels!$A:$A, 0)))</f>
        <v/>
      </c>
      <c r="T305" s="33" t="str">
        <f>IF(INDEX(Labels!F:F, MATCH(Summary!$A305, Labels!$A:$A, 0)) = 0, "", INDEX(Labels!F:F, MATCH(Summary!$A305, Labels!$A:$A, 0)))</f>
        <v/>
      </c>
      <c r="U305" s="35" t="str">
        <f>IF(INDEX(Labels!G:G, MATCH(Summary!$A305, Labels!$A:$A, 0)) = 0, "", INDEX(Labels!G:G, MATCH(Summary!$A305, Labels!$A:$A, 0)))</f>
        <v/>
      </c>
      <c r="V305" s="62" t="str">
        <f>IF(INDEX(Labels!H:H, MATCH(Summary!$A305, Labels!$A:$A, 0)) = 0, "", INDEX(Labels!H:H, MATCH(Summary!$A305, Labels!$A:$A, 0)))</f>
        <v/>
      </c>
      <c r="W305" t="str">
        <f>IF(INDEX(Labels!I:I, MATCH(Summary!$A305, Labels!$A:$A, 0)) = 0, "", INDEX(Labels!I:I, MATCH(Summary!$A305, Labels!$A:$A, 0)))</f>
        <v/>
      </c>
      <c r="X305" t="str">
        <f>IF(INDEX(Labels!J:J, MATCH(Summary!$A305, Labels!$A:$A, 0)) = 0, "", INDEX(Labels!J:J, MATCH(Summary!$A305, Labels!$A:$A, 0)))</f>
        <v/>
      </c>
    </row>
    <row r="306" spans="1:24" x14ac:dyDescent="0.2">
      <c r="A306" s="33">
        <f>Labels!A307</f>
        <v>300</v>
      </c>
      <c r="B306" s="34">
        <f>INDEX(EchoData!B:B, MATCH(Summary!$A306, EchoData!$A:$A, 0))</f>
        <v>304</v>
      </c>
      <c r="C306" s="35">
        <f>INDEX(EchoData!C:C, MATCH(Summary!$A306, EchoData!$A:$A, 0))</f>
        <v>305</v>
      </c>
      <c r="D306" s="42">
        <f>INDEX(Displacements!B:B, MATCH(Summary!$B306, Displacements!$A:$A, 0))</f>
        <v>62.639000000000003</v>
      </c>
      <c r="E306" s="43">
        <f>INDEX(Displacements!C:C, MATCH(Summary!$B306, Displacements!$A:$A, 0))</f>
        <v>0</v>
      </c>
      <c r="F306" s="44">
        <f>INDEX(Displacements!D:D, MATCH(Summary!$B306, Displacements!$A:$A, 0))</f>
        <v>0</v>
      </c>
      <c r="G306" s="42">
        <f>INDEX(Displacements!B:B, MATCH(Summary!$C306, Displacements!$A:$A, 0))</f>
        <v>67.626000000000005</v>
      </c>
      <c r="H306" s="43">
        <f>INDEX(Displacements!C:C, MATCH(Summary!$C306, Displacements!$A:$A, 0))</f>
        <v>0</v>
      </c>
      <c r="I306" s="44">
        <f>INDEX(Displacements!D:D, MATCH(Summary!$C306, Displacements!$A:$A, 0))</f>
        <v>0</v>
      </c>
      <c r="J306" s="42">
        <f t="shared" si="8"/>
        <v>4.9870000000000019</v>
      </c>
      <c r="K306" s="49">
        <f t="shared" si="9"/>
        <v>0.999799518845229</v>
      </c>
      <c r="L306" s="54">
        <f>INDEX('Forces+Stresses'!C:C, MATCH(Summary!$A306, 'Forces+Stresses'!$A:$A, 0))</f>
        <v>2253</v>
      </c>
      <c r="M306" s="55">
        <f>INDEX('Forces+Stresses'!D:D, MATCH(Summary!$A306, 'Forces+Stresses'!$A:$A, 0))</f>
        <v>2253</v>
      </c>
      <c r="N306" s="55">
        <f>IFERROR(INDEX('Forces+Stresses'!Q:Q, MATCH(Summary!$A306, 'Forces+Stresses'!$A:$A, 0)), INDEX(Flexjoints!D:D, MATCH(Summary!$A306, Flexjoints!$A:$A, 0)))</f>
        <v>9.8060000000000006E-8</v>
      </c>
      <c r="O306" s="56">
        <f>IFERROR(INDEX('Forces+Stresses'!R:R, MATCH(Summary!$A306, 'Forces+Stresses'!$A:$A, 0)), INDEX(Flexjoints!E:E, MATCH(Summary!$A306, Flexjoints!$A:$A, 0)))</f>
        <v>2.3050000000000004E-6</v>
      </c>
      <c r="P306" s="33" t="str">
        <f>IF(INDEX(Labels!B:B, MATCH(Summary!$A306, Labels!$A:$A, 0)) = 0, "", INDEX(Labels!B:B, MATCH(Summary!$A306, Labels!$A:$A, 0)))</f>
        <v>{Marine Riser String}</v>
      </c>
      <c r="Q306" s="35" t="str">
        <f>IF(INDEX(Labels!C:C, MATCH(Summary!$A306, Labels!$A:$A, 0)) = 0, "", INDEX(Labels!C:C, MATCH(Summary!$A306, Labels!$A:$A, 0)))</f>
        <v>{75ft 5000ft 0.875in Buoyant}</v>
      </c>
      <c r="R306" s="33" t="str">
        <f>IF(INDEX(Labels!D:D, MATCH(Summary!$A306, Labels!$A:$A, 0)) = 0, "", INDEX(Labels!D:D, MATCH(Summary!$A306, Labels!$A:$A, 0)))</f>
        <v/>
      </c>
      <c r="S306" s="35" t="str">
        <f>IF(INDEX(Labels!E:E, MATCH(Summary!$A306, Labels!$A:$A, 0)) = 0, "", INDEX(Labels!E:E, MATCH(Summary!$A306, Labels!$A:$A, 0)))</f>
        <v/>
      </c>
      <c r="T306" s="33" t="str">
        <f>IF(INDEX(Labels!F:F, MATCH(Summary!$A306, Labels!$A:$A, 0)) = 0, "", INDEX(Labels!F:F, MATCH(Summary!$A306, Labels!$A:$A, 0)))</f>
        <v/>
      </c>
      <c r="U306" s="35" t="str">
        <f>IF(INDEX(Labels!G:G, MATCH(Summary!$A306, Labels!$A:$A, 0)) = 0, "", INDEX(Labels!G:G, MATCH(Summary!$A306, Labels!$A:$A, 0)))</f>
        <v/>
      </c>
      <c r="V306" s="62" t="str">
        <f>IF(INDEX(Labels!H:H, MATCH(Summary!$A306, Labels!$A:$A, 0)) = 0, "", INDEX(Labels!H:H, MATCH(Summary!$A306, Labels!$A:$A, 0)))</f>
        <v/>
      </c>
      <c r="W306" t="str">
        <f>IF(INDEX(Labels!I:I, MATCH(Summary!$A306, Labels!$A:$A, 0)) = 0, "", INDEX(Labels!I:I, MATCH(Summary!$A306, Labels!$A:$A, 0)))</f>
        <v/>
      </c>
      <c r="X306" t="str">
        <f>IF(INDEX(Labels!J:J, MATCH(Summary!$A306, Labels!$A:$A, 0)) = 0, "", INDEX(Labels!J:J, MATCH(Summary!$A306, Labels!$A:$A, 0)))</f>
        <v/>
      </c>
    </row>
    <row r="307" spans="1:24" x14ac:dyDescent="0.2">
      <c r="A307" s="33">
        <f>Labels!A308</f>
        <v>301</v>
      </c>
      <c r="B307" s="34">
        <f>INDEX(EchoData!B:B, MATCH(Summary!$A307, EchoData!$A:$A, 0))</f>
        <v>305</v>
      </c>
      <c r="C307" s="35">
        <f>INDEX(EchoData!C:C, MATCH(Summary!$A307, EchoData!$A:$A, 0))</f>
        <v>306</v>
      </c>
      <c r="D307" s="42">
        <f>INDEX(Displacements!B:B, MATCH(Summary!$B307, Displacements!$A:$A, 0))</f>
        <v>67.626000000000005</v>
      </c>
      <c r="E307" s="43">
        <f>INDEX(Displacements!C:C, MATCH(Summary!$B307, Displacements!$A:$A, 0))</f>
        <v>0</v>
      </c>
      <c r="F307" s="44">
        <f>INDEX(Displacements!D:D, MATCH(Summary!$B307, Displacements!$A:$A, 0))</f>
        <v>0</v>
      </c>
      <c r="G307" s="42">
        <f>INDEX(Displacements!B:B, MATCH(Summary!$C307, Displacements!$A:$A, 0))</f>
        <v>72.614000000000004</v>
      </c>
      <c r="H307" s="43">
        <f>INDEX(Displacements!C:C, MATCH(Summary!$C307, Displacements!$A:$A, 0))</f>
        <v>0</v>
      </c>
      <c r="I307" s="44">
        <f>INDEX(Displacements!D:D, MATCH(Summary!$C307, Displacements!$A:$A, 0))</f>
        <v>0</v>
      </c>
      <c r="J307" s="42">
        <f t="shared" si="8"/>
        <v>4.9879999999999995</v>
      </c>
      <c r="K307" s="49">
        <f t="shared" si="9"/>
        <v>1.0002005213555238</v>
      </c>
      <c r="L307" s="54">
        <f>INDEX('Forces+Stresses'!C:C, MATCH(Summary!$A307, 'Forces+Stresses'!$A:$A, 0))</f>
        <v>2262</v>
      </c>
      <c r="M307" s="55">
        <f>INDEX('Forces+Stresses'!D:D, MATCH(Summary!$A307, 'Forces+Stresses'!$A:$A, 0))</f>
        <v>2262</v>
      </c>
      <c r="N307" s="55">
        <f>IFERROR(INDEX('Forces+Stresses'!Q:Q, MATCH(Summary!$A307, 'Forces+Stresses'!$A:$A, 0)), INDEX(Flexjoints!D:D, MATCH(Summary!$A307, Flexjoints!$A:$A, 0)))</f>
        <v>1.5410000000000001E-7</v>
      </c>
      <c r="O307" s="56">
        <f>IFERROR(INDEX('Forces+Stresses'!R:R, MATCH(Summary!$A307, 'Forces+Stresses'!$A:$A, 0)), INDEX(Flexjoints!E:E, MATCH(Summary!$A307, Flexjoints!$A:$A, 0)))</f>
        <v>2.6470000000000002E-6</v>
      </c>
      <c r="P307" s="33" t="str">
        <f>IF(INDEX(Labels!B:B, MATCH(Summary!$A307, Labels!$A:$A, 0)) = 0, "", INDEX(Labels!B:B, MATCH(Summary!$A307, Labels!$A:$A, 0)))</f>
        <v>{Marine Riser String}</v>
      </c>
      <c r="Q307" s="35" t="str">
        <f>IF(INDEX(Labels!C:C, MATCH(Summary!$A307, Labels!$A:$A, 0)) = 0, "", INDEX(Labels!C:C, MATCH(Summary!$A307, Labels!$A:$A, 0)))</f>
        <v>{75ft 5000ft 0.875in Buoyant}</v>
      </c>
      <c r="R307" s="33" t="str">
        <f>IF(INDEX(Labels!D:D, MATCH(Summary!$A307, Labels!$A:$A, 0)) = 0, "", INDEX(Labels!D:D, MATCH(Summary!$A307, Labels!$A:$A, 0)))</f>
        <v/>
      </c>
      <c r="S307" s="35" t="str">
        <f>IF(INDEX(Labels!E:E, MATCH(Summary!$A307, Labels!$A:$A, 0)) = 0, "", INDEX(Labels!E:E, MATCH(Summary!$A307, Labels!$A:$A, 0)))</f>
        <v/>
      </c>
      <c r="T307" s="33" t="str">
        <f>IF(INDEX(Labels!F:F, MATCH(Summary!$A307, Labels!$A:$A, 0)) = 0, "", INDEX(Labels!F:F, MATCH(Summary!$A307, Labels!$A:$A, 0)))</f>
        <v/>
      </c>
      <c r="U307" s="35" t="str">
        <f>IF(INDEX(Labels!G:G, MATCH(Summary!$A307, Labels!$A:$A, 0)) = 0, "", INDEX(Labels!G:G, MATCH(Summary!$A307, Labels!$A:$A, 0)))</f>
        <v/>
      </c>
      <c r="V307" s="62" t="str">
        <f>IF(INDEX(Labels!H:H, MATCH(Summary!$A307, Labels!$A:$A, 0)) = 0, "", INDEX(Labels!H:H, MATCH(Summary!$A307, Labels!$A:$A, 0)))</f>
        <v/>
      </c>
      <c r="W307" t="str">
        <f>IF(INDEX(Labels!I:I, MATCH(Summary!$A307, Labels!$A:$A, 0)) = 0, "", INDEX(Labels!I:I, MATCH(Summary!$A307, Labels!$A:$A, 0)))</f>
        <v/>
      </c>
      <c r="X307" t="str">
        <f>IF(INDEX(Labels!J:J, MATCH(Summary!$A307, Labels!$A:$A, 0)) = 0, "", INDEX(Labels!J:J, MATCH(Summary!$A307, Labels!$A:$A, 0)))</f>
        <v/>
      </c>
    </row>
    <row r="308" spans="1:24" x14ac:dyDescent="0.2">
      <c r="A308" s="33">
        <f>Labels!A309</f>
        <v>302</v>
      </c>
      <c r="B308" s="34">
        <f>INDEX(EchoData!B:B, MATCH(Summary!$A308, EchoData!$A:$A, 0))</f>
        <v>306</v>
      </c>
      <c r="C308" s="35">
        <f>INDEX(EchoData!C:C, MATCH(Summary!$A308, EchoData!$A:$A, 0))</f>
        <v>307</v>
      </c>
      <c r="D308" s="42">
        <f>INDEX(Displacements!B:B, MATCH(Summary!$B308, Displacements!$A:$A, 0))</f>
        <v>72.614000000000004</v>
      </c>
      <c r="E308" s="43">
        <f>INDEX(Displacements!C:C, MATCH(Summary!$B308, Displacements!$A:$A, 0))</f>
        <v>0</v>
      </c>
      <c r="F308" s="44">
        <f>INDEX(Displacements!D:D, MATCH(Summary!$B308, Displacements!$A:$A, 0))</f>
        <v>0</v>
      </c>
      <c r="G308" s="42">
        <f>INDEX(Displacements!B:B, MATCH(Summary!$C308, Displacements!$A:$A, 0))</f>
        <v>77.602000000000004</v>
      </c>
      <c r="H308" s="43">
        <f>INDEX(Displacements!C:C, MATCH(Summary!$C308, Displacements!$A:$A, 0))</f>
        <v>0</v>
      </c>
      <c r="I308" s="44">
        <f>INDEX(Displacements!D:D, MATCH(Summary!$C308, Displacements!$A:$A, 0))</f>
        <v>0</v>
      </c>
      <c r="J308" s="42">
        <f t="shared" si="8"/>
        <v>4.9879999999999995</v>
      </c>
      <c r="K308" s="49">
        <f t="shared" si="9"/>
        <v>1</v>
      </c>
      <c r="L308" s="54">
        <f>INDEX('Forces+Stresses'!C:C, MATCH(Summary!$A308, 'Forces+Stresses'!$A:$A, 0))</f>
        <v>2272</v>
      </c>
      <c r="M308" s="55">
        <f>INDEX('Forces+Stresses'!D:D, MATCH(Summary!$A308, 'Forces+Stresses'!$A:$A, 0))</f>
        <v>2272</v>
      </c>
      <c r="N308" s="55">
        <f>IFERROR(INDEX('Forces+Stresses'!Q:Q, MATCH(Summary!$A308, 'Forces+Stresses'!$A:$A, 0)), INDEX(Flexjoints!D:D, MATCH(Summary!$A308, Flexjoints!$A:$A, 0)))</f>
        <v>4.189E-8</v>
      </c>
      <c r="O308" s="56">
        <f>IFERROR(INDEX('Forces+Stresses'!R:R, MATCH(Summary!$A308, 'Forces+Stresses'!$A:$A, 0)), INDEX(Flexjoints!E:E, MATCH(Summary!$A308, Flexjoints!$A:$A, 0)))</f>
        <v>2.7190000000000001E-6</v>
      </c>
      <c r="P308" s="33" t="str">
        <f>IF(INDEX(Labels!B:B, MATCH(Summary!$A308, Labels!$A:$A, 0)) = 0, "", INDEX(Labels!B:B, MATCH(Summary!$A308, Labels!$A:$A, 0)))</f>
        <v>{Marine Riser String}</v>
      </c>
      <c r="Q308" s="35" t="str">
        <f>IF(INDEX(Labels!C:C, MATCH(Summary!$A308, Labels!$A:$A, 0)) = 0, "", INDEX(Labels!C:C, MATCH(Summary!$A308, Labels!$A:$A, 0)))</f>
        <v>{75ft 5000ft 0.875in Buoyant}</v>
      </c>
      <c r="R308" s="33" t="str">
        <f>IF(INDEX(Labels!D:D, MATCH(Summary!$A308, Labels!$A:$A, 0)) = 0, "", INDEX(Labels!D:D, MATCH(Summary!$A308, Labels!$A:$A, 0)))</f>
        <v/>
      </c>
      <c r="S308" s="35" t="str">
        <f>IF(INDEX(Labels!E:E, MATCH(Summary!$A308, Labels!$A:$A, 0)) = 0, "", INDEX(Labels!E:E, MATCH(Summary!$A308, Labels!$A:$A, 0)))</f>
        <v/>
      </c>
      <c r="T308" s="33" t="str">
        <f>IF(INDEX(Labels!F:F, MATCH(Summary!$A308, Labels!$A:$A, 0)) = 0, "", INDEX(Labels!F:F, MATCH(Summary!$A308, Labels!$A:$A, 0)))</f>
        <v/>
      </c>
      <c r="U308" s="35" t="str">
        <f>IF(INDEX(Labels!G:G, MATCH(Summary!$A308, Labels!$A:$A, 0)) = 0, "", INDEX(Labels!G:G, MATCH(Summary!$A308, Labels!$A:$A, 0)))</f>
        <v/>
      </c>
      <c r="V308" s="62" t="str">
        <f>IF(INDEX(Labels!H:H, MATCH(Summary!$A308, Labels!$A:$A, 0)) = 0, "", INDEX(Labels!H:H, MATCH(Summary!$A308, Labels!$A:$A, 0)))</f>
        <v/>
      </c>
      <c r="W308" t="str">
        <f>IF(INDEX(Labels!I:I, MATCH(Summary!$A308, Labels!$A:$A, 0)) = 0, "", INDEX(Labels!I:I, MATCH(Summary!$A308, Labels!$A:$A, 0)))</f>
        <v/>
      </c>
      <c r="X308" t="str">
        <f>IF(INDEX(Labels!J:J, MATCH(Summary!$A308, Labels!$A:$A, 0)) = 0, "", INDEX(Labels!J:J, MATCH(Summary!$A308, Labels!$A:$A, 0)))</f>
        <v/>
      </c>
    </row>
    <row r="309" spans="1:24" x14ac:dyDescent="0.2">
      <c r="A309" s="33">
        <f>Labels!A310</f>
        <v>303</v>
      </c>
      <c r="B309" s="34">
        <f>INDEX(EchoData!B:B, MATCH(Summary!$A309, EchoData!$A:$A, 0))</f>
        <v>307</v>
      </c>
      <c r="C309" s="35">
        <f>INDEX(EchoData!C:C, MATCH(Summary!$A309, EchoData!$A:$A, 0))</f>
        <v>308</v>
      </c>
      <c r="D309" s="42">
        <f>INDEX(Displacements!B:B, MATCH(Summary!$B309, Displacements!$A:$A, 0))</f>
        <v>77.602000000000004</v>
      </c>
      <c r="E309" s="43">
        <f>INDEX(Displacements!C:C, MATCH(Summary!$B309, Displacements!$A:$A, 0))</f>
        <v>0</v>
      </c>
      <c r="F309" s="44">
        <f>INDEX(Displacements!D:D, MATCH(Summary!$B309, Displacements!$A:$A, 0))</f>
        <v>0</v>
      </c>
      <c r="G309" s="42">
        <f>INDEX(Displacements!B:B, MATCH(Summary!$C309, Displacements!$A:$A, 0))</f>
        <v>82.588999999999999</v>
      </c>
      <c r="H309" s="43">
        <f>INDEX(Displacements!C:C, MATCH(Summary!$C309, Displacements!$A:$A, 0))</f>
        <v>0</v>
      </c>
      <c r="I309" s="44">
        <f>INDEX(Displacements!D:D, MATCH(Summary!$C309, Displacements!$A:$A, 0))</f>
        <v>0</v>
      </c>
      <c r="J309" s="42">
        <f t="shared" si="8"/>
        <v>4.9869999999999948</v>
      </c>
      <c r="K309" s="49">
        <f t="shared" si="9"/>
        <v>0.99979951884522755</v>
      </c>
      <c r="L309" s="54">
        <f>INDEX('Forces+Stresses'!C:C, MATCH(Summary!$A309, 'Forces+Stresses'!$A:$A, 0))</f>
        <v>2281</v>
      </c>
      <c r="M309" s="55">
        <f>INDEX('Forces+Stresses'!D:D, MATCH(Summary!$A309, 'Forces+Stresses'!$A:$A, 0))</f>
        <v>2281</v>
      </c>
      <c r="N309" s="55">
        <f>IFERROR(INDEX('Forces+Stresses'!Q:Q, MATCH(Summary!$A309, 'Forces+Stresses'!$A:$A, 0)), INDEX(Flexjoints!D:D, MATCH(Summary!$A309, Flexjoints!$A:$A, 0)))</f>
        <v>1.9430000000000001E-7</v>
      </c>
      <c r="O309" s="56">
        <f>IFERROR(INDEX('Forces+Stresses'!R:R, MATCH(Summary!$A309, 'Forces+Stresses'!$A:$A, 0)), INDEX(Flexjoints!E:E, MATCH(Summary!$A309, Flexjoints!$A:$A, 0)))</f>
        <v>2.458E-6</v>
      </c>
      <c r="P309" s="33" t="str">
        <f>IF(INDEX(Labels!B:B, MATCH(Summary!$A309, Labels!$A:$A, 0)) = 0, "", INDEX(Labels!B:B, MATCH(Summary!$A309, Labels!$A:$A, 0)))</f>
        <v>{Marine Riser String}</v>
      </c>
      <c r="Q309" s="35" t="str">
        <f>IF(INDEX(Labels!C:C, MATCH(Summary!$A309, Labels!$A:$A, 0)) = 0, "", INDEX(Labels!C:C, MATCH(Summary!$A309, Labels!$A:$A, 0)))</f>
        <v>{75ft 5000ft 0.875in Buoyant}</v>
      </c>
      <c r="R309" s="33" t="str">
        <f>IF(INDEX(Labels!D:D, MATCH(Summary!$A309, Labels!$A:$A, 0)) = 0, "", INDEX(Labels!D:D, MATCH(Summary!$A309, Labels!$A:$A, 0)))</f>
        <v/>
      </c>
      <c r="S309" s="35" t="str">
        <f>IF(INDEX(Labels!E:E, MATCH(Summary!$A309, Labels!$A:$A, 0)) = 0, "", INDEX(Labels!E:E, MATCH(Summary!$A309, Labels!$A:$A, 0)))</f>
        <v/>
      </c>
      <c r="T309" s="33" t="str">
        <f>IF(INDEX(Labels!F:F, MATCH(Summary!$A309, Labels!$A:$A, 0)) = 0, "", INDEX(Labels!F:F, MATCH(Summary!$A309, Labels!$A:$A, 0)))</f>
        <v/>
      </c>
      <c r="U309" s="35" t="str">
        <f>IF(INDEX(Labels!G:G, MATCH(Summary!$A309, Labels!$A:$A, 0)) = 0, "", INDEX(Labels!G:G, MATCH(Summary!$A309, Labels!$A:$A, 0)))</f>
        <v/>
      </c>
      <c r="V309" s="62" t="str">
        <f>IF(INDEX(Labels!H:H, MATCH(Summary!$A309, Labels!$A:$A, 0)) = 0, "", INDEX(Labels!H:H, MATCH(Summary!$A309, Labels!$A:$A, 0)))</f>
        <v/>
      </c>
      <c r="W309" t="str">
        <f>IF(INDEX(Labels!I:I, MATCH(Summary!$A309, Labels!$A:$A, 0)) = 0, "", INDEX(Labels!I:I, MATCH(Summary!$A309, Labels!$A:$A, 0)))</f>
        <v/>
      </c>
      <c r="X309" t="str">
        <f>IF(INDEX(Labels!J:J, MATCH(Summary!$A309, Labels!$A:$A, 0)) = 0, "", INDEX(Labels!J:J, MATCH(Summary!$A309, Labels!$A:$A, 0)))</f>
        <v/>
      </c>
    </row>
    <row r="310" spans="1:24" x14ac:dyDescent="0.2">
      <c r="A310" s="33">
        <f>Labels!A311</f>
        <v>304</v>
      </c>
      <c r="B310" s="34">
        <f>INDEX(EchoData!B:B, MATCH(Summary!$A310, EchoData!$A:$A, 0))</f>
        <v>308</v>
      </c>
      <c r="C310" s="35">
        <f>INDEX(EchoData!C:C, MATCH(Summary!$A310, EchoData!$A:$A, 0))</f>
        <v>309</v>
      </c>
      <c r="D310" s="42">
        <f>INDEX(Displacements!B:B, MATCH(Summary!$B310, Displacements!$A:$A, 0))</f>
        <v>82.588999999999999</v>
      </c>
      <c r="E310" s="43">
        <f>INDEX(Displacements!C:C, MATCH(Summary!$B310, Displacements!$A:$A, 0))</f>
        <v>0</v>
      </c>
      <c r="F310" s="44">
        <f>INDEX(Displacements!D:D, MATCH(Summary!$B310, Displacements!$A:$A, 0))</f>
        <v>0</v>
      </c>
      <c r="G310" s="42">
        <f>INDEX(Displacements!B:B, MATCH(Summary!$C310, Displacements!$A:$A, 0))</f>
        <v>87.576999999999998</v>
      </c>
      <c r="H310" s="43">
        <f>INDEX(Displacements!C:C, MATCH(Summary!$C310, Displacements!$A:$A, 0))</f>
        <v>0</v>
      </c>
      <c r="I310" s="44">
        <f>INDEX(Displacements!D:D, MATCH(Summary!$C310, Displacements!$A:$A, 0))</f>
        <v>0</v>
      </c>
      <c r="J310" s="42">
        <f t="shared" si="8"/>
        <v>4.9879999999999995</v>
      </c>
      <c r="K310" s="49">
        <f t="shared" si="9"/>
        <v>1.0002005213555254</v>
      </c>
      <c r="L310" s="54">
        <f>INDEX('Forces+Stresses'!C:C, MATCH(Summary!$A310, 'Forces+Stresses'!$A:$A, 0))</f>
        <v>2290</v>
      </c>
      <c r="M310" s="55">
        <f>INDEX('Forces+Stresses'!D:D, MATCH(Summary!$A310, 'Forces+Stresses'!$A:$A, 0))</f>
        <v>2290</v>
      </c>
      <c r="N310" s="55">
        <f>IFERROR(INDEX('Forces+Stresses'!Q:Q, MATCH(Summary!$A310, 'Forces+Stresses'!$A:$A, 0)), INDEX(Flexjoints!D:D, MATCH(Summary!$A310, Flexjoints!$A:$A, 0)))</f>
        <v>2.384E-8</v>
      </c>
      <c r="O310" s="56">
        <f>IFERROR(INDEX('Forces+Stresses'!R:R, MATCH(Summary!$A310, 'Forces+Stresses'!$A:$A, 0)), INDEX(Flexjoints!E:E, MATCH(Summary!$A310, Flexjoints!$A:$A, 0)))</f>
        <v>2.6599999999999999E-6</v>
      </c>
      <c r="P310" s="33" t="str">
        <f>IF(INDEX(Labels!B:B, MATCH(Summary!$A310, Labels!$A:$A, 0)) = 0, "", INDEX(Labels!B:B, MATCH(Summary!$A310, Labels!$A:$A, 0)))</f>
        <v>{Marine Riser String}</v>
      </c>
      <c r="Q310" s="35" t="str">
        <f>IF(INDEX(Labels!C:C, MATCH(Summary!$A310, Labels!$A:$A, 0)) = 0, "", INDEX(Labels!C:C, MATCH(Summary!$A310, Labels!$A:$A, 0)))</f>
        <v>{75ft 5000ft 0.875in Buoyant}</v>
      </c>
      <c r="R310" s="33" t="str">
        <f>IF(INDEX(Labels!D:D, MATCH(Summary!$A310, Labels!$A:$A, 0)) = 0, "", INDEX(Labels!D:D, MATCH(Summary!$A310, Labels!$A:$A, 0)))</f>
        <v/>
      </c>
      <c r="S310" s="35" t="str">
        <f>IF(INDEX(Labels!E:E, MATCH(Summary!$A310, Labels!$A:$A, 0)) = 0, "", INDEX(Labels!E:E, MATCH(Summary!$A310, Labels!$A:$A, 0)))</f>
        <v/>
      </c>
      <c r="T310" s="33" t="str">
        <f>IF(INDEX(Labels!F:F, MATCH(Summary!$A310, Labels!$A:$A, 0)) = 0, "", INDEX(Labels!F:F, MATCH(Summary!$A310, Labels!$A:$A, 0)))</f>
        <v/>
      </c>
      <c r="U310" s="35" t="str">
        <f>IF(INDEX(Labels!G:G, MATCH(Summary!$A310, Labels!$A:$A, 0)) = 0, "", INDEX(Labels!G:G, MATCH(Summary!$A310, Labels!$A:$A, 0)))</f>
        <v/>
      </c>
      <c r="V310" s="62" t="str">
        <f>IF(INDEX(Labels!H:H, MATCH(Summary!$A310, Labels!$A:$A, 0)) = 0, "", INDEX(Labels!H:H, MATCH(Summary!$A310, Labels!$A:$A, 0)))</f>
        <v/>
      </c>
      <c r="W310" t="str">
        <f>IF(INDEX(Labels!I:I, MATCH(Summary!$A310, Labels!$A:$A, 0)) = 0, "", INDEX(Labels!I:I, MATCH(Summary!$A310, Labels!$A:$A, 0)))</f>
        <v/>
      </c>
      <c r="X310" t="str">
        <f>IF(INDEX(Labels!J:J, MATCH(Summary!$A310, Labels!$A:$A, 0)) = 0, "", INDEX(Labels!J:J, MATCH(Summary!$A310, Labels!$A:$A, 0)))</f>
        <v/>
      </c>
    </row>
    <row r="311" spans="1:24" x14ac:dyDescent="0.2">
      <c r="A311" s="33">
        <f>Labels!A312</f>
        <v>305</v>
      </c>
      <c r="B311" s="34">
        <f>INDEX(EchoData!B:B, MATCH(Summary!$A311, EchoData!$A:$A, 0))</f>
        <v>309</v>
      </c>
      <c r="C311" s="35">
        <f>INDEX(EchoData!C:C, MATCH(Summary!$A311, EchoData!$A:$A, 0))</f>
        <v>310</v>
      </c>
      <c r="D311" s="42">
        <f>INDEX(Displacements!B:B, MATCH(Summary!$B311, Displacements!$A:$A, 0))</f>
        <v>87.576999999999998</v>
      </c>
      <c r="E311" s="43">
        <f>INDEX(Displacements!C:C, MATCH(Summary!$B311, Displacements!$A:$A, 0))</f>
        <v>0</v>
      </c>
      <c r="F311" s="44">
        <f>INDEX(Displacements!D:D, MATCH(Summary!$B311, Displacements!$A:$A, 0))</f>
        <v>0</v>
      </c>
      <c r="G311" s="42">
        <f>INDEX(Displacements!B:B, MATCH(Summary!$C311, Displacements!$A:$A, 0))</f>
        <v>92.564999999999998</v>
      </c>
      <c r="H311" s="43">
        <f>INDEX(Displacements!C:C, MATCH(Summary!$C311, Displacements!$A:$A, 0))</f>
        <v>0</v>
      </c>
      <c r="I311" s="44">
        <f>INDEX(Displacements!D:D, MATCH(Summary!$C311, Displacements!$A:$A, 0))</f>
        <v>0</v>
      </c>
      <c r="J311" s="42">
        <f t="shared" si="8"/>
        <v>4.9879999999999995</v>
      </c>
      <c r="K311" s="49">
        <f t="shared" si="9"/>
        <v>1</v>
      </c>
      <c r="L311" s="54">
        <f>INDEX('Forces+Stresses'!C:C, MATCH(Summary!$A311, 'Forces+Stresses'!$A:$A, 0))</f>
        <v>2300</v>
      </c>
      <c r="M311" s="55">
        <f>INDEX('Forces+Stresses'!D:D, MATCH(Summary!$A311, 'Forces+Stresses'!$A:$A, 0))</f>
        <v>2300</v>
      </c>
      <c r="N311" s="55">
        <f>IFERROR(INDEX('Forces+Stresses'!Q:Q, MATCH(Summary!$A311, 'Forces+Stresses'!$A:$A, 0)), INDEX(Flexjoints!D:D, MATCH(Summary!$A311, Flexjoints!$A:$A, 0)))</f>
        <v>1.399E-7</v>
      </c>
      <c r="O311" s="56">
        <f>IFERROR(INDEX('Forces+Stresses'!R:R, MATCH(Summary!$A311, 'Forces+Stresses'!$A:$A, 0)), INDEX(Flexjoints!E:E, MATCH(Summary!$A311, Flexjoints!$A:$A, 0)))</f>
        <v>2.7950000000000003E-6</v>
      </c>
      <c r="P311" s="33" t="str">
        <f>IF(INDEX(Labels!B:B, MATCH(Summary!$A311, Labels!$A:$A, 0)) = 0, "", INDEX(Labels!B:B, MATCH(Summary!$A311, Labels!$A:$A, 0)))</f>
        <v>{Marine Riser String}</v>
      </c>
      <c r="Q311" s="35" t="str">
        <f>IF(INDEX(Labels!C:C, MATCH(Summary!$A311, Labels!$A:$A, 0)) = 0, "", INDEX(Labels!C:C, MATCH(Summary!$A311, Labels!$A:$A, 0)))</f>
        <v>{75ft 5000ft 0.875in Buoyant}</v>
      </c>
      <c r="R311" s="33" t="str">
        <f>IF(INDEX(Labels!D:D, MATCH(Summary!$A311, Labels!$A:$A, 0)) = 0, "", INDEX(Labels!D:D, MATCH(Summary!$A311, Labels!$A:$A, 0)))</f>
        <v/>
      </c>
      <c r="S311" s="35" t="str">
        <f>IF(INDEX(Labels!E:E, MATCH(Summary!$A311, Labels!$A:$A, 0)) = 0, "", INDEX(Labels!E:E, MATCH(Summary!$A311, Labels!$A:$A, 0)))</f>
        <v/>
      </c>
      <c r="T311" s="33" t="str">
        <f>IF(INDEX(Labels!F:F, MATCH(Summary!$A311, Labels!$A:$A, 0)) = 0, "", INDEX(Labels!F:F, MATCH(Summary!$A311, Labels!$A:$A, 0)))</f>
        <v/>
      </c>
      <c r="U311" s="35" t="str">
        <f>IF(INDEX(Labels!G:G, MATCH(Summary!$A311, Labels!$A:$A, 0)) = 0, "", INDEX(Labels!G:G, MATCH(Summary!$A311, Labels!$A:$A, 0)))</f>
        <v/>
      </c>
      <c r="V311" s="62" t="str">
        <f>IF(INDEX(Labels!H:H, MATCH(Summary!$A311, Labels!$A:$A, 0)) = 0, "", INDEX(Labels!H:H, MATCH(Summary!$A311, Labels!$A:$A, 0)))</f>
        <v/>
      </c>
      <c r="W311" t="str">
        <f>IF(INDEX(Labels!I:I, MATCH(Summary!$A311, Labels!$A:$A, 0)) = 0, "", INDEX(Labels!I:I, MATCH(Summary!$A311, Labels!$A:$A, 0)))</f>
        <v/>
      </c>
      <c r="X311" t="str">
        <f>IF(INDEX(Labels!J:J, MATCH(Summary!$A311, Labels!$A:$A, 0)) = 0, "", INDEX(Labels!J:J, MATCH(Summary!$A311, Labels!$A:$A, 0)))</f>
        <v/>
      </c>
    </row>
    <row r="312" spans="1:24" x14ac:dyDescent="0.2">
      <c r="A312" s="33">
        <f>Labels!A313</f>
        <v>306</v>
      </c>
      <c r="B312" s="34">
        <f>INDEX(EchoData!B:B, MATCH(Summary!$A312, EchoData!$A:$A, 0))</f>
        <v>310</v>
      </c>
      <c r="C312" s="35">
        <f>INDEX(EchoData!C:C, MATCH(Summary!$A312, EchoData!$A:$A, 0))</f>
        <v>311</v>
      </c>
      <c r="D312" s="42">
        <f>INDEX(Displacements!B:B, MATCH(Summary!$B312, Displacements!$A:$A, 0))</f>
        <v>92.564999999999998</v>
      </c>
      <c r="E312" s="43">
        <f>INDEX(Displacements!C:C, MATCH(Summary!$B312, Displacements!$A:$A, 0))</f>
        <v>0</v>
      </c>
      <c r="F312" s="44">
        <f>INDEX(Displacements!D:D, MATCH(Summary!$B312, Displacements!$A:$A, 0))</f>
        <v>0</v>
      </c>
      <c r="G312" s="42">
        <f>INDEX(Displacements!B:B, MATCH(Summary!$C312, Displacements!$A:$A, 0))</f>
        <v>97.552000000000007</v>
      </c>
      <c r="H312" s="43">
        <f>INDEX(Displacements!C:C, MATCH(Summary!$C312, Displacements!$A:$A, 0))</f>
        <v>0</v>
      </c>
      <c r="I312" s="44">
        <f>INDEX(Displacements!D:D, MATCH(Summary!$C312, Displacements!$A:$A, 0))</f>
        <v>0</v>
      </c>
      <c r="J312" s="42">
        <f t="shared" si="8"/>
        <v>4.987000000000009</v>
      </c>
      <c r="K312" s="49">
        <f t="shared" si="9"/>
        <v>0.99979951884523044</v>
      </c>
      <c r="L312" s="54">
        <f>INDEX('Forces+Stresses'!C:C, MATCH(Summary!$A312, 'Forces+Stresses'!$A:$A, 0))</f>
        <v>2309</v>
      </c>
      <c r="M312" s="55">
        <f>INDEX('Forces+Stresses'!D:D, MATCH(Summary!$A312, 'Forces+Stresses'!$A:$A, 0))</f>
        <v>2309</v>
      </c>
      <c r="N312" s="55">
        <f>IFERROR(INDEX('Forces+Stresses'!Q:Q, MATCH(Summary!$A312, 'Forces+Stresses'!$A:$A, 0)), INDEX(Flexjoints!D:D, MATCH(Summary!$A312, Flexjoints!$A:$A, 0)))</f>
        <v>1.878E-7</v>
      </c>
      <c r="O312" s="56">
        <f>IFERROR(INDEX('Forces+Stresses'!R:R, MATCH(Summary!$A312, 'Forces+Stresses'!$A:$A, 0)), INDEX(Flexjoints!E:E, MATCH(Summary!$A312, Flexjoints!$A:$A, 0)))</f>
        <v>2.3739999999999996E-6</v>
      </c>
      <c r="P312" s="33" t="str">
        <f>IF(INDEX(Labels!B:B, MATCH(Summary!$A312, Labels!$A:$A, 0)) = 0, "", INDEX(Labels!B:B, MATCH(Summary!$A312, Labels!$A:$A, 0)))</f>
        <v>{Marine Riser String}</v>
      </c>
      <c r="Q312" s="35" t="str">
        <f>IF(INDEX(Labels!C:C, MATCH(Summary!$A312, Labels!$A:$A, 0)) = 0, "", INDEX(Labels!C:C, MATCH(Summary!$A312, Labels!$A:$A, 0)))</f>
        <v>{75ft 5000ft 0.875in Buoyant}</v>
      </c>
      <c r="R312" s="33" t="str">
        <f>IF(INDEX(Labels!D:D, MATCH(Summary!$A312, Labels!$A:$A, 0)) = 0, "", INDEX(Labels!D:D, MATCH(Summary!$A312, Labels!$A:$A, 0)))</f>
        <v/>
      </c>
      <c r="S312" s="35" t="str">
        <f>IF(INDEX(Labels!E:E, MATCH(Summary!$A312, Labels!$A:$A, 0)) = 0, "", INDEX(Labels!E:E, MATCH(Summary!$A312, Labels!$A:$A, 0)))</f>
        <v/>
      </c>
      <c r="T312" s="33" t="str">
        <f>IF(INDEX(Labels!F:F, MATCH(Summary!$A312, Labels!$A:$A, 0)) = 0, "", INDEX(Labels!F:F, MATCH(Summary!$A312, Labels!$A:$A, 0)))</f>
        <v/>
      </c>
      <c r="U312" s="35" t="str">
        <f>IF(INDEX(Labels!G:G, MATCH(Summary!$A312, Labels!$A:$A, 0)) = 0, "", INDEX(Labels!G:G, MATCH(Summary!$A312, Labels!$A:$A, 0)))</f>
        <v/>
      </c>
      <c r="V312" s="62" t="str">
        <f>IF(INDEX(Labels!H:H, MATCH(Summary!$A312, Labels!$A:$A, 0)) = 0, "", INDEX(Labels!H:H, MATCH(Summary!$A312, Labels!$A:$A, 0)))</f>
        <v/>
      </c>
      <c r="W312" t="str">
        <f>IF(INDEX(Labels!I:I, MATCH(Summary!$A312, Labels!$A:$A, 0)) = 0, "", INDEX(Labels!I:I, MATCH(Summary!$A312, Labels!$A:$A, 0)))</f>
        <v/>
      </c>
      <c r="X312" t="str">
        <f>IF(INDEX(Labels!J:J, MATCH(Summary!$A312, Labels!$A:$A, 0)) = 0, "", INDEX(Labels!J:J, MATCH(Summary!$A312, Labels!$A:$A, 0)))</f>
        <v/>
      </c>
    </row>
    <row r="313" spans="1:24" x14ac:dyDescent="0.2">
      <c r="A313" s="33">
        <f>Labels!A314</f>
        <v>307</v>
      </c>
      <c r="B313" s="34">
        <f>INDEX(EchoData!B:B, MATCH(Summary!$A313, EchoData!$A:$A, 0))</f>
        <v>311</v>
      </c>
      <c r="C313" s="35">
        <f>INDEX(EchoData!C:C, MATCH(Summary!$A313, EchoData!$A:$A, 0))</f>
        <v>312</v>
      </c>
      <c r="D313" s="42">
        <f>INDEX(Displacements!B:B, MATCH(Summary!$B313, Displacements!$A:$A, 0))</f>
        <v>97.552000000000007</v>
      </c>
      <c r="E313" s="43">
        <f>INDEX(Displacements!C:C, MATCH(Summary!$B313, Displacements!$A:$A, 0))</f>
        <v>0</v>
      </c>
      <c r="F313" s="44">
        <f>INDEX(Displacements!D:D, MATCH(Summary!$B313, Displacements!$A:$A, 0))</f>
        <v>0</v>
      </c>
      <c r="G313" s="42">
        <f>INDEX(Displacements!B:B, MATCH(Summary!$C313, Displacements!$A:$A, 0))</f>
        <v>102.54</v>
      </c>
      <c r="H313" s="43">
        <f>INDEX(Displacements!C:C, MATCH(Summary!$C313, Displacements!$A:$A, 0))</f>
        <v>0</v>
      </c>
      <c r="I313" s="44">
        <f>INDEX(Displacements!D:D, MATCH(Summary!$C313, Displacements!$A:$A, 0))</f>
        <v>0</v>
      </c>
      <c r="J313" s="42">
        <f t="shared" si="8"/>
        <v>4.9879999999999995</v>
      </c>
      <c r="K313" s="49">
        <f t="shared" si="9"/>
        <v>1.0002005213555225</v>
      </c>
      <c r="L313" s="54">
        <f>INDEX('Forces+Stresses'!C:C, MATCH(Summary!$A313, 'Forces+Stresses'!$A:$A, 0))</f>
        <v>2318</v>
      </c>
      <c r="M313" s="55">
        <f>INDEX('Forces+Stresses'!D:D, MATCH(Summary!$A313, 'Forces+Stresses'!$A:$A, 0))</f>
        <v>2318</v>
      </c>
      <c r="N313" s="55">
        <f>IFERROR(INDEX('Forces+Stresses'!Q:Q, MATCH(Summary!$A313, 'Forces+Stresses'!$A:$A, 0)), INDEX(Flexjoints!D:D, MATCH(Summary!$A313, Flexjoints!$A:$A, 0)))</f>
        <v>1.673E-7</v>
      </c>
      <c r="O313" s="56">
        <f>IFERROR(INDEX('Forces+Stresses'!R:R, MATCH(Summary!$A313, 'Forces+Stresses'!$A:$A, 0)), INDEX(Flexjoints!E:E, MATCH(Summary!$A313, Flexjoints!$A:$A, 0)))</f>
        <v>2.5049999999999997E-6</v>
      </c>
      <c r="P313" s="33" t="str">
        <f>IF(INDEX(Labels!B:B, MATCH(Summary!$A313, Labels!$A:$A, 0)) = 0, "", INDEX(Labels!B:B, MATCH(Summary!$A313, Labels!$A:$A, 0)))</f>
        <v>{Marine Riser String}</v>
      </c>
      <c r="Q313" s="35" t="str">
        <f>IF(INDEX(Labels!C:C, MATCH(Summary!$A313, Labels!$A:$A, 0)) = 0, "", INDEX(Labels!C:C, MATCH(Summary!$A313, Labels!$A:$A, 0)))</f>
        <v>{75ft 5000ft 0.875in Buoyant}</v>
      </c>
      <c r="R313" s="33" t="str">
        <f>IF(INDEX(Labels!D:D, MATCH(Summary!$A313, Labels!$A:$A, 0)) = 0, "", INDEX(Labels!D:D, MATCH(Summary!$A313, Labels!$A:$A, 0)))</f>
        <v/>
      </c>
      <c r="S313" s="35" t="str">
        <f>IF(INDEX(Labels!E:E, MATCH(Summary!$A313, Labels!$A:$A, 0)) = 0, "", INDEX(Labels!E:E, MATCH(Summary!$A313, Labels!$A:$A, 0)))</f>
        <v/>
      </c>
      <c r="T313" s="33" t="str">
        <f>IF(INDEX(Labels!F:F, MATCH(Summary!$A313, Labels!$A:$A, 0)) = 0, "", INDEX(Labels!F:F, MATCH(Summary!$A313, Labels!$A:$A, 0)))</f>
        <v/>
      </c>
      <c r="U313" s="35" t="str">
        <f>IF(INDEX(Labels!G:G, MATCH(Summary!$A313, Labels!$A:$A, 0)) = 0, "", INDEX(Labels!G:G, MATCH(Summary!$A313, Labels!$A:$A, 0)))</f>
        <v/>
      </c>
      <c r="V313" s="62" t="str">
        <f>IF(INDEX(Labels!H:H, MATCH(Summary!$A313, Labels!$A:$A, 0)) = 0, "", INDEX(Labels!H:H, MATCH(Summary!$A313, Labels!$A:$A, 0)))</f>
        <v/>
      </c>
      <c r="W313" t="str">
        <f>IF(INDEX(Labels!I:I, MATCH(Summary!$A313, Labels!$A:$A, 0)) = 0, "", INDEX(Labels!I:I, MATCH(Summary!$A313, Labels!$A:$A, 0)))</f>
        <v/>
      </c>
      <c r="X313" t="str">
        <f>IF(INDEX(Labels!J:J, MATCH(Summary!$A313, Labels!$A:$A, 0)) = 0, "", INDEX(Labels!J:J, MATCH(Summary!$A313, Labels!$A:$A, 0)))</f>
        <v/>
      </c>
    </row>
    <row r="314" spans="1:24" x14ac:dyDescent="0.2">
      <c r="A314" s="33">
        <f>Labels!A315</f>
        <v>308</v>
      </c>
      <c r="B314" s="34">
        <f>INDEX(EchoData!B:B, MATCH(Summary!$A314, EchoData!$A:$A, 0))</f>
        <v>312</v>
      </c>
      <c r="C314" s="35">
        <f>INDEX(EchoData!C:C, MATCH(Summary!$A314, EchoData!$A:$A, 0))</f>
        <v>313</v>
      </c>
      <c r="D314" s="42">
        <f>INDEX(Displacements!B:B, MATCH(Summary!$B314, Displacements!$A:$A, 0))</f>
        <v>102.54</v>
      </c>
      <c r="E314" s="43">
        <f>INDEX(Displacements!C:C, MATCH(Summary!$B314, Displacements!$A:$A, 0))</f>
        <v>0</v>
      </c>
      <c r="F314" s="44">
        <f>INDEX(Displacements!D:D, MATCH(Summary!$B314, Displacements!$A:$A, 0))</f>
        <v>0</v>
      </c>
      <c r="G314" s="42">
        <f>INDEX(Displacements!B:B, MATCH(Summary!$C314, Displacements!$A:$A, 0))</f>
        <v>107.52800000000001</v>
      </c>
      <c r="H314" s="43">
        <f>INDEX(Displacements!C:C, MATCH(Summary!$C314, Displacements!$A:$A, 0))</f>
        <v>0</v>
      </c>
      <c r="I314" s="44">
        <f>INDEX(Displacements!D:D, MATCH(Summary!$C314, Displacements!$A:$A, 0))</f>
        <v>0</v>
      </c>
      <c r="J314" s="42">
        <f t="shared" si="8"/>
        <v>4.9879999999999995</v>
      </c>
      <c r="K314" s="49">
        <f t="shared" si="9"/>
        <v>1</v>
      </c>
      <c r="L314" s="54">
        <f>INDEX('Forces+Stresses'!C:C, MATCH(Summary!$A314, 'Forces+Stresses'!$A:$A, 0))</f>
        <v>2328</v>
      </c>
      <c r="M314" s="55">
        <f>INDEX('Forces+Stresses'!D:D, MATCH(Summary!$A314, 'Forces+Stresses'!$A:$A, 0))</f>
        <v>2328</v>
      </c>
      <c r="N314" s="55">
        <f>IFERROR(INDEX('Forces+Stresses'!Q:Q, MATCH(Summary!$A314, 'Forces+Stresses'!$A:$A, 0)), INDEX(Flexjoints!D:D, MATCH(Summary!$A314, Flexjoints!$A:$A, 0)))</f>
        <v>8.7029999999999992E-8</v>
      </c>
      <c r="O314" s="56">
        <f>IFERROR(INDEX('Forces+Stresses'!R:R, MATCH(Summary!$A314, 'Forces+Stresses'!$A:$A, 0)), INDEX(Flexjoints!E:E, MATCH(Summary!$A314, Flexjoints!$A:$A, 0)))</f>
        <v>2.9610000000000001E-6</v>
      </c>
      <c r="P314" s="33" t="str">
        <f>IF(INDEX(Labels!B:B, MATCH(Summary!$A314, Labels!$A:$A, 0)) = 0, "", INDEX(Labels!B:B, MATCH(Summary!$A314, Labels!$A:$A, 0)))</f>
        <v>{Marine Riser String}</v>
      </c>
      <c r="Q314" s="35" t="str">
        <f>IF(INDEX(Labels!C:C, MATCH(Summary!$A314, Labels!$A:$A, 0)) = 0, "", INDEX(Labels!C:C, MATCH(Summary!$A314, Labels!$A:$A, 0)))</f>
        <v>{75ft 5000ft 0.875in Buoyant}</v>
      </c>
      <c r="R314" s="33" t="str">
        <f>IF(INDEX(Labels!D:D, MATCH(Summary!$A314, Labels!$A:$A, 0)) = 0, "", INDEX(Labels!D:D, MATCH(Summary!$A314, Labels!$A:$A, 0)))</f>
        <v/>
      </c>
      <c r="S314" s="35" t="str">
        <f>IF(INDEX(Labels!E:E, MATCH(Summary!$A314, Labels!$A:$A, 0)) = 0, "", INDEX(Labels!E:E, MATCH(Summary!$A314, Labels!$A:$A, 0)))</f>
        <v/>
      </c>
      <c r="T314" s="33" t="str">
        <f>IF(INDEX(Labels!F:F, MATCH(Summary!$A314, Labels!$A:$A, 0)) = 0, "", INDEX(Labels!F:F, MATCH(Summary!$A314, Labels!$A:$A, 0)))</f>
        <v/>
      </c>
      <c r="U314" s="35" t="str">
        <f>IF(INDEX(Labels!G:G, MATCH(Summary!$A314, Labels!$A:$A, 0)) = 0, "", INDEX(Labels!G:G, MATCH(Summary!$A314, Labels!$A:$A, 0)))</f>
        <v/>
      </c>
      <c r="V314" s="62" t="str">
        <f>IF(INDEX(Labels!H:H, MATCH(Summary!$A314, Labels!$A:$A, 0)) = 0, "", INDEX(Labels!H:H, MATCH(Summary!$A314, Labels!$A:$A, 0)))</f>
        <v/>
      </c>
      <c r="W314" t="str">
        <f>IF(INDEX(Labels!I:I, MATCH(Summary!$A314, Labels!$A:$A, 0)) = 0, "", INDEX(Labels!I:I, MATCH(Summary!$A314, Labels!$A:$A, 0)))</f>
        <v/>
      </c>
      <c r="X314" t="str">
        <f>IF(INDEX(Labels!J:J, MATCH(Summary!$A314, Labels!$A:$A, 0)) = 0, "", INDEX(Labels!J:J, MATCH(Summary!$A314, Labels!$A:$A, 0)))</f>
        <v/>
      </c>
    </row>
    <row r="315" spans="1:24" x14ac:dyDescent="0.2">
      <c r="A315" s="33">
        <f>Labels!A316</f>
        <v>309</v>
      </c>
      <c r="B315" s="34">
        <f>INDEX(EchoData!B:B, MATCH(Summary!$A315, EchoData!$A:$A, 0))</f>
        <v>313</v>
      </c>
      <c r="C315" s="35">
        <f>INDEX(EchoData!C:C, MATCH(Summary!$A315, EchoData!$A:$A, 0))</f>
        <v>314</v>
      </c>
      <c r="D315" s="42">
        <f>INDEX(Displacements!B:B, MATCH(Summary!$B315, Displacements!$A:$A, 0))</f>
        <v>107.52800000000001</v>
      </c>
      <c r="E315" s="43">
        <f>INDEX(Displacements!C:C, MATCH(Summary!$B315, Displacements!$A:$A, 0))</f>
        <v>0</v>
      </c>
      <c r="F315" s="44">
        <f>INDEX(Displacements!D:D, MATCH(Summary!$B315, Displacements!$A:$A, 0))</f>
        <v>0</v>
      </c>
      <c r="G315" s="42">
        <f>INDEX(Displacements!B:B, MATCH(Summary!$C315, Displacements!$A:$A, 0))</f>
        <v>112.515</v>
      </c>
      <c r="H315" s="43">
        <f>INDEX(Displacements!C:C, MATCH(Summary!$C315, Displacements!$A:$A, 0))</f>
        <v>0</v>
      </c>
      <c r="I315" s="44">
        <f>INDEX(Displacements!D:D, MATCH(Summary!$C315, Displacements!$A:$A, 0))</f>
        <v>0</v>
      </c>
      <c r="J315" s="42">
        <f t="shared" si="8"/>
        <v>4.9869999999999948</v>
      </c>
      <c r="K315" s="49">
        <f t="shared" si="9"/>
        <v>0.99979951884522755</v>
      </c>
      <c r="L315" s="54">
        <f>INDEX('Forces+Stresses'!C:C, MATCH(Summary!$A315, 'Forces+Stresses'!$A:$A, 0))</f>
        <v>2337</v>
      </c>
      <c r="M315" s="55">
        <f>INDEX('Forces+Stresses'!D:D, MATCH(Summary!$A315, 'Forces+Stresses'!$A:$A, 0))</f>
        <v>2337</v>
      </c>
      <c r="N315" s="55">
        <f>IFERROR(INDEX('Forces+Stresses'!Q:Q, MATCH(Summary!$A315, 'Forces+Stresses'!$A:$A, 0)), INDEX(Flexjoints!D:D, MATCH(Summary!$A315, Flexjoints!$A:$A, 0)))</f>
        <v>1.6229999999999999E-7</v>
      </c>
      <c r="O315" s="56">
        <f>IFERROR(INDEX('Forces+Stresses'!R:R, MATCH(Summary!$A315, 'Forces+Stresses'!$A:$A, 0)), INDEX(Flexjoints!E:E, MATCH(Summary!$A315, Flexjoints!$A:$A, 0)))</f>
        <v>2.8619999999999999E-6</v>
      </c>
      <c r="P315" s="33" t="str">
        <f>IF(INDEX(Labels!B:B, MATCH(Summary!$A315, Labels!$A:$A, 0)) = 0, "", INDEX(Labels!B:B, MATCH(Summary!$A315, Labels!$A:$A, 0)))</f>
        <v>{Marine Riser String}</v>
      </c>
      <c r="Q315" s="35" t="str">
        <f>IF(INDEX(Labels!C:C, MATCH(Summary!$A315, Labels!$A:$A, 0)) = 0, "", INDEX(Labels!C:C, MATCH(Summary!$A315, Labels!$A:$A, 0)))</f>
        <v>{75ft 5000ft 0.875in Buoyant}</v>
      </c>
      <c r="R315" s="33" t="str">
        <f>IF(INDEX(Labels!D:D, MATCH(Summary!$A315, Labels!$A:$A, 0)) = 0, "", INDEX(Labels!D:D, MATCH(Summary!$A315, Labels!$A:$A, 0)))</f>
        <v/>
      </c>
      <c r="S315" s="35" t="str">
        <f>IF(INDEX(Labels!E:E, MATCH(Summary!$A315, Labels!$A:$A, 0)) = 0, "", INDEX(Labels!E:E, MATCH(Summary!$A315, Labels!$A:$A, 0)))</f>
        <v/>
      </c>
      <c r="T315" s="33" t="str">
        <f>IF(INDEX(Labels!F:F, MATCH(Summary!$A315, Labels!$A:$A, 0)) = 0, "", INDEX(Labels!F:F, MATCH(Summary!$A315, Labels!$A:$A, 0)))</f>
        <v/>
      </c>
      <c r="U315" s="35" t="str">
        <f>IF(INDEX(Labels!G:G, MATCH(Summary!$A315, Labels!$A:$A, 0)) = 0, "", INDEX(Labels!G:G, MATCH(Summary!$A315, Labels!$A:$A, 0)))</f>
        <v/>
      </c>
      <c r="V315" s="62" t="str">
        <f>IF(INDEX(Labels!H:H, MATCH(Summary!$A315, Labels!$A:$A, 0)) = 0, "", INDEX(Labels!H:H, MATCH(Summary!$A315, Labels!$A:$A, 0)))</f>
        <v/>
      </c>
      <c r="W315" t="str">
        <f>IF(INDEX(Labels!I:I, MATCH(Summary!$A315, Labels!$A:$A, 0)) = 0, "", INDEX(Labels!I:I, MATCH(Summary!$A315, Labels!$A:$A, 0)))</f>
        <v/>
      </c>
      <c r="X315" t="str">
        <f>IF(INDEX(Labels!J:J, MATCH(Summary!$A315, Labels!$A:$A, 0)) = 0, "", INDEX(Labels!J:J, MATCH(Summary!$A315, Labels!$A:$A, 0)))</f>
        <v/>
      </c>
    </row>
    <row r="316" spans="1:24" x14ac:dyDescent="0.2">
      <c r="A316" s="33">
        <f>Labels!A317</f>
        <v>310</v>
      </c>
      <c r="B316" s="34">
        <f>INDEX(EchoData!B:B, MATCH(Summary!$A316, EchoData!$A:$A, 0))</f>
        <v>314</v>
      </c>
      <c r="C316" s="35">
        <f>INDEX(EchoData!C:C, MATCH(Summary!$A316, EchoData!$A:$A, 0))</f>
        <v>315</v>
      </c>
      <c r="D316" s="42">
        <f>INDEX(Displacements!B:B, MATCH(Summary!$B316, Displacements!$A:$A, 0))</f>
        <v>112.515</v>
      </c>
      <c r="E316" s="43">
        <f>INDEX(Displacements!C:C, MATCH(Summary!$B316, Displacements!$A:$A, 0))</f>
        <v>0</v>
      </c>
      <c r="F316" s="44">
        <f>INDEX(Displacements!D:D, MATCH(Summary!$B316, Displacements!$A:$A, 0))</f>
        <v>0</v>
      </c>
      <c r="G316" s="42">
        <f>INDEX(Displacements!B:B, MATCH(Summary!$C316, Displacements!$A:$A, 0))</f>
        <v>117.503</v>
      </c>
      <c r="H316" s="43">
        <f>INDEX(Displacements!C:C, MATCH(Summary!$C316, Displacements!$A:$A, 0))</f>
        <v>0</v>
      </c>
      <c r="I316" s="44">
        <f>INDEX(Displacements!D:D, MATCH(Summary!$C316, Displacements!$A:$A, 0))</f>
        <v>0</v>
      </c>
      <c r="J316" s="42">
        <f t="shared" si="8"/>
        <v>4.9879999999999995</v>
      </c>
      <c r="K316" s="49">
        <f t="shared" si="9"/>
        <v>1.0002005213555254</v>
      </c>
      <c r="L316" s="54">
        <f>INDEX('Forces+Stresses'!C:C, MATCH(Summary!$A316, 'Forces+Stresses'!$A:$A, 0))</f>
        <v>2346</v>
      </c>
      <c r="M316" s="55">
        <f>INDEX('Forces+Stresses'!D:D, MATCH(Summary!$A316, 'Forces+Stresses'!$A:$A, 0))</f>
        <v>2346</v>
      </c>
      <c r="N316" s="55">
        <f>IFERROR(INDEX('Forces+Stresses'!Q:Q, MATCH(Summary!$A316, 'Forces+Stresses'!$A:$A, 0)), INDEX(Flexjoints!D:D, MATCH(Summary!$A316, Flexjoints!$A:$A, 0)))</f>
        <v>9.0439999999999995E-8</v>
      </c>
      <c r="O316" s="56">
        <f>IFERROR(INDEX('Forces+Stresses'!R:R, MATCH(Summary!$A316, 'Forces+Stresses'!$A:$A, 0)), INDEX(Flexjoints!E:E, MATCH(Summary!$A316, Flexjoints!$A:$A, 0)))</f>
        <v>2.441E-6</v>
      </c>
      <c r="P316" s="33" t="str">
        <f>IF(INDEX(Labels!B:B, MATCH(Summary!$A316, Labels!$A:$A, 0)) = 0, "", INDEX(Labels!B:B, MATCH(Summary!$A316, Labels!$A:$A, 0)))</f>
        <v>{Marine Riser String}</v>
      </c>
      <c r="Q316" s="35" t="str">
        <f>IF(INDEX(Labels!C:C, MATCH(Summary!$A316, Labels!$A:$A, 0)) = 0, "", INDEX(Labels!C:C, MATCH(Summary!$A316, Labels!$A:$A, 0)))</f>
        <v>{75ft 5000ft 0.875in Buoyant}</v>
      </c>
      <c r="R316" s="33" t="str">
        <f>IF(INDEX(Labels!D:D, MATCH(Summary!$A316, Labels!$A:$A, 0)) = 0, "", INDEX(Labels!D:D, MATCH(Summary!$A316, Labels!$A:$A, 0)))</f>
        <v/>
      </c>
      <c r="S316" s="35" t="str">
        <f>IF(INDEX(Labels!E:E, MATCH(Summary!$A316, Labels!$A:$A, 0)) = 0, "", INDEX(Labels!E:E, MATCH(Summary!$A316, Labels!$A:$A, 0)))</f>
        <v/>
      </c>
      <c r="T316" s="33" t="str">
        <f>IF(INDEX(Labels!F:F, MATCH(Summary!$A316, Labels!$A:$A, 0)) = 0, "", INDEX(Labels!F:F, MATCH(Summary!$A316, Labels!$A:$A, 0)))</f>
        <v/>
      </c>
      <c r="U316" s="35" t="str">
        <f>IF(INDEX(Labels!G:G, MATCH(Summary!$A316, Labels!$A:$A, 0)) = 0, "", INDEX(Labels!G:G, MATCH(Summary!$A316, Labels!$A:$A, 0)))</f>
        <v/>
      </c>
      <c r="V316" s="62" t="str">
        <f>IF(INDEX(Labels!H:H, MATCH(Summary!$A316, Labels!$A:$A, 0)) = 0, "", INDEX(Labels!H:H, MATCH(Summary!$A316, Labels!$A:$A, 0)))</f>
        <v/>
      </c>
      <c r="W316" t="str">
        <f>IF(INDEX(Labels!I:I, MATCH(Summary!$A316, Labels!$A:$A, 0)) = 0, "", INDEX(Labels!I:I, MATCH(Summary!$A316, Labels!$A:$A, 0)))</f>
        <v/>
      </c>
      <c r="X316" t="str">
        <f>IF(INDEX(Labels!J:J, MATCH(Summary!$A316, Labels!$A:$A, 0)) = 0, "", INDEX(Labels!J:J, MATCH(Summary!$A316, Labels!$A:$A, 0)))</f>
        <v/>
      </c>
    </row>
    <row r="317" spans="1:24" x14ac:dyDescent="0.2">
      <c r="A317" s="33">
        <f>Labels!A318</f>
        <v>311</v>
      </c>
      <c r="B317" s="34">
        <f>INDEX(EchoData!B:B, MATCH(Summary!$A317, EchoData!$A:$A, 0))</f>
        <v>315</v>
      </c>
      <c r="C317" s="35">
        <f>INDEX(EchoData!C:C, MATCH(Summary!$A317, EchoData!$A:$A, 0))</f>
        <v>316</v>
      </c>
      <c r="D317" s="42">
        <f>INDEX(Displacements!B:B, MATCH(Summary!$B317, Displacements!$A:$A, 0))</f>
        <v>117.503</v>
      </c>
      <c r="E317" s="43">
        <f>INDEX(Displacements!C:C, MATCH(Summary!$B317, Displacements!$A:$A, 0))</f>
        <v>0</v>
      </c>
      <c r="F317" s="44">
        <f>INDEX(Displacements!D:D, MATCH(Summary!$B317, Displacements!$A:$A, 0))</f>
        <v>0</v>
      </c>
      <c r="G317" s="42">
        <f>INDEX(Displacements!B:B, MATCH(Summary!$C317, Displacements!$A:$A, 0))</f>
        <v>122.49</v>
      </c>
      <c r="H317" s="43">
        <f>INDEX(Displacements!C:C, MATCH(Summary!$C317, Displacements!$A:$A, 0))</f>
        <v>0</v>
      </c>
      <c r="I317" s="44">
        <f>INDEX(Displacements!D:D, MATCH(Summary!$C317, Displacements!$A:$A, 0))</f>
        <v>0</v>
      </c>
      <c r="J317" s="42">
        <f t="shared" si="8"/>
        <v>4.9869999999999948</v>
      </c>
      <c r="K317" s="49">
        <f t="shared" si="9"/>
        <v>0.99979951884522755</v>
      </c>
      <c r="L317" s="54">
        <f>INDEX('Forces+Stresses'!C:C, MATCH(Summary!$A317, 'Forces+Stresses'!$A:$A, 0))</f>
        <v>2356</v>
      </c>
      <c r="M317" s="55">
        <f>INDEX('Forces+Stresses'!D:D, MATCH(Summary!$A317, 'Forces+Stresses'!$A:$A, 0))</f>
        <v>2356</v>
      </c>
      <c r="N317" s="55">
        <f>IFERROR(INDEX('Forces+Stresses'!Q:Q, MATCH(Summary!$A317, 'Forces+Stresses'!$A:$A, 0)), INDEX(Flexjoints!D:D, MATCH(Summary!$A317, Flexjoints!$A:$A, 0)))</f>
        <v>4.9110000000000001E-8</v>
      </c>
      <c r="O317" s="56">
        <f>IFERROR(INDEX('Forces+Stresses'!R:R, MATCH(Summary!$A317, 'Forces+Stresses'!$A:$A, 0)), INDEX(Flexjoints!E:E, MATCH(Summary!$A317, Flexjoints!$A:$A, 0)))</f>
        <v>2.7800000000000001E-6</v>
      </c>
      <c r="P317" s="33" t="str">
        <f>IF(INDEX(Labels!B:B, MATCH(Summary!$A317, Labels!$A:$A, 0)) = 0, "", INDEX(Labels!B:B, MATCH(Summary!$A317, Labels!$A:$A, 0)))</f>
        <v>{Marine Riser String}</v>
      </c>
      <c r="Q317" s="35" t="str">
        <f>IF(INDEX(Labels!C:C, MATCH(Summary!$A317, Labels!$A:$A, 0)) = 0, "", INDEX(Labels!C:C, MATCH(Summary!$A317, Labels!$A:$A, 0)))</f>
        <v>{75ft 5000ft 0.875in Buoyant}</v>
      </c>
      <c r="R317" s="33" t="str">
        <f>IF(INDEX(Labels!D:D, MATCH(Summary!$A317, Labels!$A:$A, 0)) = 0, "", INDEX(Labels!D:D, MATCH(Summary!$A317, Labels!$A:$A, 0)))</f>
        <v/>
      </c>
      <c r="S317" s="35" t="str">
        <f>IF(INDEX(Labels!E:E, MATCH(Summary!$A317, Labels!$A:$A, 0)) = 0, "", INDEX(Labels!E:E, MATCH(Summary!$A317, Labels!$A:$A, 0)))</f>
        <v/>
      </c>
      <c r="T317" s="33" t="str">
        <f>IF(INDEX(Labels!F:F, MATCH(Summary!$A317, Labels!$A:$A, 0)) = 0, "", INDEX(Labels!F:F, MATCH(Summary!$A317, Labels!$A:$A, 0)))</f>
        <v/>
      </c>
      <c r="U317" s="35" t="str">
        <f>IF(INDEX(Labels!G:G, MATCH(Summary!$A317, Labels!$A:$A, 0)) = 0, "", INDEX(Labels!G:G, MATCH(Summary!$A317, Labels!$A:$A, 0)))</f>
        <v/>
      </c>
      <c r="V317" s="62" t="str">
        <f>IF(INDEX(Labels!H:H, MATCH(Summary!$A317, Labels!$A:$A, 0)) = 0, "", INDEX(Labels!H:H, MATCH(Summary!$A317, Labels!$A:$A, 0)))</f>
        <v/>
      </c>
      <c r="W317" t="str">
        <f>IF(INDEX(Labels!I:I, MATCH(Summary!$A317, Labels!$A:$A, 0)) = 0, "", INDEX(Labels!I:I, MATCH(Summary!$A317, Labels!$A:$A, 0)))</f>
        <v/>
      </c>
      <c r="X317" t="str">
        <f>IF(INDEX(Labels!J:J, MATCH(Summary!$A317, Labels!$A:$A, 0)) = 0, "", INDEX(Labels!J:J, MATCH(Summary!$A317, Labels!$A:$A, 0)))</f>
        <v/>
      </c>
    </row>
    <row r="318" spans="1:24" x14ac:dyDescent="0.2">
      <c r="A318" s="33">
        <f>Labels!A319</f>
        <v>312</v>
      </c>
      <c r="B318" s="34">
        <f>INDEX(EchoData!B:B, MATCH(Summary!$A318, EchoData!$A:$A, 0))</f>
        <v>316</v>
      </c>
      <c r="C318" s="35">
        <f>INDEX(EchoData!C:C, MATCH(Summary!$A318, EchoData!$A:$A, 0))</f>
        <v>317</v>
      </c>
      <c r="D318" s="42">
        <f>INDEX(Displacements!B:B, MATCH(Summary!$B318, Displacements!$A:$A, 0))</f>
        <v>122.49</v>
      </c>
      <c r="E318" s="43">
        <f>INDEX(Displacements!C:C, MATCH(Summary!$B318, Displacements!$A:$A, 0))</f>
        <v>0</v>
      </c>
      <c r="F318" s="44">
        <f>INDEX(Displacements!D:D, MATCH(Summary!$B318, Displacements!$A:$A, 0))</f>
        <v>0</v>
      </c>
      <c r="G318" s="42">
        <f>INDEX(Displacements!B:B, MATCH(Summary!$C318, Displacements!$A:$A, 0))</f>
        <v>127.47799999999999</v>
      </c>
      <c r="H318" s="43">
        <f>INDEX(Displacements!C:C, MATCH(Summary!$C318, Displacements!$A:$A, 0))</f>
        <v>0</v>
      </c>
      <c r="I318" s="44">
        <f>INDEX(Displacements!D:D, MATCH(Summary!$C318, Displacements!$A:$A, 0))</f>
        <v>0</v>
      </c>
      <c r="J318" s="42">
        <f t="shared" si="8"/>
        <v>4.9879999999999995</v>
      </c>
      <c r="K318" s="49">
        <f t="shared" si="9"/>
        <v>1.0002005213555254</v>
      </c>
      <c r="L318" s="54">
        <f>INDEX('Forces+Stresses'!C:C, MATCH(Summary!$A318, 'Forces+Stresses'!$A:$A, 0))</f>
        <v>2365</v>
      </c>
      <c r="M318" s="55">
        <f>INDEX('Forces+Stresses'!D:D, MATCH(Summary!$A318, 'Forces+Stresses'!$A:$A, 0))</f>
        <v>2365</v>
      </c>
      <c r="N318" s="55">
        <f>IFERROR(INDEX('Forces+Stresses'!Q:Q, MATCH(Summary!$A318, 'Forces+Stresses'!$A:$A, 0)), INDEX(Flexjoints!D:D, MATCH(Summary!$A318, Flexjoints!$A:$A, 0)))</f>
        <v>7.7499999999999999E-8</v>
      </c>
      <c r="O318" s="56">
        <f>IFERROR(INDEX('Forces+Stresses'!R:R, MATCH(Summary!$A318, 'Forces+Stresses'!$A:$A, 0)), INDEX(Flexjoints!E:E, MATCH(Summary!$A318, Flexjoints!$A:$A, 0)))</f>
        <v>2.6979999999999998E-6</v>
      </c>
      <c r="P318" s="33" t="str">
        <f>IF(INDEX(Labels!B:B, MATCH(Summary!$A318, Labels!$A:$A, 0)) = 0, "", INDEX(Labels!B:B, MATCH(Summary!$A318, Labels!$A:$A, 0)))</f>
        <v>{Marine Riser String}</v>
      </c>
      <c r="Q318" s="35" t="str">
        <f>IF(INDEX(Labels!C:C, MATCH(Summary!$A318, Labels!$A:$A, 0)) = 0, "", INDEX(Labels!C:C, MATCH(Summary!$A318, Labels!$A:$A, 0)))</f>
        <v>{75ft 5000ft 0.875in Buoyant}</v>
      </c>
      <c r="R318" s="33" t="str">
        <f>IF(INDEX(Labels!D:D, MATCH(Summary!$A318, Labels!$A:$A, 0)) = 0, "", INDEX(Labels!D:D, MATCH(Summary!$A318, Labels!$A:$A, 0)))</f>
        <v/>
      </c>
      <c r="S318" s="35" t="str">
        <f>IF(INDEX(Labels!E:E, MATCH(Summary!$A318, Labels!$A:$A, 0)) = 0, "", INDEX(Labels!E:E, MATCH(Summary!$A318, Labels!$A:$A, 0)))</f>
        <v/>
      </c>
      <c r="T318" s="33" t="str">
        <f>IF(INDEX(Labels!F:F, MATCH(Summary!$A318, Labels!$A:$A, 0)) = 0, "", INDEX(Labels!F:F, MATCH(Summary!$A318, Labels!$A:$A, 0)))</f>
        <v/>
      </c>
      <c r="U318" s="35" t="str">
        <f>IF(INDEX(Labels!G:G, MATCH(Summary!$A318, Labels!$A:$A, 0)) = 0, "", INDEX(Labels!G:G, MATCH(Summary!$A318, Labels!$A:$A, 0)))</f>
        <v/>
      </c>
      <c r="V318" s="62" t="str">
        <f>IF(INDEX(Labels!H:H, MATCH(Summary!$A318, Labels!$A:$A, 0)) = 0, "", INDEX(Labels!H:H, MATCH(Summary!$A318, Labels!$A:$A, 0)))</f>
        <v/>
      </c>
      <c r="W318" t="str">
        <f>IF(INDEX(Labels!I:I, MATCH(Summary!$A318, Labels!$A:$A, 0)) = 0, "", INDEX(Labels!I:I, MATCH(Summary!$A318, Labels!$A:$A, 0)))</f>
        <v/>
      </c>
      <c r="X318" t="str">
        <f>IF(INDEX(Labels!J:J, MATCH(Summary!$A318, Labels!$A:$A, 0)) = 0, "", INDEX(Labels!J:J, MATCH(Summary!$A318, Labels!$A:$A, 0)))</f>
        <v/>
      </c>
    </row>
    <row r="319" spans="1:24" x14ac:dyDescent="0.2">
      <c r="A319" s="33">
        <f>Labels!A320</f>
        <v>313</v>
      </c>
      <c r="B319" s="34">
        <f>INDEX(EchoData!B:B, MATCH(Summary!$A319, EchoData!$A:$A, 0))</f>
        <v>317</v>
      </c>
      <c r="C319" s="35">
        <f>INDEX(EchoData!C:C, MATCH(Summary!$A319, EchoData!$A:$A, 0))</f>
        <v>318</v>
      </c>
      <c r="D319" s="42">
        <f>INDEX(Displacements!B:B, MATCH(Summary!$B319, Displacements!$A:$A, 0))</f>
        <v>127.47799999999999</v>
      </c>
      <c r="E319" s="43">
        <f>INDEX(Displacements!C:C, MATCH(Summary!$B319, Displacements!$A:$A, 0))</f>
        <v>0</v>
      </c>
      <c r="F319" s="44">
        <f>INDEX(Displacements!D:D, MATCH(Summary!$B319, Displacements!$A:$A, 0))</f>
        <v>0</v>
      </c>
      <c r="G319" s="42">
        <f>INDEX(Displacements!B:B, MATCH(Summary!$C319, Displacements!$A:$A, 0))</f>
        <v>132.46600000000001</v>
      </c>
      <c r="H319" s="43">
        <f>INDEX(Displacements!C:C, MATCH(Summary!$C319, Displacements!$A:$A, 0))</f>
        <v>0</v>
      </c>
      <c r="I319" s="44">
        <f>INDEX(Displacements!D:D, MATCH(Summary!$C319, Displacements!$A:$A, 0))</f>
        <v>0</v>
      </c>
      <c r="J319" s="42">
        <f t="shared" si="8"/>
        <v>4.9880000000000138</v>
      </c>
      <c r="K319" s="49">
        <f t="shared" si="9"/>
        <v>1.0000000000000029</v>
      </c>
      <c r="L319" s="54">
        <f>INDEX('Forces+Stresses'!C:C, MATCH(Summary!$A319, 'Forces+Stresses'!$A:$A, 0))</f>
        <v>2374</v>
      </c>
      <c r="M319" s="55">
        <f>INDEX('Forces+Stresses'!D:D, MATCH(Summary!$A319, 'Forces+Stresses'!$A:$A, 0))</f>
        <v>2374</v>
      </c>
      <c r="N319" s="55">
        <f>IFERROR(INDEX('Forces+Stresses'!Q:Q, MATCH(Summary!$A319, 'Forces+Stresses'!$A:$A, 0)), INDEX(Flexjoints!D:D, MATCH(Summary!$A319, Flexjoints!$A:$A, 0)))</f>
        <v>1.85E-7</v>
      </c>
      <c r="O319" s="56">
        <f>IFERROR(INDEX('Forces+Stresses'!R:R, MATCH(Summary!$A319, 'Forces+Stresses'!$A:$A, 0)), INDEX(Flexjoints!E:E, MATCH(Summary!$A319, Flexjoints!$A:$A, 0)))</f>
        <v>2.6529999999999998E-6</v>
      </c>
      <c r="P319" s="33" t="str">
        <f>IF(INDEX(Labels!B:B, MATCH(Summary!$A319, Labels!$A:$A, 0)) = 0, "", INDEX(Labels!B:B, MATCH(Summary!$A319, Labels!$A:$A, 0)))</f>
        <v>{Marine Riser String}</v>
      </c>
      <c r="Q319" s="35" t="str">
        <f>IF(INDEX(Labels!C:C, MATCH(Summary!$A319, Labels!$A:$A, 0)) = 0, "", INDEX(Labels!C:C, MATCH(Summary!$A319, Labels!$A:$A, 0)))</f>
        <v>{75ft 5000ft 0.875in Buoyant}</v>
      </c>
      <c r="R319" s="33" t="str">
        <f>IF(INDEX(Labels!D:D, MATCH(Summary!$A319, Labels!$A:$A, 0)) = 0, "", INDEX(Labels!D:D, MATCH(Summary!$A319, Labels!$A:$A, 0)))</f>
        <v/>
      </c>
      <c r="S319" s="35" t="str">
        <f>IF(INDEX(Labels!E:E, MATCH(Summary!$A319, Labels!$A:$A, 0)) = 0, "", INDEX(Labels!E:E, MATCH(Summary!$A319, Labels!$A:$A, 0)))</f>
        <v/>
      </c>
      <c r="T319" s="33" t="str">
        <f>IF(INDEX(Labels!F:F, MATCH(Summary!$A319, Labels!$A:$A, 0)) = 0, "", INDEX(Labels!F:F, MATCH(Summary!$A319, Labels!$A:$A, 0)))</f>
        <v/>
      </c>
      <c r="U319" s="35" t="str">
        <f>IF(INDEX(Labels!G:G, MATCH(Summary!$A319, Labels!$A:$A, 0)) = 0, "", INDEX(Labels!G:G, MATCH(Summary!$A319, Labels!$A:$A, 0)))</f>
        <v/>
      </c>
      <c r="V319" s="62" t="str">
        <f>IF(INDEX(Labels!H:H, MATCH(Summary!$A319, Labels!$A:$A, 0)) = 0, "", INDEX(Labels!H:H, MATCH(Summary!$A319, Labels!$A:$A, 0)))</f>
        <v/>
      </c>
      <c r="W319" t="str">
        <f>IF(INDEX(Labels!I:I, MATCH(Summary!$A319, Labels!$A:$A, 0)) = 0, "", INDEX(Labels!I:I, MATCH(Summary!$A319, Labels!$A:$A, 0)))</f>
        <v/>
      </c>
      <c r="X319" t="str">
        <f>IF(INDEX(Labels!J:J, MATCH(Summary!$A319, Labels!$A:$A, 0)) = 0, "", INDEX(Labels!J:J, MATCH(Summary!$A319, Labels!$A:$A, 0)))</f>
        <v/>
      </c>
    </row>
    <row r="320" spans="1:24" x14ac:dyDescent="0.2">
      <c r="A320" s="33">
        <f>Labels!A321</f>
        <v>314</v>
      </c>
      <c r="B320" s="34">
        <f>INDEX(EchoData!B:B, MATCH(Summary!$A320, EchoData!$A:$A, 0))</f>
        <v>318</v>
      </c>
      <c r="C320" s="35">
        <f>INDEX(EchoData!C:C, MATCH(Summary!$A320, EchoData!$A:$A, 0))</f>
        <v>319</v>
      </c>
      <c r="D320" s="42">
        <f>INDEX(Displacements!B:B, MATCH(Summary!$B320, Displacements!$A:$A, 0))</f>
        <v>132.46600000000001</v>
      </c>
      <c r="E320" s="43">
        <f>INDEX(Displacements!C:C, MATCH(Summary!$B320, Displacements!$A:$A, 0))</f>
        <v>0</v>
      </c>
      <c r="F320" s="44">
        <f>INDEX(Displacements!D:D, MATCH(Summary!$B320, Displacements!$A:$A, 0))</f>
        <v>0</v>
      </c>
      <c r="G320" s="42">
        <f>INDEX(Displacements!B:B, MATCH(Summary!$C320, Displacements!$A:$A, 0))</f>
        <v>137.453</v>
      </c>
      <c r="H320" s="43">
        <f>INDEX(Displacements!C:C, MATCH(Summary!$C320, Displacements!$A:$A, 0))</f>
        <v>0</v>
      </c>
      <c r="I320" s="44">
        <f>INDEX(Displacements!D:D, MATCH(Summary!$C320, Displacements!$A:$A, 0))</f>
        <v>0</v>
      </c>
      <c r="J320" s="42">
        <f t="shared" si="8"/>
        <v>4.9869999999999948</v>
      </c>
      <c r="K320" s="49">
        <f t="shared" si="9"/>
        <v>0.99979951884522478</v>
      </c>
      <c r="L320" s="54">
        <f>INDEX('Forces+Stresses'!C:C, MATCH(Summary!$A320, 'Forces+Stresses'!$A:$A, 0))</f>
        <v>2384</v>
      </c>
      <c r="M320" s="55">
        <f>INDEX('Forces+Stresses'!D:D, MATCH(Summary!$A320, 'Forces+Stresses'!$A:$A, 0))</f>
        <v>2384</v>
      </c>
      <c r="N320" s="55">
        <f>IFERROR(INDEX('Forces+Stresses'!Q:Q, MATCH(Summary!$A320, 'Forces+Stresses'!$A:$A, 0)), INDEX(Flexjoints!D:D, MATCH(Summary!$A320, Flexjoints!$A:$A, 0)))</f>
        <v>3.7480000000000002E-8</v>
      </c>
      <c r="O320" s="56">
        <f>IFERROR(INDEX('Forces+Stresses'!R:R, MATCH(Summary!$A320, 'Forces+Stresses'!$A:$A, 0)), INDEX(Flexjoints!E:E, MATCH(Summary!$A320, Flexjoints!$A:$A, 0)))</f>
        <v>2.9639999999999999E-6</v>
      </c>
      <c r="P320" s="33" t="str">
        <f>IF(INDEX(Labels!B:B, MATCH(Summary!$A320, Labels!$A:$A, 0)) = 0, "", INDEX(Labels!B:B, MATCH(Summary!$A320, Labels!$A:$A, 0)))</f>
        <v>{Marine Riser String}</v>
      </c>
      <c r="Q320" s="35" t="str">
        <f>IF(INDEX(Labels!C:C, MATCH(Summary!$A320, Labels!$A:$A, 0)) = 0, "", INDEX(Labels!C:C, MATCH(Summary!$A320, Labels!$A:$A, 0)))</f>
        <v>{75ft 5000ft 0.875in Buoyant}</v>
      </c>
      <c r="R320" s="33" t="str">
        <f>IF(INDEX(Labels!D:D, MATCH(Summary!$A320, Labels!$A:$A, 0)) = 0, "", INDEX(Labels!D:D, MATCH(Summary!$A320, Labels!$A:$A, 0)))</f>
        <v/>
      </c>
      <c r="S320" s="35" t="str">
        <f>IF(INDEX(Labels!E:E, MATCH(Summary!$A320, Labels!$A:$A, 0)) = 0, "", INDEX(Labels!E:E, MATCH(Summary!$A320, Labels!$A:$A, 0)))</f>
        <v/>
      </c>
      <c r="T320" s="33" t="str">
        <f>IF(INDEX(Labels!F:F, MATCH(Summary!$A320, Labels!$A:$A, 0)) = 0, "", INDEX(Labels!F:F, MATCH(Summary!$A320, Labels!$A:$A, 0)))</f>
        <v/>
      </c>
      <c r="U320" s="35" t="str">
        <f>IF(INDEX(Labels!G:G, MATCH(Summary!$A320, Labels!$A:$A, 0)) = 0, "", INDEX(Labels!G:G, MATCH(Summary!$A320, Labels!$A:$A, 0)))</f>
        <v/>
      </c>
      <c r="V320" s="62" t="str">
        <f>IF(INDEX(Labels!H:H, MATCH(Summary!$A320, Labels!$A:$A, 0)) = 0, "", INDEX(Labels!H:H, MATCH(Summary!$A320, Labels!$A:$A, 0)))</f>
        <v/>
      </c>
      <c r="W320" t="str">
        <f>IF(INDEX(Labels!I:I, MATCH(Summary!$A320, Labels!$A:$A, 0)) = 0, "", INDEX(Labels!I:I, MATCH(Summary!$A320, Labels!$A:$A, 0)))</f>
        <v/>
      </c>
      <c r="X320" t="str">
        <f>IF(INDEX(Labels!J:J, MATCH(Summary!$A320, Labels!$A:$A, 0)) = 0, "", INDEX(Labels!J:J, MATCH(Summary!$A320, Labels!$A:$A, 0)))</f>
        <v/>
      </c>
    </row>
    <row r="321" spans="1:24" x14ac:dyDescent="0.2">
      <c r="A321" s="33">
        <f>Labels!A322</f>
        <v>315</v>
      </c>
      <c r="B321" s="34">
        <f>INDEX(EchoData!B:B, MATCH(Summary!$A321, EchoData!$A:$A, 0))</f>
        <v>319</v>
      </c>
      <c r="C321" s="35">
        <f>INDEX(EchoData!C:C, MATCH(Summary!$A321, EchoData!$A:$A, 0))</f>
        <v>320</v>
      </c>
      <c r="D321" s="42">
        <f>INDEX(Displacements!B:B, MATCH(Summary!$B321, Displacements!$A:$A, 0))</f>
        <v>137.453</v>
      </c>
      <c r="E321" s="43">
        <f>INDEX(Displacements!C:C, MATCH(Summary!$B321, Displacements!$A:$A, 0))</f>
        <v>0</v>
      </c>
      <c r="F321" s="44">
        <f>INDEX(Displacements!D:D, MATCH(Summary!$B321, Displacements!$A:$A, 0))</f>
        <v>0</v>
      </c>
      <c r="G321" s="42">
        <f>INDEX(Displacements!B:B, MATCH(Summary!$C321, Displacements!$A:$A, 0))</f>
        <v>142.441</v>
      </c>
      <c r="H321" s="43">
        <f>INDEX(Displacements!C:C, MATCH(Summary!$C321, Displacements!$A:$A, 0))</f>
        <v>0</v>
      </c>
      <c r="I321" s="44">
        <f>INDEX(Displacements!D:D, MATCH(Summary!$C321, Displacements!$A:$A, 0))</f>
        <v>0</v>
      </c>
      <c r="J321" s="42">
        <f t="shared" si="8"/>
        <v>4.9879999999999995</v>
      </c>
      <c r="K321" s="49">
        <f t="shared" si="9"/>
        <v>1.0002005213555254</v>
      </c>
      <c r="L321" s="54">
        <f>INDEX('Forces+Stresses'!C:C, MATCH(Summary!$A321, 'Forces+Stresses'!$A:$A, 0))</f>
        <v>2393</v>
      </c>
      <c r="M321" s="55">
        <f>INDEX('Forces+Stresses'!D:D, MATCH(Summary!$A321, 'Forces+Stresses'!$A:$A, 0))</f>
        <v>2393</v>
      </c>
      <c r="N321" s="55">
        <f>IFERROR(INDEX('Forces+Stresses'!Q:Q, MATCH(Summary!$A321, 'Forces+Stresses'!$A:$A, 0)), INDEX(Flexjoints!D:D, MATCH(Summary!$A321, Flexjoints!$A:$A, 0)))</f>
        <v>5.1849999999999998E-8</v>
      </c>
      <c r="O321" s="56">
        <f>IFERROR(INDEX('Forces+Stresses'!R:R, MATCH(Summary!$A321, 'Forces+Stresses'!$A:$A, 0)), INDEX(Flexjoints!E:E, MATCH(Summary!$A321, Flexjoints!$A:$A, 0)))</f>
        <v>2.7039999999999999E-6</v>
      </c>
      <c r="P321" s="33" t="str">
        <f>IF(INDEX(Labels!B:B, MATCH(Summary!$A321, Labels!$A:$A, 0)) = 0, "", INDEX(Labels!B:B, MATCH(Summary!$A321, Labels!$A:$A, 0)))</f>
        <v>{Marine Riser String}</v>
      </c>
      <c r="Q321" s="35" t="str">
        <f>IF(INDEX(Labels!C:C, MATCH(Summary!$A321, Labels!$A:$A, 0)) = 0, "", INDEX(Labels!C:C, MATCH(Summary!$A321, Labels!$A:$A, 0)))</f>
        <v>{75ft 5000ft 0.875in Buoyant}</v>
      </c>
      <c r="R321" s="33" t="str">
        <f>IF(INDEX(Labels!D:D, MATCH(Summary!$A321, Labels!$A:$A, 0)) = 0, "", INDEX(Labels!D:D, MATCH(Summary!$A321, Labels!$A:$A, 0)))</f>
        <v/>
      </c>
      <c r="S321" s="35" t="str">
        <f>IF(INDEX(Labels!E:E, MATCH(Summary!$A321, Labels!$A:$A, 0)) = 0, "", INDEX(Labels!E:E, MATCH(Summary!$A321, Labels!$A:$A, 0)))</f>
        <v/>
      </c>
      <c r="T321" s="33" t="str">
        <f>IF(INDEX(Labels!F:F, MATCH(Summary!$A321, Labels!$A:$A, 0)) = 0, "", INDEX(Labels!F:F, MATCH(Summary!$A321, Labels!$A:$A, 0)))</f>
        <v/>
      </c>
      <c r="U321" s="35" t="str">
        <f>IF(INDEX(Labels!G:G, MATCH(Summary!$A321, Labels!$A:$A, 0)) = 0, "", INDEX(Labels!G:G, MATCH(Summary!$A321, Labels!$A:$A, 0)))</f>
        <v/>
      </c>
      <c r="V321" s="62" t="str">
        <f>IF(INDEX(Labels!H:H, MATCH(Summary!$A321, Labels!$A:$A, 0)) = 0, "", INDEX(Labels!H:H, MATCH(Summary!$A321, Labels!$A:$A, 0)))</f>
        <v/>
      </c>
      <c r="W321" t="str">
        <f>IF(INDEX(Labels!I:I, MATCH(Summary!$A321, Labels!$A:$A, 0)) = 0, "", INDEX(Labels!I:I, MATCH(Summary!$A321, Labels!$A:$A, 0)))</f>
        <v/>
      </c>
      <c r="X321" t="str">
        <f>IF(INDEX(Labels!J:J, MATCH(Summary!$A321, Labels!$A:$A, 0)) = 0, "", INDEX(Labels!J:J, MATCH(Summary!$A321, Labels!$A:$A, 0)))</f>
        <v/>
      </c>
    </row>
    <row r="322" spans="1:24" x14ac:dyDescent="0.2">
      <c r="A322" s="33">
        <f>Labels!A323</f>
        <v>316</v>
      </c>
      <c r="B322" s="34">
        <f>INDEX(EchoData!B:B, MATCH(Summary!$A322, EchoData!$A:$A, 0))</f>
        <v>320</v>
      </c>
      <c r="C322" s="35">
        <f>INDEX(EchoData!C:C, MATCH(Summary!$A322, EchoData!$A:$A, 0))</f>
        <v>321</v>
      </c>
      <c r="D322" s="42">
        <f>INDEX(Displacements!B:B, MATCH(Summary!$B322, Displacements!$A:$A, 0))</f>
        <v>142.441</v>
      </c>
      <c r="E322" s="43">
        <f>INDEX(Displacements!C:C, MATCH(Summary!$B322, Displacements!$A:$A, 0))</f>
        <v>0</v>
      </c>
      <c r="F322" s="44">
        <f>INDEX(Displacements!D:D, MATCH(Summary!$B322, Displacements!$A:$A, 0))</f>
        <v>0</v>
      </c>
      <c r="G322" s="42">
        <f>INDEX(Displacements!B:B, MATCH(Summary!$C322, Displacements!$A:$A, 0))</f>
        <v>147.429</v>
      </c>
      <c r="H322" s="43">
        <f>INDEX(Displacements!C:C, MATCH(Summary!$C322, Displacements!$A:$A, 0))</f>
        <v>0</v>
      </c>
      <c r="I322" s="44">
        <f>INDEX(Displacements!D:D, MATCH(Summary!$C322, Displacements!$A:$A, 0))</f>
        <v>0</v>
      </c>
      <c r="J322" s="42">
        <f t="shared" si="8"/>
        <v>4.9879999999999995</v>
      </c>
      <c r="K322" s="49">
        <f t="shared" si="9"/>
        <v>1</v>
      </c>
      <c r="L322" s="54">
        <f>INDEX('Forces+Stresses'!C:C, MATCH(Summary!$A322, 'Forces+Stresses'!$A:$A, 0))</f>
        <v>2402</v>
      </c>
      <c r="M322" s="55">
        <f>INDEX('Forces+Stresses'!D:D, MATCH(Summary!$A322, 'Forces+Stresses'!$A:$A, 0))</f>
        <v>2402</v>
      </c>
      <c r="N322" s="55">
        <f>IFERROR(INDEX('Forces+Stresses'!Q:Q, MATCH(Summary!$A322, 'Forces+Stresses'!$A:$A, 0)), INDEX(Flexjoints!D:D, MATCH(Summary!$A322, Flexjoints!$A:$A, 0)))</f>
        <v>1.1739999999999999E-7</v>
      </c>
      <c r="O322" s="56">
        <f>IFERROR(INDEX('Forces+Stresses'!R:R, MATCH(Summary!$A322, 'Forces+Stresses'!$A:$A, 0)), INDEX(Flexjoints!E:E, MATCH(Summary!$A322, Flexjoints!$A:$A, 0)))</f>
        <v>2.6259999999999999E-6</v>
      </c>
      <c r="P322" s="33" t="str">
        <f>IF(INDEX(Labels!B:B, MATCH(Summary!$A322, Labels!$A:$A, 0)) = 0, "", INDEX(Labels!B:B, MATCH(Summary!$A322, Labels!$A:$A, 0)))</f>
        <v>{Marine Riser String}</v>
      </c>
      <c r="Q322" s="35" t="str">
        <f>IF(INDEX(Labels!C:C, MATCH(Summary!$A322, Labels!$A:$A, 0)) = 0, "", INDEX(Labels!C:C, MATCH(Summary!$A322, Labels!$A:$A, 0)))</f>
        <v>{75ft 5000ft 0.875in Buoyant}</v>
      </c>
      <c r="R322" s="33" t="str">
        <f>IF(INDEX(Labels!D:D, MATCH(Summary!$A322, Labels!$A:$A, 0)) = 0, "", INDEX(Labels!D:D, MATCH(Summary!$A322, Labels!$A:$A, 0)))</f>
        <v/>
      </c>
      <c r="S322" s="35" t="str">
        <f>IF(INDEX(Labels!E:E, MATCH(Summary!$A322, Labels!$A:$A, 0)) = 0, "", INDEX(Labels!E:E, MATCH(Summary!$A322, Labels!$A:$A, 0)))</f>
        <v/>
      </c>
      <c r="T322" s="33" t="str">
        <f>IF(INDEX(Labels!F:F, MATCH(Summary!$A322, Labels!$A:$A, 0)) = 0, "", INDEX(Labels!F:F, MATCH(Summary!$A322, Labels!$A:$A, 0)))</f>
        <v/>
      </c>
      <c r="U322" s="35" t="str">
        <f>IF(INDEX(Labels!G:G, MATCH(Summary!$A322, Labels!$A:$A, 0)) = 0, "", INDEX(Labels!G:G, MATCH(Summary!$A322, Labels!$A:$A, 0)))</f>
        <v/>
      </c>
      <c r="V322" s="62" t="str">
        <f>IF(INDEX(Labels!H:H, MATCH(Summary!$A322, Labels!$A:$A, 0)) = 0, "", INDEX(Labels!H:H, MATCH(Summary!$A322, Labels!$A:$A, 0)))</f>
        <v/>
      </c>
      <c r="W322" t="str">
        <f>IF(INDEX(Labels!I:I, MATCH(Summary!$A322, Labels!$A:$A, 0)) = 0, "", INDEX(Labels!I:I, MATCH(Summary!$A322, Labels!$A:$A, 0)))</f>
        <v/>
      </c>
      <c r="X322" t="str">
        <f>IF(INDEX(Labels!J:J, MATCH(Summary!$A322, Labels!$A:$A, 0)) = 0, "", INDEX(Labels!J:J, MATCH(Summary!$A322, Labels!$A:$A, 0)))</f>
        <v/>
      </c>
    </row>
    <row r="323" spans="1:24" x14ac:dyDescent="0.2">
      <c r="A323" s="33">
        <f>Labels!A324</f>
        <v>317</v>
      </c>
      <c r="B323" s="34">
        <f>INDEX(EchoData!B:B, MATCH(Summary!$A323, EchoData!$A:$A, 0))</f>
        <v>321</v>
      </c>
      <c r="C323" s="35">
        <f>INDEX(EchoData!C:C, MATCH(Summary!$A323, EchoData!$A:$A, 0))</f>
        <v>322</v>
      </c>
      <c r="D323" s="42">
        <f>INDEX(Displacements!B:B, MATCH(Summary!$B323, Displacements!$A:$A, 0))</f>
        <v>147.429</v>
      </c>
      <c r="E323" s="43">
        <f>INDEX(Displacements!C:C, MATCH(Summary!$B323, Displacements!$A:$A, 0))</f>
        <v>0</v>
      </c>
      <c r="F323" s="44">
        <f>INDEX(Displacements!D:D, MATCH(Summary!$B323, Displacements!$A:$A, 0))</f>
        <v>0</v>
      </c>
      <c r="G323" s="42">
        <f>INDEX(Displacements!B:B, MATCH(Summary!$C323, Displacements!$A:$A, 0))</f>
        <v>152.416</v>
      </c>
      <c r="H323" s="43">
        <f>INDEX(Displacements!C:C, MATCH(Summary!$C323, Displacements!$A:$A, 0))</f>
        <v>0</v>
      </c>
      <c r="I323" s="44">
        <f>INDEX(Displacements!D:D, MATCH(Summary!$C323, Displacements!$A:$A, 0))</f>
        <v>0</v>
      </c>
      <c r="J323" s="42">
        <f t="shared" si="8"/>
        <v>4.9869999999999948</v>
      </c>
      <c r="K323" s="49">
        <f t="shared" si="9"/>
        <v>0.99979951884522755</v>
      </c>
      <c r="L323" s="54">
        <f>INDEX('Forces+Stresses'!C:C, MATCH(Summary!$A323, 'Forces+Stresses'!$A:$A, 0))</f>
        <v>2412</v>
      </c>
      <c r="M323" s="55">
        <f>INDEX('Forces+Stresses'!D:D, MATCH(Summary!$A323, 'Forces+Stresses'!$A:$A, 0))</f>
        <v>2412</v>
      </c>
      <c r="N323" s="55">
        <f>IFERROR(INDEX('Forces+Stresses'!Q:Q, MATCH(Summary!$A323, 'Forces+Stresses'!$A:$A, 0)), INDEX(Flexjoints!D:D, MATCH(Summary!$A323, Flexjoints!$A:$A, 0)))</f>
        <v>1.195E-7</v>
      </c>
      <c r="O323" s="56">
        <f>IFERROR(INDEX('Forces+Stresses'!R:R, MATCH(Summary!$A323, 'Forces+Stresses'!$A:$A, 0)), INDEX(Flexjoints!E:E, MATCH(Summary!$A323, Flexjoints!$A:$A, 0)))</f>
        <v>2.452E-6</v>
      </c>
      <c r="P323" s="33" t="str">
        <f>IF(INDEX(Labels!B:B, MATCH(Summary!$A323, Labels!$A:$A, 0)) = 0, "", INDEX(Labels!B:B, MATCH(Summary!$A323, Labels!$A:$A, 0)))</f>
        <v>{Marine Riser String}</v>
      </c>
      <c r="Q323" s="35" t="str">
        <f>IF(INDEX(Labels!C:C, MATCH(Summary!$A323, Labels!$A:$A, 0)) = 0, "", INDEX(Labels!C:C, MATCH(Summary!$A323, Labels!$A:$A, 0)))</f>
        <v>{75ft 5000ft 0.875in Buoyant}</v>
      </c>
      <c r="R323" s="33" t="str">
        <f>IF(INDEX(Labels!D:D, MATCH(Summary!$A323, Labels!$A:$A, 0)) = 0, "", INDEX(Labels!D:D, MATCH(Summary!$A323, Labels!$A:$A, 0)))</f>
        <v/>
      </c>
      <c r="S323" s="35" t="str">
        <f>IF(INDEX(Labels!E:E, MATCH(Summary!$A323, Labels!$A:$A, 0)) = 0, "", INDEX(Labels!E:E, MATCH(Summary!$A323, Labels!$A:$A, 0)))</f>
        <v/>
      </c>
      <c r="T323" s="33" t="str">
        <f>IF(INDEX(Labels!F:F, MATCH(Summary!$A323, Labels!$A:$A, 0)) = 0, "", INDEX(Labels!F:F, MATCH(Summary!$A323, Labels!$A:$A, 0)))</f>
        <v/>
      </c>
      <c r="U323" s="35" t="str">
        <f>IF(INDEX(Labels!G:G, MATCH(Summary!$A323, Labels!$A:$A, 0)) = 0, "", INDEX(Labels!G:G, MATCH(Summary!$A323, Labels!$A:$A, 0)))</f>
        <v/>
      </c>
      <c r="V323" s="62" t="str">
        <f>IF(INDEX(Labels!H:H, MATCH(Summary!$A323, Labels!$A:$A, 0)) = 0, "", INDEX(Labels!H:H, MATCH(Summary!$A323, Labels!$A:$A, 0)))</f>
        <v/>
      </c>
      <c r="W323" t="str">
        <f>IF(INDEX(Labels!I:I, MATCH(Summary!$A323, Labels!$A:$A, 0)) = 0, "", INDEX(Labels!I:I, MATCH(Summary!$A323, Labels!$A:$A, 0)))</f>
        <v/>
      </c>
      <c r="X323" t="str">
        <f>IF(INDEX(Labels!J:J, MATCH(Summary!$A323, Labels!$A:$A, 0)) = 0, "", INDEX(Labels!J:J, MATCH(Summary!$A323, Labels!$A:$A, 0)))</f>
        <v/>
      </c>
    </row>
    <row r="324" spans="1:24" x14ac:dyDescent="0.2">
      <c r="A324" s="33">
        <f>Labels!A325</f>
        <v>318</v>
      </c>
      <c r="B324" s="34">
        <f>INDEX(EchoData!B:B, MATCH(Summary!$A324, EchoData!$A:$A, 0))</f>
        <v>322</v>
      </c>
      <c r="C324" s="35">
        <f>INDEX(EchoData!C:C, MATCH(Summary!$A324, EchoData!$A:$A, 0))</f>
        <v>323</v>
      </c>
      <c r="D324" s="42">
        <f>INDEX(Displacements!B:B, MATCH(Summary!$B324, Displacements!$A:$A, 0))</f>
        <v>152.416</v>
      </c>
      <c r="E324" s="43">
        <f>INDEX(Displacements!C:C, MATCH(Summary!$B324, Displacements!$A:$A, 0))</f>
        <v>0</v>
      </c>
      <c r="F324" s="44">
        <f>INDEX(Displacements!D:D, MATCH(Summary!$B324, Displacements!$A:$A, 0))</f>
        <v>0</v>
      </c>
      <c r="G324" s="42">
        <f>INDEX(Displacements!B:B, MATCH(Summary!$C324, Displacements!$A:$A, 0))</f>
        <v>157.404</v>
      </c>
      <c r="H324" s="43">
        <f>INDEX(Displacements!C:C, MATCH(Summary!$C324, Displacements!$A:$A, 0))</f>
        <v>0</v>
      </c>
      <c r="I324" s="44">
        <f>INDEX(Displacements!D:D, MATCH(Summary!$C324, Displacements!$A:$A, 0))</f>
        <v>0</v>
      </c>
      <c r="J324" s="42">
        <f t="shared" si="8"/>
        <v>4.9879999999999995</v>
      </c>
      <c r="K324" s="49">
        <f t="shared" si="9"/>
        <v>1.0002005213555254</v>
      </c>
      <c r="L324" s="54">
        <f>INDEX('Forces+Stresses'!C:C, MATCH(Summary!$A324, 'Forces+Stresses'!$A:$A, 0))</f>
        <v>2421</v>
      </c>
      <c r="M324" s="55">
        <f>INDEX('Forces+Stresses'!D:D, MATCH(Summary!$A324, 'Forces+Stresses'!$A:$A, 0))</f>
        <v>2421</v>
      </c>
      <c r="N324" s="55">
        <f>IFERROR(INDEX('Forces+Stresses'!Q:Q, MATCH(Summary!$A324, 'Forces+Stresses'!$A:$A, 0)), INDEX(Flexjoints!D:D, MATCH(Summary!$A324, Flexjoints!$A:$A, 0)))</f>
        <v>2.6180000000000003E-7</v>
      </c>
      <c r="O324" s="56">
        <f>IFERROR(INDEX('Forces+Stresses'!R:R, MATCH(Summary!$A324, 'Forces+Stresses'!$A:$A, 0)), INDEX(Flexjoints!E:E, MATCH(Summary!$A324, Flexjoints!$A:$A, 0)))</f>
        <v>2.8900000000000003E-6</v>
      </c>
      <c r="P324" s="33" t="str">
        <f>IF(INDEX(Labels!B:B, MATCH(Summary!$A324, Labels!$A:$A, 0)) = 0, "", INDEX(Labels!B:B, MATCH(Summary!$A324, Labels!$A:$A, 0)))</f>
        <v>{Marine Riser String}</v>
      </c>
      <c r="Q324" s="35" t="str">
        <f>IF(INDEX(Labels!C:C, MATCH(Summary!$A324, Labels!$A:$A, 0)) = 0, "", INDEX(Labels!C:C, MATCH(Summary!$A324, Labels!$A:$A, 0)))</f>
        <v>{75ft 5000ft 0.875in Buoyant}</v>
      </c>
      <c r="R324" s="33" t="str">
        <f>IF(INDEX(Labels!D:D, MATCH(Summary!$A324, Labels!$A:$A, 0)) = 0, "", INDEX(Labels!D:D, MATCH(Summary!$A324, Labels!$A:$A, 0)))</f>
        <v/>
      </c>
      <c r="S324" s="35" t="str">
        <f>IF(INDEX(Labels!E:E, MATCH(Summary!$A324, Labels!$A:$A, 0)) = 0, "", INDEX(Labels!E:E, MATCH(Summary!$A324, Labels!$A:$A, 0)))</f>
        <v/>
      </c>
      <c r="T324" s="33" t="str">
        <f>IF(INDEX(Labels!F:F, MATCH(Summary!$A324, Labels!$A:$A, 0)) = 0, "", INDEX(Labels!F:F, MATCH(Summary!$A324, Labels!$A:$A, 0)))</f>
        <v/>
      </c>
      <c r="U324" s="35" t="str">
        <f>IF(INDEX(Labels!G:G, MATCH(Summary!$A324, Labels!$A:$A, 0)) = 0, "", INDEX(Labels!G:G, MATCH(Summary!$A324, Labels!$A:$A, 0)))</f>
        <v/>
      </c>
      <c r="V324" s="62" t="str">
        <f>IF(INDEX(Labels!H:H, MATCH(Summary!$A324, Labels!$A:$A, 0)) = 0, "", INDEX(Labels!H:H, MATCH(Summary!$A324, Labels!$A:$A, 0)))</f>
        <v/>
      </c>
      <c r="W324" t="str">
        <f>IF(INDEX(Labels!I:I, MATCH(Summary!$A324, Labels!$A:$A, 0)) = 0, "", INDEX(Labels!I:I, MATCH(Summary!$A324, Labels!$A:$A, 0)))</f>
        <v/>
      </c>
      <c r="X324" t="str">
        <f>IF(INDEX(Labels!J:J, MATCH(Summary!$A324, Labels!$A:$A, 0)) = 0, "", INDEX(Labels!J:J, MATCH(Summary!$A324, Labels!$A:$A, 0)))</f>
        <v/>
      </c>
    </row>
    <row r="325" spans="1:24" x14ac:dyDescent="0.2">
      <c r="A325" s="33">
        <f>Labels!A326</f>
        <v>319</v>
      </c>
      <c r="B325" s="34">
        <f>INDEX(EchoData!B:B, MATCH(Summary!$A325, EchoData!$A:$A, 0))</f>
        <v>323</v>
      </c>
      <c r="C325" s="35">
        <f>INDEX(EchoData!C:C, MATCH(Summary!$A325, EchoData!$A:$A, 0))</f>
        <v>324</v>
      </c>
      <c r="D325" s="42">
        <f>INDEX(Displacements!B:B, MATCH(Summary!$B325, Displacements!$A:$A, 0))</f>
        <v>157.404</v>
      </c>
      <c r="E325" s="43">
        <f>INDEX(Displacements!C:C, MATCH(Summary!$B325, Displacements!$A:$A, 0))</f>
        <v>0</v>
      </c>
      <c r="F325" s="44">
        <f>INDEX(Displacements!D:D, MATCH(Summary!$B325, Displacements!$A:$A, 0))</f>
        <v>0</v>
      </c>
      <c r="G325" s="42">
        <f>INDEX(Displacements!B:B, MATCH(Summary!$C325, Displacements!$A:$A, 0))</f>
        <v>162.392</v>
      </c>
      <c r="H325" s="43">
        <f>INDEX(Displacements!C:C, MATCH(Summary!$C325, Displacements!$A:$A, 0))</f>
        <v>0</v>
      </c>
      <c r="I325" s="44">
        <f>INDEX(Displacements!D:D, MATCH(Summary!$C325, Displacements!$A:$A, 0))</f>
        <v>0</v>
      </c>
      <c r="J325" s="42">
        <f t="shared" si="8"/>
        <v>4.9879999999999995</v>
      </c>
      <c r="K325" s="49">
        <f t="shared" si="9"/>
        <v>1</v>
      </c>
      <c r="L325" s="54">
        <f>INDEX('Forces+Stresses'!C:C, MATCH(Summary!$A325, 'Forces+Stresses'!$A:$A, 0))</f>
        <v>2430</v>
      </c>
      <c r="M325" s="55">
        <f>INDEX('Forces+Stresses'!D:D, MATCH(Summary!$A325, 'Forces+Stresses'!$A:$A, 0))</f>
        <v>2430</v>
      </c>
      <c r="N325" s="55">
        <f>IFERROR(INDEX('Forces+Stresses'!Q:Q, MATCH(Summary!$A325, 'Forces+Stresses'!$A:$A, 0)), INDEX(Flexjoints!D:D, MATCH(Summary!$A325, Flexjoints!$A:$A, 0)))</f>
        <v>1.2730000000000001E-7</v>
      </c>
      <c r="O325" s="56">
        <f>IFERROR(INDEX('Forces+Stresses'!R:R, MATCH(Summary!$A325, 'Forces+Stresses'!$A:$A, 0)), INDEX(Flexjoints!E:E, MATCH(Summary!$A325, Flexjoints!$A:$A, 0)))</f>
        <v>2.5439999999999997E-6</v>
      </c>
      <c r="P325" s="33" t="str">
        <f>IF(INDEX(Labels!B:B, MATCH(Summary!$A325, Labels!$A:$A, 0)) = 0, "", INDEX(Labels!B:B, MATCH(Summary!$A325, Labels!$A:$A, 0)))</f>
        <v>{Marine Riser String}</v>
      </c>
      <c r="Q325" s="35" t="str">
        <f>IF(INDEX(Labels!C:C, MATCH(Summary!$A325, Labels!$A:$A, 0)) = 0, "", INDEX(Labels!C:C, MATCH(Summary!$A325, Labels!$A:$A, 0)))</f>
        <v>{75ft 5000ft 0.875in Buoyant}</v>
      </c>
      <c r="R325" s="33" t="str">
        <f>IF(INDEX(Labels!D:D, MATCH(Summary!$A325, Labels!$A:$A, 0)) = 0, "", INDEX(Labels!D:D, MATCH(Summary!$A325, Labels!$A:$A, 0)))</f>
        <v/>
      </c>
      <c r="S325" s="35" t="str">
        <f>IF(INDEX(Labels!E:E, MATCH(Summary!$A325, Labels!$A:$A, 0)) = 0, "", INDEX(Labels!E:E, MATCH(Summary!$A325, Labels!$A:$A, 0)))</f>
        <v/>
      </c>
      <c r="T325" s="33" t="str">
        <f>IF(INDEX(Labels!F:F, MATCH(Summary!$A325, Labels!$A:$A, 0)) = 0, "", INDEX(Labels!F:F, MATCH(Summary!$A325, Labels!$A:$A, 0)))</f>
        <v/>
      </c>
      <c r="U325" s="35" t="str">
        <f>IF(INDEX(Labels!G:G, MATCH(Summary!$A325, Labels!$A:$A, 0)) = 0, "", INDEX(Labels!G:G, MATCH(Summary!$A325, Labels!$A:$A, 0)))</f>
        <v/>
      </c>
      <c r="V325" s="62" t="str">
        <f>IF(INDEX(Labels!H:H, MATCH(Summary!$A325, Labels!$A:$A, 0)) = 0, "", INDEX(Labels!H:H, MATCH(Summary!$A325, Labels!$A:$A, 0)))</f>
        <v/>
      </c>
      <c r="W325" t="str">
        <f>IF(INDEX(Labels!I:I, MATCH(Summary!$A325, Labels!$A:$A, 0)) = 0, "", INDEX(Labels!I:I, MATCH(Summary!$A325, Labels!$A:$A, 0)))</f>
        <v/>
      </c>
      <c r="X325" t="str">
        <f>IF(INDEX(Labels!J:J, MATCH(Summary!$A325, Labels!$A:$A, 0)) = 0, "", INDEX(Labels!J:J, MATCH(Summary!$A325, Labels!$A:$A, 0)))</f>
        <v/>
      </c>
    </row>
    <row r="326" spans="1:24" x14ac:dyDescent="0.2">
      <c r="A326" s="33">
        <f>Labels!A327</f>
        <v>320</v>
      </c>
      <c r="B326" s="34">
        <f>INDEX(EchoData!B:B, MATCH(Summary!$A326, EchoData!$A:$A, 0))</f>
        <v>324</v>
      </c>
      <c r="C326" s="35">
        <f>INDEX(EchoData!C:C, MATCH(Summary!$A326, EchoData!$A:$A, 0))</f>
        <v>325</v>
      </c>
      <c r="D326" s="42">
        <f>INDEX(Displacements!B:B, MATCH(Summary!$B326, Displacements!$A:$A, 0))</f>
        <v>162.392</v>
      </c>
      <c r="E326" s="43">
        <f>INDEX(Displacements!C:C, MATCH(Summary!$B326, Displacements!$A:$A, 0))</f>
        <v>0</v>
      </c>
      <c r="F326" s="44">
        <f>INDEX(Displacements!D:D, MATCH(Summary!$B326, Displacements!$A:$A, 0))</f>
        <v>0</v>
      </c>
      <c r="G326" s="42">
        <f>INDEX(Displacements!B:B, MATCH(Summary!$C326, Displacements!$A:$A, 0))</f>
        <v>167.37899999999999</v>
      </c>
      <c r="H326" s="43">
        <f>INDEX(Displacements!C:C, MATCH(Summary!$C326, Displacements!$A:$A, 0))</f>
        <v>0</v>
      </c>
      <c r="I326" s="44">
        <f>INDEX(Displacements!D:D, MATCH(Summary!$C326, Displacements!$A:$A, 0))</f>
        <v>0</v>
      </c>
      <c r="J326" s="42">
        <f t="shared" si="8"/>
        <v>4.9869999999999948</v>
      </c>
      <c r="K326" s="49">
        <f t="shared" si="9"/>
        <v>0.99979951884522755</v>
      </c>
      <c r="L326" s="54">
        <f>INDEX('Forces+Stresses'!C:C, MATCH(Summary!$A326, 'Forces+Stresses'!$A:$A, 0))</f>
        <v>2440</v>
      </c>
      <c r="M326" s="55">
        <f>INDEX('Forces+Stresses'!D:D, MATCH(Summary!$A326, 'Forces+Stresses'!$A:$A, 0))</f>
        <v>2440</v>
      </c>
      <c r="N326" s="55">
        <f>IFERROR(INDEX('Forces+Stresses'!Q:Q, MATCH(Summary!$A326, 'Forces+Stresses'!$A:$A, 0)), INDEX(Flexjoints!D:D, MATCH(Summary!$A326, Flexjoints!$A:$A, 0)))</f>
        <v>1.1340000000000001E-7</v>
      </c>
      <c r="O326" s="56">
        <f>IFERROR(INDEX('Forces+Stresses'!R:R, MATCH(Summary!$A326, 'Forces+Stresses'!$A:$A, 0)), INDEX(Flexjoints!E:E, MATCH(Summary!$A326, Flexjoints!$A:$A, 0)))</f>
        <v>2.1879999999999996E-6</v>
      </c>
      <c r="P326" s="33" t="str">
        <f>IF(INDEX(Labels!B:B, MATCH(Summary!$A326, Labels!$A:$A, 0)) = 0, "", INDEX(Labels!B:B, MATCH(Summary!$A326, Labels!$A:$A, 0)))</f>
        <v>{Marine Riser String}</v>
      </c>
      <c r="Q326" s="35" t="str">
        <f>IF(INDEX(Labels!C:C, MATCH(Summary!$A326, Labels!$A:$A, 0)) = 0, "", INDEX(Labels!C:C, MATCH(Summary!$A326, Labels!$A:$A, 0)))</f>
        <v>{75ft 5000ft 0.875in Buoyant}</v>
      </c>
      <c r="R326" s="33" t="str">
        <f>IF(INDEX(Labels!D:D, MATCH(Summary!$A326, Labels!$A:$A, 0)) = 0, "", INDEX(Labels!D:D, MATCH(Summary!$A326, Labels!$A:$A, 0)))</f>
        <v/>
      </c>
      <c r="S326" s="35" t="str">
        <f>IF(INDEX(Labels!E:E, MATCH(Summary!$A326, Labels!$A:$A, 0)) = 0, "", INDEX(Labels!E:E, MATCH(Summary!$A326, Labels!$A:$A, 0)))</f>
        <v/>
      </c>
      <c r="T326" s="33" t="str">
        <f>IF(INDEX(Labels!F:F, MATCH(Summary!$A326, Labels!$A:$A, 0)) = 0, "", INDEX(Labels!F:F, MATCH(Summary!$A326, Labels!$A:$A, 0)))</f>
        <v/>
      </c>
      <c r="U326" s="35" t="str">
        <f>IF(INDEX(Labels!G:G, MATCH(Summary!$A326, Labels!$A:$A, 0)) = 0, "", INDEX(Labels!G:G, MATCH(Summary!$A326, Labels!$A:$A, 0)))</f>
        <v/>
      </c>
      <c r="V326" s="62" t="str">
        <f>IF(INDEX(Labels!H:H, MATCH(Summary!$A326, Labels!$A:$A, 0)) = 0, "", INDEX(Labels!H:H, MATCH(Summary!$A326, Labels!$A:$A, 0)))</f>
        <v/>
      </c>
      <c r="W326" t="str">
        <f>IF(INDEX(Labels!I:I, MATCH(Summary!$A326, Labels!$A:$A, 0)) = 0, "", INDEX(Labels!I:I, MATCH(Summary!$A326, Labels!$A:$A, 0)))</f>
        <v/>
      </c>
      <c r="X326" t="str">
        <f>IF(INDEX(Labels!J:J, MATCH(Summary!$A326, Labels!$A:$A, 0)) = 0, "", INDEX(Labels!J:J, MATCH(Summary!$A326, Labels!$A:$A, 0)))</f>
        <v/>
      </c>
    </row>
    <row r="327" spans="1:24" x14ac:dyDescent="0.2">
      <c r="A327" s="33">
        <f>Labels!A328</f>
        <v>321</v>
      </c>
      <c r="B327" s="34">
        <f>INDEX(EchoData!B:B, MATCH(Summary!$A327, EchoData!$A:$A, 0))</f>
        <v>325</v>
      </c>
      <c r="C327" s="35">
        <f>INDEX(EchoData!C:C, MATCH(Summary!$A327, EchoData!$A:$A, 0))</f>
        <v>326</v>
      </c>
      <c r="D327" s="42">
        <f>INDEX(Displacements!B:B, MATCH(Summary!$B327, Displacements!$A:$A, 0))</f>
        <v>167.37899999999999</v>
      </c>
      <c r="E327" s="43">
        <f>INDEX(Displacements!C:C, MATCH(Summary!$B327, Displacements!$A:$A, 0))</f>
        <v>0</v>
      </c>
      <c r="F327" s="44">
        <f>INDEX(Displacements!D:D, MATCH(Summary!$B327, Displacements!$A:$A, 0))</f>
        <v>0</v>
      </c>
      <c r="G327" s="42">
        <f>INDEX(Displacements!B:B, MATCH(Summary!$C327, Displacements!$A:$A, 0))</f>
        <v>172.36699999999999</v>
      </c>
      <c r="H327" s="43">
        <f>INDEX(Displacements!C:C, MATCH(Summary!$C327, Displacements!$A:$A, 0))</f>
        <v>0</v>
      </c>
      <c r="I327" s="44">
        <f>INDEX(Displacements!D:D, MATCH(Summary!$C327, Displacements!$A:$A, 0))</f>
        <v>0</v>
      </c>
      <c r="J327" s="42">
        <f t="shared" ref="J327:J390" si="10">SQRT((G327 - D327)^2 + (H327 - E327)^2 + (I327 - F327)^2)</f>
        <v>4.9879999999999995</v>
      </c>
      <c r="K327" s="49">
        <f t="shared" ref="K327:K390" si="11">IF(P327 = P326, J327/J326, "N/A")</f>
        <v>1.0002005213555254</v>
      </c>
      <c r="L327" s="54">
        <f>INDEX('Forces+Stresses'!C:C, MATCH(Summary!$A327, 'Forces+Stresses'!$A:$A, 0))</f>
        <v>2449</v>
      </c>
      <c r="M327" s="55">
        <f>INDEX('Forces+Stresses'!D:D, MATCH(Summary!$A327, 'Forces+Stresses'!$A:$A, 0))</f>
        <v>2449</v>
      </c>
      <c r="N327" s="55">
        <f>IFERROR(INDEX('Forces+Stresses'!Q:Q, MATCH(Summary!$A327, 'Forces+Stresses'!$A:$A, 0)), INDEX(Flexjoints!D:D, MATCH(Summary!$A327, Flexjoints!$A:$A, 0)))</f>
        <v>1.077E-7</v>
      </c>
      <c r="O327" s="56">
        <f>IFERROR(INDEX('Forces+Stresses'!R:R, MATCH(Summary!$A327, 'Forces+Stresses'!$A:$A, 0)), INDEX(Flexjoints!E:E, MATCH(Summary!$A327, Flexjoints!$A:$A, 0)))</f>
        <v>2.6730000000000001E-6</v>
      </c>
      <c r="P327" s="33" t="str">
        <f>IF(INDEX(Labels!B:B, MATCH(Summary!$A327, Labels!$A:$A, 0)) = 0, "", INDEX(Labels!B:B, MATCH(Summary!$A327, Labels!$A:$A, 0)))</f>
        <v>{Marine Riser String}</v>
      </c>
      <c r="Q327" s="35" t="str">
        <f>IF(INDEX(Labels!C:C, MATCH(Summary!$A327, Labels!$A:$A, 0)) = 0, "", INDEX(Labels!C:C, MATCH(Summary!$A327, Labels!$A:$A, 0)))</f>
        <v>{75ft 5000ft 0.875in Buoyant}</v>
      </c>
      <c r="R327" s="33" t="str">
        <f>IF(INDEX(Labels!D:D, MATCH(Summary!$A327, Labels!$A:$A, 0)) = 0, "", INDEX(Labels!D:D, MATCH(Summary!$A327, Labels!$A:$A, 0)))</f>
        <v/>
      </c>
      <c r="S327" s="35" t="str">
        <f>IF(INDEX(Labels!E:E, MATCH(Summary!$A327, Labels!$A:$A, 0)) = 0, "", INDEX(Labels!E:E, MATCH(Summary!$A327, Labels!$A:$A, 0)))</f>
        <v/>
      </c>
      <c r="T327" s="33" t="str">
        <f>IF(INDEX(Labels!F:F, MATCH(Summary!$A327, Labels!$A:$A, 0)) = 0, "", INDEX(Labels!F:F, MATCH(Summary!$A327, Labels!$A:$A, 0)))</f>
        <v/>
      </c>
      <c r="U327" s="35" t="str">
        <f>IF(INDEX(Labels!G:G, MATCH(Summary!$A327, Labels!$A:$A, 0)) = 0, "", INDEX(Labels!G:G, MATCH(Summary!$A327, Labels!$A:$A, 0)))</f>
        <v/>
      </c>
      <c r="V327" s="62" t="str">
        <f>IF(INDEX(Labels!H:H, MATCH(Summary!$A327, Labels!$A:$A, 0)) = 0, "", INDEX(Labels!H:H, MATCH(Summary!$A327, Labels!$A:$A, 0)))</f>
        <v/>
      </c>
      <c r="W327" t="str">
        <f>IF(INDEX(Labels!I:I, MATCH(Summary!$A327, Labels!$A:$A, 0)) = 0, "", INDEX(Labels!I:I, MATCH(Summary!$A327, Labels!$A:$A, 0)))</f>
        <v/>
      </c>
      <c r="X327" t="str">
        <f>IF(INDEX(Labels!J:J, MATCH(Summary!$A327, Labels!$A:$A, 0)) = 0, "", INDEX(Labels!J:J, MATCH(Summary!$A327, Labels!$A:$A, 0)))</f>
        <v/>
      </c>
    </row>
    <row r="328" spans="1:24" x14ac:dyDescent="0.2">
      <c r="A328" s="33">
        <f>Labels!A329</f>
        <v>322</v>
      </c>
      <c r="B328" s="34">
        <f>INDEX(EchoData!B:B, MATCH(Summary!$A328, EchoData!$A:$A, 0))</f>
        <v>326</v>
      </c>
      <c r="C328" s="35">
        <f>INDEX(EchoData!C:C, MATCH(Summary!$A328, EchoData!$A:$A, 0))</f>
        <v>327</v>
      </c>
      <c r="D328" s="42">
        <f>INDEX(Displacements!B:B, MATCH(Summary!$B328, Displacements!$A:$A, 0))</f>
        <v>172.36699999999999</v>
      </c>
      <c r="E328" s="43">
        <f>INDEX(Displacements!C:C, MATCH(Summary!$B328, Displacements!$A:$A, 0))</f>
        <v>0</v>
      </c>
      <c r="F328" s="44">
        <f>INDEX(Displacements!D:D, MATCH(Summary!$B328, Displacements!$A:$A, 0))</f>
        <v>0</v>
      </c>
      <c r="G328" s="42">
        <f>INDEX(Displacements!B:B, MATCH(Summary!$C328, Displacements!$A:$A, 0))</f>
        <v>177.35499999999999</v>
      </c>
      <c r="H328" s="43">
        <f>INDEX(Displacements!C:C, MATCH(Summary!$C328, Displacements!$A:$A, 0))</f>
        <v>0</v>
      </c>
      <c r="I328" s="44">
        <f>INDEX(Displacements!D:D, MATCH(Summary!$C328, Displacements!$A:$A, 0))</f>
        <v>0</v>
      </c>
      <c r="J328" s="42">
        <f t="shared" si="10"/>
        <v>4.9879999999999995</v>
      </c>
      <c r="K328" s="49">
        <f t="shared" si="11"/>
        <v>1</v>
      </c>
      <c r="L328" s="54">
        <f>INDEX('Forces+Stresses'!C:C, MATCH(Summary!$A328, 'Forces+Stresses'!$A:$A, 0))</f>
        <v>2458</v>
      </c>
      <c r="M328" s="55">
        <f>INDEX('Forces+Stresses'!D:D, MATCH(Summary!$A328, 'Forces+Stresses'!$A:$A, 0))</f>
        <v>2458</v>
      </c>
      <c r="N328" s="55">
        <f>IFERROR(INDEX('Forces+Stresses'!Q:Q, MATCH(Summary!$A328, 'Forces+Stresses'!$A:$A, 0)), INDEX(Flexjoints!D:D, MATCH(Summary!$A328, Flexjoints!$A:$A, 0)))</f>
        <v>8.413E-8</v>
      </c>
      <c r="O328" s="56">
        <f>IFERROR(INDEX('Forces+Stresses'!R:R, MATCH(Summary!$A328, 'Forces+Stresses'!$A:$A, 0)), INDEX(Flexjoints!E:E, MATCH(Summary!$A328, Flexjoints!$A:$A, 0)))</f>
        <v>2.858E-6</v>
      </c>
      <c r="P328" s="33" t="str">
        <f>IF(INDEX(Labels!B:B, MATCH(Summary!$A328, Labels!$A:$A, 0)) = 0, "", INDEX(Labels!B:B, MATCH(Summary!$A328, Labels!$A:$A, 0)))</f>
        <v>{Marine Riser String}</v>
      </c>
      <c r="Q328" s="35" t="str">
        <f>IF(INDEX(Labels!C:C, MATCH(Summary!$A328, Labels!$A:$A, 0)) = 0, "", INDEX(Labels!C:C, MATCH(Summary!$A328, Labels!$A:$A, 0)))</f>
        <v>{75ft 5000ft 0.875in Buoyant}</v>
      </c>
      <c r="R328" s="33" t="str">
        <f>IF(INDEX(Labels!D:D, MATCH(Summary!$A328, Labels!$A:$A, 0)) = 0, "", INDEX(Labels!D:D, MATCH(Summary!$A328, Labels!$A:$A, 0)))</f>
        <v/>
      </c>
      <c r="S328" s="35" t="str">
        <f>IF(INDEX(Labels!E:E, MATCH(Summary!$A328, Labels!$A:$A, 0)) = 0, "", INDEX(Labels!E:E, MATCH(Summary!$A328, Labels!$A:$A, 0)))</f>
        <v/>
      </c>
      <c r="T328" s="33" t="str">
        <f>IF(INDEX(Labels!F:F, MATCH(Summary!$A328, Labels!$A:$A, 0)) = 0, "", INDEX(Labels!F:F, MATCH(Summary!$A328, Labels!$A:$A, 0)))</f>
        <v/>
      </c>
      <c r="U328" s="35" t="str">
        <f>IF(INDEX(Labels!G:G, MATCH(Summary!$A328, Labels!$A:$A, 0)) = 0, "", INDEX(Labels!G:G, MATCH(Summary!$A328, Labels!$A:$A, 0)))</f>
        <v/>
      </c>
      <c r="V328" s="62" t="str">
        <f>IF(INDEX(Labels!H:H, MATCH(Summary!$A328, Labels!$A:$A, 0)) = 0, "", INDEX(Labels!H:H, MATCH(Summary!$A328, Labels!$A:$A, 0)))</f>
        <v/>
      </c>
      <c r="W328" t="str">
        <f>IF(INDEX(Labels!I:I, MATCH(Summary!$A328, Labels!$A:$A, 0)) = 0, "", INDEX(Labels!I:I, MATCH(Summary!$A328, Labels!$A:$A, 0)))</f>
        <v/>
      </c>
      <c r="X328" t="str">
        <f>IF(INDEX(Labels!J:J, MATCH(Summary!$A328, Labels!$A:$A, 0)) = 0, "", INDEX(Labels!J:J, MATCH(Summary!$A328, Labels!$A:$A, 0)))</f>
        <v/>
      </c>
    </row>
    <row r="329" spans="1:24" x14ac:dyDescent="0.2">
      <c r="A329" s="33">
        <f>Labels!A330</f>
        <v>323</v>
      </c>
      <c r="B329" s="34">
        <f>INDEX(EchoData!B:B, MATCH(Summary!$A329, EchoData!$A:$A, 0))</f>
        <v>327</v>
      </c>
      <c r="C329" s="35">
        <f>INDEX(EchoData!C:C, MATCH(Summary!$A329, EchoData!$A:$A, 0))</f>
        <v>328</v>
      </c>
      <c r="D329" s="42">
        <f>INDEX(Displacements!B:B, MATCH(Summary!$B329, Displacements!$A:$A, 0))</f>
        <v>177.35499999999999</v>
      </c>
      <c r="E329" s="43">
        <f>INDEX(Displacements!C:C, MATCH(Summary!$B329, Displacements!$A:$A, 0))</f>
        <v>0</v>
      </c>
      <c r="F329" s="44">
        <f>INDEX(Displacements!D:D, MATCH(Summary!$B329, Displacements!$A:$A, 0))</f>
        <v>0</v>
      </c>
      <c r="G329" s="42">
        <f>INDEX(Displacements!B:B, MATCH(Summary!$C329, Displacements!$A:$A, 0))</f>
        <v>182.34200000000001</v>
      </c>
      <c r="H329" s="43">
        <f>INDEX(Displacements!C:C, MATCH(Summary!$C329, Displacements!$A:$A, 0))</f>
        <v>0</v>
      </c>
      <c r="I329" s="44">
        <f>INDEX(Displacements!D:D, MATCH(Summary!$C329, Displacements!$A:$A, 0))</f>
        <v>0</v>
      </c>
      <c r="J329" s="42">
        <f t="shared" si="10"/>
        <v>4.9870000000000232</v>
      </c>
      <c r="K329" s="49">
        <f t="shared" si="11"/>
        <v>0.99979951884523333</v>
      </c>
      <c r="L329" s="54">
        <f>INDEX('Forces+Stresses'!C:C, MATCH(Summary!$A329, 'Forces+Stresses'!$A:$A, 0))</f>
        <v>2468</v>
      </c>
      <c r="M329" s="55">
        <f>INDEX('Forces+Stresses'!D:D, MATCH(Summary!$A329, 'Forces+Stresses'!$A:$A, 0))</f>
        <v>2468</v>
      </c>
      <c r="N329" s="55">
        <f>IFERROR(INDEX('Forces+Stresses'!Q:Q, MATCH(Summary!$A329, 'Forces+Stresses'!$A:$A, 0)), INDEX(Flexjoints!D:D, MATCH(Summary!$A329, Flexjoints!$A:$A, 0)))</f>
        <v>8.1769999999999997E-8</v>
      </c>
      <c r="O329" s="56">
        <f>IFERROR(INDEX('Forces+Stresses'!R:R, MATCH(Summary!$A329, 'Forces+Stresses'!$A:$A, 0)), INDEX(Flexjoints!E:E, MATCH(Summary!$A329, Flexjoints!$A:$A, 0)))</f>
        <v>2.3869999999999998E-6</v>
      </c>
      <c r="P329" s="33" t="str">
        <f>IF(INDEX(Labels!B:B, MATCH(Summary!$A329, Labels!$A:$A, 0)) = 0, "", INDEX(Labels!B:B, MATCH(Summary!$A329, Labels!$A:$A, 0)))</f>
        <v>{Marine Riser String}</v>
      </c>
      <c r="Q329" s="35" t="str">
        <f>IF(INDEX(Labels!C:C, MATCH(Summary!$A329, Labels!$A:$A, 0)) = 0, "", INDEX(Labels!C:C, MATCH(Summary!$A329, Labels!$A:$A, 0)))</f>
        <v>{75ft 5000ft 0.875in Buoyant}</v>
      </c>
      <c r="R329" s="33" t="str">
        <f>IF(INDEX(Labels!D:D, MATCH(Summary!$A329, Labels!$A:$A, 0)) = 0, "", INDEX(Labels!D:D, MATCH(Summary!$A329, Labels!$A:$A, 0)))</f>
        <v/>
      </c>
      <c r="S329" s="35" t="str">
        <f>IF(INDEX(Labels!E:E, MATCH(Summary!$A329, Labels!$A:$A, 0)) = 0, "", INDEX(Labels!E:E, MATCH(Summary!$A329, Labels!$A:$A, 0)))</f>
        <v/>
      </c>
      <c r="T329" s="33" t="str">
        <f>IF(INDEX(Labels!F:F, MATCH(Summary!$A329, Labels!$A:$A, 0)) = 0, "", INDEX(Labels!F:F, MATCH(Summary!$A329, Labels!$A:$A, 0)))</f>
        <v/>
      </c>
      <c r="U329" s="35" t="str">
        <f>IF(INDEX(Labels!G:G, MATCH(Summary!$A329, Labels!$A:$A, 0)) = 0, "", INDEX(Labels!G:G, MATCH(Summary!$A329, Labels!$A:$A, 0)))</f>
        <v/>
      </c>
      <c r="V329" s="62" t="str">
        <f>IF(INDEX(Labels!H:H, MATCH(Summary!$A329, Labels!$A:$A, 0)) = 0, "", INDEX(Labels!H:H, MATCH(Summary!$A329, Labels!$A:$A, 0)))</f>
        <v/>
      </c>
      <c r="W329" t="str">
        <f>IF(INDEX(Labels!I:I, MATCH(Summary!$A329, Labels!$A:$A, 0)) = 0, "", INDEX(Labels!I:I, MATCH(Summary!$A329, Labels!$A:$A, 0)))</f>
        <v/>
      </c>
      <c r="X329" t="str">
        <f>IF(INDEX(Labels!J:J, MATCH(Summary!$A329, Labels!$A:$A, 0)) = 0, "", INDEX(Labels!J:J, MATCH(Summary!$A329, Labels!$A:$A, 0)))</f>
        <v/>
      </c>
    </row>
    <row r="330" spans="1:24" x14ac:dyDescent="0.2">
      <c r="A330" s="33">
        <f>Labels!A331</f>
        <v>324</v>
      </c>
      <c r="B330" s="34">
        <f>INDEX(EchoData!B:B, MATCH(Summary!$A330, EchoData!$A:$A, 0))</f>
        <v>328</v>
      </c>
      <c r="C330" s="35">
        <f>INDEX(EchoData!C:C, MATCH(Summary!$A330, EchoData!$A:$A, 0))</f>
        <v>329</v>
      </c>
      <c r="D330" s="42">
        <f>INDEX(Displacements!B:B, MATCH(Summary!$B330, Displacements!$A:$A, 0))</f>
        <v>182.34200000000001</v>
      </c>
      <c r="E330" s="43">
        <f>INDEX(Displacements!C:C, MATCH(Summary!$B330, Displacements!$A:$A, 0))</f>
        <v>0</v>
      </c>
      <c r="F330" s="44">
        <f>INDEX(Displacements!D:D, MATCH(Summary!$B330, Displacements!$A:$A, 0))</f>
        <v>0</v>
      </c>
      <c r="G330" s="42">
        <f>INDEX(Displacements!B:B, MATCH(Summary!$C330, Displacements!$A:$A, 0))</f>
        <v>187.33</v>
      </c>
      <c r="H330" s="43">
        <f>INDEX(Displacements!C:C, MATCH(Summary!$C330, Displacements!$A:$A, 0))</f>
        <v>0</v>
      </c>
      <c r="I330" s="44">
        <f>INDEX(Displacements!D:D, MATCH(Summary!$C330, Displacements!$A:$A, 0))</f>
        <v>0</v>
      </c>
      <c r="J330" s="42">
        <f t="shared" si="10"/>
        <v>4.9879999999999995</v>
      </c>
      <c r="K330" s="49">
        <f t="shared" si="11"/>
        <v>1.0002005213555196</v>
      </c>
      <c r="L330" s="54">
        <f>INDEX('Forces+Stresses'!C:C, MATCH(Summary!$A330, 'Forces+Stresses'!$A:$A, 0))</f>
        <v>2477</v>
      </c>
      <c r="M330" s="55">
        <f>INDEX('Forces+Stresses'!D:D, MATCH(Summary!$A330, 'Forces+Stresses'!$A:$A, 0))</f>
        <v>2477</v>
      </c>
      <c r="N330" s="55">
        <f>IFERROR(INDEX('Forces+Stresses'!Q:Q, MATCH(Summary!$A330, 'Forces+Stresses'!$A:$A, 0)), INDEX(Flexjoints!D:D, MATCH(Summary!$A330, Flexjoints!$A:$A, 0)))</f>
        <v>8.9289999999999988E-8</v>
      </c>
      <c r="O330" s="56">
        <f>IFERROR(INDEX('Forces+Stresses'!R:R, MATCH(Summary!$A330, 'Forces+Stresses'!$A:$A, 0)), INDEX(Flexjoints!E:E, MATCH(Summary!$A330, Flexjoints!$A:$A, 0)))</f>
        <v>2.2759999999999999E-6</v>
      </c>
      <c r="P330" s="33" t="str">
        <f>IF(INDEX(Labels!B:B, MATCH(Summary!$A330, Labels!$A:$A, 0)) = 0, "", INDEX(Labels!B:B, MATCH(Summary!$A330, Labels!$A:$A, 0)))</f>
        <v>{Marine Riser String}</v>
      </c>
      <c r="Q330" s="35" t="str">
        <f>IF(INDEX(Labels!C:C, MATCH(Summary!$A330, Labels!$A:$A, 0)) = 0, "", INDEX(Labels!C:C, MATCH(Summary!$A330, Labels!$A:$A, 0)))</f>
        <v>{75ft 5000ft 0.875in Buoyant}</v>
      </c>
      <c r="R330" s="33" t="str">
        <f>IF(INDEX(Labels!D:D, MATCH(Summary!$A330, Labels!$A:$A, 0)) = 0, "", INDEX(Labels!D:D, MATCH(Summary!$A330, Labels!$A:$A, 0)))</f>
        <v/>
      </c>
      <c r="S330" s="35" t="str">
        <f>IF(INDEX(Labels!E:E, MATCH(Summary!$A330, Labels!$A:$A, 0)) = 0, "", INDEX(Labels!E:E, MATCH(Summary!$A330, Labels!$A:$A, 0)))</f>
        <v/>
      </c>
      <c r="T330" s="33" t="str">
        <f>IF(INDEX(Labels!F:F, MATCH(Summary!$A330, Labels!$A:$A, 0)) = 0, "", INDEX(Labels!F:F, MATCH(Summary!$A330, Labels!$A:$A, 0)))</f>
        <v/>
      </c>
      <c r="U330" s="35" t="str">
        <f>IF(INDEX(Labels!G:G, MATCH(Summary!$A330, Labels!$A:$A, 0)) = 0, "", INDEX(Labels!G:G, MATCH(Summary!$A330, Labels!$A:$A, 0)))</f>
        <v/>
      </c>
      <c r="V330" s="62" t="str">
        <f>IF(INDEX(Labels!H:H, MATCH(Summary!$A330, Labels!$A:$A, 0)) = 0, "", INDEX(Labels!H:H, MATCH(Summary!$A330, Labels!$A:$A, 0)))</f>
        <v/>
      </c>
      <c r="W330" t="str">
        <f>IF(INDEX(Labels!I:I, MATCH(Summary!$A330, Labels!$A:$A, 0)) = 0, "", INDEX(Labels!I:I, MATCH(Summary!$A330, Labels!$A:$A, 0)))</f>
        <v/>
      </c>
      <c r="X330" t="str">
        <f>IF(INDEX(Labels!J:J, MATCH(Summary!$A330, Labels!$A:$A, 0)) = 0, "", INDEX(Labels!J:J, MATCH(Summary!$A330, Labels!$A:$A, 0)))</f>
        <v/>
      </c>
    </row>
    <row r="331" spans="1:24" x14ac:dyDescent="0.2">
      <c r="A331" s="33">
        <f>Labels!A332</f>
        <v>325</v>
      </c>
      <c r="B331" s="34">
        <f>INDEX(EchoData!B:B, MATCH(Summary!$A331, EchoData!$A:$A, 0))</f>
        <v>329</v>
      </c>
      <c r="C331" s="35">
        <f>INDEX(EchoData!C:C, MATCH(Summary!$A331, EchoData!$A:$A, 0))</f>
        <v>330</v>
      </c>
      <c r="D331" s="42">
        <f>INDEX(Displacements!B:B, MATCH(Summary!$B331, Displacements!$A:$A, 0))</f>
        <v>187.33</v>
      </c>
      <c r="E331" s="43">
        <f>INDEX(Displacements!C:C, MATCH(Summary!$B331, Displacements!$A:$A, 0))</f>
        <v>0</v>
      </c>
      <c r="F331" s="44">
        <f>INDEX(Displacements!D:D, MATCH(Summary!$B331, Displacements!$A:$A, 0))</f>
        <v>0</v>
      </c>
      <c r="G331" s="42">
        <f>INDEX(Displacements!B:B, MATCH(Summary!$C331, Displacements!$A:$A, 0))</f>
        <v>192.31700000000001</v>
      </c>
      <c r="H331" s="43">
        <f>INDEX(Displacements!C:C, MATCH(Summary!$C331, Displacements!$A:$A, 0))</f>
        <v>0</v>
      </c>
      <c r="I331" s="44">
        <f>INDEX(Displacements!D:D, MATCH(Summary!$C331, Displacements!$A:$A, 0))</f>
        <v>0</v>
      </c>
      <c r="J331" s="42">
        <f t="shared" si="10"/>
        <v>4.9869999999999948</v>
      </c>
      <c r="K331" s="49">
        <f t="shared" si="11"/>
        <v>0.99979951884522755</v>
      </c>
      <c r="L331" s="54">
        <f>INDEX('Forces+Stresses'!C:C, MATCH(Summary!$A331, 'Forces+Stresses'!$A:$A, 0))</f>
        <v>2486</v>
      </c>
      <c r="M331" s="55">
        <f>INDEX('Forces+Stresses'!D:D, MATCH(Summary!$A331, 'Forces+Stresses'!$A:$A, 0))</f>
        <v>2486</v>
      </c>
      <c r="N331" s="55">
        <f>IFERROR(INDEX('Forces+Stresses'!Q:Q, MATCH(Summary!$A331, 'Forces+Stresses'!$A:$A, 0)), INDEX(Flexjoints!D:D, MATCH(Summary!$A331, Flexjoints!$A:$A, 0)))</f>
        <v>7.498E-8</v>
      </c>
      <c r="O331" s="56">
        <f>IFERROR(INDEX('Forces+Stresses'!R:R, MATCH(Summary!$A331, 'Forces+Stresses'!$A:$A, 0)), INDEX(Flexjoints!E:E, MATCH(Summary!$A331, Flexjoints!$A:$A, 0)))</f>
        <v>2.1299999999999999E-6</v>
      </c>
      <c r="P331" s="33" t="str">
        <f>IF(INDEX(Labels!B:B, MATCH(Summary!$A331, Labels!$A:$A, 0)) = 0, "", INDEX(Labels!B:B, MATCH(Summary!$A331, Labels!$A:$A, 0)))</f>
        <v>{Marine Riser String}</v>
      </c>
      <c r="Q331" s="35" t="str">
        <f>IF(INDEX(Labels!C:C, MATCH(Summary!$A331, Labels!$A:$A, 0)) = 0, "", INDEX(Labels!C:C, MATCH(Summary!$A331, Labels!$A:$A, 0)))</f>
        <v>{75ft 5000ft 0.875in Buoyant}</v>
      </c>
      <c r="R331" s="33" t="str">
        <f>IF(INDEX(Labels!D:D, MATCH(Summary!$A331, Labels!$A:$A, 0)) = 0, "", INDEX(Labels!D:D, MATCH(Summary!$A331, Labels!$A:$A, 0)))</f>
        <v/>
      </c>
      <c r="S331" s="35" t="str">
        <f>IF(INDEX(Labels!E:E, MATCH(Summary!$A331, Labels!$A:$A, 0)) = 0, "", INDEX(Labels!E:E, MATCH(Summary!$A331, Labels!$A:$A, 0)))</f>
        <v/>
      </c>
      <c r="T331" s="33" t="str">
        <f>IF(INDEX(Labels!F:F, MATCH(Summary!$A331, Labels!$A:$A, 0)) = 0, "", INDEX(Labels!F:F, MATCH(Summary!$A331, Labels!$A:$A, 0)))</f>
        <v/>
      </c>
      <c r="U331" s="35" t="str">
        <f>IF(INDEX(Labels!G:G, MATCH(Summary!$A331, Labels!$A:$A, 0)) = 0, "", INDEX(Labels!G:G, MATCH(Summary!$A331, Labels!$A:$A, 0)))</f>
        <v/>
      </c>
      <c r="V331" s="62" t="str">
        <f>IF(INDEX(Labels!H:H, MATCH(Summary!$A331, Labels!$A:$A, 0)) = 0, "", INDEX(Labels!H:H, MATCH(Summary!$A331, Labels!$A:$A, 0)))</f>
        <v/>
      </c>
      <c r="W331" t="str">
        <f>IF(INDEX(Labels!I:I, MATCH(Summary!$A331, Labels!$A:$A, 0)) = 0, "", INDEX(Labels!I:I, MATCH(Summary!$A331, Labels!$A:$A, 0)))</f>
        <v/>
      </c>
      <c r="X331" t="str">
        <f>IF(INDEX(Labels!J:J, MATCH(Summary!$A331, Labels!$A:$A, 0)) = 0, "", INDEX(Labels!J:J, MATCH(Summary!$A331, Labels!$A:$A, 0)))</f>
        <v/>
      </c>
    </row>
    <row r="332" spans="1:24" x14ac:dyDescent="0.2">
      <c r="A332" s="33">
        <f>Labels!A333</f>
        <v>326</v>
      </c>
      <c r="B332" s="34">
        <f>INDEX(EchoData!B:B, MATCH(Summary!$A332, EchoData!$A:$A, 0))</f>
        <v>330</v>
      </c>
      <c r="C332" s="35">
        <f>INDEX(EchoData!C:C, MATCH(Summary!$A332, EchoData!$A:$A, 0))</f>
        <v>331</v>
      </c>
      <c r="D332" s="42">
        <f>INDEX(Displacements!B:B, MATCH(Summary!$B332, Displacements!$A:$A, 0))</f>
        <v>192.31700000000001</v>
      </c>
      <c r="E332" s="43">
        <f>INDEX(Displacements!C:C, MATCH(Summary!$B332, Displacements!$A:$A, 0))</f>
        <v>0</v>
      </c>
      <c r="F332" s="44">
        <f>INDEX(Displacements!D:D, MATCH(Summary!$B332, Displacements!$A:$A, 0))</f>
        <v>0</v>
      </c>
      <c r="G332" s="42">
        <f>INDEX(Displacements!B:B, MATCH(Summary!$C332, Displacements!$A:$A, 0))</f>
        <v>197.30500000000001</v>
      </c>
      <c r="H332" s="43">
        <f>INDEX(Displacements!C:C, MATCH(Summary!$C332, Displacements!$A:$A, 0))</f>
        <v>0</v>
      </c>
      <c r="I332" s="44">
        <f>INDEX(Displacements!D:D, MATCH(Summary!$C332, Displacements!$A:$A, 0))</f>
        <v>0</v>
      </c>
      <c r="J332" s="42">
        <f t="shared" si="10"/>
        <v>4.9879999999999995</v>
      </c>
      <c r="K332" s="49">
        <f t="shared" si="11"/>
        <v>1.0002005213555254</v>
      </c>
      <c r="L332" s="54">
        <f>INDEX('Forces+Stresses'!C:C, MATCH(Summary!$A332, 'Forces+Stresses'!$A:$A, 0))</f>
        <v>2496</v>
      </c>
      <c r="M332" s="55">
        <f>INDEX('Forces+Stresses'!D:D, MATCH(Summary!$A332, 'Forces+Stresses'!$A:$A, 0))</f>
        <v>2496</v>
      </c>
      <c r="N332" s="55">
        <f>IFERROR(INDEX('Forces+Stresses'!Q:Q, MATCH(Summary!$A332, 'Forces+Stresses'!$A:$A, 0)), INDEX(Flexjoints!D:D, MATCH(Summary!$A332, Flexjoints!$A:$A, 0)))</f>
        <v>1.0119999999999999E-7</v>
      </c>
      <c r="O332" s="56">
        <f>IFERROR(INDEX('Forces+Stresses'!R:R, MATCH(Summary!$A332, 'Forces+Stresses'!$A:$A, 0)), INDEX(Flexjoints!E:E, MATCH(Summary!$A332, Flexjoints!$A:$A, 0)))</f>
        <v>2.6580000000000002E-6</v>
      </c>
      <c r="P332" s="33" t="str">
        <f>IF(INDEX(Labels!B:B, MATCH(Summary!$A332, Labels!$A:$A, 0)) = 0, "", INDEX(Labels!B:B, MATCH(Summary!$A332, Labels!$A:$A, 0)))</f>
        <v>{Marine Riser String}</v>
      </c>
      <c r="Q332" s="35" t="str">
        <f>IF(INDEX(Labels!C:C, MATCH(Summary!$A332, Labels!$A:$A, 0)) = 0, "", INDEX(Labels!C:C, MATCH(Summary!$A332, Labels!$A:$A, 0)))</f>
        <v>{75ft 5000ft 0.875in Buoyant}</v>
      </c>
      <c r="R332" s="33" t="str">
        <f>IF(INDEX(Labels!D:D, MATCH(Summary!$A332, Labels!$A:$A, 0)) = 0, "", INDEX(Labels!D:D, MATCH(Summary!$A332, Labels!$A:$A, 0)))</f>
        <v/>
      </c>
      <c r="S332" s="35" t="str">
        <f>IF(INDEX(Labels!E:E, MATCH(Summary!$A332, Labels!$A:$A, 0)) = 0, "", INDEX(Labels!E:E, MATCH(Summary!$A332, Labels!$A:$A, 0)))</f>
        <v/>
      </c>
      <c r="T332" s="33" t="str">
        <f>IF(INDEX(Labels!F:F, MATCH(Summary!$A332, Labels!$A:$A, 0)) = 0, "", INDEX(Labels!F:F, MATCH(Summary!$A332, Labels!$A:$A, 0)))</f>
        <v/>
      </c>
      <c r="U332" s="35" t="str">
        <f>IF(INDEX(Labels!G:G, MATCH(Summary!$A332, Labels!$A:$A, 0)) = 0, "", INDEX(Labels!G:G, MATCH(Summary!$A332, Labels!$A:$A, 0)))</f>
        <v/>
      </c>
      <c r="V332" s="62" t="str">
        <f>IF(INDEX(Labels!H:H, MATCH(Summary!$A332, Labels!$A:$A, 0)) = 0, "", INDEX(Labels!H:H, MATCH(Summary!$A332, Labels!$A:$A, 0)))</f>
        <v/>
      </c>
      <c r="W332" t="str">
        <f>IF(INDEX(Labels!I:I, MATCH(Summary!$A332, Labels!$A:$A, 0)) = 0, "", INDEX(Labels!I:I, MATCH(Summary!$A332, Labels!$A:$A, 0)))</f>
        <v/>
      </c>
      <c r="X332" t="str">
        <f>IF(INDEX(Labels!J:J, MATCH(Summary!$A332, Labels!$A:$A, 0)) = 0, "", INDEX(Labels!J:J, MATCH(Summary!$A332, Labels!$A:$A, 0)))</f>
        <v/>
      </c>
    </row>
    <row r="333" spans="1:24" x14ac:dyDescent="0.2">
      <c r="A333" s="33">
        <f>Labels!A334</f>
        <v>327</v>
      </c>
      <c r="B333" s="34">
        <f>INDEX(EchoData!B:B, MATCH(Summary!$A333, EchoData!$A:$A, 0))</f>
        <v>331</v>
      </c>
      <c r="C333" s="35">
        <f>INDEX(EchoData!C:C, MATCH(Summary!$A333, EchoData!$A:$A, 0))</f>
        <v>332</v>
      </c>
      <c r="D333" s="42">
        <f>INDEX(Displacements!B:B, MATCH(Summary!$B333, Displacements!$A:$A, 0))</f>
        <v>197.30500000000001</v>
      </c>
      <c r="E333" s="43">
        <f>INDEX(Displacements!C:C, MATCH(Summary!$B333, Displacements!$A:$A, 0))</f>
        <v>0</v>
      </c>
      <c r="F333" s="44">
        <f>INDEX(Displacements!D:D, MATCH(Summary!$B333, Displacements!$A:$A, 0))</f>
        <v>0</v>
      </c>
      <c r="G333" s="42">
        <f>INDEX(Displacements!B:B, MATCH(Summary!$C333, Displacements!$A:$A, 0))</f>
        <v>202.29300000000001</v>
      </c>
      <c r="H333" s="43">
        <f>INDEX(Displacements!C:C, MATCH(Summary!$C333, Displacements!$A:$A, 0))</f>
        <v>0</v>
      </c>
      <c r="I333" s="44">
        <f>INDEX(Displacements!D:D, MATCH(Summary!$C333, Displacements!$A:$A, 0))</f>
        <v>0</v>
      </c>
      <c r="J333" s="42">
        <f t="shared" si="10"/>
        <v>4.9879999999999995</v>
      </c>
      <c r="K333" s="49">
        <f t="shared" si="11"/>
        <v>1</v>
      </c>
      <c r="L333" s="54">
        <f>INDEX('Forces+Stresses'!C:C, MATCH(Summary!$A333, 'Forces+Stresses'!$A:$A, 0))</f>
        <v>2505</v>
      </c>
      <c r="M333" s="55">
        <f>INDEX('Forces+Stresses'!D:D, MATCH(Summary!$A333, 'Forces+Stresses'!$A:$A, 0))</f>
        <v>2505</v>
      </c>
      <c r="N333" s="55">
        <f>IFERROR(INDEX('Forces+Stresses'!Q:Q, MATCH(Summary!$A333, 'Forces+Stresses'!$A:$A, 0)), INDEX(Flexjoints!D:D, MATCH(Summary!$A333, Flexjoints!$A:$A, 0)))</f>
        <v>2.1659999999999999E-7</v>
      </c>
      <c r="O333" s="56">
        <f>IFERROR(INDEX('Forces+Stresses'!R:R, MATCH(Summary!$A333, 'Forces+Stresses'!$A:$A, 0)), INDEX(Flexjoints!E:E, MATCH(Summary!$A333, Flexjoints!$A:$A, 0)))</f>
        <v>2.6510000000000001E-6</v>
      </c>
      <c r="P333" s="33" t="str">
        <f>IF(INDEX(Labels!B:B, MATCH(Summary!$A333, Labels!$A:$A, 0)) = 0, "", INDEX(Labels!B:B, MATCH(Summary!$A333, Labels!$A:$A, 0)))</f>
        <v>{Marine Riser String}</v>
      </c>
      <c r="Q333" s="35" t="str">
        <f>IF(INDEX(Labels!C:C, MATCH(Summary!$A333, Labels!$A:$A, 0)) = 0, "", INDEX(Labels!C:C, MATCH(Summary!$A333, Labels!$A:$A, 0)))</f>
        <v>{75ft 5000ft 0.875in Buoyant}</v>
      </c>
      <c r="R333" s="33" t="str">
        <f>IF(INDEX(Labels!D:D, MATCH(Summary!$A333, Labels!$A:$A, 0)) = 0, "", INDEX(Labels!D:D, MATCH(Summary!$A333, Labels!$A:$A, 0)))</f>
        <v/>
      </c>
      <c r="S333" s="35" t="str">
        <f>IF(INDEX(Labels!E:E, MATCH(Summary!$A333, Labels!$A:$A, 0)) = 0, "", INDEX(Labels!E:E, MATCH(Summary!$A333, Labels!$A:$A, 0)))</f>
        <v/>
      </c>
      <c r="T333" s="33" t="str">
        <f>IF(INDEX(Labels!F:F, MATCH(Summary!$A333, Labels!$A:$A, 0)) = 0, "", INDEX(Labels!F:F, MATCH(Summary!$A333, Labels!$A:$A, 0)))</f>
        <v/>
      </c>
      <c r="U333" s="35" t="str">
        <f>IF(INDEX(Labels!G:G, MATCH(Summary!$A333, Labels!$A:$A, 0)) = 0, "", INDEX(Labels!G:G, MATCH(Summary!$A333, Labels!$A:$A, 0)))</f>
        <v/>
      </c>
      <c r="V333" s="62" t="str">
        <f>IF(INDEX(Labels!H:H, MATCH(Summary!$A333, Labels!$A:$A, 0)) = 0, "", INDEX(Labels!H:H, MATCH(Summary!$A333, Labels!$A:$A, 0)))</f>
        <v/>
      </c>
      <c r="W333" t="str">
        <f>IF(INDEX(Labels!I:I, MATCH(Summary!$A333, Labels!$A:$A, 0)) = 0, "", INDEX(Labels!I:I, MATCH(Summary!$A333, Labels!$A:$A, 0)))</f>
        <v/>
      </c>
      <c r="X333" t="str">
        <f>IF(INDEX(Labels!J:J, MATCH(Summary!$A333, Labels!$A:$A, 0)) = 0, "", INDEX(Labels!J:J, MATCH(Summary!$A333, Labels!$A:$A, 0)))</f>
        <v/>
      </c>
    </row>
    <row r="334" spans="1:24" x14ac:dyDescent="0.2">
      <c r="A334" s="33">
        <f>Labels!A335</f>
        <v>328</v>
      </c>
      <c r="B334" s="34">
        <f>INDEX(EchoData!B:B, MATCH(Summary!$A334, EchoData!$A:$A, 0))</f>
        <v>332</v>
      </c>
      <c r="C334" s="35">
        <f>INDEX(EchoData!C:C, MATCH(Summary!$A334, EchoData!$A:$A, 0))</f>
        <v>333</v>
      </c>
      <c r="D334" s="42">
        <f>INDEX(Displacements!B:B, MATCH(Summary!$B334, Displacements!$A:$A, 0))</f>
        <v>202.29300000000001</v>
      </c>
      <c r="E334" s="43">
        <f>INDEX(Displacements!C:C, MATCH(Summary!$B334, Displacements!$A:$A, 0))</f>
        <v>0</v>
      </c>
      <c r="F334" s="44">
        <f>INDEX(Displacements!D:D, MATCH(Summary!$B334, Displacements!$A:$A, 0))</f>
        <v>0</v>
      </c>
      <c r="G334" s="42">
        <f>INDEX(Displacements!B:B, MATCH(Summary!$C334, Displacements!$A:$A, 0))</f>
        <v>207.28</v>
      </c>
      <c r="H334" s="43">
        <f>INDEX(Displacements!C:C, MATCH(Summary!$C334, Displacements!$A:$A, 0))</f>
        <v>0</v>
      </c>
      <c r="I334" s="44">
        <f>INDEX(Displacements!D:D, MATCH(Summary!$C334, Displacements!$A:$A, 0))</f>
        <v>0</v>
      </c>
      <c r="J334" s="42">
        <f t="shared" si="10"/>
        <v>4.9869999999999948</v>
      </c>
      <c r="K334" s="49">
        <f t="shared" si="11"/>
        <v>0.99979951884522755</v>
      </c>
      <c r="L334" s="54">
        <f>INDEX('Forces+Stresses'!C:C, MATCH(Summary!$A334, 'Forces+Stresses'!$A:$A, 0))</f>
        <v>2514</v>
      </c>
      <c r="M334" s="55">
        <f>INDEX('Forces+Stresses'!D:D, MATCH(Summary!$A334, 'Forces+Stresses'!$A:$A, 0))</f>
        <v>2514</v>
      </c>
      <c r="N334" s="55">
        <f>IFERROR(INDEX('Forces+Stresses'!Q:Q, MATCH(Summary!$A334, 'Forces+Stresses'!$A:$A, 0)), INDEX(Flexjoints!D:D, MATCH(Summary!$A334, Flexjoints!$A:$A, 0)))</f>
        <v>3.9020000000000001E-8</v>
      </c>
      <c r="O334" s="56">
        <f>IFERROR(INDEX('Forces+Stresses'!R:R, MATCH(Summary!$A334, 'Forces+Stresses'!$A:$A, 0)), INDEX(Flexjoints!E:E, MATCH(Summary!$A334, Flexjoints!$A:$A, 0)))</f>
        <v>2.2189999999999998E-6</v>
      </c>
      <c r="P334" s="33" t="str">
        <f>IF(INDEX(Labels!B:B, MATCH(Summary!$A334, Labels!$A:$A, 0)) = 0, "", INDEX(Labels!B:B, MATCH(Summary!$A334, Labels!$A:$A, 0)))</f>
        <v>{Marine Riser String}</v>
      </c>
      <c r="Q334" s="35" t="str">
        <f>IF(INDEX(Labels!C:C, MATCH(Summary!$A334, Labels!$A:$A, 0)) = 0, "", INDEX(Labels!C:C, MATCH(Summary!$A334, Labels!$A:$A, 0)))</f>
        <v>{75ft 5000ft 0.875in Buoyant}</v>
      </c>
      <c r="R334" s="33" t="str">
        <f>IF(INDEX(Labels!D:D, MATCH(Summary!$A334, Labels!$A:$A, 0)) = 0, "", INDEX(Labels!D:D, MATCH(Summary!$A334, Labels!$A:$A, 0)))</f>
        <v/>
      </c>
      <c r="S334" s="35" t="str">
        <f>IF(INDEX(Labels!E:E, MATCH(Summary!$A334, Labels!$A:$A, 0)) = 0, "", INDEX(Labels!E:E, MATCH(Summary!$A334, Labels!$A:$A, 0)))</f>
        <v/>
      </c>
      <c r="T334" s="33" t="str">
        <f>IF(INDEX(Labels!F:F, MATCH(Summary!$A334, Labels!$A:$A, 0)) = 0, "", INDEX(Labels!F:F, MATCH(Summary!$A334, Labels!$A:$A, 0)))</f>
        <v/>
      </c>
      <c r="U334" s="35" t="str">
        <f>IF(INDEX(Labels!G:G, MATCH(Summary!$A334, Labels!$A:$A, 0)) = 0, "", INDEX(Labels!G:G, MATCH(Summary!$A334, Labels!$A:$A, 0)))</f>
        <v/>
      </c>
      <c r="V334" s="62" t="str">
        <f>IF(INDEX(Labels!H:H, MATCH(Summary!$A334, Labels!$A:$A, 0)) = 0, "", INDEX(Labels!H:H, MATCH(Summary!$A334, Labels!$A:$A, 0)))</f>
        <v/>
      </c>
      <c r="W334" t="str">
        <f>IF(INDEX(Labels!I:I, MATCH(Summary!$A334, Labels!$A:$A, 0)) = 0, "", INDEX(Labels!I:I, MATCH(Summary!$A334, Labels!$A:$A, 0)))</f>
        <v/>
      </c>
      <c r="X334" t="str">
        <f>IF(INDEX(Labels!J:J, MATCH(Summary!$A334, Labels!$A:$A, 0)) = 0, "", INDEX(Labels!J:J, MATCH(Summary!$A334, Labels!$A:$A, 0)))</f>
        <v/>
      </c>
    </row>
    <row r="335" spans="1:24" x14ac:dyDescent="0.2">
      <c r="A335" s="33">
        <f>Labels!A336</f>
        <v>329</v>
      </c>
      <c r="B335" s="34">
        <f>INDEX(EchoData!B:B, MATCH(Summary!$A335, EchoData!$A:$A, 0))</f>
        <v>333</v>
      </c>
      <c r="C335" s="35">
        <f>INDEX(EchoData!C:C, MATCH(Summary!$A335, EchoData!$A:$A, 0))</f>
        <v>334</v>
      </c>
      <c r="D335" s="42">
        <f>INDEX(Displacements!B:B, MATCH(Summary!$B335, Displacements!$A:$A, 0))</f>
        <v>207.28</v>
      </c>
      <c r="E335" s="43">
        <f>INDEX(Displacements!C:C, MATCH(Summary!$B335, Displacements!$A:$A, 0))</f>
        <v>0</v>
      </c>
      <c r="F335" s="44">
        <f>INDEX(Displacements!D:D, MATCH(Summary!$B335, Displacements!$A:$A, 0))</f>
        <v>0</v>
      </c>
      <c r="G335" s="42">
        <f>INDEX(Displacements!B:B, MATCH(Summary!$C335, Displacements!$A:$A, 0))</f>
        <v>212.268</v>
      </c>
      <c r="H335" s="43">
        <f>INDEX(Displacements!C:C, MATCH(Summary!$C335, Displacements!$A:$A, 0))</f>
        <v>0</v>
      </c>
      <c r="I335" s="44">
        <f>INDEX(Displacements!D:D, MATCH(Summary!$C335, Displacements!$A:$A, 0))</f>
        <v>0</v>
      </c>
      <c r="J335" s="42">
        <f t="shared" si="10"/>
        <v>4.9879999999999995</v>
      </c>
      <c r="K335" s="49">
        <f t="shared" si="11"/>
        <v>1.0002005213555254</v>
      </c>
      <c r="L335" s="54">
        <f>INDEX('Forces+Stresses'!C:C, MATCH(Summary!$A335, 'Forces+Stresses'!$A:$A, 0))</f>
        <v>2524</v>
      </c>
      <c r="M335" s="55">
        <f>INDEX('Forces+Stresses'!D:D, MATCH(Summary!$A335, 'Forces+Stresses'!$A:$A, 0))</f>
        <v>2524</v>
      </c>
      <c r="N335" s="55">
        <f>IFERROR(INDEX('Forces+Stresses'!Q:Q, MATCH(Summary!$A335, 'Forces+Stresses'!$A:$A, 0)), INDEX(Flexjoints!D:D, MATCH(Summary!$A335, Flexjoints!$A:$A, 0)))</f>
        <v>5.2010000000000001E-8</v>
      </c>
      <c r="O335" s="56">
        <f>IFERROR(INDEX('Forces+Stresses'!R:R, MATCH(Summary!$A335, 'Forces+Stresses'!$A:$A, 0)), INDEX(Flexjoints!E:E, MATCH(Summary!$A335, Flexjoints!$A:$A, 0)))</f>
        <v>2.0219999999999999E-6</v>
      </c>
      <c r="P335" s="33" t="str">
        <f>IF(INDEX(Labels!B:B, MATCH(Summary!$A335, Labels!$A:$A, 0)) = 0, "", INDEX(Labels!B:B, MATCH(Summary!$A335, Labels!$A:$A, 0)))</f>
        <v>{Marine Riser String}</v>
      </c>
      <c r="Q335" s="35" t="str">
        <f>IF(INDEX(Labels!C:C, MATCH(Summary!$A335, Labels!$A:$A, 0)) = 0, "", INDEX(Labels!C:C, MATCH(Summary!$A335, Labels!$A:$A, 0)))</f>
        <v>{75ft 5000ft 0.875in Buoyant}</v>
      </c>
      <c r="R335" s="33" t="str">
        <f>IF(INDEX(Labels!D:D, MATCH(Summary!$A335, Labels!$A:$A, 0)) = 0, "", INDEX(Labels!D:D, MATCH(Summary!$A335, Labels!$A:$A, 0)))</f>
        <v/>
      </c>
      <c r="S335" s="35" t="str">
        <f>IF(INDEX(Labels!E:E, MATCH(Summary!$A335, Labels!$A:$A, 0)) = 0, "", INDEX(Labels!E:E, MATCH(Summary!$A335, Labels!$A:$A, 0)))</f>
        <v/>
      </c>
      <c r="T335" s="33" t="str">
        <f>IF(INDEX(Labels!F:F, MATCH(Summary!$A335, Labels!$A:$A, 0)) = 0, "", INDEX(Labels!F:F, MATCH(Summary!$A335, Labels!$A:$A, 0)))</f>
        <v/>
      </c>
      <c r="U335" s="35" t="str">
        <f>IF(INDEX(Labels!G:G, MATCH(Summary!$A335, Labels!$A:$A, 0)) = 0, "", INDEX(Labels!G:G, MATCH(Summary!$A335, Labels!$A:$A, 0)))</f>
        <v/>
      </c>
      <c r="V335" s="62" t="str">
        <f>IF(INDEX(Labels!H:H, MATCH(Summary!$A335, Labels!$A:$A, 0)) = 0, "", INDEX(Labels!H:H, MATCH(Summary!$A335, Labels!$A:$A, 0)))</f>
        <v/>
      </c>
      <c r="W335" t="str">
        <f>IF(INDEX(Labels!I:I, MATCH(Summary!$A335, Labels!$A:$A, 0)) = 0, "", INDEX(Labels!I:I, MATCH(Summary!$A335, Labels!$A:$A, 0)))</f>
        <v/>
      </c>
      <c r="X335" t="str">
        <f>IF(INDEX(Labels!J:J, MATCH(Summary!$A335, Labels!$A:$A, 0)) = 0, "", INDEX(Labels!J:J, MATCH(Summary!$A335, Labels!$A:$A, 0)))</f>
        <v/>
      </c>
    </row>
    <row r="336" spans="1:24" x14ac:dyDescent="0.2">
      <c r="A336" s="33">
        <f>Labels!A337</f>
        <v>330</v>
      </c>
      <c r="B336" s="34">
        <f>INDEX(EchoData!B:B, MATCH(Summary!$A336, EchoData!$A:$A, 0))</f>
        <v>334</v>
      </c>
      <c r="C336" s="35">
        <f>INDEX(EchoData!C:C, MATCH(Summary!$A336, EchoData!$A:$A, 0))</f>
        <v>335</v>
      </c>
      <c r="D336" s="42">
        <f>INDEX(Displacements!B:B, MATCH(Summary!$B336, Displacements!$A:$A, 0))</f>
        <v>212.268</v>
      </c>
      <c r="E336" s="43">
        <f>INDEX(Displacements!C:C, MATCH(Summary!$B336, Displacements!$A:$A, 0))</f>
        <v>0</v>
      </c>
      <c r="F336" s="44">
        <f>INDEX(Displacements!D:D, MATCH(Summary!$B336, Displacements!$A:$A, 0))</f>
        <v>0</v>
      </c>
      <c r="G336" s="42">
        <f>INDEX(Displacements!B:B, MATCH(Summary!$C336, Displacements!$A:$A, 0))</f>
        <v>217.256</v>
      </c>
      <c r="H336" s="43">
        <f>INDEX(Displacements!C:C, MATCH(Summary!$C336, Displacements!$A:$A, 0))</f>
        <v>0</v>
      </c>
      <c r="I336" s="44">
        <f>INDEX(Displacements!D:D, MATCH(Summary!$C336, Displacements!$A:$A, 0))</f>
        <v>0</v>
      </c>
      <c r="J336" s="42">
        <f t="shared" si="10"/>
        <v>4.9879999999999995</v>
      </c>
      <c r="K336" s="49">
        <f t="shared" si="11"/>
        <v>1</v>
      </c>
      <c r="L336" s="54">
        <f>INDEX('Forces+Stresses'!C:C, MATCH(Summary!$A336, 'Forces+Stresses'!$A:$A, 0))</f>
        <v>2533</v>
      </c>
      <c r="M336" s="55">
        <f>INDEX('Forces+Stresses'!D:D, MATCH(Summary!$A336, 'Forces+Stresses'!$A:$A, 0))</f>
        <v>2533</v>
      </c>
      <c r="N336" s="55">
        <f>IFERROR(INDEX('Forces+Stresses'!Q:Q, MATCH(Summary!$A336, 'Forces+Stresses'!$A:$A, 0)), INDEX(Flexjoints!D:D, MATCH(Summary!$A336, Flexjoints!$A:$A, 0)))</f>
        <v>1.6400000000000001E-7</v>
      </c>
      <c r="O336" s="56">
        <f>IFERROR(INDEX('Forces+Stresses'!R:R, MATCH(Summary!$A336, 'Forces+Stresses'!$A:$A, 0)), INDEX(Flexjoints!E:E, MATCH(Summary!$A336, Flexjoints!$A:$A, 0)))</f>
        <v>2.3630000000000001E-6</v>
      </c>
      <c r="P336" s="33" t="str">
        <f>IF(INDEX(Labels!B:B, MATCH(Summary!$A336, Labels!$A:$A, 0)) = 0, "", INDEX(Labels!B:B, MATCH(Summary!$A336, Labels!$A:$A, 0)))</f>
        <v>{Marine Riser String}</v>
      </c>
      <c r="Q336" s="35" t="str">
        <f>IF(INDEX(Labels!C:C, MATCH(Summary!$A336, Labels!$A:$A, 0)) = 0, "", INDEX(Labels!C:C, MATCH(Summary!$A336, Labels!$A:$A, 0)))</f>
        <v>{75ft 5000ft 0.875in Buoyant}</v>
      </c>
      <c r="R336" s="33" t="str">
        <f>IF(INDEX(Labels!D:D, MATCH(Summary!$A336, Labels!$A:$A, 0)) = 0, "", INDEX(Labels!D:D, MATCH(Summary!$A336, Labels!$A:$A, 0)))</f>
        <v/>
      </c>
      <c r="S336" s="35" t="str">
        <f>IF(INDEX(Labels!E:E, MATCH(Summary!$A336, Labels!$A:$A, 0)) = 0, "", INDEX(Labels!E:E, MATCH(Summary!$A336, Labels!$A:$A, 0)))</f>
        <v/>
      </c>
      <c r="T336" s="33" t="str">
        <f>IF(INDEX(Labels!F:F, MATCH(Summary!$A336, Labels!$A:$A, 0)) = 0, "", INDEX(Labels!F:F, MATCH(Summary!$A336, Labels!$A:$A, 0)))</f>
        <v/>
      </c>
      <c r="U336" s="35" t="str">
        <f>IF(INDEX(Labels!G:G, MATCH(Summary!$A336, Labels!$A:$A, 0)) = 0, "", INDEX(Labels!G:G, MATCH(Summary!$A336, Labels!$A:$A, 0)))</f>
        <v/>
      </c>
      <c r="V336" s="62" t="str">
        <f>IF(INDEX(Labels!H:H, MATCH(Summary!$A336, Labels!$A:$A, 0)) = 0, "", INDEX(Labels!H:H, MATCH(Summary!$A336, Labels!$A:$A, 0)))</f>
        <v/>
      </c>
      <c r="W336" t="str">
        <f>IF(INDEX(Labels!I:I, MATCH(Summary!$A336, Labels!$A:$A, 0)) = 0, "", INDEX(Labels!I:I, MATCH(Summary!$A336, Labels!$A:$A, 0)))</f>
        <v/>
      </c>
      <c r="X336" t="str">
        <f>IF(INDEX(Labels!J:J, MATCH(Summary!$A336, Labels!$A:$A, 0)) = 0, "", INDEX(Labels!J:J, MATCH(Summary!$A336, Labels!$A:$A, 0)))</f>
        <v/>
      </c>
    </row>
    <row r="337" spans="1:24" x14ac:dyDescent="0.2">
      <c r="A337" s="33">
        <f>Labels!A338</f>
        <v>331</v>
      </c>
      <c r="B337" s="34">
        <f>INDEX(EchoData!B:B, MATCH(Summary!$A337, EchoData!$A:$A, 0))</f>
        <v>335</v>
      </c>
      <c r="C337" s="35">
        <f>INDEX(EchoData!C:C, MATCH(Summary!$A337, EchoData!$A:$A, 0))</f>
        <v>336</v>
      </c>
      <c r="D337" s="42">
        <f>INDEX(Displacements!B:B, MATCH(Summary!$B337, Displacements!$A:$A, 0))</f>
        <v>217.256</v>
      </c>
      <c r="E337" s="43">
        <f>INDEX(Displacements!C:C, MATCH(Summary!$B337, Displacements!$A:$A, 0))</f>
        <v>0</v>
      </c>
      <c r="F337" s="44">
        <f>INDEX(Displacements!D:D, MATCH(Summary!$B337, Displacements!$A:$A, 0))</f>
        <v>0</v>
      </c>
      <c r="G337" s="42">
        <f>INDEX(Displacements!B:B, MATCH(Summary!$C337, Displacements!$A:$A, 0))</f>
        <v>222.24299999999999</v>
      </c>
      <c r="H337" s="43">
        <f>INDEX(Displacements!C:C, MATCH(Summary!$C337, Displacements!$A:$A, 0))</f>
        <v>0</v>
      </c>
      <c r="I337" s="44">
        <f>INDEX(Displacements!D:D, MATCH(Summary!$C337, Displacements!$A:$A, 0))</f>
        <v>0</v>
      </c>
      <c r="J337" s="42">
        <f t="shared" si="10"/>
        <v>4.9869999999999948</v>
      </c>
      <c r="K337" s="49">
        <f t="shared" si="11"/>
        <v>0.99979951884522755</v>
      </c>
      <c r="L337" s="54">
        <f>INDEX('Forces+Stresses'!C:C, MATCH(Summary!$A337, 'Forces+Stresses'!$A:$A, 0))</f>
        <v>2542</v>
      </c>
      <c r="M337" s="55">
        <f>INDEX('Forces+Stresses'!D:D, MATCH(Summary!$A337, 'Forces+Stresses'!$A:$A, 0))</f>
        <v>2542</v>
      </c>
      <c r="N337" s="55">
        <f>IFERROR(INDEX('Forces+Stresses'!Q:Q, MATCH(Summary!$A337, 'Forces+Stresses'!$A:$A, 0)), INDEX(Flexjoints!D:D, MATCH(Summary!$A337, Flexjoints!$A:$A, 0)))</f>
        <v>1.0509999999999999E-7</v>
      </c>
      <c r="O337" s="56">
        <f>IFERROR(INDEX('Forces+Stresses'!R:R, MATCH(Summary!$A337, 'Forces+Stresses'!$A:$A, 0)), INDEX(Flexjoints!E:E, MATCH(Summary!$A337, Flexjoints!$A:$A, 0)))</f>
        <v>3.0489999999999999E-6</v>
      </c>
      <c r="P337" s="33" t="str">
        <f>IF(INDEX(Labels!B:B, MATCH(Summary!$A337, Labels!$A:$A, 0)) = 0, "", INDEX(Labels!B:B, MATCH(Summary!$A337, Labels!$A:$A, 0)))</f>
        <v>{Marine Riser String}</v>
      </c>
      <c r="Q337" s="35" t="str">
        <f>IF(INDEX(Labels!C:C, MATCH(Summary!$A337, Labels!$A:$A, 0)) = 0, "", INDEX(Labels!C:C, MATCH(Summary!$A337, Labels!$A:$A, 0)))</f>
        <v>{75ft 5000ft 0.875in Buoyant}</v>
      </c>
      <c r="R337" s="33" t="str">
        <f>IF(INDEX(Labels!D:D, MATCH(Summary!$A337, Labels!$A:$A, 0)) = 0, "", INDEX(Labels!D:D, MATCH(Summary!$A337, Labels!$A:$A, 0)))</f>
        <v/>
      </c>
      <c r="S337" s="35" t="str">
        <f>IF(INDEX(Labels!E:E, MATCH(Summary!$A337, Labels!$A:$A, 0)) = 0, "", INDEX(Labels!E:E, MATCH(Summary!$A337, Labels!$A:$A, 0)))</f>
        <v/>
      </c>
      <c r="T337" s="33" t="str">
        <f>IF(INDEX(Labels!F:F, MATCH(Summary!$A337, Labels!$A:$A, 0)) = 0, "", INDEX(Labels!F:F, MATCH(Summary!$A337, Labels!$A:$A, 0)))</f>
        <v/>
      </c>
      <c r="U337" s="35" t="str">
        <f>IF(INDEX(Labels!G:G, MATCH(Summary!$A337, Labels!$A:$A, 0)) = 0, "", INDEX(Labels!G:G, MATCH(Summary!$A337, Labels!$A:$A, 0)))</f>
        <v/>
      </c>
      <c r="V337" s="62" t="str">
        <f>IF(INDEX(Labels!H:H, MATCH(Summary!$A337, Labels!$A:$A, 0)) = 0, "", INDEX(Labels!H:H, MATCH(Summary!$A337, Labels!$A:$A, 0)))</f>
        <v/>
      </c>
      <c r="W337" t="str">
        <f>IF(INDEX(Labels!I:I, MATCH(Summary!$A337, Labels!$A:$A, 0)) = 0, "", INDEX(Labels!I:I, MATCH(Summary!$A337, Labels!$A:$A, 0)))</f>
        <v/>
      </c>
      <c r="X337" t="str">
        <f>IF(INDEX(Labels!J:J, MATCH(Summary!$A337, Labels!$A:$A, 0)) = 0, "", INDEX(Labels!J:J, MATCH(Summary!$A337, Labels!$A:$A, 0)))</f>
        <v/>
      </c>
    </row>
    <row r="338" spans="1:24" x14ac:dyDescent="0.2">
      <c r="A338" s="33">
        <f>Labels!A339</f>
        <v>332</v>
      </c>
      <c r="B338" s="34">
        <f>INDEX(EchoData!B:B, MATCH(Summary!$A338, EchoData!$A:$A, 0))</f>
        <v>336</v>
      </c>
      <c r="C338" s="35">
        <f>INDEX(EchoData!C:C, MATCH(Summary!$A338, EchoData!$A:$A, 0))</f>
        <v>337</v>
      </c>
      <c r="D338" s="42">
        <f>INDEX(Displacements!B:B, MATCH(Summary!$B338, Displacements!$A:$A, 0))</f>
        <v>222.24299999999999</v>
      </c>
      <c r="E338" s="43">
        <f>INDEX(Displacements!C:C, MATCH(Summary!$B338, Displacements!$A:$A, 0))</f>
        <v>0</v>
      </c>
      <c r="F338" s="44">
        <f>INDEX(Displacements!D:D, MATCH(Summary!$B338, Displacements!$A:$A, 0))</f>
        <v>0</v>
      </c>
      <c r="G338" s="42">
        <f>INDEX(Displacements!B:B, MATCH(Summary!$C338, Displacements!$A:$A, 0))</f>
        <v>227.23099999999999</v>
      </c>
      <c r="H338" s="43">
        <f>INDEX(Displacements!C:C, MATCH(Summary!$C338, Displacements!$A:$A, 0))</f>
        <v>0</v>
      </c>
      <c r="I338" s="44">
        <f>INDEX(Displacements!D:D, MATCH(Summary!$C338, Displacements!$A:$A, 0))</f>
        <v>0</v>
      </c>
      <c r="J338" s="42">
        <f t="shared" si="10"/>
        <v>4.9879999999999995</v>
      </c>
      <c r="K338" s="49">
        <f t="shared" si="11"/>
        <v>1.0002005213555254</v>
      </c>
      <c r="L338" s="54">
        <f>INDEX('Forces+Stresses'!C:C, MATCH(Summary!$A338, 'Forces+Stresses'!$A:$A, 0))</f>
        <v>2552</v>
      </c>
      <c r="M338" s="55">
        <f>INDEX('Forces+Stresses'!D:D, MATCH(Summary!$A338, 'Forces+Stresses'!$A:$A, 0))</f>
        <v>2552</v>
      </c>
      <c r="N338" s="55">
        <f>IFERROR(INDEX('Forces+Stresses'!Q:Q, MATCH(Summary!$A338, 'Forces+Stresses'!$A:$A, 0)), INDEX(Flexjoints!D:D, MATCH(Summary!$A338, Flexjoints!$A:$A, 0)))</f>
        <v>9.5890000000000007E-8</v>
      </c>
      <c r="O338" s="56">
        <f>IFERROR(INDEX('Forces+Stresses'!R:R, MATCH(Summary!$A338, 'Forces+Stresses'!$A:$A, 0)), INDEX(Flexjoints!E:E, MATCH(Summary!$A338, Flexjoints!$A:$A, 0)))</f>
        <v>3.0319999999999999E-6</v>
      </c>
      <c r="P338" s="33" t="str">
        <f>IF(INDEX(Labels!B:B, MATCH(Summary!$A338, Labels!$A:$A, 0)) = 0, "", INDEX(Labels!B:B, MATCH(Summary!$A338, Labels!$A:$A, 0)))</f>
        <v>{Marine Riser String}</v>
      </c>
      <c r="Q338" s="35" t="str">
        <f>IF(INDEX(Labels!C:C, MATCH(Summary!$A338, Labels!$A:$A, 0)) = 0, "", INDEX(Labels!C:C, MATCH(Summary!$A338, Labels!$A:$A, 0)))</f>
        <v>{75ft 5000ft 0.875in Buoyant}</v>
      </c>
      <c r="R338" s="33" t="str">
        <f>IF(INDEX(Labels!D:D, MATCH(Summary!$A338, Labels!$A:$A, 0)) = 0, "", INDEX(Labels!D:D, MATCH(Summary!$A338, Labels!$A:$A, 0)))</f>
        <v/>
      </c>
      <c r="S338" s="35" t="str">
        <f>IF(INDEX(Labels!E:E, MATCH(Summary!$A338, Labels!$A:$A, 0)) = 0, "", INDEX(Labels!E:E, MATCH(Summary!$A338, Labels!$A:$A, 0)))</f>
        <v/>
      </c>
      <c r="T338" s="33" t="str">
        <f>IF(INDEX(Labels!F:F, MATCH(Summary!$A338, Labels!$A:$A, 0)) = 0, "", INDEX(Labels!F:F, MATCH(Summary!$A338, Labels!$A:$A, 0)))</f>
        <v/>
      </c>
      <c r="U338" s="35" t="str">
        <f>IF(INDEX(Labels!G:G, MATCH(Summary!$A338, Labels!$A:$A, 0)) = 0, "", INDEX(Labels!G:G, MATCH(Summary!$A338, Labels!$A:$A, 0)))</f>
        <v/>
      </c>
      <c r="V338" s="62" t="str">
        <f>IF(INDEX(Labels!H:H, MATCH(Summary!$A338, Labels!$A:$A, 0)) = 0, "", INDEX(Labels!H:H, MATCH(Summary!$A338, Labels!$A:$A, 0)))</f>
        <v/>
      </c>
      <c r="W338" t="str">
        <f>IF(INDEX(Labels!I:I, MATCH(Summary!$A338, Labels!$A:$A, 0)) = 0, "", INDEX(Labels!I:I, MATCH(Summary!$A338, Labels!$A:$A, 0)))</f>
        <v/>
      </c>
      <c r="X338" t="str">
        <f>IF(INDEX(Labels!J:J, MATCH(Summary!$A338, Labels!$A:$A, 0)) = 0, "", INDEX(Labels!J:J, MATCH(Summary!$A338, Labels!$A:$A, 0)))</f>
        <v/>
      </c>
    </row>
    <row r="339" spans="1:24" x14ac:dyDescent="0.2">
      <c r="A339" s="33">
        <f>Labels!A340</f>
        <v>333</v>
      </c>
      <c r="B339" s="34">
        <f>INDEX(EchoData!B:B, MATCH(Summary!$A339, EchoData!$A:$A, 0))</f>
        <v>337</v>
      </c>
      <c r="C339" s="35">
        <f>INDEX(EchoData!C:C, MATCH(Summary!$A339, EchoData!$A:$A, 0))</f>
        <v>338</v>
      </c>
      <c r="D339" s="42">
        <f>INDEX(Displacements!B:B, MATCH(Summary!$B339, Displacements!$A:$A, 0))</f>
        <v>227.23099999999999</v>
      </c>
      <c r="E339" s="43">
        <f>INDEX(Displacements!C:C, MATCH(Summary!$B339, Displacements!$A:$A, 0))</f>
        <v>0</v>
      </c>
      <c r="F339" s="44">
        <f>INDEX(Displacements!D:D, MATCH(Summary!$B339, Displacements!$A:$A, 0))</f>
        <v>0</v>
      </c>
      <c r="G339" s="42">
        <f>INDEX(Displacements!B:B, MATCH(Summary!$C339, Displacements!$A:$A, 0))</f>
        <v>232.21899999999999</v>
      </c>
      <c r="H339" s="43">
        <f>INDEX(Displacements!C:C, MATCH(Summary!$C339, Displacements!$A:$A, 0))</f>
        <v>0</v>
      </c>
      <c r="I339" s="44">
        <f>INDEX(Displacements!D:D, MATCH(Summary!$C339, Displacements!$A:$A, 0))</f>
        <v>0</v>
      </c>
      <c r="J339" s="42">
        <f t="shared" si="10"/>
        <v>4.9879999999999995</v>
      </c>
      <c r="K339" s="49">
        <f t="shared" si="11"/>
        <v>1</v>
      </c>
      <c r="L339" s="54">
        <f>INDEX('Forces+Stresses'!C:C, MATCH(Summary!$A339, 'Forces+Stresses'!$A:$A, 0))</f>
        <v>2561</v>
      </c>
      <c r="M339" s="55">
        <f>INDEX('Forces+Stresses'!D:D, MATCH(Summary!$A339, 'Forces+Stresses'!$A:$A, 0))</f>
        <v>2561</v>
      </c>
      <c r="N339" s="55">
        <f>IFERROR(INDEX('Forces+Stresses'!Q:Q, MATCH(Summary!$A339, 'Forces+Stresses'!$A:$A, 0)), INDEX(Flexjoints!D:D, MATCH(Summary!$A339, Flexjoints!$A:$A, 0)))</f>
        <v>1.638E-7</v>
      </c>
      <c r="O339" s="56">
        <f>IFERROR(INDEX('Forces+Stresses'!R:R, MATCH(Summary!$A339, 'Forces+Stresses'!$A:$A, 0)), INDEX(Flexjoints!E:E, MATCH(Summary!$A339, Flexjoints!$A:$A, 0)))</f>
        <v>2.8260000000000001E-6</v>
      </c>
      <c r="P339" s="33" t="str">
        <f>IF(INDEX(Labels!B:B, MATCH(Summary!$A339, Labels!$A:$A, 0)) = 0, "", INDEX(Labels!B:B, MATCH(Summary!$A339, Labels!$A:$A, 0)))</f>
        <v>{Marine Riser String}</v>
      </c>
      <c r="Q339" s="35" t="str">
        <f>IF(INDEX(Labels!C:C, MATCH(Summary!$A339, Labels!$A:$A, 0)) = 0, "", INDEX(Labels!C:C, MATCH(Summary!$A339, Labels!$A:$A, 0)))</f>
        <v>{75ft 5000ft 0.875in Buoyant}</v>
      </c>
      <c r="R339" s="33" t="str">
        <f>IF(INDEX(Labels!D:D, MATCH(Summary!$A339, Labels!$A:$A, 0)) = 0, "", INDEX(Labels!D:D, MATCH(Summary!$A339, Labels!$A:$A, 0)))</f>
        <v/>
      </c>
      <c r="S339" s="35" t="str">
        <f>IF(INDEX(Labels!E:E, MATCH(Summary!$A339, Labels!$A:$A, 0)) = 0, "", INDEX(Labels!E:E, MATCH(Summary!$A339, Labels!$A:$A, 0)))</f>
        <v/>
      </c>
      <c r="T339" s="33" t="str">
        <f>IF(INDEX(Labels!F:F, MATCH(Summary!$A339, Labels!$A:$A, 0)) = 0, "", INDEX(Labels!F:F, MATCH(Summary!$A339, Labels!$A:$A, 0)))</f>
        <v/>
      </c>
      <c r="U339" s="35" t="str">
        <f>IF(INDEX(Labels!G:G, MATCH(Summary!$A339, Labels!$A:$A, 0)) = 0, "", INDEX(Labels!G:G, MATCH(Summary!$A339, Labels!$A:$A, 0)))</f>
        <v/>
      </c>
      <c r="V339" s="62" t="str">
        <f>IF(INDEX(Labels!H:H, MATCH(Summary!$A339, Labels!$A:$A, 0)) = 0, "", INDEX(Labels!H:H, MATCH(Summary!$A339, Labels!$A:$A, 0)))</f>
        <v/>
      </c>
      <c r="W339" t="str">
        <f>IF(INDEX(Labels!I:I, MATCH(Summary!$A339, Labels!$A:$A, 0)) = 0, "", INDEX(Labels!I:I, MATCH(Summary!$A339, Labels!$A:$A, 0)))</f>
        <v/>
      </c>
      <c r="X339" t="str">
        <f>IF(INDEX(Labels!J:J, MATCH(Summary!$A339, Labels!$A:$A, 0)) = 0, "", INDEX(Labels!J:J, MATCH(Summary!$A339, Labels!$A:$A, 0)))</f>
        <v/>
      </c>
    </row>
    <row r="340" spans="1:24" x14ac:dyDescent="0.2">
      <c r="A340" s="33">
        <f>Labels!A341</f>
        <v>334</v>
      </c>
      <c r="B340" s="34">
        <f>INDEX(EchoData!B:B, MATCH(Summary!$A340, EchoData!$A:$A, 0))</f>
        <v>338</v>
      </c>
      <c r="C340" s="35">
        <f>INDEX(EchoData!C:C, MATCH(Summary!$A340, EchoData!$A:$A, 0))</f>
        <v>339</v>
      </c>
      <c r="D340" s="42">
        <f>INDEX(Displacements!B:B, MATCH(Summary!$B340, Displacements!$A:$A, 0))</f>
        <v>232.21899999999999</v>
      </c>
      <c r="E340" s="43">
        <f>INDEX(Displacements!C:C, MATCH(Summary!$B340, Displacements!$A:$A, 0))</f>
        <v>0</v>
      </c>
      <c r="F340" s="44">
        <f>INDEX(Displacements!D:D, MATCH(Summary!$B340, Displacements!$A:$A, 0))</f>
        <v>0</v>
      </c>
      <c r="G340" s="42">
        <f>INDEX(Displacements!B:B, MATCH(Summary!$C340, Displacements!$A:$A, 0))</f>
        <v>237.20599999999999</v>
      </c>
      <c r="H340" s="43">
        <f>INDEX(Displacements!C:C, MATCH(Summary!$C340, Displacements!$A:$A, 0))</f>
        <v>0</v>
      </c>
      <c r="I340" s="44">
        <f>INDEX(Displacements!D:D, MATCH(Summary!$C340, Displacements!$A:$A, 0))</f>
        <v>0</v>
      </c>
      <c r="J340" s="42">
        <f t="shared" si="10"/>
        <v>4.9869999999999948</v>
      </c>
      <c r="K340" s="49">
        <f t="shared" si="11"/>
        <v>0.99979951884522755</v>
      </c>
      <c r="L340" s="54">
        <f>INDEX('Forces+Stresses'!C:C, MATCH(Summary!$A340, 'Forces+Stresses'!$A:$A, 0))</f>
        <v>2570</v>
      </c>
      <c r="M340" s="55">
        <f>INDEX('Forces+Stresses'!D:D, MATCH(Summary!$A340, 'Forces+Stresses'!$A:$A, 0))</f>
        <v>2570</v>
      </c>
      <c r="N340" s="55">
        <f>IFERROR(INDEX('Forces+Stresses'!Q:Q, MATCH(Summary!$A340, 'Forces+Stresses'!$A:$A, 0)), INDEX(Flexjoints!D:D, MATCH(Summary!$A340, Flexjoints!$A:$A, 0)))</f>
        <v>1.6850000000000001E-7</v>
      </c>
      <c r="O340" s="56">
        <f>IFERROR(INDEX('Forces+Stresses'!R:R, MATCH(Summary!$A340, 'Forces+Stresses'!$A:$A, 0)), INDEX(Flexjoints!E:E, MATCH(Summary!$A340, Flexjoints!$A:$A, 0)))</f>
        <v>2.024E-6</v>
      </c>
      <c r="P340" s="33" t="str">
        <f>IF(INDEX(Labels!B:B, MATCH(Summary!$A340, Labels!$A:$A, 0)) = 0, "", INDEX(Labels!B:B, MATCH(Summary!$A340, Labels!$A:$A, 0)))</f>
        <v>{Marine Riser String}</v>
      </c>
      <c r="Q340" s="35" t="str">
        <f>IF(INDEX(Labels!C:C, MATCH(Summary!$A340, Labels!$A:$A, 0)) = 0, "", INDEX(Labels!C:C, MATCH(Summary!$A340, Labels!$A:$A, 0)))</f>
        <v>{75ft 5000ft 0.875in Buoyant}</v>
      </c>
      <c r="R340" s="33" t="str">
        <f>IF(INDEX(Labels!D:D, MATCH(Summary!$A340, Labels!$A:$A, 0)) = 0, "", INDEX(Labels!D:D, MATCH(Summary!$A340, Labels!$A:$A, 0)))</f>
        <v/>
      </c>
      <c r="S340" s="35" t="str">
        <f>IF(INDEX(Labels!E:E, MATCH(Summary!$A340, Labels!$A:$A, 0)) = 0, "", INDEX(Labels!E:E, MATCH(Summary!$A340, Labels!$A:$A, 0)))</f>
        <v/>
      </c>
      <c r="T340" s="33" t="str">
        <f>IF(INDEX(Labels!F:F, MATCH(Summary!$A340, Labels!$A:$A, 0)) = 0, "", INDEX(Labels!F:F, MATCH(Summary!$A340, Labels!$A:$A, 0)))</f>
        <v/>
      </c>
      <c r="U340" s="35" t="str">
        <f>IF(INDEX(Labels!G:G, MATCH(Summary!$A340, Labels!$A:$A, 0)) = 0, "", INDEX(Labels!G:G, MATCH(Summary!$A340, Labels!$A:$A, 0)))</f>
        <v/>
      </c>
      <c r="V340" s="62" t="str">
        <f>IF(INDEX(Labels!H:H, MATCH(Summary!$A340, Labels!$A:$A, 0)) = 0, "", INDEX(Labels!H:H, MATCH(Summary!$A340, Labels!$A:$A, 0)))</f>
        <v/>
      </c>
      <c r="W340" t="str">
        <f>IF(INDEX(Labels!I:I, MATCH(Summary!$A340, Labels!$A:$A, 0)) = 0, "", INDEX(Labels!I:I, MATCH(Summary!$A340, Labels!$A:$A, 0)))</f>
        <v/>
      </c>
      <c r="X340" t="str">
        <f>IF(INDEX(Labels!J:J, MATCH(Summary!$A340, Labels!$A:$A, 0)) = 0, "", INDEX(Labels!J:J, MATCH(Summary!$A340, Labels!$A:$A, 0)))</f>
        <v/>
      </c>
    </row>
    <row r="341" spans="1:24" x14ac:dyDescent="0.2">
      <c r="A341" s="33">
        <f>Labels!A342</f>
        <v>335</v>
      </c>
      <c r="B341" s="34">
        <f>INDEX(EchoData!B:B, MATCH(Summary!$A341, EchoData!$A:$A, 0))</f>
        <v>339</v>
      </c>
      <c r="C341" s="35">
        <f>INDEX(EchoData!C:C, MATCH(Summary!$A341, EchoData!$A:$A, 0))</f>
        <v>340</v>
      </c>
      <c r="D341" s="42">
        <f>INDEX(Displacements!B:B, MATCH(Summary!$B341, Displacements!$A:$A, 0))</f>
        <v>237.20599999999999</v>
      </c>
      <c r="E341" s="43">
        <f>INDEX(Displacements!C:C, MATCH(Summary!$B341, Displacements!$A:$A, 0))</f>
        <v>0</v>
      </c>
      <c r="F341" s="44">
        <f>INDEX(Displacements!D:D, MATCH(Summary!$B341, Displacements!$A:$A, 0))</f>
        <v>0</v>
      </c>
      <c r="G341" s="42">
        <f>INDEX(Displacements!B:B, MATCH(Summary!$C341, Displacements!$A:$A, 0))</f>
        <v>240.57300000000001</v>
      </c>
      <c r="H341" s="43">
        <f>INDEX(Displacements!C:C, MATCH(Summary!$C341, Displacements!$A:$A, 0))</f>
        <v>0</v>
      </c>
      <c r="I341" s="44">
        <f>INDEX(Displacements!D:D, MATCH(Summary!$C341, Displacements!$A:$A, 0))</f>
        <v>0</v>
      </c>
      <c r="J341" s="42">
        <f t="shared" si="10"/>
        <v>3.3670000000000186</v>
      </c>
      <c r="K341" s="49">
        <f t="shared" si="11"/>
        <v>0.67515540405053587</v>
      </c>
      <c r="L341" s="54">
        <f>INDEX('Forces+Stresses'!C:C, MATCH(Summary!$A341, 'Forces+Stresses'!$A:$A, 0))</f>
        <v>2580</v>
      </c>
      <c r="M341" s="55">
        <f>INDEX('Forces+Stresses'!D:D, MATCH(Summary!$A341, 'Forces+Stresses'!$A:$A, 0))</f>
        <v>2580</v>
      </c>
      <c r="N341" s="55">
        <f>IFERROR(INDEX('Forces+Stresses'!Q:Q, MATCH(Summary!$A341, 'Forces+Stresses'!$A:$A, 0)), INDEX(Flexjoints!D:D, MATCH(Summary!$A341, Flexjoints!$A:$A, 0)))</f>
        <v>1.2599999999999999E-7</v>
      </c>
      <c r="O341" s="56">
        <f>IFERROR(INDEX('Forces+Stresses'!R:R, MATCH(Summary!$A341, 'Forces+Stresses'!$A:$A, 0)), INDEX(Flexjoints!E:E, MATCH(Summary!$A341, Flexjoints!$A:$A, 0)))</f>
        <v>2.199E-6</v>
      </c>
      <c r="P341" s="33" t="str">
        <f>IF(INDEX(Labels!B:B, MATCH(Summary!$A341, Labels!$A:$A, 0)) = 0, "", INDEX(Labels!B:B, MATCH(Summary!$A341, Labels!$A:$A, 0)))</f>
        <v>{Marine Riser String}</v>
      </c>
      <c r="Q341" s="35" t="str">
        <f>IF(INDEX(Labels!C:C, MATCH(Summary!$A341, Labels!$A:$A, 0)) = 0, "", INDEX(Labels!C:C, MATCH(Summary!$A341, Labels!$A:$A, 0)))</f>
        <v>{75ft 5000ft 0.875in Buoyant}</v>
      </c>
      <c r="R341" s="33" t="str">
        <f>IF(INDEX(Labels!D:D, MATCH(Summary!$A341, Labels!$A:$A, 0)) = 0, "", INDEX(Labels!D:D, MATCH(Summary!$A341, Labels!$A:$A, 0)))</f>
        <v/>
      </c>
      <c r="S341" s="35" t="str">
        <f>IF(INDEX(Labels!E:E, MATCH(Summary!$A341, Labels!$A:$A, 0)) = 0, "", INDEX(Labels!E:E, MATCH(Summary!$A341, Labels!$A:$A, 0)))</f>
        <v/>
      </c>
      <c r="T341" s="33" t="str">
        <f>IF(INDEX(Labels!F:F, MATCH(Summary!$A341, Labels!$A:$A, 0)) = 0, "", INDEX(Labels!F:F, MATCH(Summary!$A341, Labels!$A:$A, 0)))</f>
        <v/>
      </c>
      <c r="U341" s="35" t="str">
        <f>IF(INDEX(Labels!G:G, MATCH(Summary!$A341, Labels!$A:$A, 0)) = 0, "", INDEX(Labels!G:G, MATCH(Summary!$A341, Labels!$A:$A, 0)))</f>
        <v/>
      </c>
      <c r="V341" s="62" t="str">
        <f>IF(INDEX(Labels!H:H, MATCH(Summary!$A341, Labels!$A:$A, 0)) = 0, "", INDEX(Labels!H:H, MATCH(Summary!$A341, Labels!$A:$A, 0)))</f>
        <v/>
      </c>
      <c r="W341" t="str">
        <f>IF(INDEX(Labels!I:I, MATCH(Summary!$A341, Labels!$A:$A, 0)) = 0, "", INDEX(Labels!I:I, MATCH(Summary!$A341, Labels!$A:$A, 0)))</f>
        <v/>
      </c>
      <c r="X341" t="str">
        <f>IF(INDEX(Labels!J:J, MATCH(Summary!$A341, Labels!$A:$A, 0)) = 0, "", INDEX(Labels!J:J, MATCH(Summary!$A341, Labels!$A:$A, 0)))</f>
        <v/>
      </c>
    </row>
    <row r="342" spans="1:24" x14ac:dyDescent="0.2">
      <c r="A342" s="33">
        <f>Labels!A343</f>
        <v>336</v>
      </c>
      <c r="B342" s="34">
        <f>INDEX(EchoData!B:B, MATCH(Summary!$A342, EchoData!$A:$A, 0))</f>
        <v>340</v>
      </c>
      <c r="C342" s="35">
        <f>INDEX(EchoData!C:C, MATCH(Summary!$A342, EchoData!$A:$A, 0))</f>
        <v>341</v>
      </c>
      <c r="D342" s="42">
        <f>INDEX(Displacements!B:B, MATCH(Summary!$B342, Displacements!$A:$A, 0))</f>
        <v>240.57300000000001</v>
      </c>
      <c r="E342" s="43">
        <f>INDEX(Displacements!C:C, MATCH(Summary!$B342, Displacements!$A:$A, 0))</f>
        <v>0</v>
      </c>
      <c r="F342" s="44">
        <f>INDEX(Displacements!D:D, MATCH(Summary!$B342, Displacements!$A:$A, 0))</f>
        <v>0</v>
      </c>
      <c r="G342" s="42">
        <f>INDEX(Displacements!B:B, MATCH(Summary!$C342, Displacements!$A:$A, 0))</f>
        <v>242.81700000000001</v>
      </c>
      <c r="H342" s="43">
        <f>INDEX(Displacements!C:C, MATCH(Summary!$C342, Displacements!$A:$A, 0))</f>
        <v>0</v>
      </c>
      <c r="I342" s="44">
        <f>INDEX(Displacements!D:D, MATCH(Summary!$C342, Displacements!$A:$A, 0))</f>
        <v>0</v>
      </c>
      <c r="J342" s="42">
        <f t="shared" si="10"/>
        <v>2.2439999999999998</v>
      </c>
      <c r="K342" s="49">
        <f t="shared" si="11"/>
        <v>0.66646866646866276</v>
      </c>
      <c r="L342" s="54">
        <f>INDEX('Forces+Stresses'!C:C, MATCH(Summary!$A342, 'Forces+Stresses'!$A:$A, 0))</f>
        <v>2586</v>
      </c>
      <c r="M342" s="55">
        <f>INDEX('Forces+Stresses'!D:D, MATCH(Summary!$A342, 'Forces+Stresses'!$A:$A, 0))</f>
        <v>2586</v>
      </c>
      <c r="N342" s="55">
        <f>IFERROR(INDEX('Forces+Stresses'!Q:Q, MATCH(Summary!$A342, 'Forces+Stresses'!$A:$A, 0)), INDEX(Flexjoints!D:D, MATCH(Summary!$A342, Flexjoints!$A:$A, 0)))</f>
        <v>1.025E-7</v>
      </c>
      <c r="O342" s="56">
        <f>IFERROR(INDEX('Forces+Stresses'!R:R, MATCH(Summary!$A342, 'Forces+Stresses'!$A:$A, 0)), INDEX(Flexjoints!E:E, MATCH(Summary!$A342, Flexjoints!$A:$A, 0)))</f>
        <v>2.6020000000000002E-6</v>
      </c>
      <c r="P342" s="33" t="str">
        <f>IF(INDEX(Labels!B:B, MATCH(Summary!$A342, Labels!$A:$A, 0)) = 0, "", INDEX(Labels!B:B, MATCH(Summary!$A342, Labels!$A:$A, 0)))</f>
        <v>{Marine Riser String}</v>
      </c>
      <c r="Q342" s="35" t="str">
        <f>IF(INDEX(Labels!C:C, MATCH(Summary!$A342, Labels!$A:$A, 0)) = 0, "", INDEX(Labels!C:C, MATCH(Summary!$A342, Labels!$A:$A, 0)))</f>
        <v>{75ft 5000ft 0.875in Buoyant}</v>
      </c>
      <c r="R342" s="33" t="str">
        <f>IF(INDEX(Labels!D:D, MATCH(Summary!$A342, Labels!$A:$A, 0)) = 0, "", INDEX(Labels!D:D, MATCH(Summary!$A342, Labels!$A:$A, 0)))</f>
        <v/>
      </c>
      <c r="S342" s="35" t="str">
        <f>IF(INDEX(Labels!E:E, MATCH(Summary!$A342, Labels!$A:$A, 0)) = 0, "", INDEX(Labels!E:E, MATCH(Summary!$A342, Labels!$A:$A, 0)))</f>
        <v/>
      </c>
      <c r="T342" s="33" t="str">
        <f>IF(INDEX(Labels!F:F, MATCH(Summary!$A342, Labels!$A:$A, 0)) = 0, "", INDEX(Labels!F:F, MATCH(Summary!$A342, Labels!$A:$A, 0)))</f>
        <v/>
      </c>
      <c r="U342" s="35" t="str">
        <f>IF(INDEX(Labels!G:G, MATCH(Summary!$A342, Labels!$A:$A, 0)) = 0, "", INDEX(Labels!G:G, MATCH(Summary!$A342, Labels!$A:$A, 0)))</f>
        <v/>
      </c>
      <c r="V342" s="62" t="str">
        <f>IF(INDEX(Labels!H:H, MATCH(Summary!$A342, Labels!$A:$A, 0)) = 0, "", INDEX(Labels!H:H, MATCH(Summary!$A342, Labels!$A:$A, 0)))</f>
        <v/>
      </c>
      <c r="W342" t="str">
        <f>IF(INDEX(Labels!I:I, MATCH(Summary!$A342, Labels!$A:$A, 0)) = 0, "", INDEX(Labels!I:I, MATCH(Summary!$A342, Labels!$A:$A, 0)))</f>
        <v/>
      </c>
      <c r="X342" t="str">
        <f>IF(INDEX(Labels!J:J, MATCH(Summary!$A342, Labels!$A:$A, 0)) = 0, "", INDEX(Labels!J:J, MATCH(Summary!$A342, Labels!$A:$A, 0)))</f>
        <v/>
      </c>
    </row>
    <row r="343" spans="1:24" x14ac:dyDescent="0.2">
      <c r="A343" s="33">
        <f>Labels!A344</f>
        <v>337</v>
      </c>
      <c r="B343" s="34">
        <f>INDEX(EchoData!B:B, MATCH(Summary!$A343, EchoData!$A:$A, 0))</f>
        <v>341</v>
      </c>
      <c r="C343" s="35">
        <f>INDEX(EchoData!C:C, MATCH(Summary!$A343, EchoData!$A:$A, 0))</f>
        <v>342</v>
      </c>
      <c r="D343" s="42">
        <f>INDEX(Displacements!B:B, MATCH(Summary!$B343, Displacements!$A:$A, 0))</f>
        <v>242.81700000000001</v>
      </c>
      <c r="E343" s="43">
        <f>INDEX(Displacements!C:C, MATCH(Summary!$B343, Displacements!$A:$A, 0))</f>
        <v>0</v>
      </c>
      <c r="F343" s="44">
        <f>INDEX(Displacements!D:D, MATCH(Summary!$B343, Displacements!$A:$A, 0))</f>
        <v>0</v>
      </c>
      <c r="G343" s="42">
        <f>INDEX(Displacements!B:B, MATCH(Summary!$C343, Displacements!$A:$A, 0))</f>
        <v>244.31299999999999</v>
      </c>
      <c r="H343" s="43">
        <f>INDEX(Displacements!C:C, MATCH(Summary!$C343, Displacements!$A:$A, 0))</f>
        <v>0</v>
      </c>
      <c r="I343" s="44">
        <f>INDEX(Displacements!D:D, MATCH(Summary!$C343, Displacements!$A:$A, 0))</f>
        <v>0</v>
      </c>
      <c r="J343" s="42">
        <f t="shared" si="10"/>
        <v>1.4959999999999809</v>
      </c>
      <c r="K343" s="49">
        <f t="shared" si="11"/>
        <v>0.66666666666665819</v>
      </c>
      <c r="L343" s="54">
        <f>INDEX('Forces+Stresses'!C:C, MATCH(Summary!$A343, 'Forces+Stresses'!$A:$A, 0))</f>
        <v>2590</v>
      </c>
      <c r="M343" s="55">
        <f>INDEX('Forces+Stresses'!D:D, MATCH(Summary!$A343, 'Forces+Stresses'!$A:$A, 0))</f>
        <v>2590</v>
      </c>
      <c r="N343" s="55">
        <f>IFERROR(INDEX('Forces+Stresses'!Q:Q, MATCH(Summary!$A343, 'Forces+Stresses'!$A:$A, 0)), INDEX(Flexjoints!D:D, MATCH(Summary!$A343, Flexjoints!$A:$A, 0)))</f>
        <v>8.0070000000000002E-8</v>
      </c>
      <c r="O343" s="56">
        <f>IFERROR(INDEX('Forces+Stresses'!R:R, MATCH(Summary!$A343, 'Forces+Stresses'!$A:$A, 0)), INDEX(Flexjoints!E:E, MATCH(Summary!$A343, Flexjoints!$A:$A, 0)))</f>
        <v>2.7549999999999999E-6</v>
      </c>
      <c r="P343" s="33" t="str">
        <f>IF(INDEX(Labels!B:B, MATCH(Summary!$A343, Labels!$A:$A, 0)) = 0, "", INDEX(Labels!B:B, MATCH(Summary!$A343, Labels!$A:$A, 0)))</f>
        <v>{Marine Riser String}</v>
      </c>
      <c r="Q343" s="35" t="str">
        <f>IF(INDEX(Labels!C:C, MATCH(Summary!$A343, Labels!$A:$A, 0)) = 0, "", INDEX(Labels!C:C, MATCH(Summary!$A343, Labels!$A:$A, 0)))</f>
        <v>{75ft 5000ft 0.875in Buoyant}</v>
      </c>
      <c r="R343" s="33" t="str">
        <f>IF(INDEX(Labels!D:D, MATCH(Summary!$A343, Labels!$A:$A, 0)) = 0, "", INDEX(Labels!D:D, MATCH(Summary!$A343, Labels!$A:$A, 0)))</f>
        <v/>
      </c>
      <c r="S343" s="35" t="str">
        <f>IF(INDEX(Labels!E:E, MATCH(Summary!$A343, Labels!$A:$A, 0)) = 0, "", INDEX(Labels!E:E, MATCH(Summary!$A343, Labels!$A:$A, 0)))</f>
        <v/>
      </c>
      <c r="T343" s="33" t="str">
        <f>IF(INDEX(Labels!F:F, MATCH(Summary!$A343, Labels!$A:$A, 0)) = 0, "", INDEX(Labels!F:F, MATCH(Summary!$A343, Labels!$A:$A, 0)))</f>
        <v/>
      </c>
      <c r="U343" s="35" t="str">
        <f>IF(INDEX(Labels!G:G, MATCH(Summary!$A343, Labels!$A:$A, 0)) = 0, "", INDEX(Labels!G:G, MATCH(Summary!$A343, Labels!$A:$A, 0)))</f>
        <v/>
      </c>
      <c r="V343" s="62" t="str">
        <f>IF(INDEX(Labels!H:H, MATCH(Summary!$A343, Labels!$A:$A, 0)) = 0, "", INDEX(Labels!H:H, MATCH(Summary!$A343, Labels!$A:$A, 0)))</f>
        <v/>
      </c>
      <c r="W343" t="str">
        <f>IF(INDEX(Labels!I:I, MATCH(Summary!$A343, Labels!$A:$A, 0)) = 0, "", INDEX(Labels!I:I, MATCH(Summary!$A343, Labels!$A:$A, 0)))</f>
        <v/>
      </c>
      <c r="X343" t="str">
        <f>IF(INDEX(Labels!J:J, MATCH(Summary!$A343, Labels!$A:$A, 0)) = 0, "", INDEX(Labels!J:J, MATCH(Summary!$A343, Labels!$A:$A, 0)))</f>
        <v/>
      </c>
    </row>
    <row r="344" spans="1:24" x14ac:dyDescent="0.2">
      <c r="A344" s="33">
        <f>Labels!A345</f>
        <v>338</v>
      </c>
      <c r="B344" s="34">
        <f>INDEX(EchoData!B:B, MATCH(Summary!$A344, EchoData!$A:$A, 0))</f>
        <v>342</v>
      </c>
      <c r="C344" s="35">
        <f>INDEX(EchoData!C:C, MATCH(Summary!$A344, EchoData!$A:$A, 0))</f>
        <v>343</v>
      </c>
      <c r="D344" s="42">
        <f>INDEX(Displacements!B:B, MATCH(Summary!$B344, Displacements!$A:$A, 0))</f>
        <v>244.31299999999999</v>
      </c>
      <c r="E344" s="43">
        <f>INDEX(Displacements!C:C, MATCH(Summary!$B344, Displacements!$A:$A, 0))</f>
        <v>0</v>
      </c>
      <c r="F344" s="44">
        <f>INDEX(Displacements!D:D, MATCH(Summary!$B344, Displacements!$A:$A, 0))</f>
        <v>0</v>
      </c>
      <c r="G344" s="42">
        <f>INDEX(Displacements!B:B, MATCH(Summary!$C344, Displacements!$A:$A, 0))</f>
        <v>245.31100000000001</v>
      </c>
      <c r="H344" s="43">
        <f>INDEX(Displacements!C:C, MATCH(Summary!$C344, Displacements!$A:$A, 0))</f>
        <v>0</v>
      </c>
      <c r="I344" s="44">
        <f>INDEX(Displacements!D:D, MATCH(Summary!$C344, Displacements!$A:$A, 0))</f>
        <v>0</v>
      </c>
      <c r="J344" s="42">
        <f t="shared" si="10"/>
        <v>0.99800000000001887</v>
      </c>
      <c r="K344" s="49">
        <f t="shared" si="11"/>
        <v>0.66711229946526174</v>
      </c>
      <c r="L344" s="54">
        <f>INDEX('Forces+Stresses'!C:C, MATCH(Summary!$A344, 'Forces+Stresses'!$A:$A, 0))</f>
        <v>2593</v>
      </c>
      <c r="M344" s="55">
        <f>INDEX('Forces+Stresses'!D:D, MATCH(Summary!$A344, 'Forces+Stresses'!$A:$A, 0))</f>
        <v>2593</v>
      </c>
      <c r="N344" s="55">
        <f>IFERROR(INDEX('Forces+Stresses'!Q:Q, MATCH(Summary!$A344, 'Forces+Stresses'!$A:$A, 0)), INDEX(Flexjoints!D:D, MATCH(Summary!$A344, Flexjoints!$A:$A, 0)))</f>
        <v>5.1449999999999994E-8</v>
      </c>
      <c r="O344" s="56">
        <f>IFERROR(INDEX('Forces+Stresses'!R:R, MATCH(Summary!$A344, 'Forces+Stresses'!$A:$A, 0)), INDEX(Flexjoints!E:E, MATCH(Summary!$A344, Flexjoints!$A:$A, 0)))</f>
        <v>2.8119999999999999E-6</v>
      </c>
      <c r="P344" s="33" t="str">
        <f>IF(INDEX(Labels!B:B, MATCH(Summary!$A344, Labels!$A:$A, 0)) = 0, "", INDEX(Labels!B:B, MATCH(Summary!$A344, Labels!$A:$A, 0)))</f>
        <v>{Marine Riser String}</v>
      </c>
      <c r="Q344" s="35" t="str">
        <f>IF(INDEX(Labels!C:C, MATCH(Summary!$A344, Labels!$A:$A, 0)) = 0, "", INDEX(Labels!C:C, MATCH(Summary!$A344, Labels!$A:$A, 0)))</f>
        <v>{75ft 5000ft 0.875in Buoyant}</v>
      </c>
      <c r="R344" s="33" t="str">
        <f>IF(INDEX(Labels!D:D, MATCH(Summary!$A344, Labels!$A:$A, 0)) = 0, "", INDEX(Labels!D:D, MATCH(Summary!$A344, Labels!$A:$A, 0)))</f>
        <v/>
      </c>
      <c r="S344" s="35" t="str">
        <f>IF(INDEX(Labels!E:E, MATCH(Summary!$A344, Labels!$A:$A, 0)) = 0, "", INDEX(Labels!E:E, MATCH(Summary!$A344, Labels!$A:$A, 0)))</f>
        <v/>
      </c>
      <c r="T344" s="33" t="str">
        <f>IF(INDEX(Labels!F:F, MATCH(Summary!$A344, Labels!$A:$A, 0)) = 0, "", INDEX(Labels!F:F, MATCH(Summary!$A344, Labels!$A:$A, 0)))</f>
        <v/>
      </c>
      <c r="U344" s="35" t="str">
        <f>IF(INDEX(Labels!G:G, MATCH(Summary!$A344, Labels!$A:$A, 0)) = 0, "", INDEX(Labels!G:G, MATCH(Summary!$A344, Labels!$A:$A, 0)))</f>
        <v>{75ft 5000ft 0.875in Buoyant_Last}</v>
      </c>
      <c r="V344" s="62" t="str">
        <f>IF(INDEX(Labels!H:H, MATCH(Summary!$A344, Labels!$A:$A, 0)) = 0, "", INDEX(Labels!H:H, MATCH(Summary!$A344, Labels!$A:$A, 0)))</f>
        <v/>
      </c>
      <c r="W344" t="str">
        <f>IF(INDEX(Labels!I:I, MATCH(Summary!$A344, Labels!$A:$A, 0)) = 0, "", INDEX(Labels!I:I, MATCH(Summary!$A344, Labels!$A:$A, 0)))</f>
        <v/>
      </c>
      <c r="X344" t="str">
        <f>IF(INDEX(Labels!J:J, MATCH(Summary!$A344, Labels!$A:$A, 0)) = 0, "", INDEX(Labels!J:J, MATCH(Summary!$A344, Labels!$A:$A, 0)))</f>
        <v/>
      </c>
    </row>
    <row r="345" spans="1:24" x14ac:dyDescent="0.2">
      <c r="A345" s="33">
        <f>Labels!A346</f>
        <v>339</v>
      </c>
      <c r="B345" s="34">
        <f>INDEX(EchoData!B:B, MATCH(Summary!$A345, EchoData!$A:$A, 0))</f>
        <v>343</v>
      </c>
      <c r="C345" s="35">
        <f>INDEX(EchoData!C:C, MATCH(Summary!$A345, EchoData!$A:$A, 0))</f>
        <v>344</v>
      </c>
      <c r="D345" s="42">
        <f>INDEX(Displacements!B:B, MATCH(Summary!$B345, Displacements!$A:$A, 0))</f>
        <v>245.31100000000001</v>
      </c>
      <c r="E345" s="43">
        <f>INDEX(Displacements!C:C, MATCH(Summary!$B345, Displacements!$A:$A, 0))</f>
        <v>0</v>
      </c>
      <c r="F345" s="44">
        <f>INDEX(Displacements!D:D, MATCH(Summary!$B345, Displacements!$A:$A, 0))</f>
        <v>0</v>
      </c>
      <c r="G345" s="42">
        <f>INDEX(Displacements!B:B, MATCH(Summary!$C345, Displacements!$A:$A, 0))</f>
        <v>246.30199999999999</v>
      </c>
      <c r="H345" s="43">
        <f>INDEX(Displacements!C:C, MATCH(Summary!$C345, Displacements!$A:$A, 0))</f>
        <v>0</v>
      </c>
      <c r="I345" s="44">
        <f>INDEX(Displacements!D:D, MATCH(Summary!$C345, Displacements!$A:$A, 0))</f>
        <v>0</v>
      </c>
      <c r="J345" s="42">
        <f t="shared" si="10"/>
        <v>0.99099999999998545</v>
      </c>
      <c r="K345" s="49">
        <f t="shared" si="11"/>
        <v>0.99298597194385441</v>
      </c>
      <c r="L345" s="54">
        <f>INDEX('Forces+Stresses'!C:C, MATCH(Summary!$A345, 'Forces+Stresses'!$A:$A, 0))</f>
        <v>2595</v>
      </c>
      <c r="M345" s="55">
        <f>INDEX('Forces+Stresses'!D:D, MATCH(Summary!$A345, 'Forces+Stresses'!$A:$A, 0))</f>
        <v>2595</v>
      </c>
      <c r="N345" s="55">
        <f>IFERROR(INDEX('Forces+Stresses'!Q:Q, MATCH(Summary!$A345, 'Forces+Stresses'!$A:$A, 0)), INDEX(Flexjoints!D:D, MATCH(Summary!$A345, Flexjoints!$A:$A, 0)))</f>
        <v>5.6780000000000003E-8</v>
      </c>
      <c r="O345" s="56">
        <f>IFERROR(INDEX('Forces+Stresses'!R:R, MATCH(Summary!$A345, 'Forces+Stresses'!$A:$A, 0)), INDEX(Flexjoints!E:E, MATCH(Summary!$A345, Flexjoints!$A:$A, 0)))</f>
        <v>2.8149999999999997E-6</v>
      </c>
      <c r="P345" s="33" t="str">
        <f>IF(INDEX(Labels!B:B, MATCH(Summary!$A345, Labels!$A:$A, 0)) = 0, "", INDEX(Labels!B:B, MATCH(Summary!$A345, Labels!$A:$A, 0)))</f>
        <v>{Marine Riser String}</v>
      </c>
      <c r="Q345" s="35" t="str">
        <f>IF(INDEX(Labels!C:C, MATCH(Summary!$A345, Labels!$A:$A, 0)) = 0, "", INDEX(Labels!C:C, MATCH(Summary!$A345, Labels!$A:$A, 0)))</f>
        <v>{75ft 2500ft 0.875in Buoyant}</v>
      </c>
      <c r="R345" s="33" t="str">
        <f>IF(INDEX(Labels!D:D, MATCH(Summary!$A345, Labels!$A:$A, 0)) = 0, "", INDEX(Labels!D:D, MATCH(Summary!$A345, Labels!$A:$A, 0)))</f>
        <v/>
      </c>
      <c r="S345" s="35" t="str">
        <f>IF(INDEX(Labels!E:E, MATCH(Summary!$A345, Labels!$A:$A, 0)) = 0, "", INDEX(Labels!E:E, MATCH(Summary!$A345, Labels!$A:$A, 0)))</f>
        <v/>
      </c>
      <c r="T345" s="33" t="str">
        <f>IF(INDEX(Labels!F:F, MATCH(Summary!$A345, Labels!$A:$A, 0)) = 0, "", INDEX(Labels!F:F, MATCH(Summary!$A345, Labels!$A:$A, 0)))</f>
        <v>{75ft 2500ft 0.875in Buoyant_First}</v>
      </c>
      <c r="U345" s="35" t="str">
        <f>IF(INDEX(Labels!G:G, MATCH(Summary!$A345, Labels!$A:$A, 0)) = 0, "", INDEX(Labels!G:G, MATCH(Summary!$A345, Labels!$A:$A, 0)))</f>
        <v/>
      </c>
      <c r="V345" s="62" t="str">
        <f>IF(INDEX(Labels!H:H, MATCH(Summary!$A345, Labels!$A:$A, 0)) = 0, "", INDEX(Labels!H:H, MATCH(Summary!$A345, Labels!$A:$A, 0)))</f>
        <v/>
      </c>
      <c r="W345" t="str">
        <f>IF(INDEX(Labels!I:I, MATCH(Summary!$A345, Labels!$A:$A, 0)) = 0, "", INDEX(Labels!I:I, MATCH(Summary!$A345, Labels!$A:$A, 0)))</f>
        <v/>
      </c>
      <c r="X345" t="str">
        <f>IF(INDEX(Labels!J:J, MATCH(Summary!$A345, Labels!$A:$A, 0)) = 0, "", INDEX(Labels!J:J, MATCH(Summary!$A345, Labels!$A:$A, 0)))</f>
        <v/>
      </c>
    </row>
    <row r="346" spans="1:24" x14ac:dyDescent="0.2">
      <c r="A346" s="33">
        <f>Labels!A347</f>
        <v>340</v>
      </c>
      <c r="B346" s="34">
        <f>INDEX(EchoData!B:B, MATCH(Summary!$A346, EchoData!$A:$A, 0))</f>
        <v>344</v>
      </c>
      <c r="C346" s="35">
        <f>INDEX(EchoData!C:C, MATCH(Summary!$A346, EchoData!$A:$A, 0))</f>
        <v>345</v>
      </c>
      <c r="D346" s="42">
        <f>INDEX(Displacements!B:B, MATCH(Summary!$B346, Displacements!$A:$A, 0))</f>
        <v>246.30199999999999</v>
      </c>
      <c r="E346" s="43">
        <f>INDEX(Displacements!C:C, MATCH(Summary!$B346, Displacements!$A:$A, 0))</f>
        <v>0</v>
      </c>
      <c r="F346" s="44">
        <f>INDEX(Displacements!D:D, MATCH(Summary!$B346, Displacements!$A:$A, 0))</f>
        <v>0</v>
      </c>
      <c r="G346" s="42">
        <f>INDEX(Displacements!B:B, MATCH(Summary!$C346, Displacements!$A:$A, 0))</f>
        <v>247.78899999999999</v>
      </c>
      <c r="H346" s="43">
        <f>INDEX(Displacements!C:C, MATCH(Summary!$C346, Displacements!$A:$A, 0))</f>
        <v>0</v>
      </c>
      <c r="I346" s="44">
        <f>INDEX(Displacements!D:D, MATCH(Summary!$C346, Displacements!$A:$A, 0))</f>
        <v>0</v>
      </c>
      <c r="J346" s="42">
        <f t="shared" si="10"/>
        <v>1.4869999999999948</v>
      </c>
      <c r="K346" s="49">
        <f t="shared" si="11"/>
        <v>1.500504540867827</v>
      </c>
      <c r="L346" s="54">
        <f>INDEX('Forces+Stresses'!C:C, MATCH(Summary!$A346, 'Forces+Stresses'!$A:$A, 0))</f>
        <v>2596</v>
      </c>
      <c r="M346" s="55">
        <f>INDEX('Forces+Stresses'!D:D, MATCH(Summary!$A346, 'Forces+Stresses'!$A:$A, 0))</f>
        <v>2596</v>
      </c>
      <c r="N346" s="55">
        <f>IFERROR(INDEX('Forces+Stresses'!Q:Q, MATCH(Summary!$A346, 'Forces+Stresses'!$A:$A, 0)), INDEX(Flexjoints!D:D, MATCH(Summary!$A346, Flexjoints!$A:$A, 0)))</f>
        <v>1.352E-8</v>
      </c>
      <c r="O346" s="56">
        <f>IFERROR(INDEX('Forces+Stresses'!R:R, MATCH(Summary!$A346, 'Forces+Stresses'!$A:$A, 0)), INDEX(Flexjoints!E:E, MATCH(Summary!$A346, Flexjoints!$A:$A, 0)))</f>
        <v>2.7939999999999998E-6</v>
      </c>
      <c r="P346" s="33" t="str">
        <f>IF(INDEX(Labels!B:B, MATCH(Summary!$A346, Labels!$A:$A, 0)) = 0, "", INDEX(Labels!B:B, MATCH(Summary!$A346, Labels!$A:$A, 0)))</f>
        <v>{Marine Riser String}</v>
      </c>
      <c r="Q346" s="35" t="str">
        <f>IF(INDEX(Labels!C:C, MATCH(Summary!$A346, Labels!$A:$A, 0)) = 0, "", INDEX(Labels!C:C, MATCH(Summary!$A346, Labels!$A:$A, 0)))</f>
        <v>{75ft 2500ft 0.875in Buoyant}</v>
      </c>
      <c r="R346" s="33" t="str">
        <f>IF(INDEX(Labels!D:D, MATCH(Summary!$A346, Labels!$A:$A, 0)) = 0, "", INDEX(Labels!D:D, MATCH(Summary!$A346, Labels!$A:$A, 0)))</f>
        <v/>
      </c>
      <c r="S346" s="35" t="str">
        <f>IF(INDEX(Labels!E:E, MATCH(Summary!$A346, Labels!$A:$A, 0)) = 0, "", INDEX(Labels!E:E, MATCH(Summary!$A346, Labels!$A:$A, 0)))</f>
        <v/>
      </c>
      <c r="T346" s="33" t="str">
        <f>IF(INDEX(Labels!F:F, MATCH(Summary!$A346, Labels!$A:$A, 0)) = 0, "", INDEX(Labels!F:F, MATCH(Summary!$A346, Labels!$A:$A, 0)))</f>
        <v/>
      </c>
      <c r="U346" s="35" t="str">
        <f>IF(INDEX(Labels!G:G, MATCH(Summary!$A346, Labels!$A:$A, 0)) = 0, "", INDEX(Labels!G:G, MATCH(Summary!$A346, Labels!$A:$A, 0)))</f>
        <v/>
      </c>
      <c r="V346" s="62" t="str">
        <f>IF(INDEX(Labels!H:H, MATCH(Summary!$A346, Labels!$A:$A, 0)) = 0, "", INDEX(Labels!H:H, MATCH(Summary!$A346, Labels!$A:$A, 0)))</f>
        <v/>
      </c>
      <c r="W346" t="str">
        <f>IF(INDEX(Labels!I:I, MATCH(Summary!$A346, Labels!$A:$A, 0)) = 0, "", INDEX(Labels!I:I, MATCH(Summary!$A346, Labels!$A:$A, 0)))</f>
        <v/>
      </c>
      <c r="X346" t="str">
        <f>IF(INDEX(Labels!J:J, MATCH(Summary!$A346, Labels!$A:$A, 0)) = 0, "", INDEX(Labels!J:J, MATCH(Summary!$A346, Labels!$A:$A, 0)))</f>
        <v/>
      </c>
    </row>
    <row r="347" spans="1:24" x14ac:dyDescent="0.2">
      <c r="A347" s="33">
        <f>Labels!A348</f>
        <v>341</v>
      </c>
      <c r="B347" s="34">
        <f>INDEX(EchoData!B:B, MATCH(Summary!$A347, EchoData!$A:$A, 0))</f>
        <v>345</v>
      </c>
      <c r="C347" s="35">
        <f>INDEX(EchoData!C:C, MATCH(Summary!$A347, EchoData!$A:$A, 0))</f>
        <v>346</v>
      </c>
      <c r="D347" s="42">
        <f>INDEX(Displacements!B:B, MATCH(Summary!$B347, Displacements!$A:$A, 0))</f>
        <v>247.78899999999999</v>
      </c>
      <c r="E347" s="43">
        <f>INDEX(Displacements!C:C, MATCH(Summary!$B347, Displacements!$A:$A, 0))</f>
        <v>0</v>
      </c>
      <c r="F347" s="44">
        <f>INDEX(Displacements!D:D, MATCH(Summary!$B347, Displacements!$A:$A, 0))</f>
        <v>0</v>
      </c>
      <c r="G347" s="42">
        <f>INDEX(Displacements!B:B, MATCH(Summary!$C347, Displacements!$A:$A, 0))</f>
        <v>250.01900000000001</v>
      </c>
      <c r="H347" s="43">
        <f>INDEX(Displacements!C:C, MATCH(Summary!$C347, Displacements!$A:$A, 0))</f>
        <v>0</v>
      </c>
      <c r="I347" s="44">
        <f>INDEX(Displacements!D:D, MATCH(Summary!$C347, Displacements!$A:$A, 0))</f>
        <v>0</v>
      </c>
      <c r="J347" s="42">
        <f t="shared" si="10"/>
        <v>2.2300000000000182</v>
      </c>
      <c r="K347" s="49">
        <f t="shared" si="11"/>
        <v>1.4996637525218737</v>
      </c>
      <c r="L347" s="54">
        <f>INDEX('Forces+Stresses'!C:C, MATCH(Summary!$A347, 'Forces+Stresses'!$A:$A, 0))</f>
        <v>2598</v>
      </c>
      <c r="M347" s="55">
        <f>INDEX('Forces+Stresses'!D:D, MATCH(Summary!$A347, 'Forces+Stresses'!$A:$A, 0))</f>
        <v>2598</v>
      </c>
      <c r="N347" s="55">
        <f>IFERROR(INDEX('Forces+Stresses'!Q:Q, MATCH(Summary!$A347, 'Forces+Stresses'!$A:$A, 0)), INDEX(Flexjoints!D:D, MATCH(Summary!$A347, Flexjoints!$A:$A, 0)))</f>
        <v>1.5339999999999998E-7</v>
      </c>
      <c r="O347" s="56">
        <f>IFERROR(INDEX('Forces+Stresses'!R:R, MATCH(Summary!$A347, 'Forces+Stresses'!$A:$A, 0)), INDEX(Flexjoints!E:E, MATCH(Summary!$A347, Flexjoints!$A:$A, 0)))</f>
        <v>2.7139999999999998E-6</v>
      </c>
      <c r="P347" s="33" t="str">
        <f>IF(INDEX(Labels!B:B, MATCH(Summary!$A347, Labels!$A:$A, 0)) = 0, "", INDEX(Labels!B:B, MATCH(Summary!$A347, Labels!$A:$A, 0)))</f>
        <v>{Marine Riser String}</v>
      </c>
      <c r="Q347" s="35" t="str">
        <f>IF(INDEX(Labels!C:C, MATCH(Summary!$A347, Labels!$A:$A, 0)) = 0, "", INDEX(Labels!C:C, MATCH(Summary!$A347, Labels!$A:$A, 0)))</f>
        <v>{75ft 2500ft 0.875in Buoyant}</v>
      </c>
      <c r="R347" s="33" t="str">
        <f>IF(INDEX(Labels!D:D, MATCH(Summary!$A347, Labels!$A:$A, 0)) = 0, "", INDEX(Labels!D:D, MATCH(Summary!$A347, Labels!$A:$A, 0)))</f>
        <v/>
      </c>
      <c r="S347" s="35" t="str">
        <f>IF(INDEX(Labels!E:E, MATCH(Summary!$A347, Labels!$A:$A, 0)) = 0, "", INDEX(Labels!E:E, MATCH(Summary!$A347, Labels!$A:$A, 0)))</f>
        <v/>
      </c>
      <c r="T347" s="33" t="str">
        <f>IF(INDEX(Labels!F:F, MATCH(Summary!$A347, Labels!$A:$A, 0)) = 0, "", INDEX(Labels!F:F, MATCH(Summary!$A347, Labels!$A:$A, 0)))</f>
        <v/>
      </c>
      <c r="U347" s="35" t="str">
        <f>IF(INDEX(Labels!G:G, MATCH(Summary!$A347, Labels!$A:$A, 0)) = 0, "", INDEX(Labels!G:G, MATCH(Summary!$A347, Labels!$A:$A, 0)))</f>
        <v/>
      </c>
      <c r="V347" s="62" t="str">
        <f>IF(INDEX(Labels!H:H, MATCH(Summary!$A347, Labels!$A:$A, 0)) = 0, "", INDEX(Labels!H:H, MATCH(Summary!$A347, Labels!$A:$A, 0)))</f>
        <v/>
      </c>
      <c r="W347" t="str">
        <f>IF(INDEX(Labels!I:I, MATCH(Summary!$A347, Labels!$A:$A, 0)) = 0, "", INDEX(Labels!I:I, MATCH(Summary!$A347, Labels!$A:$A, 0)))</f>
        <v/>
      </c>
      <c r="X347" t="str">
        <f>IF(INDEX(Labels!J:J, MATCH(Summary!$A347, Labels!$A:$A, 0)) = 0, "", INDEX(Labels!J:J, MATCH(Summary!$A347, Labels!$A:$A, 0)))</f>
        <v/>
      </c>
    </row>
    <row r="348" spans="1:24" x14ac:dyDescent="0.2">
      <c r="A348" s="33">
        <f>Labels!A349</f>
        <v>342</v>
      </c>
      <c r="B348" s="34">
        <f>INDEX(EchoData!B:B, MATCH(Summary!$A348, EchoData!$A:$A, 0))</f>
        <v>346</v>
      </c>
      <c r="C348" s="35">
        <f>INDEX(EchoData!C:C, MATCH(Summary!$A348, EchoData!$A:$A, 0))</f>
        <v>347</v>
      </c>
      <c r="D348" s="42">
        <f>INDEX(Displacements!B:B, MATCH(Summary!$B348, Displacements!$A:$A, 0))</f>
        <v>250.01900000000001</v>
      </c>
      <c r="E348" s="43">
        <f>INDEX(Displacements!C:C, MATCH(Summary!$B348, Displacements!$A:$A, 0))</f>
        <v>0</v>
      </c>
      <c r="F348" s="44">
        <f>INDEX(Displacements!D:D, MATCH(Summary!$B348, Displacements!$A:$A, 0))</f>
        <v>0</v>
      </c>
      <c r="G348" s="42">
        <f>INDEX(Displacements!B:B, MATCH(Summary!$C348, Displacements!$A:$A, 0))</f>
        <v>253.36500000000001</v>
      </c>
      <c r="H348" s="43">
        <f>INDEX(Displacements!C:C, MATCH(Summary!$C348, Displacements!$A:$A, 0))</f>
        <v>0</v>
      </c>
      <c r="I348" s="44">
        <f>INDEX(Displacements!D:D, MATCH(Summary!$C348, Displacements!$A:$A, 0))</f>
        <v>0</v>
      </c>
      <c r="J348" s="42">
        <f t="shared" si="10"/>
        <v>3.3460000000000036</v>
      </c>
      <c r="K348" s="49">
        <f t="shared" si="11"/>
        <v>1.500448430493263</v>
      </c>
      <c r="L348" s="54">
        <f>INDEX('Forces+Stresses'!C:C, MATCH(Summary!$A348, 'Forces+Stresses'!$A:$A, 0))</f>
        <v>2601</v>
      </c>
      <c r="M348" s="55">
        <f>INDEX('Forces+Stresses'!D:D, MATCH(Summary!$A348, 'Forces+Stresses'!$A:$A, 0))</f>
        <v>2601</v>
      </c>
      <c r="N348" s="55">
        <f>IFERROR(INDEX('Forces+Stresses'!Q:Q, MATCH(Summary!$A348, 'Forces+Stresses'!$A:$A, 0)), INDEX(Flexjoints!D:D, MATCH(Summary!$A348, Flexjoints!$A:$A, 0)))</f>
        <v>1.825E-7</v>
      </c>
      <c r="O348" s="56">
        <f>IFERROR(INDEX('Forces+Stresses'!R:R, MATCH(Summary!$A348, 'Forces+Stresses'!$A:$A, 0)), INDEX(Flexjoints!E:E, MATCH(Summary!$A348, Flexjoints!$A:$A, 0)))</f>
        <v>2.537E-6</v>
      </c>
      <c r="P348" s="33" t="str">
        <f>IF(INDEX(Labels!B:B, MATCH(Summary!$A348, Labels!$A:$A, 0)) = 0, "", INDEX(Labels!B:B, MATCH(Summary!$A348, Labels!$A:$A, 0)))</f>
        <v>{Marine Riser String}</v>
      </c>
      <c r="Q348" s="35" t="str">
        <f>IF(INDEX(Labels!C:C, MATCH(Summary!$A348, Labels!$A:$A, 0)) = 0, "", INDEX(Labels!C:C, MATCH(Summary!$A348, Labels!$A:$A, 0)))</f>
        <v>{75ft 2500ft 0.875in Buoyant}</v>
      </c>
      <c r="R348" s="33" t="str">
        <f>IF(INDEX(Labels!D:D, MATCH(Summary!$A348, Labels!$A:$A, 0)) = 0, "", INDEX(Labels!D:D, MATCH(Summary!$A348, Labels!$A:$A, 0)))</f>
        <v/>
      </c>
      <c r="S348" s="35" t="str">
        <f>IF(INDEX(Labels!E:E, MATCH(Summary!$A348, Labels!$A:$A, 0)) = 0, "", INDEX(Labels!E:E, MATCH(Summary!$A348, Labels!$A:$A, 0)))</f>
        <v/>
      </c>
      <c r="T348" s="33" t="str">
        <f>IF(INDEX(Labels!F:F, MATCH(Summary!$A348, Labels!$A:$A, 0)) = 0, "", INDEX(Labels!F:F, MATCH(Summary!$A348, Labels!$A:$A, 0)))</f>
        <v/>
      </c>
      <c r="U348" s="35" t="str">
        <f>IF(INDEX(Labels!G:G, MATCH(Summary!$A348, Labels!$A:$A, 0)) = 0, "", INDEX(Labels!G:G, MATCH(Summary!$A348, Labels!$A:$A, 0)))</f>
        <v/>
      </c>
      <c r="V348" s="62" t="str">
        <f>IF(INDEX(Labels!H:H, MATCH(Summary!$A348, Labels!$A:$A, 0)) = 0, "", INDEX(Labels!H:H, MATCH(Summary!$A348, Labels!$A:$A, 0)))</f>
        <v/>
      </c>
      <c r="W348" t="str">
        <f>IF(INDEX(Labels!I:I, MATCH(Summary!$A348, Labels!$A:$A, 0)) = 0, "", INDEX(Labels!I:I, MATCH(Summary!$A348, Labels!$A:$A, 0)))</f>
        <v/>
      </c>
      <c r="X348" t="str">
        <f>IF(INDEX(Labels!J:J, MATCH(Summary!$A348, Labels!$A:$A, 0)) = 0, "", INDEX(Labels!J:J, MATCH(Summary!$A348, Labels!$A:$A, 0)))</f>
        <v/>
      </c>
    </row>
    <row r="349" spans="1:24" x14ac:dyDescent="0.2">
      <c r="A349" s="33">
        <f>Labels!A350</f>
        <v>343</v>
      </c>
      <c r="B349" s="34">
        <f>INDEX(EchoData!B:B, MATCH(Summary!$A349, EchoData!$A:$A, 0))</f>
        <v>347</v>
      </c>
      <c r="C349" s="35">
        <f>INDEX(EchoData!C:C, MATCH(Summary!$A349, EchoData!$A:$A, 0))</f>
        <v>348</v>
      </c>
      <c r="D349" s="42">
        <f>INDEX(Displacements!B:B, MATCH(Summary!$B349, Displacements!$A:$A, 0))</f>
        <v>253.36500000000001</v>
      </c>
      <c r="E349" s="43">
        <f>INDEX(Displacements!C:C, MATCH(Summary!$B349, Displacements!$A:$A, 0))</f>
        <v>0</v>
      </c>
      <c r="F349" s="44">
        <f>INDEX(Displacements!D:D, MATCH(Summary!$B349, Displacements!$A:$A, 0))</f>
        <v>0</v>
      </c>
      <c r="G349" s="42">
        <f>INDEX(Displacements!B:B, MATCH(Summary!$C349, Displacements!$A:$A, 0))</f>
        <v>258.32100000000003</v>
      </c>
      <c r="H349" s="43">
        <f>INDEX(Displacements!C:C, MATCH(Summary!$C349, Displacements!$A:$A, 0))</f>
        <v>0</v>
      </c>
      <c r="I349" s="44">
        <f>INDEX(Displacements!D:D, MATCH(Summary!$C349, Displacements!$A:$A, 0))</f>
        <v>0</v>
      </c>
      <c r="J349" s="42">
        <f t="shared" si="10"/>
        <v>4.9560000000000173</v>
      </c>
      <c r="K349" s="49">
        <f t="shared" si="11"/>
        <v>1.4811715481171583</v>
      </c>
      <c r="L349" s="54">
        <f>INDEX('Forces+Stresses'!C:C, MATCH(Summary!$A349, 'Forces+Stresses'!$A:$A, 0))</f>
        <v>2605</v>
      </c>
      <c r="M349" s="55">
        <f>INDEX('Forces+Stresses'!D:D, MATCH(Summary!$A349, 'Forces+Stresses'!$A:$A, 0))</f>
        <v>2605</v>
      </c>
      <c r="N349" s="55">
        <f>IFERROR(INDEX('Forces+Stresses'!Q:Q, MATCH(Summary!$A349, 'Forces+Stresses'!$A:$A, 0)), INDEX(Flexjoints!D:D, MATCH(Summary!$A349, Flexjoints!$A:$A, 0)))</f>
        <v>1.7380000000000001E-7</v>
      </c>
      <c r="O349" s="56">
        <f>IFERROR(INDEX('Forces+Stresses'!R:R, MATCH(Summary!$A349, 'Forces+Stresses'!$A:$A, 0)), INDEX(Flexjoints!E:E, MATCH(Summary!$A349, Flexjoints!$A:$A, 0)))</f>
        <v>2.6359999999999998E-6</v>
      </c>
      <c r="P349" s="33" t="str">
        <f>IF(INDEX(Labels!B:B, MATCH(Summary!$A349, Labels!$A:$A, 0)) = 0, "", INDEX(Labels!B:B, MATCH(Summary!$A349, Labels!$A:$A, 0)))</f>
        <v>{Marine Riser String}</v>
      </c>
      <c r="Q349" s="35" t="str">
        <f>IF(INDEX(Labels!C:C, MATCH(Summary!$A349, Labels!$A:$A, 0)) = 0, "", INDEX(Labels!C:C, MATCH(Summary!$A349, Labels!$A:$A, 0)))</f>
        <v>{75ft 2500ft 0.875in Buoyant}</v>
      </c>
      <c r="R349" s="33" t="str">
        <f>IF(INDEX(Labels!D:D, MATCH(Summary!$A349, Labels!$A:$A, 0)) = 0, "", INDEX(Labels!D:D, MATCH(Summary!$A349, Labels!$A:$A, 0)))</f>
        <v/>
      </c>
      <c r="S349" s="35" t="str">
        <f>IF(INDEX(Labels!E:E, MATCH(Summary!$A349, Labels!$A:$A, 0)) = 0, "", INDEX(Labels!E:E, MATCH(Summary!$A349, Labels!$A:$A, 0)))</f>
        <v/>
      </c>
      <c r="T349" s="33" t="str">
        <f>IF(INDEX(Labels!F:F, MATCH(Summary!$A349, Labels!$A:$A, 0)) = 0, "", INDEX(Labels!F:F, MATCH(Summary!$A349, Labels!$A:$A, 0)))</f>
        <v/>
      </c>
      <c r="U349" s="35" t="str">
        <f>IF(INDEX(Labels!G:G, MATCH(Summary!$A349, Labels!$A:$A, 0)) = 0, "", INDEX(Labels!G:G, MATCH(Summary!$A349, Labels!$A:$A, 0)))</f>
        <v/>
      </c>
      <c r="V349" s="62" t="str">
        <f>IF(INDEX(Labels!H:H, MATCH(Summary!$A349, Labels!$A:$A, 0)) = 0, "", INDEX(Labels!H:H, MATCH(Summary!$A349, Labels!$A:$A, 0)))</f>
        <v/>
      </c>
      <c r="W349" t="str">
        <f>IF(INDEX(Labels!I:I, MATCH(Summary!$A349, Labels!$A:$A, 0)) = 0, "", INDEX(Labels!I:I, MATCH(Summary!$A349, Labels!$A:$A, 0)))</f>
        <v/>
      </c>
      <c r="X349" t="str">
        <f>IF(INDEX(Labels!J:J, MATCH(Summary!$A349, Labels!$A:$A, 0)) = 0, "", INDEX(Labels!J:J, MATCH(Summary!$A349, Labels!$A:$A, 0)))</f>
        <v/>
      </c>
    </row>
    <row r="350" spans="1:24" x14ac:dyDescent="0.2">
      <c r="A350" s="33">
        <f>Labels!A351</f>
        <v>344</v>
      </c>
      <c r="B350" s="34">
        <f>INDEX(EchoData!B:B, MATCH(Summary!$A350, EchoData!$A:$A, 0))</f>
        <v>348</v>
      </c>
      <c r="C350" s="35">
        <f>INDEX(EchoData!C:C, MATCH(Summary!$A350, EchoData!$A:$A, 0))</f>
        <v>349</v>
      </c>
      <c r="D350" s="42">
        <f>INDEX(Displacements!B:B, MATCH(Summary!$B350, Displacements!$A:$A, 0))</f>
        <v>258.32100000000003</v>
      </c>
      <c r="E350" s="43">
        <f>INDEX(Displacements!C:C, MATCH(Summary!$B350, Displacements!$A:$A, 0))</f>
        <v>0</v>
      </c>
      <c r="F350" s="44">
        <f>INDEX(Displacements!D:D, MATCH(Summary!$B350, Displacements!$A:$A, 0))</f>
        <v>0</v>
      </c>
      <c r="G350" s="42">
        <f>INDEX(Displacements!B:B, MATCH(Summary!$C350, Displacements!$A:$A, 0))</f>
        <v>263.27699999999999</v>
      </c>
      <c r="H350" s="43">
        <f>INDEX(Displacements!C:C, MATCH(Summary!$C350, Displacements!$A:$A, 0))</f>
        <v>0</v>
      </c>
      <c r="I350" s="44">
        <f>INDEX(Displacements!D:D, MATCH(Summary!$C350, Displacements!$A:$A, 0))</f>
        <v>0</v>
      </c>
      <c r="J350" s="42">
        <f t="shared" si="10"/>
        <v>4.9559999999999604</v>
      </c>
      <c r="K350" s="49">
        <f t="shared" si="11"/>
        <v>0.99999999999998856</v>
      </c>
      <c r="L350" s="54">
        <f>INDEX('Forces+Stresses'!C:C, MATCH(Summary!$A350, 'Forces+Stresses'!$A:$A, 0))</f>
        <v>2612</v>
      </c>
      <c r="M350" s="55">
        <f>INDEX('Forces+Stresses'!D:D, MATCH(Summary!$A350, 'Forces+Stresses'!$A:$A, 0))</f>
        <v>2612</v>
      </c>
      <c r="N350" s="55">
        <f>IFERROR(INDEX('Forces+Stresses'!Q:Q, MATCH(Summary!$A350, 'Forces+Stresses'!$A:$A, 0)), INDEX(Flexjoints!D:D, MATCH(Summary!$A350, Flexjoints!$A:$A, 0)))</f>
        <v>1.208E-7</v>
      </c>
      <c r="O350" s="56">
        <f>IFERROR(INDEX('Forces+Stresses'!R:R, MATCH(Summary!$A350, 'Forces+Stresses'!$A:$A, 0)), INDEX(Flexjoints!E:E, MATCH(Summary!$A350, Flexjoints!$A:$A, 0)))</f>
        <v>2.2259999999999999E-6</v>
      </c>
      <c r="P350" s="33" t="str">
        <f>IF(INDEX(Labels!B:B, MATCH(Summary!$A350, Labels!$A:$A, 0)) = 0, "", INDEX(Labels!B:B, MATCH(Summary!$A350, Labels!$A:$A, 0)))</f>
        <v>{Marine Riser String}</v>
      </c>
      <c r="Q350" s="35" t="str">
        <f>IF(INDEX(Labels!C:C, MATCH(Summary!$A350, Labels!$A:$A, 0)) = 0, "", INDEX(Labels!C:C, MATCH(Summary!$A350, Labels!$A:$A, 0)))</f>
        <v>{75ft 2500ft 0.875in Buoyant}</v>
      </c>
      <c r="R350" s="33" t="str">
        <f>IF(INDEX(Labels!D:D, MATCH(Summary!$A350, Labels!$A:$A, 0)) = 0, "", INDEX(Labels!D:D, MATCH(Summary!$A350, Labels!$A:$A, 0)))</f>
        <v/>
      </c>
      <c r="S350" s="35" t="str">
        <f>IF(INDEX(Labels!E:E, MATCH(Summary!$A350, Labels!$A:$A, 0)) = 0, "", INDEX(Labels!E:E, MATCH(Summary!$A350, Labels!$A:$A, 0)))</f>
        <v/>
      </c>
      <c r="T350" s="33" t="str">
        <f>IF(INDEX(Labels!F:F, MATCH(Summary!$A350, Labels!$A:$A, 0)) = 0, "", INDEX(Labels!F:F, MATCH(Summary!$A350, Labels!$A:$A, 0)))</f>
        <v/>
      </c>
      <c r="U350" s="35" t="str">
        <f>IF(INDEX(Labels!G:G, MATCH(Summary!$A350, Labels!$A:$A, 0)) = 0, "", INDEX(Labels!G:G, MATCH(Summary!$A350, Labels!$A:$A, 0)))</f>
        <v/>
      </c>
      <c r="V350" s="62" t="str">
        <f>IF(INDEX(Labels!H:H, MATCH(Summary!$A350, Labels!$A:$A, 0)) = 0, "", INDEX(Labels!H:H, MATCH(Summary!$A350, Labels!$A:$A, 0)))</f>
        <v/>
      </c>
      <c r="W350" t="str">
        <f>IF(INDEX(Labels!I:I, MATCH(Summary!$A350, Labels!$A:$A, 0)) = 0, "", INDEX(Labels!I:I, MATCH(Summary!$A350, Labels!$A:$A, 0)))</f>
        <v/>
      </c>
      <c r="X350" t="str">
        <f>IF(INDEX(Labels!J:J, MATCH(Summary!$A350, Labels!$A:$A, 0)) = 0, "", INDEX(Labels!J:J, MATCH(Summary!$A350, Labels!$A:$A, 0)))</f>
        <v/>
      </c>
    </row>
    <row r="351" spans="1:24" x14ac:dyDescent="0.2">
      <c r="A351" s="33">
        <f>Labels!A352</f>
        <v>345</v>
      </c>
      <c r="B351" s="34">
        <f>INDEX(EchoData!B:B, MATCH(Summary!$A351, EchoData!$A:$A, 0))</f>
        <v>349</v>
      </c>
      <c r="C351" s="35">
        <f>INDEX(EchoData!C:C, MATCH(Summary!$A351, EchoData!$A:$A, 0))</f>
        <v>350</v>
      </c>
      <c r="D351" s="42">
        <f>INDEX(Displacements!B:B, MATCH(Summary!$B351, Displacements!$A:$A, 0))</f>
        <v>263.27699999999999</v>
      </c>
      <c r="E351" s="43">
        <f>INDEX(Displacements!C:C, MATCH(Summary!$B351, Displacements!$A:$A, 0))</f>
        <v>0</v>
      </c>
      <c r="F351" s="44">
        <f>INDEX(Displacements!D:D, MATCH(Summary!$B351, Displacements!$A:$A, 0))</f>
        <v>0</v>
      </c>
      <c r="G351" s="42">
        <f>INDEX(Displacements!B:B, MATCH(Summary!$C351, Displacements!$A:$A, 0))</f>
        <v>268.233</v>
      </c>
      <c r="H351" s="43">
        <f>INDEX(Displacements!C:C, MATCH(Summary!$C351, Displacements!$A:$A, 0))</f>
        <v>0</v>
      </c>
      <c r="I351" s="44">
        <f>INDEX(Displacements!D:D, MATCH(Summary!$C351, Displacements!$A:$A, 0))</f>
        <v>0</v>
      </c>
      <c r="J351" s="42">
        <f t="shared" si="10"/>
        <v>4.9560000000000173</v>
      </c>
      <c r="K351" s="49">
        <f t="shared" si="11"/>
        <v>1.0000000000000115</v>
      </c>
      <c r="L351" s="54">
        <f>INDEX('Forces+Stresses'!C:C, MATCH(Summary!$A351, 'Forces+Stresses'!$A:$A, 0))</f>
        <v>2618</v>
      </c>
      <c r="M351" s="55">
        <f>INDEX('Forces+Stresses'!D:D, MATCH(Summary!$A351, 'Forces+Stresses'!$A:$A, 0))</f>
        <v>2618</v>
      </c>
      <c r="N351" s="55">
        <f>IFERROR(INDEX('Forces+Stresses'!Q:Q, MATCH(Summary!$A351, 'Forces+Stresses'!$A:$A, 0)), INDEX(Flexjoints!D:D, MATCH(Summary!$A351, Flexjoints!$A:$A, 0)))</f>
        <v>1.121E-7</v>
      </c>
      <c r="O351" s="56">
        <f>IFERROR(INDEX('Forces+Stresses'!R:R, MATCH(Summary!$A351, 'Forces+Stresses'!$A:$A, 0)), INDEX(Flexjoints!E:E, MATCH(Summary!$A351, Flexjoints!$A:$A, 0)))</f>
        <v>2.4310000000000001E-6</v>
      </c>
      <c r="P351" s="33" t="str">
        <f>IF(INDEX(Labels!B:B, MATCH(Summary!$A351, Labels!$A:$A, 0)) = 0, "", INDEX(Labels!B:B, MATCH(Summary!$A351, Labels!$A:$A, 0)))</f>
        <v>{Marine Riser String}</v>
      </c>
      <c r="Q351" s="35" t="str">
        <f>IF(INDEX(Labels!C:C, MATCH(Summary!$A351, Labels!$A:$A, 0)) = 0, "", INDEX(Labels!C:C, MATCH(Summary!$A351, Labels!$A:$A, 0)))</f>
        <v>{75ft 2500ft 0.875in Buoyant}</v>
      </c>
      <c r="R351" s="33" t="str">
        <f>IF(INDEX(Labels!D:D, MATCH(Summary!$A351, Labels!$A:$A, 0)) = 0, "", INDEX(Labels!D:D, MATCH(Summary!$A351, Labels!$A:$A, 0)))</f>
        <v/>
      </c>
      <c r="S351" s="35" t="str">
        <f>IF(INDEX(Labels!E:E, MATCH(Summary!$A351, Labels!$A:$A, 0)) = 0, "", INDEX(Labels!E:E, MATCH(Summary!$A351, Labels!$A:$A, 0)))</f>
        <v/>
      </c>
      <c r="T351" s="33" t="str">
        <f>IF(INDEX(Labels!F:F, MATCH(Summary!$A351, Labels!$A:$A, 0)) = 0, "", INDEX(Labels!F:F, MATCH(Summary!$A351, Labels!$A:$A, 0)))</f>
        <v/>
      </c>
      <c r="U351" s="35" t="str">
        <f>IF(INDEX(Labels!G:G, MATCH(Summary!$A351, Labels!$A:$A, 0)) = 0, "", INDEX(Labels!G:G, MATCH(Summary!$A351, Labels!$A:$A, 0)))</f>
        <v/>
      </c>
      <c r="V351" s="62" t="str">
        <f>IF(INDEX(Labels!H:H, MATCH(Summary!$A351, Labels!$A:$A, 0)) = 0, "", INDEX(Labels!H:H, MATCH(Summary!$A351, Labels!$A:$A, 0)))</f>
        <v/>
      </c>
      <c r="W351" t="str">
        <f>IF(INDEX(Labels!I:I, MATCH(Summary!$A351, Labels!$A:$A, 0)) = 0, "", INDEX(Labels!I:I, MATCH(Summary!$A351, Labels!$A:$A, 0)))</f>
        <v/>
      </c>
      <c r="X351" t="str">
        <f>IF(INDEX(Labels!J:J, MATCH(Summary!$A351, Labels!$A:$A, 0)) = 0, "", INDEX(Labels!J:J, MATCH(Summary!$A351, Labels!$A:$A, 0)))</f>
        <v/>
      </c>
    </row>
    <row r="352" spans="1:24" x14ac:dyDescent="0.2">
      <c r="A352" s="33">
        <f>Labels!A353</f>
        <v>346</v>
      </c>
      <c r="B352" s="34">
        <f>INDEX(EchoData!B:B, MATCH(Summary!$A352, EchoData!$A:$A, 0))</f>
        <v>350</v>
      </c>
      <c r="C352" s="35">
        <f>INDEX(EchoData!C:C, MATCH(Summary!$A352, EchoData!$A:$A, 0))</f>
        <v>351</v>
      </c>
      <c r="D352" s="42">
        <f>INDEX(Displacements!B:B, MATCH(Summary!$B352, Displacements!$A:$A, 0))</f>
        <v>268.233</v>
      </c>
      <c r="E352" s="43">
        <f>INDEX(Displacements!C:C, MATCH(Summary!$B352, Displacements!$A:$A, 0))</f>
        <v>0</v>
      </c>
      <c r="F352" s="44">
        <f>INDEX(Displacements!D:D, MATCH(Summary!$B352, Displacements!$A:$A, 0))</f>
        <v>0</v>
      </c>
      <c r="G352" s="42">
        <f>INDEX(Displacements!B:B, MATCH(Summary!$C352, Displacements!$A:$A, 0))</f>
        <v>273.18900000000002</v>
      </c>
      <c r="H352" s="43">
        <f>INDEX(Displacements!C:C, MATCH(Summary!$C352, Displacements!$A:$A, 0))</f>
        <v>0</v>
      </c>
      <c r="I352" s="44">
        <f>INDEX(Displacements!D:D, MATCH(Summary!$C352, Displacements!$A:$A, 0))</f>
        <v>0</v>
      </c>
      <c r="J352" s="42">
        <f t="shared" si="10"/>
        <v>4.9560000000000173</v>
      </c>
      <c r="K352" s="49">
        <f t="shared" si="11"/>
        <v>1</v>
      </c>
      <c r="L352" s="54">
        <f>INDEX('Forces+Stresses'!C:C, MATCH(Summary!$A352, 'Forces+Stresses'!$A:$A, 0))</f>
        <v>2625</v>
      </c>
      <c r="M352" s="55">
        <f>INDEX('Forces+Stresses'!D:D, MATCH(Summary!$A352, 'Forces+Stresses'!$A:$A, 0))</f>
        <v>2625</v>
      </c>
      <c r="N352" s="55">
        <f>IFERROR(INDEX('Forces+Stresses'!Q:Q, MATCH(Summary!$A352, 'Forces+Stresses'!$A:$A, 0)), INDEX(Flexjoints!D:D, MATCH(Summary!$A352, Flexjoints!$A:$A, 0)))</f>
        <v>1.136E-7</v>
      </c>
      <c r="O352" s="56">
        <f>IFERROR(INDEX('Forces+Stresses'!R:R, MATCH(Summary!$A352, 'Forces+Stresses'!$A:$A, 0)), INDEX(Flexjoints!E:E, MATCH(Summary!$A352, Flexjoints!$A:$A, 0)))</f>
        <v>2.7650000000000002E-6</v>
      </c>
      <c r="P352" s="33" t="str">
        <f>IF(INDEX(Labels!B:B, MATCH(Summary!$A352, Labels!$A:$A, 0)) = 0, "", INDEX(Labels!B:B, MATCH(Summary!$A352, Labels!$A:$A, 0)))</f>
        <v>{Marine Riser String}</v>
      </c>
      <c r="Q352" s="35" t="str">
        <f>IF(INDEX(Labels!C:C, MATCH(Summary!$A352, Labels!$A:$A, 0)) = 0, "", INDEX(Labels!C:C, MATCH(Summary!$A352, Labels!$A:$A, 0)))</f>
        <v>{75ft 2500ft 0.875in Buoyant}</v>
      </c>
      <c r="R352" s="33" t="str">
        <f>IF(INDEX(Labels!D:D, MATCH(Summary!$A352, Labels!$A:$A, 0)) = 0, "", INDEX(Labels!D:D, MATCH(Summary!$A352, Labels!$A:$A, 0)))</f>
        <v/>
      </c>
      <c r="S352" s="35" t="str">
        <f>IF(INDEX(Labels!E:E, MATCH(Summary!$A352, Labels!$A:$A, 0)) = 0, "", INDEX(Labels!E:E, MATCH(Summary!$A352, Labels!$A:$A, 0)))</f>
        <v/>
      </c>
      <c r="T352" s="33" t="str">
        <f>IF(INDEX(Labels!F:F, MATCH(Summary!$A352, Labels!$A:$A, 0)) = 0, "", INDEX(Labels!F:F, MATCH(Summary!$A352, Labels!$A:$A, 0)))</f>
        <v/>
      </c>
      <c r="U352" s="35" t="str">
        <f>IF(INDEX(Labels!G:G, MATCH(Summary!$A352, Labels!$A:$A, 0)) = 0, "", INDEX(Labels!G:G, MATCH(Summary!$A352, Labels!$A:$A, 0)))</f>
        <v/>
      </c>
      <c r="V352" s="62" t="str">
        <f>IF(INDEX(Labels!H:H, MATCH(Summary!$A352, Labels!$A:$A, 0)) = 0, "", INDEX(Labels!H:H, MATCH(Summary!$A352, Labels!$A:$A, 0)))</f>
        <v/>
      </c>
      <c r="W352" t="str">
        <f>IF(INDEX(Labels!I:I, MATCH(Summary!$A352, Labels!$A:$A, 0)) = 0, "", INDEX(Labels!I:I, MATCH(Summary!$A352, Labels!$A:$A, 0)))</f>
        <v/>
      </c>
      <c r="X352" t="str">
        <f>IF(INDEX(Labels!J:J, MATCH(Summary!$A352, Labels!$A:$A, 0)) = 0, "", INDEX(Labels!J:J, MATCH(Summary!$A352, Labels!$A:$A, 0)))</f>
        <v/>
      </c>
    </row>
    <row r="353" spans="1:24" x14ac:dyDescent="0.2">
      <c r="A353" s="33">
        <f>Labels!A354</f>
        <v>347</v>
      </c>
      <c r="B353" s="34">
        <f>INDEX(EchoData!B:B, MATCH(Summary!$A353, EchoData!$A:$A, 0))</f>
        <v>351</v>
      </c>
      <c r="C353" s="35">
        <f>INDEX(EchoData!C:C, MATCH(Summary!$A353, EchoData!$A:$A, 0))</f>
        <v>352</v>
      </c>
      <c r="D353" s="42">
        <f>INDEX(Displacements!B:B, MATCH(Summary!$B353, Displacements!$A:$A, 0))</f>
        <v>273.18900000000002</v>
      </c>
      <c r="E353" s="43">
        <f>INDEX(Displacements!C:C, MATCH(Summary!$B353, Displacements!$A:$A, 0))</f>
        <v>0</v>
      </c>
      <c r="F353" s="44">
        <f>INDEX(Displacements!D:D, MATCH(Summary!$B353, Displacements!$A:$A, 0))</f>
        <v>0</v>
      </c>
      <c r="G353" s="42">
        <f>INDEX(Displacements!B:B, MATCH(Summary!$C353, Displacements!$A:$A, 0))</f>
        <v>278.14499999999998</v>
      </c>
      <c r="H353" s="43">
        <f>INDEX(Displacements!C:C, MATCH(Summary!$C353, Displacements!$A:$A, 0))</f>
        <v>0</v>
      </c>
      <c r="I353" s="44">
        <f>INDEX(Displacements!D:D, MATCH(Summary!$C353, Displacements!$A:$A, 0))</f>
        <v>0</v>
      </c>
      <c r="J353" s="42">
        <f t="shared" si="10"/>
        <v>4.9559999999999604</v>
      </c>
      <c r="K353" s="49">
        <f t="shared" si="11"/>
        <v>0.99999999999998856</v>
      </c>
      <c r="L353" s="54">
        <f>INDEX('Forces+Stresses'!C:C, MATCH(Summary!$A353, 'Forces+Stresses'!$A:$A, 0))</f>
        <v>2632</v>
      </c>
      <c r="M353" s="55">
        <f>INDEX('Forces+Stresses'!D:D, MATCH(Summary!$A353, 'Forces+Stresses'!$A:$A, 0))</f>
        <v>2632</v>
      </c>
      <c r="N353" s="55">
        <f>IFERROR(INDEX('Forces+Stresses'!Q:Q, MATCH(Summary!$A353, 'Forces+Stresses'!$A:$A, 0)), INDEX(Flexjoints!D:D, MATCH(Summary!$A353, Flexjoints!$A:$A, 0)))</f>
        <v>1.61E-7</v>
      </c>
      <c r="O353" s="56">
        <f>IFERROR(INDEX('Forces+Stresses'!R:R, MATCH(Summary!$A353, 'Forces+Stresses'!$A:$A, 0)), INDEX(Flexjoints!E:E, MATCH(Summary!$A353, Flexjoints!$A:$A, 0)))</f>
        <v>2.6359999999999998E-6</v>
      </c>
      <c r="P353" s="33" t="str">
        <f>IF(INDEX(Labels!B:B, MATCH(Summary!$A353, Labels!$A:$A, 0)) = 0, "", INDEX(Labels!B:B, MATCH(Summary!$A353, Labels!$A:$A, 0)))</f>
        <v>{Marine Riser String}</v>
      </c>
      <c r="Q353" s="35" t="str">
        <f>IF(INDEX(Labels!C:C, MATCH(Summary!$A353, Labels!$A:$A, 0)) = 0, "", INDEX(Labels!C:C, MATCH(Summary!$A353, Labels!$A:$A, 0)))</f>
        <v>{75ft 2500ft 0.875in Buoyant}</v>
      </c>
      <c r="R353" s="33" t="str">
        <f>IF(INDEX(Labels!D:D, MATCH(Summary!$A353, Labels!$A:$A, 0)) = 0, "", INDEX(Labels!D:D, MATCH(Summary!$A353, Labels!$A:$A, 0)))</f>
        <v/>
      </c>
      <c r="S353" s="35" t="str">
        <f>IF(INDEX(Labels!E:E, MATCH(Summary!$A353, Labels!$A:$A, 0)) = 0, "", INDEX(Labels!E:E, MATCH(Summary!$A353, Labels!$A:$A, 0)))</f>
        <v/>
      </c>
      <c r="T353" s="33" t="str">
        <f>IF(INDEX(Labels!F:F, MATCH(Summary!$A353, Labels!$A:$A, 0)) = 0, "", INDEX(Labels!F:F, MATCH(Summary!$A353, Labels!$A:$A, 0)))</f>
        <v/>
      </c>
      <c r="U353" s="35" t="str">
        <f>IF(INDEX(Labels!G:G, MATCH(Summary!$A353, Labels!$A:$A, 0)) = 0, "", INDEX(Labels!G:G, MATCH(Summary!$A353, Labels!$A:$A, 0)))</f>
        <v/>
      </c>
      <c r="V353" s="62" t="str">
        <f>IF(INDEX(Labels!H:H, MATCH(Summary!$A353, Labels!$A:$A, 0)) = 0, "", INDEX(Labels!H:H, MATCH(Summary!$A353, Labels!$A:$A, 0)))</f>
        <v/>
      </c>
      <c r="W353" t="str">
        <f>IF(INDEX(Labels!I:I, MATCH(Summary!$A353, Labels!$A:$A, 0)) = 0, "", INDEX(Labels!I:I, MATCH(Summary!$A353, Labels!$A:$A, 0)))</f>
        <v/>
      </c>
      <c r="X353" t="str">
        <f>IF(INDEX(Labels!J:J, MATCH(Summary!$A353, Labels!$A:$A, 0)) = 0, "", INDEX(Labels!J:J, MATCH(Summary!$A353, Labels!$A:$A, 0)))</f>
        <v/>
      </c>
    </row>
    <row r="354" spans="1:24" x14ac:dyDescent="0.2">
      <c r="A354" s="33">
        <f>Labels!A355</f>
        <v>348</v>
      </c>
      <c r="B354" s="34">
        <f>INDEX(EchoData!B:B, MATCH(Summary!$A354, EchoData!$A:$A, 0))</f>
        <v>352</v>
      </c>
      <c r="C354" s="35">
        <f>INDEX(EchoData!C:C, MATCH(Summary!$A354, EchoData!$A:$A, 0))</f>
        <v>353</v>
      </c>
      <c r="D354" s="42">
        <f>INDEX(Displacements!B:B, MATCH(Summary!$B354, Displacements!$A:$A, 0))</f>
        <v>278.14499999999998</v>
      </c>
      <c r="E354" s="43">
        <f>INDEX(Displacements!C:C, MATCH(Summary!$B354, Displacements!$A:$A, 0))</f>
        <v>0</v>
      </c>
      <c r="F354" s="44">
        <f>INDEX(Displacements!D:D, MATCH(Summary!$B354, Displacements!$A:$A, 0))</f>
        <v>0</v>
      </c>
      <c r="G354" s="42">
        <f>INDEX(Displacements!B:B, MATCH(Summary!$C354, Displacements!$A:$A, 0))</f>
        <v>283.101</v>
      </c>
      <c r="H354" s="43">
        <f>INDEX(Displacements!C:C, MATCH(Summary!$C354, Displacements!$A:$A, 0))</f>
        <v>0</v>
      </c>
      <c r="I354" s="44">
        <f>INDEX(Displacements!D:D, MATCH(Summary!$C354, Displacements!$A:$A, 0))</f>
        <v>0</v>
      </c>
      <c r="J354" s="42">
        <f t="shared" si="10"/>
        <v>4.9560000000000173</v>
      </c>
      <c r="K354" s="49">
        <f t="shared" si="11"/>
        <v>1.0000000000000115</v>
      </c>
      <c r="L354" s="54">
        <f>INDEX('Forces+Stresses'!C:C, MATCH(Summary!$A354, 'Forces+Stresses'!$A:$A, 0))</f>
        <v>2638</v>
      </c>
      <c r="M354" s="55">
        <f>INDEX('Forces+Stresses'!D:D, MATCH(Summary!$A354, 'Forces+Stresses'!$A:$A, 0))</f>
        <v>2638</v>
      </c>
      <c r="N354" s="55">
        <f>IFERROR(INDEX('Forces+Stresses'!Q:Q, MATCH(Summary!$A354, 'Forces+Stresses'!$A:$A, 0)), INDEX(Flexjoints!D:D, MATCH(Summary!$A354, Flexjoints!$A:$A, 0)))</f>
        <v>7.3120000000000009E-8</v>
      </c>
      <c r="O354" s="56">
        <f>IFERROR(INDEX('Forces+Stresses'!R:R, MATCH(Summary!$A354, 'Forces+Stresses'!$A:$A, 0)), INDEX(Flexjoints!E:E, MATCH(Summary!$A354, Flexjoints!$A:$A, 0)))</f>
        <v>2.148E-6</v>
      </c>
      <c r="P354" s="33" t="str">
        <f>IF(INDEX(Labels!B:B, MATCH(Summary!$A354, Labels!$A:$A, 0)) = 0, "", INDEX(Labels!B:B, MATCH(Summary!$A354, Labels!$A:$A, 0)))</f>
        <v>{Marine Riser String}</v>
      </c>
      <c r="Q354" s="35" t="str">
        <f>IF(INDEX(Labels!C:C, MATCH(Summary!$A354, Labels!$A:$A, 0)) = 0, "", INDEX(Labels!C:C, MATCH(Summary!$A354, Labels!$A:$A, 0)))</f>
        <v>{75ft 2500ft 0.875in Buoyant}</v>
      </c>
      <c r="R354" s="33" t="str">
        <f>IF(INDEX(Labels!D:D, MATCH(Summary!$A354, Labels!$A:$A, 0)) = 0, "", INDEX(Labels!D:D, MATCH(Summary!$A354, Labels!$A:$A, 0)))</f>
        <v/>
      </c>
      <c r="S354" s="35" t="str">
        <f>IF(INDEX(Labels!E:E, MATCH(Summary!$A354, Labels!$A:$A, 0)) = 0, "", INDEX(Labels!E:E, MATCH(Summary!$A354, Labels!$A:$A, 0)))</f>
        <v/>
      </c>
      <c r="T354" s="33" t="str">
        <f>IF(INDEX(Labels!F:F, MATCH(Summary!$A354, Labels!$A:$A, 0)) = 0, "", INDEX(Labels!F:F, MATCH(Summary!$A354, Labels!$A:$A, 0)))</f>
        <v/>
      </c>
      <c r="U354" s="35" t="str">
        <f>IF(INDEX(Labels!G:G, MATCH(Summary!$A354, Labels!$A:$A, 0)) = 0, "", INDEX(Labels!G:G, MATCH(Summary!$A354, Labels!$A:$A, 0)))</f>
        <v/>
      </c>
      <c r="V354" s="62" t="str">
        <f>IF(INDEX(Labels!H:H, MATCH(Summary!$A354, Labels!$A:$A, 0)) = 0, "", INDEX(Labels!H:H, MATCH(Summary!$A354, Labels!$A:$A, 0)))</f>
        <v/>
      </c>
      <c r="W354" t="str">
        <f>IF(INDEX(Labels!I:I, MATCH(Summary!$A354, Labels!$A:$A, 0)) = 0, "", INDEX(Labels!I:I, MATCH(Summary!$A354, Labels!$A:$A, 0)))</f>
        <v/>
      </c>
      <c r="X354" t="str">
        <f>IF(INDEX(Labels!J:J, MATCH(Summary!$A354, Labels!$A:$A, 0)) = 0, "", INDEX(Labels!J:J, MATCH(Summary!$A354, Labels!$A:$A, 0)))</f>
        <v/>
      </c>
    </row>
    <row r="355" spans="1:24" x14ac:dyDescent="0.2">
      <c r="A355" s="33">
        <f>Labels!A356</f>
        <v>349</v>
      </c>
      <c r="B355" s="34">
        <f>INDEX(EchoData!B:B, MATCH(Summary!$A355, EchoData!$A:$A, 0))</f>
        <v>353</v>
      </c>
      <c r="C355" s="35">
        <f>INDEX(EchoData!C:C, MATCH(Summary!$A355, EchoData!$A:$A, 0))</f>
        <v>354</v>
      </c>
      <c r="D355" s="42">
        <f>INDEX(Displacements!B:B, MATCH(Summary!$B355, Displacements!$A:$A, 0))</f>
        <v>283.101</v>
      </c>
      <c r="E355" s="43">
        <f>INDEX(Displacements!C:C, MATCH(Summary!$B355, Displacements!$A:$A, 0))</f>
        <v>0</v>
      </c>
      <c r="F355" s="44">
        <f>INDEX(Displacements!D:D, MATCH(Summary!$B355, Displacements!$A:$A, 0))</f>
        <v>0</v>
      </c>
      <c r="G355" s="42">
        <f>INDEX(Displacements!B:B, MATCH(Summary!$C355, Displacements!$A:$A, 0))</f>
        <v>288.05700000000002</v>
      </c>
      <c r="H355" s="43">
        <f>INDEX(Displacements!C:C, MATCH(Summary!$C355, Displacements!$A:$A, 0))</f>
        <v>0</v>
      </c>
      <c r="I355" s="44">
        <f>INDEX(Displacements!D:D, MATCH(Summary!$C355, Displacements!$A:$A, 0))</f>
        <v>0</v>
      </c>
      <c r="J355" s="42">
        <f t="shared" si="10"/>
        <v>4.9560000000000173</v>
      </c>
      <c r="K355" s="49">
        <f t="shared" si="11"/>
        <v>1</v>
      </c>
      <c r="L355" s="54">
        <f>INDEX('Forces+Stresses'!C:C, MATCH(Summary!$A355, 'Forces+Stresses'!$A:$A, 0))</f>
        <v>2645</v>
      </c>
      <c r="M355" s="55">
        <f>INDEX('Forces+Stresses'!D:D, MATCH(Summary!$A355, 'Forces+Stresses'!$A:$A, 0))</f>
        <v>2645</v>
      </c>
      <c r="N355" s="55">
        <f>IFERROR(INDEX('Forces+Stresses'!Q:Q, MATCH(Summary!$A355, 'Forces+Stresses'!$A:$A, 0)), INDEX(Flexjoints!D:D, MATCH(Summary!$A355, Flexjoints!$A:$A, 0)))</f>
        <v>1.5510000000000001E-7</v>
      </c>
      <c r="O355" s="56">
        <f>IFERROR(INDEX('Forces+Stresses'!R:R, MATCH(Summary!$A355, 'Forces+Stresses'!$A:$A, 0)), INDEX(Flexjoints!E:E, MATCH(Summary!$A355, Flexjoints!$A:$A, 0)))</f>
        <v>2.0890000000000002E-6</v>
      </c>
      <c r="P355" s="33" t="str">
        <f>IF(INDEX(Labels!B:B, MATCH(Summary!$A355, Labels!$A:$A, 0)) = 0, "", INDEX(Labels!B:B, MATCH(Summary!$A355, Labels!$A:$A, 0)))</f>
        <v>{Marine Riser String}</v>
      </c>
      <c r="Q355" s="35" t="str">
        <f>IF(INDEX(Labels!C:C, MATCH(Summary!$A355, Labels!$A:$A, 0)) = 0, "", INDEX(Labels!C:C, MATCH(Summary!$A355, Labels!$A:$A, 0)))</f>
        <v>{75ft 2500ft 0.875in Buoyant}</v>
      </c>
      <c r="R355" s="33" t="str">
        <f>IF(INDEX(Labels!D:D, MATCH(Summary!$A355, Labels!$A:$A, 0)) = 0, "", INDEX(Labels!D:D, MATCH(Summary!$A355, Labels!$A:$A, 0)))</f>
        <v/>
      </c>
      <c r="S355" s="35" t="str">
        <f>IF(INDEX(Labels!E:E, MATCH(Summary!$A355, Labels!$A:$A, 0)) = 0, "", INDEX(Labels!E:E, MATCH(Summary!$A355, Labels!$A:$A, 0)))</f>
        <v/>
      </c>
      <c r="T355" s="33" t="str">
        <f>IF(INDEX(Labels!F:F, MATCH(Summary!$A355, Labels!$A:$A, 0)) = 0, "", INDEX(Labels!F:F, MATCH(Summary!$A355, Labels!$A:$A, 0)))</f>
        <v/>
      </c>
      <c r="U355" s="35" t="str">
        <f>IF(INDEX(Labels!G:G, MATCH(Summary!$A355, Labels!$A:$A, 0)) = 0, "", INDEX(Labels!G:G, MATCH(Summary!$A355, Labels!$A:$A, 0)))</f>
        <v/>
      </c>
      <c r="V355" s="62" t="str">
        <f>IF(INDEX(Labels!H:H, MATCH(Summary!$A355, Labels!$A:$A, 0)) = 0, "", INDEX(Labels!H:H, MATCH(Summary!$A355, Labels!$A:$A, 0)))</f>
        <v/>
      </c>
      <c r="W355" t="str">
        <f>IF(INDEX(Labels!I:I, MATCH(Summary!$A355, Labels!$A:$A, 0)) = 0, "", INDEX(Labels!I:I, MATCH(Summary!$A355, Labels!$A:$A, 0)))</f>
        <v/>
      </c>
      <c r="X355" t="str">
        <f>IF(INDEX(Labels!J:J, MATCH(Summary!$A355, Labels!$A:$A, 0)) = 0, "", INDEX(Labels!J:J, MATCH(Summary!$A355, Labels!$A:$A, 0)))</f>
        <v/>
      </c>
    </row>
    <row r="356" spans="1:24" x14ac:dyDescent="0.2">
      <c r="A356" s="33">
        <f>Labels!A357</f>
        <v>350</v>
      </c>
      <c r="B356" s="34">
        <f>INDEX(EchoData!B:B, MATCH(Summary!$A356, EchoData!$A:$A, 0))</f>
        <v>354</v>
      </c>
      <c r="C356" s="35">
        <f>INDEX(EchoData!C:C, MATCH(Summary!$A356, EchoData!$A:$A, 0))</f>
        <v>355</v>
      </c>
      <c r="D356" s="42">
        <f>INDEX(Displacements!B:B, MATCH(Summary!$B356, Displacements!$A:$A, 0))</f>
        <v>288.05700000000002</v>
      </c>
      <c r="E356" s="43">
        <f>INDEX(Displacements!C:C, MATCH(Summary!$B356, Displacements!$A:$A, 0))</f>
        <v>0</v>
      </c>
      <c r="F356" s="44">
        <f>INDEX(Displacements!D:D, MATCH(Summary!$B356, Displacements!$A:$A, 0))</f>
        <v>0</v>
      </c>
      <c r="G356" s="42">
        <f>INDEX(Displacements!B:B, MATCH(Summary!$C356, Displacements!$A:$A, 0))</f>
        <v>293.01299999999998</v>
      </c>
      <c r="H356" s="43">
        <f>INDEX(Displacements!C:C, MATCH(Summary!$C356, Displacements!$A:$A, 0))</f>
        <v>0</v>
      </c>
      <c r="I356" s="44">
        <f>INDEX(Displacements!D:D, MATCH(Summary!$C356, Displacements!$A:$A, 0))</f>
        <v>0</v>
      </c>
      <c r="J356" s="42">
        <f t="shared" si="10"/>
        <v>4.9559999999999604</v>
      </c>
      <c r="K356" s="49">
        <f t="shared" si="11"/>
        <v>0.99999999999998856</v>
      </c>
      <c r="L356" s="54">
        <f>INDEX('Forces+Stresses'!C:C, MATCH(Summary!$A356, 'Forces+Stresses'!$A:$A, 0))</f>
        <v>2651</v>
      </c>
      <c r="M356" s="55">
        <f>INDEX('Forces+Stresses'!D:D, MATCH(Summary!$A356, 'Forces+Stresses'!$A:$A, 0))</f>
        <v>2651</v>
      </c>
      <c r="N356" s="55">
        <f>IFERROR(INDEX('Forces+Stresses'!Q:Q, MATCH(Summary!$A356, 'Forces+Stresses'!$A:$A, 0)), INDEX(Flexjoints!D:D, MATCH(Summary!$A356, Flexjoints!$A:$A, 0)))</f>
        <v>1.085E-7</v>
      </c>
      <c r="O356" s="56">
        <f>IFERROR(INDEX('Forces+Stresses'!R:R, MATCH(Summary!$A356, 'Forces+Stresses'!$A:$A, 0)), INDEX(Flexjoints!E:E, MATCH(Summary!$A356, Flexjoints!$A:$A, 0)))</f>
        <v>2.2980000000000003E-6</v>
      </c>
      <c r="P356" s="33" t="str">
        <f>IF(INDEX(Labels!B:B, MATCH(Summary!$A356, Labels!$A:$A, 0)) = 0, "", INDEX(Labels!B:B, MATCH(Summary!$A356, Labels!$A:$A, 0)))</f>
        <v>{Marine Riser String}</v>
      </c>
      <c r="Q356" s="35" t="str">
        <f>IF(INDEX(Labels!C:C, MATCH(Summary!$A356, Labels!$A:$A, 0)) = 0, "", INDEX(Labels!C:C, MATCH(Summary!$A356, Labels!$A:$A, 0)))</f>
        <v>{75ft 2500ft 0.875in Buoyant}</v>
      </c>
      <c r="R356" s="33" t="str">
        <f>IF(INDEX(Labels!D:D, MATCH(Summary!$A356, Labels!$A:$A, 0)) = 0, "", INDEX(Labels!D:D, MATCH(Summary!$A356, Labels!$A:$A, 0)))</f>
        <v/>
      </c>
      <c r="S356" s="35" t="str">
        <f>IF(INDEX(Labels!E:E, MATCH(Summary!$A356, Labels!$A:$A, 0)) = 0, "", INDEX(Labels!E:E, MATCH(Summary!$A356, Labels!$A:$A, 0)))</f>
        <v/>
      </c>
      <c r="T356" s="33" t="str">
        <f>IF(INDEX(Labels!F:F, MATCH(Summary!$A356, Labels!$A:$A, 0)) = 0, "", INDEX(Labels!F:F, MATCH(Summary!$A356, Labels!$A:$A, 0)))</f>
        <v/>
      </c>
      <c r="U356" s="35" t="str">
        <f>IF(INDEX(Labels!G:G, MATCH(Summary!$A356, Labels!$A:$A, 0)) = 0, "", INDEX(Labels!G:G, MATCH(Summary!$A356, Labels!$A:$A, 0)))</f>
        <v/>
      </c>
      <c r="V356" s="62" t="str">
        <f>IF(INDEX(Labels!H:H, MATCH(Summary!$A356, Labels!$A:$A, 0)) = 0, "", INDEX(Labels!H:H, MATCH(Summary!$A356, Labels!$A:$A, 0)))</f>
        <v/>
      </c>
      <c r="W356" t="str">
        <f>IF(INDEX(Labels!I:I, MATCH(Summary!$A356, Labels!$A:$A, 0)) = 0, "", INDEX(Labels!I:I, MATCH(Summary!$A356, Labels!$A:$A, 0)))</f>
        <v/>
      </c>
      <c r="X356" t="str">
        <f>IF(INDEX(Labels!J:J, MATCH(Summary!$A356, Labels!$A:$A, 0)) = 0, "", INDEX(Labels!J:J, MATCH(Summary!$A356, Labels!$A:$A, 0)))</f>
        <v/>
      </c>
    </row>
    <row r="357" spans="1:24" x14ac:dyDescent="0.2">
      <c r="A357" s="33">
        <f>Labels!A358</f>
        <v>351</v>
      </c>
      <c r="B357" s="34">
        <f>INDEX(EchoData!B:B, MATCH(Summary!$A357, EchoData!$A:$A, 0))</f>
        <v>355</v>
      </c>
      <c r="C357" s="35">
        <f>INDEX(EchoData!C:C, MATCH(Summary!$A357, EchoData!$A:$A, 0))</f>
        <v>356</v>
      </c>
      <c r="D357" s="42">
        <f>INDEX(Displacements!B:B, MATCH(Summary!$B357, Displacements!$A:$A, 0))</f>
        <v>293.01299999999998</v>
      </c>
      <c r="E357" s="43">
        <f>INDEX(Displacements!C:C, MATCH(Summary!$B357, Displacements!$A:$A, 0))</f>
        <v>0</v>
      </c>
      <c r="F357" s="44">
        <f>INDEX(Displacements!D:D, MATCH(Summary!$B357, Displacements!$A:$A, 0))</f>
        <v>0</v>
      </c>
      <c r="G357" s="42">
        <f>INDEX(Displacements!B:B, MATCH(Summary!$C357, Displacements!$A:$A, 0))</f>
        <v>297.96899999999999</v>
      </c>
      <c r="H357" s="43">
        <f>INDEX(Displacements!C:C, MATCH(Summary!$C357, Displacements!$A:$A, 0))</f>
        <v>0</v>
      </c>
      <c r="I357" s="44">
        <f>INDEX(Displacements!D:D, MATCH(Summary!$C357, Displacements!$A:$A, 0))</f>
        <v>0</v>
      </c>
      <c r="J357" s="42">
        <f t="shared" si="10"/>
        <v>4.9560000000000173</v>
      </c>
      <c r="K357" s="49">
        <f t="shared" si="11"/>
        <v>1.0000000000000115</v>
      </c>
      <c r="L357" s="54">
        <f>INDEX('Forces+Stresses'!C:C, MATCH(Summary!$A357, 'Forces+Stresses'!$A:$A, 0))</f>
        <v>2658</v>
      </c>
      <c r="M357" s="55">
        <f>INDEX('Forces+Stresses'!D:D, MATCH(Summary!$A357, 'Forces+Stresses'!$A:$A, 0))</f>
        <v>2658</v>
      </c>
      <c r="N357" s="55">
        <f>IFERROR(INDEX('Forces+Stresses'!Q:Q, MATCH(Summary!$A357, 'Forces+Stresses'!$A:$A, 0)), INDEX(Flexjoints!D:D, MATCH(Summary!$A357, Flexjoints!$A:$A, 0)))</f>
        <v>0</v>
      </c>
      <c r="O357" s="56">
        <f>IFERROR(INDEX('Forces+Stresses'!R:R, MATCH(Summary!$A357, 'Forces+Stresses'!$A:$A, 0)), INDEX(Flexjoints!E:E, MATCH(Summary!$A357, Flexjoints!$A:$A, 0)))</f>
        <v>2.198E-6</v>
      </c>
      <c r="P357" s="33" t="str">
        <f>IF(INDEX(Labels!B:B, MATCH(Summary!$A357, Labels!$A:$A, 0)) = 0, "", INDEX(Labels!B:B, MATCH(Summary!$A357, Labels!$A:$A, 0)))</f>
        <v>{Marine Riser String}</v>
      </c>
      <c r="Q357" s="35" t="str">
        <f>IF(INDEX(Labels!C:C, MATCH(Summary!$A357, Labels!$A:$A, 0)) = 0, "", INDEX(Labels!C:C, MATCH(Summary!$A357, Labels!$A:$A, 0)))</f>
        <v>{75ft 2500ft 0.875in Buoyant}</v>
      </c>
      <c r="R357" s="33" t="str">
        <f>IF(INDEX(Labels!D:D, MATCH(Summary!$A357, Labels!$A:$A, 0)) = 0, "", INDEX(Labels!D:D, MATCH(Summary!$A357, Labels!$A:$A, 0)))</f>
        <v/>
      </c>
      <c r="S357" s="35" t="str">
        <f>IF(INDEX(Labels!E:E, MATCH(Summary!$A357, Labels!$A:$A, 0)) = 0, "", INDEX(Labels!E:E, MATCH(Summary!$A357, Labels!$A:$A, 0)))</f>
        <v/>
      </c>
      <c r="T357" s="33" t="str">
        <f>IF(INDEX(Labels!F:F, MATCH(Summary!$A357, Labels!$A:$A, 0)) = 0, "", INDEX(Labels!F:F, MATCH(Summary!$A357, Labels!$A:$A, 0)))</f>
        <v/>
      </c>
      <c r="U357" s="35" t="str">
        <f>IF(INDEX(Labels!G:G, MATCH(Summary!$A357, Labels!$A:$A, 0)) = 0, "", INDEX(Labels!G:G, MATCH(Summary!$A357, Labels!$A:$A, 0)))</f>
        <v/>
      </c>
      <c r="V357" s="62" t="str">
        <f>IF(INDEX(Labels!H:H, MATCH(Summary!$A357, Labels!$A:$A, 0)) = 0, "", INDEX(Labels!H:H, MATCH(Summary!$A357, Labels!$A:$A, 0)))</f>
        <v/>
      </c>
      <c r="W357" t="str">
        <f>IF(INDEX(Labels!I:I, MATCH(Summary!$A357, Labels!$A:$A, 0)) = 0, "", INDEX(Labels!I:I, MATCH(Summary!$A357, Labels!$A:$A, 0)))</f>
        <v/>
      </c>
      <c r="X357" t="str">
        <f>IF(INDEX(Labels!J:J, MATCH(Summary!$A357, Labels!$A:$A, 0)) = 0, "", INDEX(Labels!J:J, MATCH(Summary!$A357, Labels!$A:$A, 0)))</f>
        <v/>
      </c>
    </row>
    <row r="358" spans="1:24" x14ac:dyDescent="0.2">
      <c r="A358" s="33">
        <f>Labels!A359</f>
        <v>352</v>
      </c>
      <c r="B358" s="34">
        <f>INDEX(EchoData!B:B, MATCH(Summary!$A358, EchoData!$A:$A, 0))</f>
        <v>356</v>
      </c>
      <c r="C358" s="35">
        <f>INDEX(EchoData!C:C, MATCH(Summary!$A358, EchoData!$A:$A, 0))</f>
        <v>357</v>
      </c>
      <c r="D358" s="42">
        <f>INDEX(Displacements!B:B, MATCH(Summary!$B358, Displacements!$A:$A, 0))</f>
        <v>297.96899999999999</v>
      </c>
      <c r="E358" s="43">
        <f>INDEX(Displacements!C:C, MATCH(Summary!$B358, Displacements!$A:$A, 0))</f>
        <v>0</v>
      </c>
      <c r="F358" s="44">
        <f>INDEX(Displacements!D:D, MATCH(Summary!$B358, Displacements!$A:$A, 0))</f>
        <v>0</v>
      </c>
      <c r="G358" s="42">
        <f>INDEX(Displacements!B:B, MATCH(Summary!$C358, Displacements!$A:$A, 0))</f>
        <v>302.92599999999999</v>
      </c>
      <c r="H358" s="43">
        <f>INDEX(Displacements!C:C, MATCH(Summary!$C358, Displacements!$A:$A, 0))</f>
        <v>0</v>
      </c>
      <c r="I358" s="44">
        <f>INDEX(Displacements!D:D, MATCH(Summary!$C358, Displacements!$A:$A, 0))</f>
        <v>0</v>
      </c>
      <c r="J358" s="42">
        <f t="shared" si="10"/>
        <v>4.9569999999999936</v>
      </c>
      <c r="K358" s="49">
        <f t="shared" si="11"/>
        <v>1.0002017756254997</v>
      </c>
      <c r="L358" s="54">
        <f>INDEX('Forces+Stresses'!C:C, MATCH(Summary!$A358, 'Forces+Stresses'!$A:$A, 0))</f>
        <v>2664</v>
      </c>
      <c r="M358" s="55">
        <f>INDEX('Forces+Stresses'!D:D, MATCH(Summary!$A358, 'Forces+Stresses'!$A:$A, 0))</f>
        <v>2664</v>
      </c>
      <c r="N358" s="55">
        <f>IFERROR(INDEX('Forces+Stresses'!Q:Q, MATCH(Summary!$A358, 'Forces+Stresses'!$A:$A, 0)), INDEX(Flexjoints!D:D, MATCH(Summary!$A358, Flexjoints!$A:$A, 0)))</f>
        <v>8.9549999999999991E-8</v>
      </c>
      <c r="O358" s="56">
        <f>IFERROR(INDEX('Forces+Stresses'!R:R, MATCH(Summary!$A358, 'Forces+Stresses'!$A:$A, 0)), INDEX(Flexjoints!E:E, MATCH(Summary!$A358, Flexjoints!$A:$A, 0)))</f>
        <v>2.368E-6</v>
      </c>
      <c r="P358" s="33" t="str">
        <f>IF(INDEX(Labels!B:B, MATCH(Summary!$A358, Labels!$A:$A, 0)) = 0, "", INDEX(Labels!B:B, MATCH(Summary!$A358, Labels!$A:$A, 0)))</f>
        <v>{Marine Riser String}</v>
      </c>
      <c r="Q358" s="35" t="str">
        <f>IF(INDEX(Labels!C:C, MATCH(Summary!$A358, Labels!$A:$A, 0)) = 0, "", INDEX(Labels!C:C, MATCH(Summary!$A358, Labels!$A:$A, 0)))</f>
        <v>{75ft 2500ft 0.875in Buoyant}</v>
      </c>
      <c r="R358" s="33" t="str">
        <f>IF(INDEX(Labels!D:D, MATCH(Summary!$A358, Labels!$A:$A, 0)) = 0, "", INDEX(Labels!D:D, MATCH(Summary!$A358, Labels!$A:$A, 0)))</f>
        <v/>
      </c>
      <c r="S358" s="35" t="str">
        <f>IF(INDEX(Labels!E:E, MATCH(Summary!$A358, Labels!$A:$A, 0)) = 0, "", INDEX(Labels!E:E, MATCH(Summary!$A358, Labels!$A:$A, 0)))</f>
        <v/>
      </c>
      <c r="T358" s="33" t="str">
        <f>IF(INDEX(Labels!F:F, MATCH(Summary!$A358, Labels!$A:$A, 0)) = 0, "", INDEX(Labels!F:F, MATCH(Summary!$A358, Labels!$A:$A, 0)))</f>
        <v/>
      </c>
      <c r="U358" s="35" t="str">
        <f>IF(INDEX(Labels!G:G, MATCH(Summary!$A358, Labels!$A:$A, 0)) = 0, "", INDEX(Labels!G:G, MATCH(Summary!$A358, Labels!$A:$A, 0)))</f>
        <v/>
      </c>
      <c r="V358" s="62" t="str">
        <f>IF(INDEX(Labels!H:H, MATCH(Summary!$A358, Labels!$A:$A, 0)) = 0, "", INDEX(Labels!H:H, MATCH(Summary!$A358, Labels!$A:$A, 0)))</f>
        <v/>
      </c>
      <c r="W358" t="str">
        <f>IF(INDEX(Labels!I:I, MATCH(Summary!$A358, Labels!$A:$A, 0)) = 0, "", INDEX(Labels!I:I, MATCH(Summary!$A358, Labels!$A:$A, 0)))</f>
        <v/>
      </c>
      <c r="X358" t="str">
        <f>IF(INDEX(Labels!J:J, MATCH(Summary!$A358, Labels!$A:$A, 0)) = 0, "", INDEX(Labels!J:J, MATCH(Summary!$A358, Labels!$A:$A, 0)))</f>
        <v/>
      </c>
    </row>
    <row r="359" spans="1:24" x14ac:dyDescent="0.2">
      <c r="A359" s="33">
        <f>Labels!A360</f>
        <v>353</v>
      </c>
      <c r="B359" s="34">
        <f>INDEX(EchoData!B:B, MATCH(Summary!$A359, EchoData!$A:$A, 0))</f>
        <v>357</v>
      </c>
      <c r="C359" s="35">
        <f>INDEX(EchoData!C:C, MATCH(Summary!$A359, EchoData!$A:$A, 0))</f>
        <v>358</v>
      </c>
      <c r="D359" s="42">
        <f>INDEX(Displacements!B:B, MATCH(Summary!$B359, Displacements!$A:$A, 0))</f>
        <v>302.92599999999999</v>
      </c>
      <c r="E359" s="43">
        <f>INDEX(Displacements!C:C, MATCH(Summary!$B359, Displacements!$A:$A, 0))</f>
        <v>0</v>
      </c>
      <c r="F359" s="44">
        <f>INDEX(Displacements!D:D, MATCH(Summary!$B359, Displacements!$A:$A, 0))</f>
        <v>0</v>
      </c>
      <c r="G359" s="42">
        <f>INDEX(Displacements!B:B, MATCH(Summary!$C359, Displacements!$A:$A, 0))</f>
        <v>307.88200000000001</v>
      </c>
      <c r="H359" s="43">
        <f>INDEX(Displacements!C:C, MATCH(Summary!$C359, Displacements!$A:$A, 0))</f>
        <v>0</v>
      </c>
      <c r="I359" s="44">
        <f>INDEX(Displacements!D:D, MATCH(Summary!$C359, Displacements!$A:$A, 0))</f>
        <v>0</v>
      </c>
      <c r="J359" s="42">
        <f t="shared" si="10"/>
        <v>4.9560000000000173</v>
      </c>
      <c r="K359" s="49">
        <f t="shared" si="11"/>
        <v>0.99979826507969005</v>
      </c>
      <c r="L359" s="54">
        <f>INDEX('Forces+Stresses'!C:C, MATCH(Summary!$A359, 'Forces+Stresses'!$A:$A, 0))</f>
        <v>2671</v>
      </c>
      <c r="M359" s="55">
        <f>INDEX('Forces+Stresses'!D:D, MATCH(Summary!$A359, 'Forces+Stresses'!$A:$A, 0))</f>
        <v>2671</v>
      </c>
      <c r="N359" s="55">
        <f>IFERROR(INDEX('Forces+Stresses'!Q:Q, MATCH(Summary!$A359, 'Forces+Stresses'!$A:$A, 0)), INDEX(Flexjoints!D:D, MATCH(Summary!$A359, Flexjoints!$A:$A, 0)))</f>
        <v>1.6559999999999997E-7</v>
      </c>
      <c r="O359" s="56">
        <f>IFERROR(INDEX('Forces+Stresses'!R:R, MATCH(Summary!$A359, 'Forces+Stresses'!$A:$A, 0)), INDEX(Flexjoints!E:E, MATCH(Summary!$A359, Flexjoints!$A:$A, 0)))</f>
        <v>2.4719999999999998E-6</v>
      </c>
      <c r="P359" s="33" t="str">
        <f>IF(INDEX(Labels!B:B, MATCH(Summary!$A359, Labels!$A:$A, 0)) = 0, "", INDEX(Labels!B:B, MATCH(Summary!$A359, Labels!$A:$A, 0)))</f>
        <v>{Marine Riser String}</v>
      </c>
      <c r="Q359" s="35" t="str">
        <f>IF(INDEX(Labels!C:C, MATCH(Summary!$A359, Labels!$A:$A, 0)) = 0, "", INDEX(Labels!C:C, MATCH(Summary!$A359, Labels!$A:$A, 0)))</f>
        <v>{75ft 2500ft 0.875in Buoyant}</v>
      </c>
      <c r="R359" s="33" t="str">
        <f>IF(INDEX(Labels!D:D, MATCH(Summary!$A359, Labels!$A:$A, 0)) = 0, "", INDEX(Labels!D:D, MATCH(Summary!$A359, Labels!$A:$A, 0)))</f>
        <v/>
      </c>
      <c r="S359" s="35" t="str">
        <f>IF(INDEX(Labels!E:E, MATCH(Summary!$A359, Labels!$A:$A, 0)) = 0, "", INDEX(Labels!E:E, MATCH(Summary!$A359, Labels!$A:$A, 0)))</f>
        <v/>
      </c>
      <c r="T359" s="33" t="str">
        <f>IF(INDEX(Labels!F:F, MATCH(Summary!$A359, Labels!$A:$A, 0)) = 0, "", INDEX(Labels!F:F, MATCH(Summary!$A359, Labels!$A:$A, 0)))</f>
        <v/>
      </c>
      <c r="U359" s="35" t="str">
        <f>IF(INDEX(Labels!G:G, MATCH(Summary!$A359, Labels!$A:$A, 0)) = 0, "", INDEX(Labels!G:G, MATCH(Summary!$A359, Labels!$A:$A, 0)))</f>
        <v/>
      </c>
      <c r="V359" s="62" t="str">
        <f>IF(INDEX(Labels!H:H, MATCH(Summary!$A359, Labels!$A:$A, 0)) = 0, "", INDEX(Labels!H:H, MATCH(Summary!$A359, Labels!$A:$A, 0)))</f>
        <v/>
      </c>
      <c r="W359" t="str">
        <f>IF(INDEX(Labels!I:I, MATCH(Summary!$A359, Labels!$A:$A, 0)) = 0, "", INDEX(Labels!I:I, MATCH(Summary!$A359, Labels!$A:$A, 0)))</f>
        <v/>
      </c>
      <c r="X359" t="str">
        <f>IF(INDEX(Labels!J:J, MATCH(Summary!$A359, Labels!$A:$A, 0)) = 0, "", INDEX(Labels!J:J, MATCH(Summary!$A359, Labels!$A:$A, 0)))</f>
        <v/>
      </c>
    </row>
    <row r="360" spans="1:24" x14ac:dyDescent="0.2">
      <c r="A360" s="33">
        <f>Labels!A361</f>
        <v>354</v>
      </c>
      <c r="B360" s="34">
        <f>INDEX(EchoData!B:B, MATCH(Summary!$A360, EchoData!$A:$A, 0))</f>
        <v>358</v>
      </c>
      <c r="C360" s="35">
        <f>INDEX(EchoData!C:C, MATCH(Summary!$A360, EchoData!$A:$A, 0))</f>
        <v>359</v>
      </c>
      <c r="D360" s="42">
        <f>INDEX(Displacements!B:B, MATCH(Summary!$B360, Displacements!$A:$A, 0))</f>
        <v>307.88200000000001</v>
      </c>
      <c r="E360" s="43">
        <f>INDEX(Displacements!C:C, MATCH(Summary!$B360, Displacements!$A:$A, 0))</f>
        <v>0</v>
      </c>
      <c r="F360" s="44">
        <f>INDEX(Displacements!D:D, MATCH(Summary!$B360, Displacements!$A:$A, 0))</f>
        <v>0</v>
      </c>
      <c r="G360" s="42">
        <f>INDEX(Displacements!B:B, MATCH(Summary!$C360, Displacements!$A:$A, 0))</f>
        <v>312.83800000000002</v>
      </c>
      <c r="H360" s="43">
        <f>INDEX(Displacements!C:C, MATCH(Summary!$C360, Displacements!$A:$A, 0))</f>
        <v>0</v>
      </c>
      <c r="I360" s="44">
        <f>INDEX(Displacements!D:D, MATCH(Summary!$C360, Displacements!$A:$A, 0))</f>
        <v>0</v>
      </c>
      <c r="J360" s="42">
        <f t="shared" si="10"/>
        <v>4.9560000000000173</v>
      </c>
      <c r="K360" s="49">
        <f t="shared" si="11"/>
        <v>1</v>
      </c>
      <c r="L360" s="54">
        <f>INDEX('Forces+Stresses'!C:C, MATCH(Summary!$A360, 'Forces+Stresses'!$A:$A, 0))</f>
        <v>2677</v>
      </c>
      <c r="M360" s="55">
        <f>INDEX('Forces+Stresses'!D:D, MATCH(Summary!$A360, 'Forces+Stresses'!$A:$A, 0))</f>
        <v>2677</v>
      </c>
      <c r="N360" s="55">
        <f>IFERROR(INDEX('Forces+Stresses'!Q:Q, MATCH(Summary!$A360, 'Forces+Stresses'!$A:$A, 0)), INDEX(Flexjoints!D:D, MATCH(Summary!$A360, Flexjoints!$A:$A, 0)))</f>
        <v>6.0779999999999992E-8</v>
      </c>
      <c r="O360" s="56">
        <f>IFERROR(INDEX('Forces+Stresses'!R:R, MATCH(Summary!$A360, 'Forces+Stresses'!$A:$A, 0)), INDEX(Flexjoints!E:E, MATCH(Summary!$A360, Flexjoints!$A:$A, 0)))</f>
        <v>2.345E-6</v>
      </c>
      <c r="P360" s="33" t="str">
        <f>IF(INDEX(Labels!B:B, MATCH(Summary!$A360, Labels!$A:$A, 0)) = 0, "", INDEX(Labels!B:B, MATCH(Summary!$A360, Labels!$A:$A, 0)))</f>
        <v>{Marine Riser String}</v>
      </c>
      <c r="Q360" s="35" t="str">
        <f>IF(INDEX(Labels!C:C, MATCH(Summary!$A360, Labels!$A:$A, 0)) = 0, "", INDEX(Labels!C:C, MATCH(Summary!$A360, Labels!$A:$A, 0)))</f>
        <v>{75ft 2500ft 0.875in Buoyant}</v>
      </c>
      <c r="R360" s="33" t="str">
        <f>IF(INDEX(Labels!D:D, MATCH(Summary!$A360, Labels!$A:$A, 0)) = 0, "", INDEX(Labels!D:D, MATCH(Summary!$A360, Labels!$A:$A, 0)))</f>
        <v/>
      </c>
      <c r="S360" s="35" t="str">
        <f>IF(INDEX(Labels!E:E, MATCH(Summary!$A360, Labels!$A:$A, 0)) = 0, "", INDEX(Labels!E:E, MATCH(Summary!$A360, Labels!$A:$A, 0)))</f>
        <v/>
      </c>
      <c r="T360" s="33" t="str">
        <f>IF(INDEX(Labels!F:F, MATCH(Summary!$A360, Labels!$A:$A, 0)) = 0, "", INDEX(Labels!F:F, MATCH(Summary!$A360, Labels!$A:$A, 0)))</f>
        <v/>
      </c>
      <c r="U360" s="35" t="str">
        <f>IF(INDEX(Labels!G:G, MATCH(Summary!$A360, Labels!$A:$A, 0)) = 0, "", INDEX(Labels!G:G, MATCH(Summary!$A360, Labels!$A:$A, 0)))</f>
        <v/>
      </c>
      <c r="V360" s="62" t="str">
        <f>IF(INDEX(Labels!H:H, MATCH(Summary!$A360, Labels!$A:$A, 0)) = 0, "", INDEX(Labels!H:H, MATCH(Summary!$A360, Labels!$A:$A, 0)))</f>
        <v/>
      </c>
      <c r="W360" t="str">
        <f>IF(INDEX(Labels!I:I, MATCH(Summary!$A360, Labels!$A:$A, 0)) = 0, "", INDEX(Labels!I:I, MATCH(Summary!$A360, Labels!$A:$A, 0)))</f>
        <v/>
      </c>
      <c r="X360" t="str">
        <f>IF(INDEX(Labels!J:J, MATCH(Summary!$A360, Labels!$A:$A, 0)) = 0, "", INDEX(Labels!J:J, MATCH(Summary!$A360, Labels!$A:$A, 0)))</f>
        <v/>
      </c>
    </row>
    <row r="361" spans="1:24" x14ac:dyDescent="0.2">
      <c r="A361" s="33">
        <f>Labels!A362</f>
        <v>355</v>
      </c>
      <c r="B361" s="34">
        <f>INDEX(EchoData!B:B, MATCH(Summary!$A361, EchoData!$A:$A, 0))</f>
        <v>359</v>
      </c>
      <c r="C361" s="35">
        <f>INDEX(EchoData!C:C, MATCH(Summary!$A361, EchoData!$A:$A, 0))</f>
        <v>360</v>
      </c>
      <c r="D361" s="42">
        <f>INDEX(Displacements!B:B, MATCH(Summary!$B361, Displacements!$A:$A, 0))</f>
        <v>312.83800000000002</v>
      </c>
      <c r="E361" s="43">
        <f>INDEX(Displacements!C:C, MATCH(Summary!$B361, Displacements!$A:$A, 0))</f>
        <v>0</v>
      </c>
      <c r="F361" s="44">
        <f>INDEX(Displacements!D:D, MATCH(Summary!$B361, Displacements!$A:$A, 0))</f>
        <v>0</v>
      </c>
      <c r="G361" s="42">
        <f>INDEX(Displacements!B:B, MATCH(Summary!$C361, Displacements!$A:$A, 0))</f>
        <v>317.79399999999998</v>
      </c>
      <c r="H361" s="43">
        <f>INDEX(Displacements!C:C, MATCH(Summary!$C361, Displacements!$A:$A, 0))</f>
        <v>0</v>
      </c>
      <c r="I361" s="44">
        <f>INDEX(Displacements!D:D, MATCH(Summary!$C361, Displacements!$A:$A, 0))</f>
        <v>0</v>
      </c>
      <c r="J361" s="42">
        <f t="shared" si="10"/>
        <v>4.9559999999999604</v>
      </c>
      <c r="K361" s="49">
        <f t="shared" si="11"/>
        <v>0.99999999999998856</v>
      </c>
      <c r="L361" s="54">
        <f>INDEX('Forces+Stresses'!C:C, MATCH(Summary!$A361, 'Forces+Stresses'!$A:$A, 0))</f>
        <v>2684</v>
      </c>
      <c r="M361" s="55">
        <f>INDEX('Forces+Stresses'!D:D, MATCH(Summary!$A361, 'Forces+Stresses'!$A:$A, 0))</f>
        <v>2684</v>
      </c>
      <c r="N361" s="55">
        <f>IFERROR(INDEX('Forces+Stresses'!Q:Q, MATCH(Summary!$A361, 'Forces+Stresses'!$A:$A, 0)), INDEX(Flexjoints!D:D, MATCH(Summary!$A361, Flexjoints!$A:$A, 0)))</f>
        <v>8.1940000000000004E-8</v>
      </c>
      <c r="O361" s="56">
        <f>IFERROR(INDEX('Forces+Stresses'!R:R, MATCH(Summary!$A361, 'Forces+Stresses'!$A:$A, 0)), INDEX(Flexjoints!E:E, MATCH(Summary!$A361, Flexjoints!$A:$A, 0)))</f>
        <v>2.4530000000000001E-6</v>
      </c>
      <c r="P361" s="33" t="str">
        <f>IF(INDEX(Labels!B:B, MATCH(Summary!$A361, Labels!$A:$A, 0)) = 0, "", INDEX(Labels!B:B, MATCH(Summary!$A361, Labels!$A:$A, 0)))</f>
        <v>{Marine Riser String}</v>
      </c>
      <c r="Q361" s="35" t="str">
        <f>IF(INDEX(Labels!C:C, MATCH(Summary!$A361, Labels!$A:$A, 0)) = 0, "", INDEX(Labels!C:C, MATCH(Summary!$A361, Labels!$A:$A, 0)))</f>
        <v>{75ft 2500ft 0.875in Buoyant}</v>
      </c>
      <c r="R361" s="33" t="str">
        <f>IF(INDEX(Labels!D:D, MATCH(Summary!$A361, Labels!$A:$A, 0)) = 0, "", INDEX(Labels!D:D, MATCH(Summary!$A361, Labels!$A:$A, 0)))</f>
        <v/>
      </c>
      <c r="S361" s="35" t="str">
        <f>IF(INDEX(Labels!E:E, MATCH(Summary!$A361, Labels!$A:$A, 0)) = 0, "", INDEX(Labels!E:E, MATCH(Summary!$A361, Labels!$A:$A, 0)))</f>
        <v/>
      </c>
      <c r="T361" s="33" t="str">
        <f>IF(INDEX(Labels!F:F, MATCH(Summary!$A361, Labels!$A:$A, 0)) = 0, "", INDEX(Labels!F:F, MATCH(Summary!$A361, Labels!$A:$A, 0)))</f>
        <v/>
      </c>
      <c r="U361" s="35" t="str">
        <f>IF(INDEX(Labels!G:G, MATCH(Summary!$A361, Labels!$A:$A, 0)) = 0, "", INDEX(Labels!G:G, MATCH(Summary!$A361, Labels!$A:$A, 0)))</f>
        <v/>
      </c>
      <c r="V361" s="62" t="str">
        <f>IF(INDEX(Labels!H:H, MATCH(Summary!$A361, Labels!$A:$A, 0)) = 0, "", INDEX(Labels!H:H, MATCH(Summary!$A361, Labels!$A:$A, 0)))</f>
        <v/>
      </c>
      <c r="W361" t="str">
        <f>IF(INDEX(Labels!I:I, MATCH(Summary!$A361, Labels!$A:$A, 0)) = 0, "", INDEX(Labels!I:I, MATCH(Summary!$A361, Labels!$A:$A, 0)))</f>
        <v/>
      </c>
      <c r="X361" t="str">
        <f>IF(INDEX(Labels!J:J, MATCH(Summary!$A361, Labels!$A:$A, 0)) = 0, "", INDEX(Labels!J:J, MATCH(Summary!$A361, Labels!$A:$A, 0)))</f>
        <v/>
      </c>
    </row>
    <row r="362" spans="1:24" x14ac:dyDescent="0.2">
      <c r="A362" s="33">
        <f>Labels!A363</f>
        <v>356</v>
      </c>
      <c r="B362" s="34">
        <f>INDEX(EchoData!B:B, MATCH(Summary!$A362, EchoData!$A:$A, 0))</f>
        <v>360</v>
      </c>
      <c r="C362" s="35">
        <f>INDEX(EchoData!C:C, MATCH(Summary!$A362, EchoData!$A:$A, 0))</f>
        <v>361</v>
      </c>
      <c r="D362" s="42">
        <f>INDEX(Displacements!B:B, MATCH(Summary!$B362, Displacements!$A:$A, 0))</f>
        <v>317.79399999999998</v>
      </c>
      <c r="E362" s="43">
        <f>INDEX(Displacements!C:C, MATCH(Summary!$B362, Displacements!$A:$A, 0))</f>
        <v>0</v>
      </c>
      <c r="F362" s="44">
        <f>INDEX(Displacements!D:D, MATCH(Summary!$B362, Displacements!$A:$A, 0))</f>
        <v>0</v>
      </c>
      <c r="G362" s="42">
        <f>INDEX(Displacements!B:B, MATCH(Summary!$C362, Displacements!$A:$A, 0))</f>
        <v>322.75</v>
      </c>
      <c r="H362" s="43">
        <f>INDEX(Displacements!C:C, MATCH(Summary!$C362, Displacements!$A:$A, 0))</f>
        <v>0</v>
      </c>
      <c r="I362" s="44">
        <f>INDEX(Displacements!D:D, MATCH(Summary!$C362, Displacements!$A:$A, 0))</f>
        <v>0</v>
      </c>
      <c r="J362" s="42">
        <f t="shared" si="10"/>
        <v>4.9560000000000173</v>
      </c>
      <c r="K362" s="49">
        <f t="shared" si="11"/>
        <v>1.0000000000000115</v>
      </c>
      <c r="L362" s="54">
        <f>INDEX('Forces+Stresses'!C:C, MATCH(Summary!$A362, 'Forces+Stresses'!$A:$A, 0))</f>
        <v>2691</v>
      </c>
      <c r="M362" s="55">
        <f>INDEX('Forces+Stresses'!D:D, MATCH(Summary!$A362, 'Forces+Stresses'!$A:$A, 0))</f>
        <v>2691</v>
      </c>
      <c r="N362" s="55">
        <f>IFERROR(INDEX('Forces+Stresses'!Q:Q, MATCH(Summary!$A362, 'Forces+Stresses'!$A:$A, 0)), INDEX(Flexjoints!D:D, MATCH(Summary!$A362, Flexjoints!$A:$A, 0)))</f>
        <v>1.3129999999999999E-7</v>
      </c>
      <c r="O362" s="56">
        <f>IFERROR(INDEX('Forces+Stresses'!R:R, MATCH(Summary!$A362, 'Forces+Stresses'!$A:$A, 0)), INDEX(Flexjoints!E:E, MATCH(Summary!$A362, Flexjoints!$A:$A, 0)))</f>
        <v>2.3280000000000004E-6</v>
      </c>
      <c r="P362" s="33" t="str">
        <f>IF(INDEX(Labels!B:B, MATCH(Summary!$A362, Labels!$A:$A, 0)) = 0, "", INDEX(Labels!B:B, MATCH(Summary!$A362, Labels!$A:$A, 0)))</f>
        <v>{Marine Riser String}</v>
      </c>
      <c r="Q362" s="35" t="str">
        <f>IF(INDEX(Labels!C:C, MATCH(Summary!$A362, Labels!$A:$A, 0)) = 0, "", INDEX(Labels!C:C, MATCH(Summary!$A362, Labels!$A:$A, 0)))</f>
        <v>{75ft 2500ft 0.875in Buoyant}</v>
      </c>
      <c r="R362" s="33" t="str">
        <f>IF(INDEX(Labels!D:D, MATCH(Summary!$A362, Labels!$A:$A, 0)) = 0, "", INDEX(Labels!D:D, MATCH(Summary!$A362, Labels!$A:$A, 0)))</f>
        <v/>
      </c>
      <c r="S362" s="35" t="str">
        <f>IF(INDEX(Labels!E:E, MATCH(Summary!$A362, Labels!$A:$A, 0)) = 0, "", INDEX(Labels!E:E, MATCH(Summary!$A362, Labels!$A:$A, 0)))</f>
        <v/>
      </c>
      <c r="T362" s="33" t="str">
        <f>IF(INDEX(Labels!F:F, MATCH(Summary!$A362, Labels!$A:$A, 0)) = 0, "", INDEX(Labels!F:F, MATCH(Summary!$A362, Labels!$A:$A, 0)))</f>
        <v/>
      </c>
      <c r="U362" s="35" t="str">
        <f>IF(INDEX(Labels!G:G, MATCH(Summary!$A362, Labels!$A:$A, 0)) = 0, "", INDEX(Labels!G:G, MATCH(Summary!$A362, Labels!$A:$A, 0)))</f>
        <v/>
      </c>
      <c r="V362" s="62" t="str">
        <f>IF(INDEX(Labels!H:H, MATCH(Summary!$A362, Labels!$A:$A, 0)) = 0, "", INDEX(Labels!H:H, MATCH(Summary!$A362, Labels!$A:$A, 0)))</f>
        <v/>
      </c>
      <c r="W362" t="str">
        <f>IF(INDEX(Labels!I:I, MATCH(Summary!$A362, Labels!$A:$A, 0)) = 0, "", INDEX(Labels!I:I, MATCH(Summary!$A362, Labels!$A:$A, 0)))</f>
        <v/>
      </c>
      <c r="X362" t="str">
        <f>IF(INDEX(Labels!J:J, MATCH(Summary!$A362, Labels!$A:$A, 0)) = 0, "", INDEX(Labels!J:J, MATCH(Summary!$A362, Labels!$A:$A, 0)))</f>
        <v/>
      </c>
    </row>
    <row r="363" spans="1:24" x14ac:dyDescent="0.2">
      <c r="A363" s="33">
        <f>Labels!A364</f>
        <v>357</v>
      </c>
      <c r="B363" s="34">
        <f>INDEX(EchoData!B:B, MATCH(Summary!$A363, EchoData!$A:$A, 0))</f>
        <v>361</v>
      </c>
      <c r="C363" s="35">
        <f>INDEX(EchoData!C:C, MATCH(Summary!$A363, EchoData!$A:$A, 0))</f>
        <v>362</v>
      </c>
      <c r="D363" s="42">
        <f>INDEX(Displacements!B:B, MATCH(Summary!$B363, Displacements!$A:$A, 0))</f>
        <v>322.75</v>
      </c>
      <c r="E363" s="43">
        <f>INDEX(Displacements!C:C, MATCH(Summary!$B363, Displacements!$A:$A, 0))</f>
        <v>0</v>
      </c>
      <c r="F363" s="44">
        <f>INDEX(Displacements!D:D, MATCH(Summary!$B363, Displacements!$A:$A, 0))</f>
        <v>0</v>
      </c>
      <c r="G363" s="42">
        <f>INDEX(Displacements!B:B, MATCH(Summary!$C363, Displacements!$A:$A, 0))</f>
        <v>327.70600000000002</v>
      </c>
      <c r="H363" s="43">
        <f>INDEX(Displacements!C:C, MATCH(Summary!$C363, Displacements!$A:$A, 0))</f>
        <v>0</v>
      </c>
      <c r="I363" s="44">
        <f>INDEX(Displacements!D:D, MATCH(Summary!$C363, Displacements!$A:$A, 0))</f>
        <v>0</v>
      </c>
      <c r="J363" s="42">
        <f t="shared" si="10"/>
        <v>4.9560000000000173</v>
      </c>
      <c r="K363" s="49">
        <f t="shared" si="11"/>
        <v>1</v>
      </c>
      <c r="L363" s="54">
        <f>INDEX('Forces+Stresses'!C:C, MATCH(Summary!$A363, 'Forces+Stresses'!$A:$A, 0))</f>
        <v>2697</v>
      </c>
      <c r="M363" s="55">
        <f>INDEX('Forces+Stresses'!D:D, MATCH(Summary!$A363, 'Forces+Stresses'!$A:$A, 0))</f>
        <v>2697</v>
      </c>
      <c r="N363" s="55">
        <f>IFERROR(INDEX('Forces+Stresses'!Q:Q, MATCH(Summary!$A363, 'Forces+Stresses'!$A:$A, 0)), INDEX(Flexjoints!D:D, MATCH(Summary!$A363, Flexjoints!$A:$A, 0)))</f>
        <v>3.9150000000000003E-8</v>
      </c>
      <c r="O363" s="56">
        <f>IFERROR(INDEX('Forces+Stresses'!R:R, MATCH(Summary!$A363, 'Forces+Stresses'!$A:$A, 0)), INDEX(Flexjoints!E:E, MATCH(Summary!$A363, Flexjoints!$A:$A, 0)))</f>
        <v>1.9230000000000001E-6</v>
      </c>
      <c r="P363" s="33" t="str">
        <f>IF(INDEX(Labels!B:B, MATCH(Summary!$A363, Labels!$A:$A, 0)) = 0, "", INDEX(Labels!B:B, MATCH(Summary!$A363, Labels!$A:$A, 0)))</f>
        <v>{Marine Riser String}</v>
      </c>
      <c r="Q363" s="35" t="str">
        <f>IF(INDEX(Labels!C:C, MATCH(Summary!$A363, Labels!$A:$A, 0)) = 0, "", INDEX(Labels!C:C, MATCH(Summary!$A363, Labels!$A:$A, 0)))</f>
        <v>{75ft 2500ft 0.875in Buoyant}</v>
      </c>
      <c r="R363" s="33" t="str">
        <f>IF(INDEX(Labels!D:D, MATCH(Summary!$A363, Labels!$A:$A, 0)) = 0, "", INDEX(Labels!D:D, MATCH(Summary!$A363, Labels!$A:$A, 0)))</f>
        <v/>
      </c>
      <c r="S363" s="35" t="str">
        <f>IF(INDEX(Labels!E:E, MATCH(Summary!$A363, Labels!$A:$A, 0)) = 0, "", INDEX(Labels!E:E, MATCH(Summary!$A363, Labels!$A:$A, 0)))</f>
        <v/>
      </c>
      <c r="T363" s="33" t="str">
        <f>IF(INDEX(Labels!F:F, MATCH(Summary!$A363, Labels!$A:$A, 0)) = 0, "", INDEX(Labels!F:F, MATCH(Summary!$A363, Labels!$A:$A, 0)))</f>
        <v/>
      </c>
      <c r="U363" s="35" t="str">
        <f>IF(INDEX(Labels!G:G, MATCH(Summary!$A363, Labels!$A:$A, 0)) = 0, "", INDEX(Labels!G:G, MATCH(Summary!$A363, Labels!$A:$A, 0)))</f>
        <v/>
      </c>
      <c r="V363" s="62" t="str">
        <f>IF(INDEX(Labels!H:H, MATCH(Summary!$A363, Labels!$A:$A, 0)) = 0, "", INDEX(Labels!H:H, MATCH(Summary!$A363, Labels!$A:$A, 0)))</f>
        <v/>
      </c>
      <c r="W363" t="str">
        <f>IF(INDEX(Labels!I:I, MATCH(Summary!$A363, Labels!$A:$A, 0)) = 0, "", INDEX(Labels!I:I, MATCH(Summary!$A363, Labels!$A:$A, 0)))</f>
        <v/>
      </c>
      <c r="X363" t="str">
        <f>IF(INDEX(Labels!J:J, MATCH(Summary!$A363, Labels!$A:$A, 0)) = 0, "", INDEX(Labels!J:J, MATCH(Summary!$A363, Labels!$A:$A, 0)))</f>
        <v/>
      </c>
    </row>
    <row r="364" spans="1:24" x14ac:dyDescent="0.2">
      <c r="A364" s="33">
        <f>Labels!A365</f>
        <v>358</v>
      </c>
      <c r="B364" s="34">
        <f>INDEX(EchoData!B:B, MATCH(Summary!$A364, EchoData!$A:$A, 0))</f>
        <v>362</v>
      </c>
      <c r="C364" s="35">
        <f>INDEX(EchoData!C:C, MATCH(Summary!$A364, EchoData!$A:$A, 0))</f>
        <v>363</v>
      </c>
      <c r="D364" s="42">
        <f>INDEX(Displacements!B:B, MATCH(Summary!$B364, Displacements!$A:$A, 0))</f>
        <v>327.70600000000002</v>
      </c>
      <c r="E364" s="43">
        <f>INDEX(Displacements!C:C, MATCH(Summary!$B364, Displacements!$A:$A, 0))</f>
        <v>0</v>
      </c>
      <c r="F364" s="44">
        <f>INDEX(Displacements!D:D, MATCH(Summary!$B364, Displacements!$A:$A, 0))</f>
        <v>0</v>
      </c>
      <c r="G364" s="42">
        <f>INDEX(Displacements!B:B, MATCH(Summary!$C364, Displacements!$A:$A, 0))</f>
        <v>332.66199999999998</v>
      </c>
      <c r="H364" s="43">
        <f>INDEX(Displacements!C:C, MATCH(Summary!$C364, Displacements!$A:$A, 0))</f>
        <v>0</v>
      </c>
      <c r="I364" s="44">
        <f>INDEX(Displacements!D:D, MATCH(Summary!$C364, Displacements!$A:$A, 0))</f>
        <v>0</v>
      </c>
      <c r="J364" s="42">
        <f t="shared" si="10"/>
        <v>4.9559999999999604</v>
      </c>
      <c r="K364" s="49">
        <f t="shared" si="11"/>
        <v>0.99999999999998856</v>
      </c>
      <c r="L364" s="54">
        <f>INDEX('Forces+Stresses'!C:C, MATCH(Summary!$A364, 'Forces+Stresses'!$A:$A, 0))</f>
        <v>2704</v>
      </c>
      <c r="M364" s="55">
        <f>INDEX('Forces+Stresses'!D:D, MATCH(Summary!$A364, 'Forces+Stresses'!$A:$A, 0))</f>
        <v>2704</v>
      </c>
      <c r="N364" s="55">
        <f>IFERROR(INDEX('Forces+Stresses'!Q:Q, MATCH(Summary!$A364, 'Forces+Stresses'!$A:$A, 0)), INDEX(Flexjoints!D:D, MATCH(Summary!$A364, Flexjoints!$A:$A, 0)))</f>
        <v>5.7229999999999997E-8</v>
      </c>
      <c r="O364" s="56">
        <f>IFERROR(INDEX('Forces+Stresses'!R:R, MATCH(Summary!$A364, 'Forces+Stresses'!$A:$A, 0)), INDEX(Flexjoints!E:E, MATCH(Summary!$A364, Flexjoints!$A:$A, 0)))</f>
        <v>2.0779999999999998E-6</v>
      </c>
      <c r="P364" s="33" t="str">
        <f>IF(INDEX(Labels!B:B, MATCH(Summary!$A364, Labels!$A:$A, 0)) = 0, "", INDEX(Labels!B:B, MATCH(Summary!$A364, Labels!$A:$A, 0)))</f>
        <v>{Marine Riser String}</v>
      </c>
      <c r="Q364" s="35" t="str">
        <f>IF(INDEX(Labels!C:C, MATCH(Summary!$A364, Labels!$A:$A, 0)) = 0, "", INDEX(Labels!C:C, MATCH(Summary!$A364, Labels!$A:$A, 0)))</f>
        <v>{75ft 2500ft 0.875in Buoyant}</v>
      </c>
      <c r="R364" s="33" t="str">
        <f>IF(INDEX(Labels!D:D, MATCH(Summary!$A364, Labels!$A:$A, 0)) = 0, "", INDEX(Labels!D:D, MATCH(Summary!$A364, Labels!$A:$A, 0)))</f>
        <v/>
      </c>
      <c r="S364" s="35" t="str">
        <f>IF(INDEX(Labels!E:E, MATCH(Summary!$A364, Labels!$A:$A, 0)) = 0, "", INDEX(Labels!E:E, MATCH(Summary!$A364, Labels!$A:$A, 0)))</f>
        <v/>
      </c>
      <c r="T364" s="33" t="str">
        <f>IF(INDEX(Labels!F:F, MATCH(Summary!$A364, Labels!$A:$A, 0)) = 0, "", INDEX(Labels!F:F, MATCH(Summary!$A364, Labels!$A:$A, 0)))</f>
        <v/>
      </c>
      <c r="U364" s="35" t="str">
        <f>IF(INDEX(Labels!G:G, MATCH(Summary!$A364, Labels!$A:$A, 0)) = 0, "", INDEX(Labels!G:G, MATCH(Summary!$A364, Labels!$A:$A, 0)))</f>
        <v/>
      </c>
      <c r="V364" s="62" t="str">
        <f>IF(INDEX(Labels!H:H, MATCH(Summary!$A364, Labels!$A:$A, 0)) = 0, "", INDEX(Labels!H:H, MATCH(Summary!$A364, Labels!$A:$A, 0)))</f>
        <v/>
      </c>
      <c r="W364" t="str">
        <f>IF(INDEX(Labels!I:I, MATCH(Summary!$A364, Labels!$A:$A, 0)) = 0, "", INDEX(Labels!I:I, MATCH(Summary!$A364, Labels!$A:$A, 0)))</f>
        <v/>
      </c>
      <c r="X364" t="str">
        <f>IF(INDEX(Labels!J:J, MATCH(Summary!$A364, Labels!$A:$A, 0)) = 0, "", INDEX(Labels!J:J, MATCH(Summary!$A364, Labels!$A:$A, 0)))</f>
        <v/>
      </c>
    </row>
    <row r="365" spans="1:24" x14ac:dyDescent="0.2">
      <c r="A365" s="33">
        <f>Labels!A366</f>
        <v>359</v>
      </c>
      <c r="B365" s="34">
        <f>INDEX(EchoData!B:B, MATCH(Summary!$A365, EchoData!$A:$A, 0))</f>
        <v>363</v>
      </c>
      <c r="C365" s="35">
        <f>INDEX(EchoData!C:C, MATCH(Summary!$A365, EchoData!$A:$A, 0))</f>
        <v>364</v>
      </c>
      <c r="D365" s="42">
        <f>INDEX(Displacements!B:B, MATCH(Summary!$B365, Displacements!$A:$A, 0))</f>
        <v>332.66199999999998</v>
      </c>
      <c r="E365" s="43">
        <f>INDEX(Displacements!C:C, MATCH(Summary!$B365, Displacements!$A:$A, 0))</f>
        <v>0</v>
      </c>
      <c r="F365" s="44">
        <f>INDEX(Displacements!D:D, MATCH(Summary!$B365, Displacements!$A:$A, 0))</f>
        <v>0</v>
      </c>
      <c r="G365" s="42">
        <f>INDEX(Displacements!B:B, MATCH(Summary!$C365, Displacements!$A:$A, 0))</f>
        <v>337.61799999999999</v>
      </c>
      <c r="H365" s="43">
        <f>INDEX(Displacements!C:C, MATCH(Summary!$C365, Displacements!$A:$A, 0))</f>
        <v>0</v>
      </c>
      <c r="I365" s="44">
        <f>INDEX(Displacements!D:D, MATCH(Summary!$C365, Displacements!$A:$A, 0))</f>
        <v>0</v>
      </c>
      <c r="J365" s="42">
        <f t="shared" si="10"/>
        <v>4.9560000000000173</v>
      </c>
      <c r="K365" s="49">
        <f t="shared" si="11"/>
        <v>1.0000000000000115</v>
      </c>
      <c r="L365" s="54">
        <f>INDEX('Forces+Stresses'!C:C, MATCH(Summary!$A365, 'Forces+Stresses'!$A:$A, 0))</f>
        <v>2710</v>
      </c>
      <c r="M365" s="55">
        <f>INDEX('Forces+Stresses'!D:D, MATCH(Summary!$A365, 'Forces+Stresses'!$A:$A, 0))</f>
        <v>2710</v>
      </c>
      <c r="N365" s="55">
        <f>IFERROR(INDEX('Forces+Stresses'!Q:Q, MATCH(Summary!$A365, 'Forces+Stresses'!$A:$A, 0)), INDEX(Flexjoints!D:D, MATCH(Summary!$A365, Flexjoints!$A:$A, 0)))</f>
        <v>1.5349999999999999E-7</v>
      </c>
      <c r="O365" s="56">
        <f>IFERROR(INDEX('Forces+Stresses'!R:R, MATCH(Summary!$A365, 'Forces+Stresses'!$A:$A, 0)), INDEX(Flexjoints!E:E, MATCH(Summary!$A365, Flexjoints!$A:$A, 0)))</f>
        <v>2.2109999999999997E-6</v>
      </c>
      <c r="P365" s="33" t="str">
        <f>IF(INDEX(Labels!B:B, MATCH(Summary!$A365, Labels!$A:$A, 0)) = 0, "", INDEX(Labels!B:B, MATCH(Summary!$A365, Labels!$A:$A, 0)))</f>
        <v>{Marine Riser String}</v>
      </c>
      <c r="Q365" s="35" t="str">
        <f>IF(INDEX(Labels!C:C, MATCH(Summary!$A365, Labels!$A:$A, 0)) = 0, "", INDEX(Labels!C:C, MATCH(Summary!$A365, Labels!$A:$A, 0)))</f>
        <v>{75ft 2500ft 0.875in Buoyant}</v>
      </c>
      <c r="R365" s="33" t="str">
        <f>IF(INDEX(Labels!D:D, MATCH(Summary!$A365, Labels!$A:$A, 0)) = 0, "", INDEX(Labels!D:D, MATCH(Summary!$A365, Labels!$A:$A, 0)))</f>
        <v/>
      </c>
      <c r="S365" s="35" t="str">
        <f>IF(INDEX(Labels!E:E, MATCH(Summary!$A365, Labels!$A:$A, 0)) = 0, "", INDEX(Labels!E:E, MATCH(Summary!$A365, Labels!$A:$A, 0)))</f>
        <v/>
      </c>
      <c r="T365" s="33" t="str">
        <f>IF(INDEX(Labels!F:F, MATCH(Summary!$A365, Labels!$A:$A, 0)) = 0, "", INDEX(Labels!F:F, MATCH(Summary!$A365, Labels!$A:$A, 0)))</f>
        <v/>
      </c>
      <c r="U365" s="35" t="str">
        <f>IF(INDEX(Labels!G:G, MATCH(Summary!$A365, Labels!$A:$A, 0)) = 0, "", INDEX(Labels!G:G, MATCH(Summary!$A365, Labels!$A:$A, 0)))</f>
        <v/>
      </c>
      <c r="V365" s="62" t="str">
        <f>IF(INDEX(Labels!H:H, MATCH(Summary!$A365, Labels!$A:$A, 0)) = 0, "", INDEX(Labels!H:H, MATCH(Summary!$A365, Labels!$A:$A, 0)))</f>
        <v/>
      </c>
      <c r="W365" t="str">
        <f>IF(INDEX(Labels!I:I, MATCH(Summary!$A365, Labels!$A:$A, 0)) = 0, "", INDEX(Labels!I:I, MATCH(Summary!$A365, Labels!$A:$A, 0)))</f>
        <v/>
      </c>
      <c r="X365" t="str">
        <f>IF(INDEX(Labels!J:J, MATCH(Summary!$A365, Labels!$A:$A, 0)) = 0, "", INDEX(Labels!J:J, MATCH(Summary!$A365, Labels!$A:$A, 0)))</f>
        <v/>
      </c>
    </row>
    <row r="366" spans="1:24" x14ac:dyDescent="0.2">
      <c r="A366" s="33">
        <f>Labels!A367</f>
        <v>360</v>
      </c>
      <c r="B366" s="34">
        <f>INDEX(EchoData!B:B, MATCH(Summary!$A366, EchoData!$A:$A, 0))</f>
        <v>364</v>
      </c>
      <c r="C366" s="35">
        <f>INDEX(EchoData!C:C, MATCH(Summary!$A366, EchoData!$A:$A, 0))</f>
        <v>365</v>
      </c>
      <c r="D366" s="42">
        <f>INDEX(Displacements!B:B, MATCH(Summary!$B366, Displacements!$A:$A, 0))</f>
        <v>337.61799999999999</v>
      </c>
      <c r="E366" s="43">
        <f>INDEX(Displacements!C:C, MATCH(Summary!$B366, Displacements!$A:$A, 0))</f>
        <v>0</v>
      </c>
      <c r="F366" s="44">
        <f>INDEX(Displacements!D:D, MATCH(Summary!$B366, Displacements!$A:$A, 0))</f>
        <v>0</v>
      </c>
      <c r="G366" s="42">
        <f>INDEX(Displacements!B:B, MATCH(Summary!$C366, Displacements!$A:$A, 0))</f>
        <v>342.57400000000001</v>
      </c>
      <c r="H366" s="43">
        <f>INDEX(Displacements!C:C, MATCH(Summary!$C366, Displacements!$A:$A, 0))</f>
        <v>0</v>
      </c>
      <c r="I366" s="44">
        <f>INDEX(Displacements!D:D, MATCH(Summary!$C366, Displacements!$A:$A, 0))</f>
        <v>0</v>
      </c>
      <c r="J366" s="42">
        <f t="shared" si="10"/>
        <v>4.9560000000000173</v>
      </c>
      <c r="K366" s="49">
        <f t="shared" si="11"/>
        <v>1</v>
      </c>
      <c r="L366" s="54">
        <f>INDEX('Forces+Stresses'!C:C, MATCH(Summary!$A366, 'Forces+Stresses'!$A:$A, 0))</f>
        <v>2717</v>
      </c>
      <c r="M366" s="55">
        <f>INDEX('Forces+Stresses'!D:D, MATCH(Summary!$A366, 'Forces+Stresses'!$A:$A, 0))</f>
        <v>2717</v>
      </c>
      <c r="N366" s="55">
        <f>IFERROR(INDEX('Forces+Stresses'!Q:Q, MATCH(Summary!$A366, 'Forces+Stresses'!$A:$A, 0)), INDEX(Flexjoints!D:D, MATCH(Summary!$A366, Flexjoints!$A:$A, 0)))</f>
        <v>1.687E-7</v>
      </c>
      <c r="O366" s="56">
        <f>IFERROR(INDEX('Forces+Stresses'!R:R, MATCH(Summary!$A366, 'Forces+Stresses'!$A:$A, 0)), INDEX(Flexjoints!E:E, MATCH(Summary!$A366, Flexjoints!$A:$A, 0)))</f>
        <v>2.3889999999999999E-6</v>
      </c>
      <c r="P366" s="33" t="str">
        <f>IF(INDEX(Labels!B:B, MATCH(Summary!$A366, Labels!$A:$A, 0)) = 0, "", INDEX(Labels!B:B, MATCH(Summary!$A366, Labels!$A:$A, 0)))</f>
        <v>{Marine Riser String}</v>
      </c>
      <c r="Q366" s="35" t="str">
        <f>IF(INDEX(Labels!C:C, MATCH(Summary!$A366, Labels!$A:$A, 0)) = 0, "", INDEX(Labels!C:C, MATCH(Summary!$A366, Labels!$A:$A, 0)))</f>
        <v>{75ft 2500ft 0.875in Buoyant}</v>
      </c>
      <c r="R366" s="33" t="str">
        <f>IF(INDEX(Labels!D:D, MATCH(Summary!$A366, Labels!$A:$A, 0)) = 0, "", INDEX(Labels!D:D, MATCH(Summary!$A366, Labels!$A:$A, 0)))</f>
        <v/>
      </c>
      <c r="S366" s="35" t="str">
        <f>IF(INDEX(Labels!E:E, MATCH(Summary!$A366, Labels!$A:$A, 0)) = 0, "", INDEX(Labels!E:E, MATCH(Summary!$A366, Labels!$A:$A, 0)))</f>
        <v/>
      </c>
      <c r="T366" s="33" t="str">
        <f>IF(INDEX(Labels!F:F, MATCH(Summary!$A366, Labels!$A:$A, 0)) = 0, "", INDEX(Labels!F:F, MATCH(Summary!$A366, Labels!$A:$A, 0)))</f>
        <v/>
      </c>
      <c r="U366" s="35" t="str">
        <f>IF(INDEX(Labels!G:G, MATCH(Summary!$A366, Labels!$A:$A, 0)) = 0, "", INDEX(Labels!G:G, MATCH(Summary!$A366, Labels!$A:$A, 0)))</f>
        <v/>
      </c>
      <c r="V366" s="62" t="str">
        <f>IF(INDEX(Labels!H:H, MATCH(Summary!$A366, Labels!$A:$A, 0)) = 0, "", INDEX(Labels!H:H, MATCH(Summary!$A366, Labels!$A:$A, 0)))</f>
        <v/>
      </c>
      <c r="W366" t="str">
        <f>IF(INDEX(Labels!I:I, MATCH(Summary!$A366, Labels!$A:$A, 0)) = 0, "", INDEX(Labels!I:I, MATCH(Summary!$A366, Labels!$A:$A, 0)))</f>
        <v/>
      </c>
      <c r="X366" t="str">
        <f>IF(INDEX(Labels!J:J, MATCH(Summary!$A366, Labels!$A:$A, 0)) = 0, "", INDEX(Labels!J:J, MATCH(Summary!$A366, Labels!$A:$A, 0)))</f>
        <v/>
      </c>
    </row>
    <row r="367" spans="1:24" x14ac:dyDescent="0.2">
      <c r="A367" s="33">
        <f>Labels!A368</f>
        <v>361</v>
      </c>
      <c r="B367" s="34">
        <f>INDEX(EchoData!B:B, MATCH(Summary!$A367, EchoData!$A:$A, 0))</f>
        <v>365</v>
      </c>
      <c r="C367" s="35">
        <f>INDEX(EchoData!C:C, MATCH(Summary!$A367, EchoData!$A:$A, 0))</f>
        <v>366</v>
      </c>
      <c r="D367" s="42">
        <f>INDEX(Displacements!B:B, MATCH(Summary!$B367, Displacements!$A:$A, 0))</f>
        <v>342.57400000000001</v>
      </c>
      <c r="E367" s="43">
        <f>INDEX(Displacements!C:C, MATCH(Summary!$B367, Displacements!$A:$A, 0))</f>
        <v>0</v>
      </c>
      <c r="F367" s="44">
        <f>INDEX(Displacements!D:D, MATCH(Summary!$B367, Displacements!$A:$A, 0))</f>
        <v>0</v>
      </c>
      <c r="G367" s="42">
        <f>INDEX(Displacements!B:B, MATCH(Summary!$C367, Displacements!$A:$A, 0))</f>
        <v>347.53</v>
      </c>
      <c r="H367" s="43">
        <f>INDEX(Displacements!C:C, MATCH(Summary!$C367, Displacements!$A:$A, 0))</f>
        <v>0</v>
      </c>
      <c r="I367" s="44">
        <f>INDEX(Displacements!D:D, MATCH(Summary!$C367, Displacements!$A:$A, 0))</f>
        <v>0</v>
      </c>
      <c r="J367" s="42">
        <f t="shared" si="10"/>
        <v>4.9559999999999604</v>
      </c>
      <c r="K367" s="49">
        <f t="shared" si="11"/>
        <v>0.99999999999998856</v>
      </c>
      <c r="L367" s="54">
        <f>INDEX('Forces+Stresses'!C:C, MATCH(Summary!$A367, 'Forces+Stresses'!$A:$A, 0))</f>
        <v>2723</v>
      </c>
      <c r="M367" s="55">
        <f>INDEX('Forces+Stresses'!D:D, MATCH(Summary!$A367, 'Forces+Stresses'!$A:$A, 0))</f>
        <v>2723</v>
      </c>
      <c r="N367" s="55">
        <f>IFERROR(INDEX('Forces+Stresses'!Q:Q, MATCH(Summary!$A367, 'Forces+Stresses'!$A:$A, 0)), INDEX(Flexjoints!D:D, MATCH(Summary!$A367, Flexjoints!$A:$A, 0)))</f>
        <v>1.008E-7</v>
      </c>
      <c r="O367" s="56">
        <f>IFERROR(INDEX('Forces+Stresses'!R:R, MATCH(Summary!$A367, 'Forces+Stresses'!$A:$A, 0)), INDEX(Flexjoints!E:E, MATCH(Summary!$A367, Flexjoints!$A:$A, 0)))</f>
        <v>2.3920000000000001E-6</v>
      </c>
      <c r="P367" s="33" t="str">
        <f>IF(INDEX(Labels!B:B, MATCH(Summary!$A367, Labels!$A:$A, 0)) = 0, "", INDEX(Labels!B:B, MATCH(Summary!$A367, Labels!$A:$A, 0)))</f>
        <v>{Marine Riser String}</v>
      </c>
      <c r="Q367" s="35" t="str">
        <f>IF(INDEX(Labels!C:C, MATCH(Summary!$A367, Labels!$A:$A, 0)) = 0, "", INDEX(Labels!C:C, MATCH(Summary!$A367, Labels!$A:$A, 0)))</f>
        <v>{75ft 2500ft 0.875in Buoyant}</v>
      </c>
      <c r="R367" s="33" t="str">
        <f>IF(INDEX(Labels!D:D, MATCH(Summary!$A367, Labels!$A:$A, 0)) = 0, "", INDEX(Labels!D:D, MATCH(Summary!$A367, Labels!$A:$A, 0)))</f>
        <v/>
      </c>
      <c r="S367" s="35" t="str">
        <f>IF(INDEX(Labels!E:E, MATCH(Summary!$A367, Labels!$A:$A, 0)) = 0, "", INDEX(Labels!E:E, MATCH(Summary!$A367, Labels!$A:$A, 0)))</f>
        <v/>
      </c>
      <c r="T367" s="33" t="str">
        <f>IF(INDEX(Labels!F:F, MATCH(Summary!$A367, Labels!$A:$A, 0)) = 0, "", INDEX(Labels!F:F, MATCH(Summary!$A367, Labels!$A:$A, 0)))</f>
        <v/>
      </c>
      <c r="U367" s="35" t="str">
        <f>IF(INDEX(Labels!G:G, MATCH(Summary!$A367, Labels!$A:$A, 0)) = 0, "", INDEX(Labels!G:G, MATCH(Summary!$A367, Labels!$A:$A, 0)))</f>
        <v/>
      </c>
      <c r="V367" s="62" t="str">
        <f>IF(INDEX(Labels!H:H, MATCH(Summary!$A367, Labels!$A:$A, 0)) = 0, "", INDEX(Labels!H:H, MATCH(Summary!$A367, Labels!$A:$A, 0)))</f>
        <v/>
      </c>
      <c r="W367" t="str">
        <f>IF(INDEX(Labels!I:I, MATCH(Summary!$A367, Labels!$A:$A, 0)) = 0, "", INDEX(Labels!I:I, MATCH(Summary!$A367, Labels!$A:$A, 0)))</f>
        <v/>
      </c>
      <c r="X367" t="str">
        <f>IF(INDEX(Labels!J:J, MATCH(Summary!$A367, Labels!$A:$A, 0)) = 0, "", INDEX(Labels!J:J, MATCH(Summary!$A367, Labels!$A:$A, 0)))</f>
        <v/>
      </c>
    </row>
    <row r="368" spans="1:24" x14ac:dyDescent="0.2">
      <c r="A368" s="33">
        <f>Labels!A369</f>
        <v>362</v>
      </c>
      <c r="B368" s="34">
        <f>INDEX(EchoData!B:B, MATCH(Summary!$A368, EchoData!$A:$A, 0))</f>
        <v>366</v>
      </c>
      <c r="C368" s="35">
        <f>INDEX(EchoData!C:C, MATCH(Summary!$A368, EchoData!$A:$A, 0))</f>
        <v>367</v>
      </c>
      <c r="D368" s="42">
        <f>INDEX(Displacements!B:B, MATCH(Summary!$B368, Displacements!$A:$A, 0))</f>
        <v>347.53</v>
      </c>
      <c r="E368" s="43">
        <f>INDEX(Displacements!C:C, MATCH(Summary!$B368, Displacements!$A:$A, 0))</f>
        <v>0</v>
      </c>
      <c r="F368" s="44">
        <f>INDEX(Displacements!D:D, MATCH(Summary!$B368, Displacements!$A:$A, 0))</f>
        <v>0</v>
      </c>
      <c r="G368" s="42">
        <f>INDEX(Displacements!B:B, MATCH(Summary!$C368, Displacements!$A:$A, 0))</f>
        <v>352.48599999999999</v>
      </c>
      <c r="H368" s="43">
        <f>INDEX(Displacements!C:C, MATCH(Summary!$C368, Displacements!$A:$A, 0))</f>
        <v>0</v>
      </c>
      <c r="I368" s="44">
        <f>INDEX(Displacements!D:D, MATCH(Summary!$C368, Displacements!$A:$A, 0))</f>
        <v>0</v>
      </c>
      <c r="J368" s="42">
        <f t="shared" si="10"/>
        <v>4.9560000000000173</v>
      </c>
      <c r="K368" s="49">
        <f t="shared" si="11"/>
        <v>1.0000000000000115</v>
      </c>
      <c r="L368" s="54">
        <f>INDEX('Forces+Stresses'!C:C, MATCH(Summary!$A368, 'Forces+Stresses'!$A:$A, 0))</f>
        <v>2730</v>
      </c>
      <c r="M368" s="55">
        <f>INDEX('Forces+Stresses'!D:D, MATCH(Summary!$A368, 'Forces+Stresses'!$A:$A, 0))</f>
        <v>2730</v>
      </c>
      <c r="N368" s="55">
        <f>IFERROR(INDEX('Forces+Stresses'!Q:Q, MATCH(Summary!$A368, 'Forces+Stresses'!$A:$A, 0)), INDEX(Flexjoints!D:D, MATCH(Summary!$A368, Flexjoints!$A:$A, 0)))</f>
        <v>7.2360000000000007E-8</v>
      </c>
      <c r="O368" s="56">
        <f>IFERROR(INDEX('Forces+Stresses'!R:R, MATCH(Summary!$A368, 'Forces+Stresses'!$A:$A, 0)), INDEX(Flexjoints!E:E, MATCH(Summary!$A368, Flexjoints!$A:$A, 0)))</f>
        <v>2.2580000000000002E-6</v>
      </c>
      <c r="P368" s="33" t="str">
        <f>IF(INDEX(Labels!B:B, MATCH(Summary!$A368, Labels!$A:$A, 0)) = 0, "", INDEX(Labels!B:B, MATCH(Summary!$A368, Labels!$A:$A, 0)))</f>
        <v>{Marine Riser String}</v>
      </c>
      <c r="Q368" s="35" t="str">
        <f>IF(INDEX(Labels!C:C, MATCH(Summary!$A368, Labels!$A:$A, 0)) = 0, "", INDEX(Labels!C:C, MATCH(Summary!$A368, Labels!$A:$A, 0)))</f>
        <v>{75ft 2500ft 0.875in Buoyant}</v>
      </c>
      <c r="R368" s="33" t="str">
        <f>IF(INDEX(Labels!D:D, MATCH(Summary!$A368, Labels!$A:$A, 0)) = 0, "", INDEX(Labels!D:D, MATCH(Summary!$A368, Labels!$A:$A, 0)))</f>
        <v/>
      </c>
      <c r="S368" s="35" t="str">
        <f>IF(INDEX(Labels!E:E, MATCH(Summary!$A368, Labels!$A:$A, 0)) = 0, "", INDEX(Labels!E:E, MATCH(Summary!$A368, Labels!$A:$A, 0)))</f>
        <v/>
      </c>
      <c r="T368" s="33" t="str">
        <f>IF(INDEX(Labels!F:F, MATCH(Summary!$A368, Labels!$A:$A, 0)) = 0, "", INDEX(Labels!F:F, MATCH(Summary!$A368, Labels!$A:$A, 0)))</f>
        <v/>
      </c>
      <c r="U368" s="35" t="str">
        <f>IF(INDEX(Labels!G:G, MATCH(Summary!$A368, Labels!$A:$A, 0)) = 0, "", INDEX(Labels!G:G, MATCH(Summary!$A368, Labels!$A:$A, 0)))</f>
        <v/>
      </c>
      <c r="V368" s="62" t="str">
        <f>IF(INDEX(Labels!H:H, MATCH(Summary!$A368, Labels!$A:$A, 0)) = 0, "", INDEX(Labels!H:H, MATCH(Summary!$A368, Labels!$A:$A, 0)))</f>
        <v/>
      </c>
      <c r="W368" t="str">
        <f>IF(INDEX(Labels!I:I, MATCH(Summary!$A368, Labels!$A:$A, 0)) = 0, "", INDEX(Labels!I:I, MATCH(Summary!$A368, Labels!$A:$A, 0)))</f>
        <v/>
      </c>
      <c r="X368" t="str">
        <f>IF(INDEX(Labels!J:J, MATCH(Summary!$A368, Labels!$A:$A, 0)) = 0, "", INDEX(Labels!J:J, MATCH(Summary!$A368, Labels!$A:$A, 0)))</f>
        <v/>
      </c>
    </row>
    <row r="369" spans="1:24" x14ac:dyDescent="0.2">
      <c r="A369" s="33">
        <f>Labels!A370</f>
        <v>363</v>
      </c>
      <c r="B369" s="34">
        <f>INDEX(EchoData!B:B, MATCH(Summary!$A369, EchoData!$A:$A, 0))</f>
        <v>367</v>
      </c>
      <c r="C369" s="35">
        <f>INDEX(EchoData!C:C, MATCH(Summary!$A369, EchoData!$A:$A, 0))</f>
        <v>368</v>
      </c>
      <c r="D369" s="42">
        <f>INDEX(Displacements!B:B, MATCH(Summary!$B369, Displacements!$A:$A, 0))</f>
        <v>352.48599999999999</v>
      </c>
      <c r="E369" s="43">
        <f>INDEX(Displacements!C:C, MATCH(Summary!$B369, Displacements!$A:$A, 0))</f>
        <v>0</v>
      </c>
      <c r="F369" s="44">
        <f>INDEX(Displacements!D:D, MATCH(Summary!$B369, Displacements!$A:$A, 0))</f>
        <v>0</v>
      </c>
      <c r="G369" s="42">
        <f>INDEX(Displacements!B:B, MATCH(Summary!$C369, Displacements!$A:$A, 0))</f>
        <v>357.44200000000001</v>
      </c>
      <c r="H369" s="43">
        <f>INDEX(Displacements!C:C, MATCH(Summary!$C369, Displacements!$A:$A, 0))</f>
        <v>0</v>
      </c>
      <c r="I369" s="44">
        <f>INDEX(Displacements!D:D, MATCH(Summary!$C369, Displacements!$A:$A, 0))</f>
        <v>0</v>
      </c>
      <c r="J369" s="42">
        <f t="shared" si="10"/>
        <v>4.9560000000000173</v>
      </c>
      <c r="K369" s="49">
        <f t="shared" si="11"/>
        <v>1</v>
      </c>
      <c r="L369" s="54">
        <f>INDEX('Forces+Stresses'!C:C, MATCH(Summary!$A369, 'Forces+Stresses'!$A:$A, 0))</f>
        <v>2737</v>
      </c>
      <c r="M369" s="55">
        <f>INDEX('Forces+Stresses'!D:D, MATCH(Summary!$A369, 'Forces+Stresses'!$A:$A, 0))</f>
        <v>2737</v>
      </c>
      <c r="N369" s="55">
        <f>IFERROR(INDEX('Forces+Stresses'!Q:Q, MATCH(Summary!$A369, 'Forces+Stresses'!$A:$A, 0)), INDEX(Flexjoints!D:D, MATCH(Summary!$A369, Flexjoints!$A:$A, 0)))</f>
        <v>7.2950000000000001E-8</v>
      </c>
      <c r="O369" s="56">
        <f>IFERROR(INDEX('Forces+Stresses'!R:R, MATCH(Summary!$A369, 'Forces+Stresses'!$A:$A, 0)), INDEX(Flexjoints!E:E, MATCH(Summary!$A369, Flexjoints!$A:$A, 0)))</f>
        <v>1.796E-6</v>
      </c>
      <c r="P369" s="33" t="str">
        <f>IF(INDEX(Labels!B:B, MATCH(Summary!$A369, Labels!$A:$A, 0)) = 0, "", INDEX(Labels!B:B, MATCH(Summary!$A369, Labels!$A:$A, 0)))</f>
        <v>{Marine Riser String}</v>
      </c>
      <c r="Q369" s="35" t="str">
        <f>IF(INDEX(Labels!C:C, MATCH(Summary!$A369, Labels!$A:$A, 0)) = 0, "", INDEX(Labels!C:C, MATCH(Summary!$A369, Labels!$A:$A, 0)))</f>
        <v>{75ft 2500ft 0.875in Buoyant}</v>
      </c>
      <c r="R369" s="33" t="str">
        <f>IF(INDEX(Labels!D:D, MATCH(Summary!$A369, Labels!$A:$A, 0)) = 0, "", INDEX(Labels!D:D, MATCH(Summary!$A369, Labels!$A:$A, 0)))</f>
        <v/>
      </c>
      <c r="S369" s="35" t="str">
        <f>IF(INDEX(Labels!E:E, MATCH(Summary!$A369, Labels!$A:$A, 0)) = 0, "", INDEX(Labels!E:E, MATCH(Summary!$A369, Labels!$A:$A, 0)))</f>
        <v/>
      </c>
      <c r="T369" s="33" t="str">
        <f>IF(INDEX(Labels!F:F, MATCH(Summary!$A369, Labels!$A:$A, 0)) = 0, "", INDEX(Labels!F:F, MATCH(Summary!$A369, Labels!$A:$A, 0)))</f>
        <v/>
      </c>
      <c r="U369" s="35" t="str">
        <f>IF(INDEX(Labels!G:G, MATCH(Summary!$A369, Labels!$A:$A, 0)) = 0, "", INDEX(Labels!G:G, MATCH(Summary!$A369, Labels!$A:$A, 0)))</f>
        <v/>
      </c>
      <c r="V369" s="62" t="str">
        <f>IF(INDEX(Labels!H:H, MATCH(Summary!$A369, Labels!$A:$A, 0)) = 0, "", INDEX(Labels!H:H, MATCH(Summary!$A369, Labels!$A:$A, 0)))</f>
        <v/>
      </c>
      <c r="W369" t="str">
        <f>IF(INDEX(Labels!I:I, MATCH(Summary!$A369, Labels!$A:$A, 0)) = 0, "", INDEX(Labels!I:I, MATCH(Summary!$A369, Labels!$A:$A, 0)))</f>
        <v/>
      </c>
      <c r="X369" t="str">
        <f>IF(INDEX(Labels!J:J, MATCH(Summary!$A369, Labels!$A:$A, 0)) = 0, "", INDEX(Labels!J:J, MATCH(Summary!$A369, Labels!$A:$A, 0)))</f>
        <v/>
      </c>
    </row>
    <row r="370" spans="1:24" x14ac:dyDescent="0.2">
      <c r="A370" s="33">
        <f>Labels!A371</f>
        <v>364</v>
      </c>
      <c r="B370" s="34">
        <f>INDEX(EchoData!B:B, MATCH(Summary!$A370, EchoData!$A:$A, 0))</f>
        <v>368</v>
      </c>
      <c r="C370" s="35">
        <f>INDEX(EchoData!C:C, MATCH(Summary!$A370, EchoData!$A:$A, 0))</f>
        <v>369</v>
      </c>
      <c r="D370" s="42">
        <f>INDEX(Displacements!B:B, MATCH(Summary!$B370, Displacements!$A:$A, 0))</f>
        <v>357.44200000000001</v>
      </c>
      <c r="E370" s="43">
        <f>INDEX(Displacements!C:C, MATCH(Summary!$B370, Displacements!$A:$A, 0))</f>
        <v>0</v>
      </c>
      <c r="F370" s="44">
        <f>INDEX(Displacements!D:D, MATCH(Summary!$B370, Displacements!$A:$A, 0))</f>
        <v>0</v>
      </c>
      <c r="G370" s="42">
        <f>INDEX(Displacements!B:B, MATCH(Summary!$C370, Displacements!$A:$A, 0))</f>
        <v>362.399</v>
      </c>
      <c r="H370" s="43">
        <f>INDEX(Displacements!C:C, MATCH(Summary!$C370, Displacements!$A:$A, 0))</f>
        <v>0</v>
      </c>
      <c r="I370" s="44">
        <f>INDEX(Displacements!D:D, MATCH(Summary!$C370, Displacements!$A:$A, 0))</f>
        <v>0</v>
      </c>
      <c r="J370" s="42">
        <f t="shared" si="10"/>
        <v>4.9569999999999936</v>
      </c>
      <c r="K370" s="49">
        <f t="shared" si="11"/>
        <v>1.0002017756254997</v>
      </c>
      <c r="L370" s="54">
        <f>INDEX('Forces+Stresses'!C:C, MATCH(Summary!$A370, 'Forces+Stresses'!$A:$A, 0))</f>
        <v>2743</v>
      </c>
      <c r="M370" s="55">
        <f>INDEX('Forces+Stresses'!D:D, MATCH(Summary!$A370, 'Forces+Stresses'!$A:$A, 0))</f>
        <v>2743</v>
      </c>
      <c r="N370" s="55">
        <f>IFERROR(INDEX('Forces+Stresses'!Q:Q, MATCH(Summary!$A370, 'Forces+Stresses'!$A:$A, 0)), INDEX(Flexjoints!D:D, MATCH(Summary!$A370, Flexjoints!$A:$A, 0)))</f>
        <v>1.4569999999999999E-7</v>
      </c>
      <c r="O370" s="56">
        <f>IFERROR(INDEX('Forces+Stresses'!R:R, MATCH(Summary!$A370, 'Forces+Stresses'!$A:$A, 0)), INDEX(Flexjoints!E:E, MATCH(Summary!$A370, Flexjoints!$A:$A, 0)))</f>
        <v>2.0929999999999997E-6</v>
      </c>
      <c r="P370" s="33" t="str">
        <f>IF(INDEX(Labels!B:B, MATCH(Summary!$A370, Labels!$A:$A, 0)) = 0, "", INDEX(Labels!B:B, MATCH(Summary!$A370, Labels!$A:$A, 0)))</f>
        <v>{Marine Riser String}</v>
      </c>
      <c r="Q370" s="35" t="str">
        <f>IF(INDEX(Labels!C:C, MATCH(Summary!$A370, Labels!$A:$A, 0)) = 0, "", INDEX(Labels!C:C, MATCH(Summary!$A370, Labels!$A:$A, 0)))</f>
        <v>{75ft 2500ft 0.875in Buoyant}</v>
      </c>
      <c r="R370" s="33" t="str">
        <f>IF(INDEX(Labels!D:D, MATCH(Summary!$A370, Labels!$A:$A, 0)) = 0, "", INDEX(Labels!D:D, MATCH(Summary!$A370, Labels!$A:$A, 0)))</f>
        <v/>
      </c>
      <c r="S370" s="35" t="str">
        <f>IF(INDEX(Labels!E:E, MATCH(Summary!$A370, Labels!$A:$A, 0)) = 0, "", INDEX(Labels!E:E, MATCH(Summary!$A370, Labels!$A:$A, 0)))</f>
        <v/>
      </c>
      <c r="T370" s="33" t="str">
        <f>IF(INDEX(Labels!F:F, MATCH(Summary!$A370, Labels!$A:$A, 0)) = 0, "", INDEX(Labels!F:F, MATCH(Summary!$A370, Labels!$A:$A, 0)))</f>
        <v/>
      </c>
      <c r="U370" s="35" t="str">
        <f>IF(INDEX(Labels!G:G, MATCH(Summary!$A370, Labels!$A:$A, 0)) = 0, "", INDEX(Labels!G:G, MATCH(Summary!$A370, Labels!$A:$A, 0)))</f>
        <v/>
      </c>
      <c r="V370" s="62" t="str">
        <f>IF(INDEX(Labels!H:H, MATCH(Summary!$A370, Labels!$A:$A, 0)) = 0, "", INDEX(Labels!H:H, MATCH(Summary!$A370, Labels!$A:$A, 0)))</f>
        <v/>
      </c>
      <c r="W370" t="str">
        <f>IF(INDEX(Labels!I:I, MATCH(Summary!$A370, Labels!$A:$A, 0)) = 0, "", INDEX(Labels!I:I, MATCH(Summary!$A370, Labels!$A:$A, 0)))</f>
        <v/>
      </c>
      <c r="X370" t="str">
        <f>IF(INDEX(Labels!J:J, MATCH(Summary!$A370, Labels!$A:$A, 0)) = 0, "", INDEX(Labels!J:J, MATCH(Summary!$A370, Labels!$A:$A, 0)))</f>
        <v/>
      </c>
    </row>
    <row r="371" spans="1:24" x14ac:dyDescent="0.2">
      <c r="A371" s="33">
        <f>Labels!A372</f>
        <v>365</v>
      </c>
      <c r="B371" s="34">
        <f>INDEX(EchoData!B:B, MATCH(Summary!$A371, EchoData!$A:$A, 0))</f>
        <v>369</v>
      </c>
      <c r="C371" s="35">
        <f>INDEX(EchoData!C:C, MATCH(Summary!$A371, EchoData!$A:$A, 0))</f>
        <v>370</v>
      </c>
      <c r="D371" s="42">
        <f>INDEX(Displacements!B:B, MATCH(Summary!$B371, Displacements!$A:$A, 0))</f>
        <v>362.399</v>
      </c>
      <c r="E371" s="43">
        <f>INDEX(Displacements!C:C, MATCH(Summary!$B371, Displacements!$A:$A, 0))</f>
        <v>0</v>
      </c>
      <c r="F371" s="44">
        <f>INDEX(Displacements!D:D, MATCH(Summary!$B371, Displacements!$A:$A, 0))</f>
        <v>0</v>
      </c>
      <c r="G371" s="42">
        <f>INDEX(Displacements!B:B, MATCH(Summary!$C371, Displacements!$A:$A, 0))</f>
        <v>367.35500000000002</v>
      </c>
      <c r="H371" s="43">
        <f>INDEX(Displacements!C:C, MATCH(Summary!$C371, Displacements!$A:$A, 0))</f>
        <v>0</v>
      </c>
      <c r="I371" s="44">
        <f>INDEX(Displacements!D:D, MATCH(Summary!$C371, Displacements!$A:$A, 0))</f>
        <v>0</v>
      </c>
      <c r="J371" s="42">
        <f t="shared" si="10"/>
        <v>4.9560000000000173</v>
      </c>
      <c r="K371" s="49">
        <f t="shared" si="11"/>
        <v>0.99979826507969005</v>
      </c>
      <c r="L371" s="54">
        <f>INDEX('Forces+Stresses'!C:C, MATCH(Summary!$A371, 'Forces+Stresses'!$A:$A, 0))</f>
        <v>2750</v>
      </c>
      <c r="M371" s="55">
        <f>INDEX('Forces+Stresses'!D:D, MATCH(Summary!$A371, 'Forces+Stresses'!$A:$A, 0))</f>
        <v>2750</v>
      </c>
      <c r="N371" s="55">
        <f>IFERROR(INDEX('Forces+Stresses'!Q:Q, MATCH(Summary!$A371, 'Forces+Stresses'!$A:$A, 0)), INDEX(Flexjoints!D:D, MATCH(Summary!$A371, Flexjoints!$A:$A, 0)))</f>
        <v>1.8539999999999999E-8</v>
      </c>
      <c r="O371" s="56">
        <f>IFERROR(INDEX('Forces+Stresses'!R:R, MATCH(Summary!$A371, 'Forces+Stresses'!$A:$A, 0)), INDEX(Flexjoints!E:E, MATCH(Summary!$A371, Flexjoints!$A:$A, 0)))</f>
        <v>2.6120000000000001E-6</v>
      </c>
      <c r="P371" s="33" t="str">
        <f>IF(INDEX(Labels!B:B, MATCH(Summary!$A371, Labels!$A:$A, 0)) = 0, "", INDEX(Labels!B:B, MATCH(Summary!$A371, Labels!$A:$A, 0)))</f>
        <v>{Marine Riser String}</v>
      </c>
      <c r="Q371" s="35" t="str">
        <f>IF(INDEX(Labels!C:C, MATCH(Summary!$A371, Labels!$A:$A, 0)) = 0, "", INDEX(Labels!C:C, MATCH(Summary!$A371, Labels!$A:$A, 0)))</f>
        <v>{75ft 2500ft 0.875in Buoyant}</v>
      </c>
      <c r="R371" s="33" t="str">
        <f>IF(INDEX(Labels!D:D, MATCH(Summary!$A371, Labels!$A:$A, 0)) = 0, "", INDEX(Labels!D:D, MATCH(Summary!$A371, Labels!$A:$A, 0)))</f>
        <v/>
      </c>
      <c r="S371" s="35" t="str">
        <f>IF(INDEX(Labels!E:E, MATCH(Summary!$A371, Labels!$A:$A, 0)) = 0, "", INDEX(Labels!E:E, MATCH(Summary!$A371, Labels!$A:$A, 0)))</f>
        <v/>
      </c>
      <c r="T371" s="33" t="str">
        <f>IF(INDEX(Labels!F:F, MATCH(Summary!$A371, Labels!$A:$A, 0)) = 0, "", INDEX(Labels!F:F, MATCH(Summary!$A371, Labels!$A:$A, 0)))</f>
        <v/>
      </c>
      <c r="U371" s="35" t="str">
        <f>IF(INDEX(Labels!G:G, MATCH(Summary!$A371, Labels!$A:$A, 0)) = 0, "", INDEX(Labels!G:G, MATCH(Summary!$A371, Labels!$A:$A, 0)))</f>
        <v/>
      </c>
      <c r="V371" s="62" t="str">
        <f>IF(INDEX(Labels!H:H, MATCH(Summary!$A371, Labels!$A:$A, 0)) = 0, "", INDEX(Labels!H:H, MATCH(Summary!$A371, Labels!$A:$A, 0)))</f>
        <v/>
      </c>
      <c r="W371" t="str">
        <f>IF(INDEX(Labels!I:I, MATCH(Summary!$A371, Labels!$A:$A, 0)) = 0, "", INDEX(Labels!I:I, MATCH(Summary!$A371, Labels!$A:$A, 0)))</f>
        <v/>
      </c>
      <c r="X371" t="str">
        <f>IF(INDEX(Labels!J:J, MATCH(Summary!$A371, Labels!$A:$A, 0)) = 0, "", INDEX(Labels!J:J, MATCH(Summary!$A371, Labels!$A:$A, 0)))</f>
        <v/>
      </c>
    </row>
    <row r="372" spans="1:24" x14ac:dyDescent="0.2">
      <c r="A372" s="33">
        <f>Labels!A373</f>
        <v>366</v>
      </c>
      <c r="B372" s="34">
        <f>INDEX(EchoData!B:B, MATCH(Summary!$A372, EchoData!$A:$A, 0))</f>
        <v>370</v>
      </c>
      <c r="C372" s="35">
        <f>INDEX(EchoData!C:C, MATCH(Summary!$A372, EchoData!$A:$A, 0))</f>
        <v>371</v>
      </c>
      <c r="D372" s="42">
        <f>INDEX(Displacements!B:B, MATCH(Summary!$B372, Displacements!$A:$A, 0))</f>
        <v>367.35500000000002</v>
      </c>
      <c r="E372" s="43">
        <f>INDEX(Displacements!C:C, MATCH(Summary!$B372, Displacements!$A:$A, 0))</f>
        <v>0</v>
      </c>
      <c r="F372" s="44">
        <f>INDEX(Displacements!D:D, MATCH(Summary!$B372, Displacements!$A:$A, 0))</f>
        <v>0</v>
      </c>
      <c r="G372" s="42">
        <f>INDEX(Displacements!B:B, MATCH(Summary!$C372, Displacements!$A:$A, 0))</f>
        <v>372.31099999999998</v>
      </c>
      <c r="H372" s="43">
        <f>INDEX(Displacements!C:C, MATCH(Summary!$C372, Displacements!$A:$A, 0))</f>
        <v>0</v>
      </c>
      <c r="I372" s="44">
        <f>INDEX(Displacements!D:D, MATCH(Summary!$C372, Displacements!$A:$A, 0))</f>
        <v>0</v>
      </c>
      <c r="J372" s="42">
        <f t="shared" si="10"/>
        <v>4.9559999999999604</v>
      </c>
      <c r="K372" s="49">
        <f t="shared" si="11"/>
        <v>0.99999999999998856</v>
      </c>
      <c r="L372" s="54">
        <f>INDEX('Forces+Stresses'!C:C, MATCH(Summary!$A372, 'Forces+Stresses'!$A:$A, 0))</f>
        <v>2756</v>
      </c>
      <c r="M372" s="55">
        <f>INDEX('Forces+Stresses'!D:D, MATCH(Summary!$A372, 'Forces+Stresses'!$A:$A, 0))</f>
        <v>2756</v>
      </c>
      <c r="N372" s="55">
        <f>IFERROR(INDEX('Forces+Stresses'!Q:Q, MATCH(Summary!$A372, 'Forces+Stresses'!$A:$A, 0)), INDEX(Flexjoints!D:D, MATCH(Summary!$A372, Flexjoints!$A:$A, 0)))</f>
        <v>1.5949999999999999E-7</v>
      </c>
      <c r="O372" s="56">
        <f>IFERROR(INDEX('Forces+Stresses'!R:R, MATCH(Summary!$A372, 'Forces+Stresses'!$A:$A, 0)), INDEX(Flexjoints!E:E, MATCH(Summary!$A372, Flexjoints!$A:$A, 0)))</f>
        <v>2.4269999999999998E-6</v>
      </c>
      <c r="P372" s="33" t="str">
        <f>IF(INDEX(Labels!B:B, MATCH(Summary!$A372, Labels!$A:$A, 0)) = 0, "", INDEX(Labels!B:B, MATCH(Summary!$A372, Labels!$A:$A, 0)))</f>
        <v>{Marine Riser String}</v>
      </c>
      <c r="Q372" s="35" t="str">
        <f>IF(INDEX(Labels!C:C, MATCH(Summary!$A372, Labels!$A:$A, 0)) = 0, "", INDEX(Labels!C:C, MATCH(Summary!$A372, Labels!$A:$A, 0)))</f>
        <v>{75ft 2500ft 0.875in Buoyant}</v>
      </c>
      <c r="R372" s="33" t="str">
        <f>IF(INDEX(Labels!D:D, MATCH(Summary!$A372, Labels!$A:$A, 0)) = 0, "", INDEX(Labels!D:D, MATCH(Summary!$A372, Labels!$A:$A, 0)))</f>
        <v/>
      </c>
      <c r="S372" s="35" t="str">
        <f>IF(INDEX(Labels!E:E, MATCH(Summary!$A372, Labels!$A:$A, 0)) = 0, "", INDEX(Labels!E:E, MATCH(Summary!$A372, Labels!$A:$A, 0)))</f>
        <v/>
      </c>
      <c r="T372" s="33" t="str">
        <f>IF(INDEX(Labels!F:F, MATCH(Summary!$A372, Labels!$A:$A, 0)) = 0, "", INDEX(Labels!F:F, MATCH(Summary!$A372, Labels!$A:$A, 0)))</f>
        <v/>
      </c>
      <c r="U372" s="35" t="str">
        <f>IF(INDEX(Labels!G:G, MATCH(Summary!$A372, Labels!$A:$A, 0)) = 0, "", INDEX(Labels!G:G, MATCH(Summary!$A372, Labels!$A:$A, 0)))</f>
        <v/>
      </c>
      <c r="V372" s="62" t="str">
        <f>IF(INDEX(Labels!H:H, MATCH(Summary!$A372, Labels!$A:$A, 0)) = 0, "", INDEX(Labels!H:H, MATCH(Summary!$A372, Labels!$A:$A, 0)))</f>
        <v/>
      </c>
      <c r="W372" t="str">
        <f>IF(INDEX(Labels!I:I, MATCH(Summary!$A372, Labels!$A:$A, 0)) = 0, "", INDEX(Labels!I:I, MATCH(Summary!$A372, Labels!$A:$A, 0)))</f>
        <v/>
      </c>
      <c r="X372" t="str">
        <f>IF(INDEX(Labels!J:J, MATCH(Summary!$A372, Labels!$A:$A, 0)) = 0, "", INDEX(Labels!J:J, MATCH(Summary!$A372, Labels!$A:$A, 0)))</f>
        <v/>
      </c>
    </row>
    <row r="373" spans="1:24" x14ac:dyDescent="0.2">
      <c r="A373" s="33">
        <f>Labels!A374</f>
        <v>367</v>
      </c>
      <c r="B373" s="34">
        <f>INDEX(EchoData!B:B, MATCH(Summary!$A373, EchoData!$A:$A, 0))</f>
        <v>371</v>
      </c>
      <c r="C373" s="35">
        <f>INDEX(EchoData!C:C, MATCH(Summary!$A373, EchoData!$A:$A, 0))</f>
        <v>372</v>
      </c>
      <c r="D373" s="42">
        <f>INDEX(Displacements!B:B, MATCH(Summary!$B373, Displacements!$A:$A, 0))</f>
        <v>372.31099999999998</v>
      </c>
      <c r="E373" s="43">
        <f>INDEX(Displacements!C:C, MATCH(Summary!$B373, Displacements!$A:$A, 0))</f>
        <v>0</v>
      </c>
      <c r="F373" s="44">
        <f>INDEX(Displacements!D:D, MATCH(Summary!$B373, Displacements!$A:$A, 0))</f>
        <v>0</v>
      </c>
      <c r="G373" s="42">
        <f>INDEX(Displacements!B:B, MATCH(Summary!$C373, Displacements!$A:$A, 0))</f>
        <v>377.267</v>
      </c>
      <c r="H373" s="43">
        <f>INDEX(Displacements!C:C, MATCH(Summary!$C373, Displacements!$A:$A, 0))</f>
        <v>0</v>
      </c>
      <c r="I373" s="44">
        <f>INDEX(Displacements!D:D, MATCH(Summary!$C373, Displacements!$A:$A, 0))</f>
        <v>0</v>
      </c>
      <c r="J373" s="42">
        <f t="shared" si="10"/>
        <v>4.9560000000000173</v>
      </c>
      <c r="K373" s="49">
        <f t="shared" si="11"/>
        <v>1.0000000000000115</v>
      </c>
      <c r="L373" s="54">
        <f>INDEX('Forces+Stresses'!C:C, MATCH(Summary!$A373, 'Forces+Stresses'!$A:$A, 0))</f>
        <v>2763</v>
      </c>
      <c r="M373" s="55">
        <f>INDEX('Forces+Stresses'!D:D, MATCH(Summary!$A373, 'Forces+Stresses'!$A:$A, 0))</f>
        <v>2763</v>
      </c>
      <c r="N373" s="55">
        <f>IFERROR(INDEX('Forces+Stresses'!Q:Q, MATCH(Summary!$A373, 'Forces+Stresses'!$A:$A, 0)), INDEX(Flexjoints!D:D, MATCH(Summary!$A373, Flexjoints!$A:$A, 0)))</f>
        <v>5.6450000000000006E-8</v>
      </c>
      <c r="O373" s="56">
        <f>IFERROR(INDEX('Forces+Stresses'!R:R, MATCH(Summary!$A373, 'Forces+Stresses'!$A:$A, 0)), INDEX(Flexjoints!E:E, MATCH(Summary!$A373, Flexjoints!$A:$A, 0)))</f>
        <v>2.2840000000000001E-6</v>
      </c>
      <c r="P373" s="33" t="str">
        <f>IF(INDEX(Labels!B:B, MATCH(Summary!$A373, Labels!$A:$A, 0)) = 0, "", INDEX(Labels!B:B, MATCH(Summary!$A373, Labels!$A:$A, 0)))</f>
        <v>{Marine Riser String}</v>
      </c>
      <c r="Q373" s="35" t="str">
        <f>IF(INDEX(Labels!C:C, MATCH(Summary!$A373, Labels!$A:$A, 0)) = 0, "", INDEX(Labels!C:C, MATCH(Summary!$A373, Labels!$A:$A, 0)))</f>
        <v>{75ft 2500ft 0.875in Buoyant}</v>
      </c>
      <c r="R373" s="33" t="str">
        <f>IF(INDEX(Labels!D:D, MATCH(Summary!$A373, Labels!$A:$A, 0)) = 0, "", INDEX(Labels!D:D, MATCH(Summary!$A373, Labels!$A:$A, 0)))</f>
        <v/>
      </c>
      <c r="S373" s="35" t="str">
        <f>IF(INDEX(Labels!E:E, MATCH(Summary!$A373, Labels!$A:$A, 0)) = 0, "", INDEX(Labels!E:E, MATCH(Summary!$A373, Labels!$A:$A, 0)))</f>
        <v/>
      </c>
      <c r="T373" s="33" t="str">
        <f>IF(INDEX(Labels!F:F, MATCH(Summary!$A373, Labels!$A:$A, 0)) = 0, "", INDEX(Labels!F:F, MATCH(Summary!$A373, Labels!$A:$A, 0)))</f>
        <v/>
      </c>
      <c r="U373" s="35" t="str">
        <f>IF(INDEX(Labels!G:G, MATCH(Summary!$A373, Labels!$A:$A, 0)) = 0, "", INDEX(Labels!G:G, MATCH(Summary!$A373, Labels!$A:$A, 0)))</f>
        <v/>
      </c>
      <c r="V373" s="62" t="str">
        <f>IF(INDEX(Labels!H:H, MATCH(Summary!$A373, Labels!$A:$A, 0)) = 0, "", INDEX(Labels!H:H, MATCH(Summary!$A373, Labels!$A:$A, 0)))</f>
        <v/>
      </c>
      <c r="W373" t="str">
        <f>IF(INDEX(Labels!I:I, MATCH(Summary!$A373, Labels!$A:$A, 0)) = 0, "", INDEX(Labels!I:I, MATCH(Summary!$A373, Labels!$A:$A, 0)))</f>
        <v/>
      </c>
      <c r="X373" t="str">
        <f>IF(INDEX(Labels!J:J, MATCH(Summary!$A373, Labels!$A:$A, 0)) = 0, "", INDEX(Labels!J:J, MATCH(Summary!$A373, Labels!$A:$A, 0)))</f>
        <v/>
      </c>
    </row>
    <row r="374" spans="1:24" x14ac:dyDescent="0.2">
      <c r="A374" s="33">
        <f>Labels!A375</f>
        <v>368</v>
      </c>
      <c r="B374" s="34">
        <f>INDEX(EchoData!B:B, MATCH(Summary!$A374, EchoData!$A:$A, 0))</f>
        <v>372</v>
      </c>
      <c r="C374" s="35">
        <f>INDEX(EchoData!C:C, MATCH(Summary!$A374, EchoData!$A:$A, 0))</f>
        <v>373</v>
      </c>
      <c r="D374" s="42">
        <f>INDEX(Displacements!B:B, MATCH(Summary!$B374, Displacements!$A:$A, 0))</f>
        <v>377.267</v>
      </c>
      <c r="E374" s="43">
        <f>INDEX(Displacements!C:C, MATCH(Summary!$B374, Displacements!$A:$A, 0))</f>
        <v>0</v>
      </c>
      <c r="F374" s="44">
        <f>INDEX(Displacements!D:D, MATCH(Summary!$B374, Displacements!$A:$A, 0))</f>
        <v>0</v>
      </c>
      <c r="G374" s="42">
        <f>INDEX(Displacements!B:B, MATCH(Summary!$C374, Displacements!$A:$A, 0))</f>
        <v>382.22300000000001</v>
      </c>
      <c r="H374" s="43">
        <f>INDEX(Displacements!C:C, MATCH(Summary!$C374, Displacements!$A:$A, 0))</f>
        <v>0</v>
      </c>
      <c r="I374" s="44">
        <f>INDEX(Displacements!D:D, MATCH(Summary!$C374, Displacements!$A:$A, 0))</f>
        <v>0</v>
      </c>
      <c r="J374" s="42">
        <f t="shared" si="10"/>
        <v>4.9560000000000173</v>
      </c>
      <c r="K374" s="49">
        <f t="shared" si="11"/>
        <v>1</v>
      </c>
      <c r="L374" s="54">
        <f>INDEX('Forces+Stresses'!C:C, MATCH(Summary!$A374, 'Forces+Stresses'!$A:$A, 0))</f>
        <v>2769</v>
      </c>
      <c r="M374" s="55">
        <f>INDEX('Forces+Stresses'!D:D, MATCH(Summary!$A374, 'Forces+Stresses'!$A:$A, 0))</f>
        <v>2769</v>
      </c>
      <c r="N374" s="55">
        <f>IFERROR(INDEX('Forces+Stresses'!Q:Q, MATCH(Summary!$A374, 'Forces+Stresses'!$A:$A, 0)), INDEX(Flexjoints!D:D, MATCH(Summary!$A374, Flexjoints!$A:$A, 0)))</f>
        <v>1.083E-7</v>
      </c>
      <c r="O374" s="56">
        <f>IFERROR(INDEX('Forces+Stresses'!R:R, MATCH(Summary!$A374, 'Forces+Stresses'!$A:$A, 0)), INDEX(Flexjoints!E:E, MATCH(Summary!$A374, Flexjoints!$A:$A, 0)))</f>
        <v>1.9630000000000001E-6</v>
      </c>
      <c r="P374" s="33" t="str">
        <f>IF(INDEX(Labels!B:B, MATCH(Summary!$A374, Labels!$A:$A, 0)) = 0, "", INDEX(Labels!B:B, MATCH(Summary!$A374, Labels!$A:$A, 0)))</f>
        <v>{Marine Riser String}</v>
      </c>
      <c r="Q374" s="35" t="str">
        <f>IF(INDEX(Labels!C:C, MATCH(Summary!$A374, Labels!$A:$A, 0)) = 0, "", INDEX(Labels!C:C, MATCH(Summary!$A374, Labels!$A:$A, 0)))</f>
        <v>{75ft 2500ft 0.875in Buoyant}</v>
      </c>
      <c r="R374" s="33" t="str">
        <f>IF(INDEX(Labels!D:D, MATCH(Summary!$A374, Labels!$A:$A, 0)) = 0, "", INDEX(Labels!D:D, MATCH(Summary!$A374, Labels!$A:$A, 0)))</f>
        <v/>
      </c>
      <c r="S374" s="35" t="str">
        <f>IF(INDEX(Labels!E:E, MATCH(Summary!$A374, Labels!$A:$A, 0)) = 0, "", INDEX(Labels!E:E, MATCH(Summary!$A374, Labels!$A:$A, 0)))</f>
        <v/>
      </c>
      <c r="T374" s="33" t="str">
        <f>IF(INDEX(Labels!F:F, MATCH(Summary!$A374, Labels!$A:$A, 0)) = 0, "", INDEX(Labels!F:F, MATCH(Summary!$A374, Labels!$A:$A, 0)))</f>
        <v/>
      </c>
      <c r="U374" s="35" t="str">
        <f>IF(INDEX(Labels!G:G, MATCH(Summary!$A374, Labels!$A:$A, 0)) = 0, "", INDEX(Labels!G:G, MATCH(Summary!$A374, Labels!$A:$A, 0)))</f>
        <v/>
      </c>
      <c r="V374" s="62" t="str">
        <f>IF(INDEX(Labels!H:H, MATCH(Summary!$A374, Labels!$A:$A, 0)) = 0, "", INDEX(Labels!H:H, MATCH(Summary!$A374, Labels!$A:$A, 0)))</f>
        <v/>
      </c>
      <c r="W374" t="str">
        <f>IF(INDEX(Labels!I:I, MATCH(Summary!$A374, Labels!$A:$A, 0)) = 0, "", INDEX(Labels!I:I, MATCH(Summary!$A374, Labels!$A:$A, 0)))</f>
        <v/>
      </c>
      <c r="X374" t="str">
        <f>IF(INDEX(Labels!J:J, MATCH(Summary!$A374, Labels!$A:$A, 0)) = 0, "", INDEX(Labels!J:J, MATCH(Summary!$A374, Labels!$A:$A, 0)))</f>
        <v/>
      </c>
    </row>
    <row r="375" spans="1:24" x14ac:dyDescent="0.2">
      <c r="A375" s="33">
        <f>Labels!A376</f>
        <v>369</v>
      </c>
      <c r="B375" s="34">
        <f>INDEX(EchoData!B:B, MATCH(Summary!$A375, EchoData!$A:$A, 0))</f>
        <v>373</v>
      </c>
      <c r="C375" s="35">
        <f>INDEX(EchoData!C:C, MATCH(Summary!$A375, EchoData!$A:$A, 0))</f>
        <v>374</v>
      </c>
      <c r="D375" s="42">
        <f>INDEX(Displacements!B:B, MATCH(Summary!$B375, Displacements!$A:$A, 0))</f>
        <v>382.22300000000001</v>
      </c>
      <c r="E375" s="43">
        <f>INDEX(Displacements!C:C, MATCH(Summary!$B375, Displacements!$A:$A, 0))</f>
        <v>0</v>
      </c>
      <c r="F375" s="44">
        <f>INDEX(Displacements!D:D, MATCH(Summary!$B375, Displacements!$A:$A, 0))</f>
        <v>0</v>
      </c>
      <c r="G375" s="42">
        <f>INDEX(Displacements!B:B, MATCH(Summary!$C375, Displacements!$A:$A, 0))</f>
        <v>387.17899999999997</v>
      </c>
      <c r="H375" s="43">
        <f>INDEX(Displacements!C:C, MATCH(Summary!$C375, Displacements!$A:$A, 0))</f>
        <v>0</v>
      </c>
      <c r="I375" s="44">
        <f>INDEX(Displacements!D:D, MATCH(Summary!$C375, Displacements!$A:$A, 0))</f>
        <v>0</v>
      </c>
      <c r="J375" s="42">
        <f t="shared" si="10"/>
        <v>4.9559999999999604</v>
      </c>
      <c r="K375" s="49">
        <f t="shared" si="11"/>
        <v>0.99999999999998856</v>
      </c>
      <c r="L375" s="54">
        <f>INDEX('Forces+Stresses'!C:C, MATCH(Summary!$A375, 'Forces+Stresses'!$A:$A, 0))</f>
        <v>2776</v>
      </c>
      <c r="M375" s="55">
        <f>INDEX('Forces+Stresses'!D:D, MATCH(Summary!$A375, 'Forces+Stresses'!$A:$A, 0))</f>
        <v>2776</v>
      </c>
      <c r="N375" s="55">
        <f>IFERROR(INDEX('Forces+Stresses'!Q:Q, MATCH(Summary!$A375, 'Forces+Stresses'!$A:$A, 0)), INDEX(Flexjoints!D:D, MATCH(Summary!$A375, Flexjoints!$A:$A, 0)))</f>
        <v>1.4459999999999998E-7</v>
      </c>
      <c r="O375" s="56">
        <f>IFERROR(INDEX('Forces+Stresses'!R:R, MATCH(Summary!$A375, 'Forces+Stresses'!$A:$A, 0)), INDEX(Flexjoints!E:E, MATCH(Summary!$A375, Flexjoints!$A:$A, 0)))</f>
        <v>1.748E-6</v>
      </c>
      <c r="P375" s="33" t="str">
        <f>IF(INDEX(Labels!B:B, MATCH(Summary!$A375, Labels!$A:$A, 0)) = 0, "", INDEX(Labels!B:B, MATCH(Summary!$A375, Labels!$A:$A, 0)))</f>
        <v>{Marine Riser String}</v>
      </c>
      <c r="Q375" s="35" t="str">
        <f>IF(INDEX(Labels!C:C, MATCH(Summary!$A375, Labels!$A:$A, 0)) = 0, "", INDEX(Labels!C:C, MATCH(Summary!$A375, Labels!$A:$A, 0)))</f>
        <v>{75ft 2500ft 0.875in Buoyant}</v>
      </c>
      <c r="R375" s="33" t="str">
        <f>IF(INDEX(Labels!D:D, MATCH(Summary!$A375, Labels!$A:$A, 0)) = 0, "", INDEX(Labels!D:D, MATCH(Summary!$A375, Labels!$A:$A, 0)))</f>
        <v/>
      </c>
      <c r="S375" s="35" t="str">
        <f>IF(INDEX(Labels!E:E, MATCH(Summary!$A375, Labels!$A:$A, 0)) = 0, "", INDEX(Labels!E:E, MATCH(Summary!$A375, Labels!$A:$A, 0)))</f>
        <v/>
      </c>
      <c r="T375" s="33" t="str">
        <f>IF(INDEX(Labels!F:F, MATCH(Summary!$A375, Labels!$A:$A, 0)) = 0, "", INDEX(Labels!F:F, MATCH(Summary!$A375, Labels!$A:$A, 0)))</f>
        <v/>
      </c>
      <c r="U375" s="35" t="str">
        <f>IF(INDEX(Labels!G:G, MATCH(Summary!$A375, Labels!$A:$A, 0)) = 0, "", INDEX(Labels!G:G, MATCH(Summary!$A375, Labels!$A:$A, 0)))</f>
        <v/>
      </c>
      <c r="V375" s="62" t="str">
        <f>IF(INDEX(Labels!H:H, MATCH(Summary!$A375, Labels!$A:$A, 0)) = 0, "", INDEX(Labels!H:H, MATCH(Summary!$A375, Labels!$A:$A, 0)))</f>
        <v/>
      </c>
      <c r="W375" t="str">
        <f>IF(INDEX(Labels!I:I, MATCH(Summary!$A375, Labels!$A:$A, 0)) = 0, "", INDEX(Labels!I:I, MATCH(Summary!$A375, Labels!$A:$A, 0)))</f>
        <v/>
      </c>
      <c r="X375" t="str">
        <f>IF(INDEX(Labels!J:J, MATCH(Summary!$A375, Labels!$A:$A, 0)) = 0, "", INDEX(Labels!J:J, MATCH(Summary!$A375, Labels!$A:$A, 0)))</f>
        <v/>
      </c>
    </row>
    <row r="376" spans="1:24" x14ac:dyDescent="0.2">
      <c r="A376" s="33">
        <f>Labels!A377</f>
        <v>370</v>
      </c>
      <c r="B376" s="34">
        <f>INDEX(EchoData!B:B, MATCH(Summary!$A376, EchoData!$A:$A, 0))</f>
        <v>374</v>
      </c>
      <c r="C376" s="35">
        <f>INDEX(EchoData!C:C, MATCH(Summary!$A376, EchoData!$A:$A, 0))</f>
        <v>375</v>
      </c>
      <c r="D376" s="42">
        <f>INDEX(Displacements!B:B, MATCH(Summary!$B376, Displacements!$A:$A, 0))</f>
        <v>387.17899999999997</v>
      </c>
      <c r="E376" s="43">
        <f>INDEX(Displacements!C:C, MATCH(Summary!$B376, Displacements!$A:$A, 0))</f>
        <v>0</v>
      </c>
      <c r="F376" s="44">
        <f>INDEX(Displacements!D:D, MATCH(Summary!$B376, Displacements!$A:$A, 0))</f>
        <v>0</v>
      </c>
      <c r="G376" s="42">
        <f>INDEX(Displacements!B:B, MATCH(Summary!$C376, Displacements!$A:$A, 0))</f>
        <v>392.13499999999999</v>
      </c>
      <c r="H376" s="43">
        <f>INDEX(Displacements!C:C, MATCH(Summary!$C376, Displacements!$A:$A, 0))</f>
        <v>0</v>
      </c>
      <c r="I376" s="44">
        <f>INDEX(Displacements!D:D, MATCH(Summary!$C376, Displacements!$A:$A, 0))</f>
        <v>0</v>
      </c>
      <c r="J376" s="42">
        <f t="shared" si="10"/>
        <v>4.9560000000000173</v>
      </c>
      <c r="K376" s="49">
        <f t="shared" si="11"/>
        <v>1.0000000000000115</v>
      </c>
      <c r="L376" s="54">
        <f>INDEX('Forces+Stresses'!C:C, MATCH(Summary!$A376, 'Forces+Stresses'!$A:$A, 0))</f>
        <v>2782</v>
      </c>
      <c r="M376" s="55">
        <f>INDEX('Forces+Stresses'!D:D, MATCH(Summary!$A376, 'Forces+Stresses'!$A:$A, 0))</f>
        <v>2782</v>
      </c>
      <c r="N376" s="55">
        <f>IFERROR(INDEX('Forces+Stresses'!Q:Q, MATCH(Summary!$A376, 'Forces+Stresses'!$A:$A, 0)), INDEX(Flexjoints!D:D, MATCH(Summary!$A376, Flexjoints!$A:$A, 0)))</f>
        <v>2.146E-7</v>
      </c>
      <c r="O376" s="56">
        <f>IFERROR(INDEX('Forces+Stresses'!R:R, MATCH(Summary!$A376, 'Forces+Stresses'!$A:$A, 0)), INDEX(Flexjoints!E:E, MATCH(Summary!$A376, Flexjoints!$A:$A, 0)))</f>
        <v>2.4789999999999999E-6</v>
      </c>
      <c r="P376" s="33" t="str">
        <f>IF(INDEX(Labels!B:B, MATCH(Summary!$A376, Labels!$A:$A, 0)) = 0, "", INDEX(Labels!B:B, MATCH(Summary!$A376, Labels!$A:$A, 0)))</f>
        <v>{Marine Riser String}</v>
      </c>
      <c r="Q376" s="35" t="str">
        <f>IF(INDEX(Labels!C:C, MATCH(Summary!$A376, Labels!$A:$A, 0)) = 0, "", INDEX(Labels!C:C, MATCH(Summary!$A376, Labels!$A:$A, 0)))</f>
        <v>{75ft 2500ft 0.875in Buoyant}</v>
      </c>
      <c r="R376" s="33" t="str">
        <f>IF(INDEX(Labels!D:D, MATCH(Summary!$A376, Labels!$A:$A, 0)) = 0, "", INDEX(Labels!D:D, MATCH(Summary!$A376, Labels!$A:$A, 0)))</f>
        <v/>
      </c>
      <c r="S376" s="35" t="str">
        <f>IF(INDEX(Labels!E:E, MATCH(Summary!$A376, Labels!$A:$A, 0)) = 0, "", INDEX(Labels!E:E, MATCH(Summary!$A376, Labels!$A:$A, 0)))</f>
        <v/>
      </c>
      <c r="T376" s="33" t="str">
        <f>IF(INDEX(Labels!F:F, MATCH(Summary!$A376, Labels!$A:$A, 0)) = 0, "", INDEX(Labels!F:F, MATCH(Summary!$A376, Labels!$A:$A, 0)))</f>
        <v/>
      </c>
      <c r="U376" s="35" t="str">
        <f>IF(INDEX(Labels!G:G, MATCH(Summary!$A376, Labels!$A:$A, 0)) = 0, "", INDEX(Labels!G:G, MATCH(Summary!$A376, Labels!$A:$A, 0)))</f>
        <v/>
      </c>
      <c r="V376" s="62" t="str">
        <f>IF(INDEX(Labels!H:H, MATCH(Summary!$A376, Labels!$A:$A, 0)) = 0, "", INDEX(Labels!H:H, MATCH(Summary!$A376, Labels!$A:$A, 0)))</f>
        <v/>
      </c>
      <c r="W376" t="str">
        <f>IF(INDEX(Labels!I:I, MATCH(Summary!$A376, Labels!$A:$A, 0)) = 0, "", INDEX(Labels!I:I, MATCH(Summary!$A376, Labels!$A:$A, 0)))</f>
        <v/>
      </c>
      <c r="X376" t="str">
        <f>IF(INDEX(Labels!J:J, MATCH(Summary!$A376, Labels!$A:$A, 0)) = 0, "", INDEX(Labels!J:J, MATCH(Summary!$A376, Labels!$A:$A, 0)))</f>
        <v/>
      </c>
    </row>
    <row r="377" spans="1:24" x14ac:dyDescent="0.2">
      <c r="A377" s="33">
        <f>Labels!A378</f>
        <v>371</v>
      </c>
      <c r="B377" s="34">
        <f>INDEX(EchoData!B:B, MATCH(Summary!$A377, EchoData!$A:$A, 0))</f>
        <v>375</v>
      </c>
      <c r="C377" s="35">
        <f>INDEX(EchoData!C:C, MATCH(Summary!$A377, EchoData!$A:$A, 0))</f>
        <v>376</v>
      </c>
      <c r="D377" s="42">
        <f>INDEX(Displacements!B:B, MATCH(Summary!$B377, Displacements!$A:$A, 0))</f>
        <v>392.13499999999999</v>
      </c>
      <c r="E377" s="43">
        <f>INDEX(Displacements!C:C, MATCH(Summary!$B377, Displacements!$A:$A, 0))</f>
        <v>0</v>
      </c>
      <c r="F377" s="44">
        <f>INDEX(Displacements!D:D, MATCH(Summary!$B377, Displacements!$A:$A, 0))</f>
        <v>0</v>
      </c>
      <c r="G377" s="42">
        <f>INDEX(Displacements!B:B, MATCH(Summary!$C377, Displacements!$A:$A, 0))</f>
        <v>397.09100000000001</v>
      </c>
      <c r="H377" s="43">
        <f>INDEX(Displacements!C:C, MATCH(Summary!$C377, Displacements!$A:$A, 0))</f>
        <v>0</v>
      </c>
      <c r="I377" s="44">
        <f>INDEX(Displacements!D:D, MATCH(Summary!$C377, Displacements!$A:$A, 0))</f>
        <v>0</v>
      </c>
      <c r="J377" s="42">
        <f t="shared" si="10"/>
        <v>4.9560000000000173</v>
      </c>
      <c r="K377" s="49">
        <f t="shared" si="11"/>
        <v>1</v>
      </c>
      <c r="L377" s="54">
        <f>INDEX('Forces+Stresses'!C:C, MATCH(Summary!$A377, 'Forces+Stresses'!$A:$A, 0))</f>
        <v>2789</v>
      </c>
      <c r="M377" s="55">
        <f>INDEX('Forces+Stresses'!D:D, MATCH(Summary!$A377, 'Forces+Stresses'!$A:$A, 0))</f>
        <v>2789</v>
      </c>
      <c r="N377" s="55">
        <f>IFERROR(INDEX('Forces+Stresses'!Q:Q, MATCH(Summary!$A377, 'Forces+Stresses'!$A:$A, 0)), INDEX(Flexjoints!D:D, MATCH(Summary!$A377, Flexjoints!$A:$A, 0)))</f>
        <v>4.6770000000000001E-8</v>
      </c>
      <c r="O377" s="56">
        <f>IFERROR(INDEX('Forces+Stresses'!R:R, MATCH(Summary!$A377, 'Forces+Stresses'!$A:$A, 0)), INDEX(Flexjoints!E:E, MATCH(Summary!$A377, Flexjoints!$A:$A, 0)))</f>
        <v>2.695E-6</v>
      </c>
      <c r="P377" s="33" t="str">
        <f>IF(INDEX(Labels!B:B, MATCH(Summary!$A377, Labels!$A:$A, 0)) = 0, "", INDEX(Labels!B:B, MATCH(Summary!$A377, Labels!$A:$A, 0)))</f>
        <v>{Marine Riser String}</v>
      </c>
      <c r="Q377" s="35" t="str">
        <f>IF(INDEX(Labels!C:C, MATCH(Summary!$A377, Labels!$A:$A, 0)) = 0, "", INDEX(Labels!C:C, MATCH(Summary!$A377, Labels!$A:$A, 0)))</f>
        <v>{75ft 2500ft 0.875in Buoyant}</v>
      </c>
      <c r="R377" s="33" t="str">
        <f>IF(INDEX(Labels!D:D, MATCH(Summary!$A377, Labels!$A:$A, 0)) = 0, "", INDEX(Labels!D:D, MATCH(Summary!$A377, Labels!$A:$A, 0)))</f>
        <v/>
      </c>
      <c r="S377" s="35" t="str">
        <f>IF(INDEX(Labels!E:E, MATCH(Summary!$A377, Labels!$A:$A, 0)) = 0, "", INDEX(Labels!E:E, MATCH(Summary!$A377, Labels!$A:$A, 0)))</f>
        <v/>
      </c>
      <c r="T377" s="33" t="str">
        <f>IF(INDEX(Labels!F:F, MATCH(Summary!$A377, Labels!$A:$A, 0)) = 0, "", INDEX(Labels!F:F, MATCH(Summary!$A377, Labels!$A:$A, 0)))</f>
        <v/>
      </c>
      <c r="U377" s="35" t="str">
        <f>IF(INDEX(Labels!G:G, MATCH(Summary!$A377, Labels!$A:$A, 0)) = 0, "", INDEX(Labels!G:G, MATCH(Summary!$A377, Labels!$A:$A, 0)))</f>
        <v/>
      </c>
      <c r="V377" s="62" t="str">
        <f>IF(INDEX(Labels!H:H, MATCH(Summary!$A377, Labels!$A:$A, 0)) = 0, "", INDEX(Labels!H:H, MATCH(Summary!$A377, Labels!$A:$A, 0)))</f>
        <v/>
      </c>
      <c r="W377" t="str">
        <f>IF(INDEX(Labels!I:I, MATCH(Summary!$A377, Labels!$A:$A, 0)) = 0, "", INDEX(Labels!I:I, MATCH(Summary!$A377, Labels!$A:$A, 0)))</f>
        <v/>
      </c>
      <c r="X377" t="str">
        <f>IF(INDEX(Labels!J:J, MATCH(Summary!$A377, Labels!$A:$A, 0)) = 0, "", INDEX(Labels!J:J, MATCH(Summary!$A377, Labels!$A:$A, 0)))</f>
        <v/>
      </c>
    </row>
    <row r="378" spans="1:24" x14ac:dyDescent="0.2">
      <c r="A378" s="33">
        <f>Labels!A379</f>
        <v>372</v>
      </c>
      <c r="B378" s="34">
        <f>INDEX(EchoData!B:B, MATCH(Summary!$A378, EchoData!$A:$A, 0))</f>
        <v>376</v>
      </c>
      <c r="C378" s="35">
        <f>INDEX(EchoData!C:C, MATCH(Summary!$A378, EchoData!$A:$A, 0))</f>
        <v>377</v>
      </c>
      <c r="D378" s="42">
        <f>INDEX(Displacements!B:B, MATCH(Summary!$B378, Displacements!$A:$A, 0))</f>
        <v>397.09100000000001</v>
      </c>
      <c r="E378" s="43">
        <f>INDEX(Displacements!C:C, MATCH(Summary!$B378, Displacements!$A:$A, 0))</f>
        <v>0</v>
      </c>
      <c r="F378" s="44">
        <f>INDEX(Displacements!D:D, MATCH(Summary!$B378, Displacements!$A:$A, 0))</f>
        <v>0</v>
      </c>
      <c r="G378" s="42">
        <f>INDEX(Displacements!B:B, MATCH(Summary!$C378, Displacements!$A:$A, 0))</f>
        <v>402.04700000000003</v>
      </c>
      <c r="H378" s="43">
        <f>INDEX(Displacements!C:C, MATCH(Summary!$C378, Displacements!$A:$A, 0))</f>
        <v>0</v>
      </c>
      <c r="I378" s="44">
        <f>INDEX(Displacements!D:D, MATCH(Summary!$C378, Displacements!$A:$A, 0))</f>
        <v>0</v>
      </c>
      <c r="J378" s="42">
        <f t="shared" si="10"/>
        <v>4.9560000000000173</v>
      </c>
      <c r="K378" s="49">
        <f t="shared" si="11"/>
        <v>1</v>
      </c>
      <c r="L378" s="54">
        <f>INDEX('Forces+Stresses'!C:C, MATCH(Summary!$A378, 'Forces+Stresses'!$A:$A, 0))</f>
        <v>2796</v>
      </c>
      <c r="M378" s="55">
        <f>INDEX('Forces+Stresses'!D:D, MATCH(Summary!$A378, 'Forces+Stresses'!$A:$A, 0))</f>
        <v>2796</v>
      </c>
      <c r="N378" s="55">
        <f>IFERROR(INDEX('Forces+Stresses'!Q:Q, MATCH(Summary!$A378, 'Forces+Stresses'!$A:$A, 0)), INDEX(Flexjoints!D:D, MATCH(Summary!$A378, Flexjoints!$A:$A, 0)))</f>
        <v>2.357E-7</v>
      </c>
      <c r="O378" s="56">
        <f>IFERROR(INDEX('Forces+Stresses'!R:R, MATCH(Summary!$A378, 'Forces+Stresses'!$A:$A, 0)), INDEX(Flexjoints!E:E, MATCH(Summary!$A378, Flexjoints!$A:$A, 0)))</f>
        <v>2.2759999999999999E-6</v>
      </c>
      <c r="P378" s="33" t="str">
        <f>IF(INDEX(Labels!B:B, MATCH(Summary!$A378, Labels!$A:$A, 0)) = 0, "", INDEX(Labels!B:B, MATCH(Summary!$A378, Labels!$A:$A, 0)))</f>
        <v>{Marine Riser String}</v>
      </c>
      <c r="Q378" s="35" t="str">
        <f>IF(INDEX(Labels!C:C, MATCH(Summary!$A378, Labels!$A:$A, 0)) = 0, "", INDEX(Labels!C:C, MATCH(Summary!$A378, Labels!$A:$A, 0)))</f>
        <v>{75ft 2500ft 0.875in Buoyant}</v>
      </c>
      <c r="R378" s="33" t="str">
        <f>IF(INDEX(Labels!D:D, MATCH(Summary!$A378, Labels!$A:$A, 0)) = 0, "", INDEX(Labels!D:D, MATCH(Summary!$A378, Labels!$A:$A, 0)))</f>
        <v/>
      </c>
      <c r="S378" s="35" t="str">
        <f>IF(INDEX(Labels!E:E, MATCH(Summary!$A378, Labels!$A:$A, 0)) = 0, "", INDEX(Labels!E:E, MATCH(Summary!$A378, Labels!$A:$A, 0)))</f>
        <v/>
      </c>
      <c r="T378" s="33" t="str">
        <f>IF(INDEX(Labels!F:F, MATCH(Summary!$A378, Labels!$A:$A, 0)) = 0, "", INDEX(Labels!F:F, MATCH(Summary!$A378, Labels!$A:$A, 0)))</f>
        <v/>
      </c>
      <c r="U378" s="35" t="str">
        <f>IF(INDEX(Labels!G:G, MATCH(Summary!$A378, Labels!$A:$A, 0)) = 0, "", INDEX(Labels!G:G, MATCH(Summary!$A378, Labels!$A:$A, 0)))</f>
        <v/>
      </c>
      <c r="V378" s="62" t="str">
        <f>IF(INDEX(Labels!H:H, MATCH(Summary!$A378, Labels!$A:$A, 0)) = 0, "", INDEX(Labels!H:H, MATCH(Summary!$A378, Labels!$A:$A, 0)))</f>
        <v/>
      </c>
      <c r="W378" t="str">
        <f>IF(INDEX(Labels!I:I, MATCH(Summary!$A378, Labels!$A:$A, 0)) = 0, "", INDEX(Labels!I:I, MATCH(Summary!$A378, Labels!$A:$A, 0)))</f>
        <v/>
      </c>
      <c r="X378" t="str">
        <f>IF(INDEX(Labels!J:J, MATCH(Summary!$A378, Labels!$A:$A, 0)) = 0, "", INDEX(Labels!J:J, MATCH(Summary!$A378, Labels!$A:$A, 0)))</f>
        <v/>
      </c>
    </row>
    <row r="379" spans="1:24" x14ac:dyDescent="0.2">
      <c r="A379" s="33">
        <f>Labels!A380</f>
        <v>373</v>
      </c>
      <c r="B379" s="34">
        <f>INDEX(EchoData!B:B, MATCH(Summary!$A379, EchoData!$A:$A, 0))</f>
        <v>377</v>
      </c>
      <c r="C379" s="35">
        <f>INDEX(EchoData!C:C, MATCH(Summary!$A379, EchoData!$A:$A, 0))</f>
        <v>378</v>
      </c>
      <c r="D379" s="42">
        <f>INDEX(Displacements!B:B, MATCH(Summary!$B379, Displacements!$A:$A, 0))</f>
        <v>402.04700000000003</v>
      </c>
      <c r="E379" s="43">
        <f>INDEX(Displacements!C:C, MATCH(Summary!$B379, Displacements!$A:$A, 0))</f>
        <v>0</v>
      </c>
      <c r="F379" s="44">
        <f>INDEX(Displacements!D:D, MATCH(Summary!$B379, Displacements!$A:$A, 0))</f>
        <v>0</v>
      </c>
      <c r="G379" s="42">
        <f>INDEX(Displacements!B:B, MATCH(Summary!$C379, Displacements!$A:$A, 0))</f>
        <v>407.00299999999999</v>
      </c>
      <c r="H379" s="43">
        <f>INDEX(Displacements!C:C, MATCH(Summary!$C379, Displacements!$A:$A, 0))</f>
        <v>0</v>
      </c>
      <c r="I379" s="44">
        <f>INDEX(Displacements!D:D, MATCH(Summary!$C379, Displacements!$A:$A, 0))</f>
        <v>0</v>
      </c>
      <c r="J379" s="42">
        <f t="shared" si="10"/>
        <v>4.9559999999999604</v>
      </c>
      <c r="K379" s="49">
        <f t="shared" si="11"/>
        <v>0.99999999999998856</v>
      </c>
      <c r="L379" s="54">
        <f>INDEX('Forces+Stresses'!C:C, MATCH(Summary!$A379, 'Forces+Stresses'!$A:$A, 0))</f>
        <v>2802</v>
      </c>
      <c r="M379" s="55">
        <f>INDEX('Forces+Stresses'!D:D, MATCH(Summary!$A379, 'Forces+Stresses'!$A:$A, 0))</f>
        <v>2802</v>
      </c>
      <c r="N379" s="55">
        <f>IFERROR(INDEX('Forces+Stresses'!Q:Q, MATCH(Summary!$A379, 'Forces+Stresses'!$A:$A, 0)), INDEX(Flexjoints!D:D, MATCH(Summary!$A379, Flexjoints!$A:$A, 0)))</f>
        <v>1.9399999999999999E-7</v>
      </c>
      <c r="O379" s="56">
        <f>IFERROR(INDEX('Forces+Stresses'!R:R, MATCH(Summary!$A379, 'Forces+Stresses'!$A:$A, 0)), INDEX(Flexjoints!E:E, MATCH(Summary!$A379, Flexjoints!$A:$A, 0)))</f>
        <v>2.0789999999999999E-6</v>
      </c>
      <c r="P379" s="33" t="str">
        <f>IF(INDEX(Labels!B:B, MATCH(Summary!$A379, Labels!$A:$A, 0)) = 0, "", INDEX(Labels!B:B, MATCH(Summary!$A379, Labels!$A:$A, 0)))</f>
        <v>{Marine Riser String}</v>
      </c>
      <c r="Q379" s="35" t="str">
        <f>IF(INDEX(Labels!C:C, MATCH(Summary!$A379, Labels!$A:$A, 0)) = 0, "", INDEX(Labels!C:C, MATCH(Summary!$A379, Labels!$A:$A, 0)))</f>
        <v>{75ft 2500ft 0.875in Buoyant}</v>
      </c>
      <c r="R379" s="33" t="str">
        <f>IF(INDEX(Labels!D:D, MATCH(Summary!$A379, Labels!$A:$A, 0)) = 0, "", INDEX(Labels!D:D, MATCH(Summary!$A379, Labels!$A:$A, 0)))</f>
        <v/>
      </c>
      <c r="S379" s="35" t="str">
        <f>IF(INDEX(Labels!E:E, MATCH(Summary!$A379, Labels!$A:$A, 0)) = 0, "", INDEX(Labels!E:E, MATCH(Summary!$A379, Labels!$A:$A, 0)))</f>
        <v/>
      </c>
      <c r="T379" s="33" t="str">
        <f>IF(INDEX(Labels!F:F, MATCH(Summary!$A379, Labels!$A:$A, 0)) = 0, "", INDEX(Labels!F:F, MATCH(Summary!$A379, Labels!$A:$A, 0)))</f>
        <v/>
      </c>
      <c r="U379" s="35" t="str">
        <f>IF(INDEX(Labels!G:G, MATCH(Summary!$A379, Labels!$A:$A, 0)) = 0, "", INDEX(Labels!G:G, MATCH(Summary!$A379, Labels!$A:$A, 0)))</f>
        <v/>
      </c>
      <c r="V379" s="62" t="str">
        <f>IF(INDEX(Labels!H:H, MATCH(Summary!$A379, Labels!$A:$A, 0)) = 0, "", INDEX(Labels!H:H, MATCH(Summary!$A379, Labels!$A:$A, 0)))</f>
        <v/>
      </c>
      <c r="W379" t="str">
        <f>IF(INDEX(Labels!I:I, MATCH(Summary!$A379, Labels!$A:$A, 0)) = 0, "", INDEX(Labels!I:I, MATCH(Summary!$A379, Labels!$A:$A, 0)))</f>
        <v/>
      </c>
      <c r="X379" t="str">
        <f>IF(INDEX(Labels!J:J, MATCH(Summary!$A379, Labels!$A:$A, 0)) = 0, "", INDEX(Labels!J:J, MATCH(Summary!$A379, Labels!$A:$A, 0)))</f>
        <v/>
      </c>
    </row>
    <row r="380" spans="1:24" x14ac:dyDescent="0.2">
      <c r="A380" s="33">
        <f>Labels!A381</f>
        <v>374</v>
      </c>
      <c r="B380" s="34">
        <f>INDEX(EchoData!B:B, MATCH(Summary!$A380, EchoData!$A:$A, 0))</f>
        <v>378</v>
      </c>
      <c r="C380" s="35">
        <f>INDEX(EchoData!C:C, MATCH(Summary!$A380, EchoData!$A:$A, 0))</f>
        <v>379</v>
      </c>
      <c r="D380" s="42">
        <f>INDEX(Displacements!B:B, MATCH(Summary!$B380, Displacements!$A:$A, 0))</f>
        <v>407.00299999999999</v>
      </c>
      <c r="E380" s="43">
        <f>INDEX(Displacements!C:C, MATCH(Summary!$B380, Displacements!$A:$A, 0))</f>
        <v>0</v>
      </c>
      <c r="F380" s="44">
        <f>INDEX(Displacements!D:D, MATCH(Summary!$B380, Displacements!$A:$A, 0))</f>
        <v>0</v>
      </c>
      <c r="G380" s="42">
        <f>INDEX(Displacements!B:B, MATCH(Summary!$C380, Displacements!$A:$A, 0))</f>
        <v>411.959</v>
      </c>
      <c r="H380" s="43">
        <f>INDEX(Displacements!C:C, MATCH(Summary!$C380, Displacements!$A:$A, 0))</f>
        <v>0</v>
      </c>
      <c r="I380" s="44">
        <f>INDEX(Displacements!D:D, MATCH(Summary!$C380, Displacements!$A:$A, 0))</f>
        <v>0</v>
      </c>
      <c r="J380" s="42">
        <f t="shared" si="10"/>
        <v>4.9560000000000173</v>
      </c>
      <c r="K380" s="49">
        <f t="shared" si="11"/>
        <v>1.0000000000000115</v>
      </c>
      <c r="L380" s="54">
        <f>INDEX('Forces+Stresses'!C:C, MATCH(Summary!$A380, 'Forces+Stresses'!$A:$A, 0))</f>
        <v>2809</v>
      </c>
      <c r="M380" s="55">
        <f>INDEX('Forces+Stresses'!D:D, MATCH(Summary!$A380, 'Forces+Stresses'!$A:$A, 0))</f>
        <v>2809</v>
      </c>
      <c r="N380" s="55">
        <f>IFERROR(INDEX('Forces+Stresses'!Q:Q, MATCH(Summary!$A380, 'Forces+Stresses'!$A:$A, 0)), INDEX(Flexjoints!D:D, MATCH(Summary!$A380, Flexjoints!$A:$A, 0)))</f>
        <v>2.0489999999999999E-7</v>
      </c>
      <c r="O380" s="56">
        <f>IFERROR(INDEX('Forces+Stresses'!R:R, MATCH(Summary!$A380, 'Forces+Stresses'!$A:$A, 0)), INDEX(Flexjoints!E:E, MATCH(Summary!$A380, Flexjoints!$A:$A, 0)))</f>
        <v>2.3080000000000002E-6</v>
      </c>
      <c r="P380" s="33" t="str">
        <f>IF(INDEX(Labels!B:B, MATCH(Summary!$A380, Labels!$A:$A, 0)) = 0, "", INDEX(Labels!B:B, MATCH(Summary!$A380, Labels!$A:$A, 0)))</f>
        <v>{Marine Riser String}</v>
      </c>
      <c r="Q380" s="35" t="str">
        <f>IF(INDEX(Labels!C:C, MATCH(Summary!$A380, Labels!$A:$A, 0)) = 0, "", INDEX(Labels!C:C, MATCH(Summary!$A380, Labels!$A:$A, 0)))</f>
        <v>{75ft 2500ft 0.875in Buoyant}</v>
      </c>
      <c r="R380" s="33" t="str">
        <f>IF(INDEX(Labels!D:D, MATCH(Summary!$A380, Labels!$A:$A, 0)) = 0, "", INDEX(Labels!D:D, MATCH(Summary!$A380, Labels!$A:$A, 0)))</f>
        <v/>
      </c>
      <c r="S380" s="35" t="str">
        <f>IF(INDEX(Labels!E:E, MATCH(Summary!$A380, Labels!$A:$A, 0)) = 0, "", INDEX(Labels!E:E, MATCH(Summary!$A380, Labels!$A:$A, 0)))</f>
        <v/>
      </c>
      <c r="T380" s="33" t="str">
        <f>IF(INDEX(Labels!F:F, MATCH(Summary!$A380, Labels!$A:$A, 0)) = 0, "", INDEX(Labels!F:F, MATCH(Summary!$A380, Labels!$A:$A, 0)))</f>
        <v/>
      </c>
      <c r="U380" s="35" t="str">
        <f>IF(INDEX(Labels!G:G, MATCH(Summary!$A380, Labels!$A:$A, 0)) = 0, "", INDEX(Labels!G:G, MATCH(Summary!$A380, Labels!$A:$A, 0)))</f>
        <v/>
      </c>
      <c r="V380" s="62" t="str">
        <f>IF(INDEX(Labels!H:H, MATCH(Summary!$A380, Labels!$A:$A, 0)) = 0, "", INDEX(Labels!H:H, MATCH(Summary!$A380, Labels!$A:$A, 0)))</f>
        <v/>
      </c>
      <c r="W380" t="str">
        <f>IF(INDEX(Labels!I:I, MATCH(Summary!$A380, Labels!$A:$A, 0)) = 0, "", INDEX(Labels!I:I, MATCH(Summary!$A380, Labels!$A:$A, 0)))</f>
        <v/>
      </c>
      <c r="X380" t="str">
        <f>IF(INDEX(Labels!J:J, MATCH(Summary!$A380, Labels!$A:$A, 0)) = 0, "", INDEX(Labels!J:J, MATCH(Summary!$A380, Labels!$A:$A, 0)))</f>
        <v/>
      </c>
    </row>
    <row r="381" spans="1:24" x14ac:dyDescent="0.2">
      <c r="A381" s="33">
        <f>Labels!A382</f>
        <v>375</v>
      </c>
      <c r="B381" s="34">
        <f>INDEX(EchoData!B:B, MATCH(Summary!$A381, EchoData!$A:$A, 0))</f>
        <v>379</v>
      </c>
      <c r="C381" s="35">
        <f>INDEX(EchoData!C:C, MATCH(Summary!$A381, EchoData!$A:$A, 0))</f>
        <v>380</v>
      </c>
      <c r="D381" s="42">
        <f>INDEX(Displacements!B:B, MATCH(Summary!$B381, Displacements!$A:$A, 0))</f>
        <v>411.959</v>
      </c>
      <c r="E381" s="43">
        <f>INDEX(Displacements!C:C, MATCH(Summary!$B381, Displacements!$A:$A, 0))</f>
        <v>0</v>
      </c>
      <c r="F381" s="44">
        <f>INDEX(Displacements!D:D, MATCH(Summary!$B381, Displacements!$A:$A, 0))</f>
        <v>0</v>
      </c>
      <c r="G381" s="42">
        <f>INDEX(Displacements!B:B, MATCH(Summary!$C381, Displacements!$A:$A, 0))</f>
        <v>416.91500000000002</v>
      </c>
      <c r="H381" s="43">
        <f>INDEX(Displacements!C:C, MATCH(Summary!$C381, Displacements!$A:$A, 0))</f>
        <v>0</v>
      </c>
      <c r="I381" s="44">
        <f>INDEX(Displacements!D:D, MATCH(Summary!$C381, Displacements!$A:$A, 0))</f>
        <v>0</v>
      </c>
      <c r="J381" s="42">
        <f t="shared" si="10"/>
        <v>4.9560000000000173</v>
      </c>
      <c r="K381" s="49">
        <f t="shared" si="11"/>
        <v>1</v>
      </c>
      <c r="L381" s="54">
        <f>INDEX('Forces+Stresses'!C:C, MATCH(Summary!$A381, 'Forces+Stresses'!$A:$A, 0))</f>
        <v>2815</v>
      </c>
      <c r="M381" s="55">
        <f>INDEX('Forces+Stresses'!D:D, MATCH(Summary!$A381, 'Forces+Stresses'!$A:$A, 0))</f>
        <v>2815</v>
      </c>
      <c r="N381" s="55">
        <f>IFERROR(INDEX('Forces+Stresses'!Q:Q, MATCH(Summary!$A381, 'Forces+Stresses'!$A:$A, 0)), INDEX(Flexjoints!D:D, MATCH(Summary!$A381, Flexjoints!$A:$A, 0)))</f>
        <v>1.614E-7</v>
      </c>
      <c r="O381" s="56">
        <f>IFERROR(INDEX('Forces+Stresses'!R:R, MATCH(Summary!$A381, 'Forces+Stresses'!$A:$A, 0)), INDEX(Flexjoints!E:E, MATCH(Summary!$A381, Flexjoints!$A:$A, 0)))</f>
        <v>2.013E-6</v>
      </c>
      <c r="P381" s="33" t="str">
        <f>IF(INDEX(Labels!B:B, MATCH(Summary!$A381, Labels!$A:$A, 0)) = 0, "", INDEX(Labels!B:B, MATCH(Summary!$A381, Labels!$A:$A, 0)))</f>
        <v>{Marine Riser String}</v>
      </c>
      <c r="Q381" s="35" t="str">
        <f>IF(INDEX(Labels!C:C, MATCH(Summary!$A381, Labels!$A:$A, 0)) = 0, "", INDEX(Labels!C:C, MATCH(Summary!$A381, Labels!$A:$A, 0)))</f>
        <v>{75ft 2500ft 0.875in Buoyant}</v>
      </c>
      <c r="R381" s="33" t="str">
        <f>IF(INDEX(Labels!D:D, MATCH(Summary!$A381, Labels!$A:$A, 0)) = 0, "", INDEX(Labels!D:D, MATCH(Summary!$A381, Labels!$A:$A, 0)))</f>
        <v/>
      </c>
      <c r="S381" s="35" t="str">
        <f>IF(INDEX(Labels!E:E, MATCH(Summary!$A381, Labels!$A:$A, 0)) = 0, "", INDEX(Labels!E:E, MATCH(Summary!$A381, Labels!$A:$A, 0)))</f>
        <v/>
      </c>
      <c r="T381" s="33" t="str">
        <f>IF(INDEX(Labels!F:F, MATCH(Summary!$A381, Labels!$A:$A, 0)) = 0, "", INDEX(Labels!F:F, MATCH(Summary!$A381, Labels!$A:$A, 0)))</f>
        <v/>
      </c>
      <c r="U381" s="35" t="str">
        <f>IF(INDEX(Labels!G:G, MATCH(Summary!$A381, Labels!$A:$A, 0)) = 0, "", INDEX(Labels!G:G, MATCH(Summary!$A381, Labels!$A:$A, 0)))</f>
        <v/>
      </c>
      <c r="V381" s="62" t="str">
        <f>IF(INDEX(Labels!H:H, MATCH(Summary!$A381, Labels!$A:$A, 0)) = 0, "", INDEX(Labels!H:H, MATCH(Summary!$A381, Labels!$A:$A, 0)))</f>
        <v/>
      </c>
      <c r="W381" t="str">
        <f>IF(INDEX(Labels!I:I, MATCH(Summary!$A381, Labels!$A:$A, 0)) = 0, "", INDEX(Labels!I:I, MATCH(Summary!$A381, Labels!$A:$A, 0)))</f>
        <v/>
      </c>
      <c r="X381" t="str">
        <f>IF(INDEX(Labels!J:J, MATCH(Summary!$A381, Labels!$A:$A, 0)) = 0, "", INDEX(Labels!J:J, MATCH(Summary!$A381, Labels!$A:$A, 0)))</f>
        <v/>
      </c>
    </row>
    <row r="382" spans="1:24" x14ac:dyDescent="0.2">
      <c r="A382" s="33">
        <f>Labels!A383</f>
        <v>376</v>
      </c>
      <c r="B382" s="34">
        <f>INDEX(EchoData!B:B, MATCH(Summary!$A382, EchoData!$A:$A, 0))</f>
        <v>380</v>
      </c>
      <c r="C382" s="35">
        <f>INDEX(EchoData!C:C, MATCH(Summary!$A382, EchoData!$A:$A, 0))</f>
        <v>381</v>
      </c>
      <c r="D382" s="42">
        <f>INDEX(Displacements!B:B, MATCH(Summary!$B382, Displacements!$A:$A, 0))</f>
        <v>416.91500000000002</v>
      </c>
      <c r="E382" s="43">
        <f>INDEX(Displacements!C:C, MATCH(Summary!$B382, Displacements!$A:$A, 0))</f>
        <v>0</v>
      </c>
      <c r="F382" s="44">
        <f>INDEX(Displacements!D:D, MATCH(Summary!$B382, Displacements!$A:$A, 0))</f>
        <v>0</v>
      </c>
      <c r="G382" s="42">
        <f>INDEX(Displacements!B:B, MATCH(Summary!$C382, Displacements!$A:$A, 0))</f>
        <v>421.87200000000001</v>
      </c>
      <c r="H382" s="43">
        <f>INDEX(Displacements!C:C, MATCH(Summary!$C382, Displacements!$A:$A, 0))</f>
        <v>0</v>
      </c>
      <c r="I382" s="44">
        <f>INDEX(Displacements!D:D, MATCH(Summary!$C382, Displacements!$A:$A, 0))</f>
        <v>0</v>
      </c>
      <c r="J382" s="42">
        <f t="shared" si="10"/>
        <v>4.9569999999999936</v>
      </c>
      <c r="K382" s="49">
        <f t="shared" si="11"/>
        <v>1.0002017756254997</v>
      </c>
      <c r="L382" s="54">
        <f>INDEX('Forces+Stresses'!C:C, MATCH(Summary!$A382, 'Forces+Stresses'!$A:$A, 0))</f>
        <v>2822</v>
      </c>
      <c r="M382" s="55">
        <f>INDEX('Forces+Stresses'!D:D, MATCH(Summary!$A382, 'Forces+Stresses'!$A:$A, 0))</f>
        <v>2822</v>
      </c>
      <c r="N382" s="55">
        <f>IFERROR(INDEX('Forces+Stresses'!Q:Q, MATCH(Summary!$A382, 'Forces+Stresses'!$A:$A, 0)), INDEX(Flexjoints!D:D, MATCH(Summary!$A382, Flexjoints!$A:$A, 0)))</f>
        <v>1.698E-7</v>
      </c>
      <c r="O382" s="56">
        <f>IFERROR(INDEX('Forces+Stresses'!R:R, MATCH(Summary!$A382, 'Forces+Stresses'!$A:$A, 0)), INDEX(Flexjoints!E:E, MATCH(Summary!$A382, Flexjoints!$A:$A, 0)))</f>
        <v>1.9269999999999999E-6</v>
      </c>
      <c r="P382" s="33" t="str">
        <f>IF(INDEX(Labels!B:B, MATCH(Summary!$A382, Labels!$A:$A, 0)) = 0, "", INDEX(Labels!B:B, MATCH(Summary!$A382, Labels!$A:$A, 0)))</f>
        <v>{Marine Riser String}</v>
      </c>
      <c r="Q382" s="35" t="str">
        <f>IF(INDEX(Labels!C:C, MATCH(Summary!$A382, Labels!$A:$A, 0)) = 0, "", INDEX(Labels!C:C, MATCH(Summary!$A382, Labels!$A:$A, 0)))</f>
        <v>{75ft 2500ft 0.875in Buoyant}</v>
      </c>
      <c r="R382" s="33" t="str">
        <f>IF(INDEX(Labels!D:D, MATCH(Summary!$A382, Labels!$A:$A, 0)) = 0, "", INDEX(Labels!D:D, MATCH(Summary!$A382, Labels!$A:$A, 0)))</f>
        <v/>
      </c>
      <c r="S382" s="35" t="str">
        <f>IF(INDEX(Labels!E:E, MATCH(Summary!$A382, Labels!$A:$A, 0)) = 0, "", INDEX(Labels!E:E, MATCH(Summary!$A382, Labels!$A:$A, 0)))</f>
        <v/>
      </c>
      <c r="T382" s="33" t="str">
        <f>IF(INDEX(Labels!F:F, MATCH(Summary!$A382, Labels!$A:$A, 0)) = 0, "", INDEX(Labels!F:F, MATCH(Summary!$A382, Labels!$A:$A, 0)))</f>
        <v/>
      </c>
      <c r="U382" s="35" t="str">
        <f>IF(INDEX(Labels!G:G, MATCH(Summary!$A382, Labels!$A:$A, 0)) = 0, "", INDEX(Labels!G:G, MATCH(Summary!$A382, Labels!$A:$A, 0)))</f>
        <v/>
      </c>
      <c r="V382" s="62" t="str">
        <f>IF(INDEX(Labels!H:H, MATCH(Summary!$A382, Labels!$A:$A, 0)) = 0, "", INDEX(Labels!H:H, MATCH(Summary!$A382, Labels!$A:$A, 0)))</f>
        <v/>
      </c>
      <c r="W382" t="str">
        <f>IF(INDEX(Labels!I:I, MATCH(Summary!$A382, Labels!$A:$A, 0)) = 0, "", INDEX(Labels!I:I, MATCH(Summary!$A382, Labels!$A:$A, 0)))</f>
        <v/>
      </c>
      <c r="X382" t="str">
        <f>IF(INDEX(Labels!J:J, MATCH(Summary!$A382, Labels!$A:$A, 0)) = 0, "", INDEX(Labels!J:J, MATCH(Summary!$A382, Labels!$A:$A, 0)))</f>
        <v/>
      </c>
    </row>
    <row r="383" spans="1:24" x14ac:dyDescent="0.2">
      <c r="A383" s="33">
        <f>Labels!A384</f>
        <v>377</v>
      </c>
      <c r="B383" s="34">
        <f>INDEX(EchoData!B:B, MATCH(Summary!$A383, EchoData!$A:$A, 0))</f>
        <v>381</v>
      </c>
      <c r="C383" s="35">
        <f>INDEX(EchoData!C:C, MATCH(Summary!$A383, EchoData!$A:$A, 0))</f>
        <v>382</v>
      </c>
      <c r="D383" s="42">
        <f>INDEX(Displacements!B:B, MATCH(Summary!$B383, Displacements!$A:$A, 0))</f>
        <v>421.87200000000001</v>
      </c>
      <c r="E383" s="43">
        <f>INDEX(Displacements!C:C, MATCH(Summary!$B383, Displacements!$A:$A, 0))</f>
        <v>0</v>
      </c>
      <c r="F383" s="44">
        <f>INDEX(Displacements!D:D, MATCH(Summary!$B383, Displacements!$A:$A, 0))</f>
        <v>0</v>
      </c>
      <c r="G383" s="42">
        <f>INDEX(Displacements!B:B, MATCH(Summary!$C383, Displacements!$A:$A, 0))</f>
        <v>426.82799999999997</v>
      </c>
      <c r="H383" s="43">
        <f>INDEX(Displacements!C:C, MATCH(Summary!$C383, Displacements!$A:$A, 0))</f>
        <v>0</v>
      </c>
      <c r="I383" s="44">
        <f>INDEX(Displacements!D:D, MATCH(Summary!$C383, Displacements!$A:$A, 0))</f>
        <v>0</v>
      </c>
      <c r="J383" s="42">
        <f t="shared" si="10"/>
        <v>4.9559999999999604</v>
      </c>
      <c r="K383" s="49">
        <f t="shared" si="11"/>
        <v>0.99979826507967862</v>
      </c>
      <c r="L383" s="54">
        <f>INDEX('Forces+Stresses'!C:C, MATCH(Summary!$A383, 'Forces+Stresses'!$A:$A, 0))</f>
        <v>2828</v>
      </c>
      <c r="M383" s="55">
        <f>INDEX('Forces+Stresses'!D:D, MATCH(Summary!$A383, 'Forces+Stresses'!$A:$A, 0))</f>
        <v>2828</v>
      </c>
      <c r="N383" s="55">
        <f>IFERROR(INDEX('Forces+Stresses'!Q:Q, MATCH(Summary!$A383, 'Forces+Stresses'!$A:$A, 0)), INDEX(Flexjoints!D:D, MATCH(Summary!$A383, Flexjoints!$A:$A, 0)))</f>
        <v>3.3800000000000005E-8</v>
      </c>
      <c r="O383" s="56">
        <f>IFERROR(INDEX('Forces+Stresses'!R:R, MATCH(Summary!$A383, 'Forces+Stresses'!$A:$A, 0)), INDEX(Flexjoints!E:E, MATCH(Summary!$A383, Flexjoints!$A:$A, 0)))</f>
        <v>1.8779999999999998E-6</v>
      </c>
      <c r="P383" s="33" t="str">
        <f>IF(INDEX(Labels!B:B, MATCH(Summary!$A383, Labels!$A:$A, 0)) = 0, "", INDEX(Labels!B:B, MATCH(Summary!$A383, Labels!$A:$A, 0)))</f>
        <v>{Marine Riser String}</v>
      </c>
      <c r="Q383" s="35" t="str">
        <f>IF(INDEX(Labels!C:C, MATCH(Summary!$A383, Labels!$A:$A, 0)) = 0, "", INDEX(Labels!C:C, MATCH(Summary!$A383, Labels!$A:$A, 0)))</f>
        <v>{75ft 2500ft 0.875in Buoyant}</v>
      </c>
      <c r="R383" s="33" t="str">
        <f>IF(INDEX(Labels!D:D, MATCH(Summary!$A383, Labels!$A:$A, 0)) = 0, "", INDEX(Labels!D:D, MATCH(Summary!$A383, Labels!$A:$A, 0)))</f>
        <v/>
      </c>
      <c r="S383" s="35" t="str">
        <f>IF(INDEX(Labels!E:E, MATCH(Summary!$A383, Labels!$A:$A, 0)) = 0, "", INDEX(Labels!E:E, MATCH(Summary!$A383, Labels!$A:$A, 0)))</f>
        <v/>
      </c>
      <c r="T383" s="33" t="str">
        <f>IF(INDEX(Labels!F:F, MATCH(Summary!$A383, Labels!$A:$A, 0)) = 0, "", INDEX(Labels!F:F, MATCH(Summary!$A383, Labels!$A:$A, 0)))</f>
        <v/>
      </c>
      <c r="U383" s="35" t="str">
        <f>IF(INDEX(Labels!G:G, MATCH(Summary!$A383, Labels!$A:$A, 0)) = 0, "", INDEX(Labels!G:G, MATCH(Summary!$A383, Labels!$A:$A, 0)))</f>
        <v/>
      </c>
      <c r="V383" s="62" t="str">
        <f>IF(INDEX(Labels!H:H, MATCH(Summary!$A383, Labels!$A:$A, 0)) = 0, "", INDEX(Labels!H:H, MATCH(Summary!$A383, Labels!$A:$A, 0)))</f>
        <v/>
      </c>
      <c r="W383" t="str">
        <f>IF(INDEX(Labels!I:I, MATCH(Summary!$A383, Labels!$A:$A, 0)) = 0, "", INDEX(Labels!I:I, MATCH(Summary!$A383, Labels!$A:$A, 0)))</f>
        <v/>
      </c>
      <c r="X383" t="str">
        <f>IF(INDEX(Labels!J:J, MATCH(Summary!$A383, Labels!$A:$A, 0)) = 0, "", INDEX(Labels!J:J, MATCH(Summary!$A383, Labels!$A:$A, 0)))</f>
        <v/>
      </c>
    </row>
    <row r="384" spans="1:24" x14ac:dyDescent="0.2">
      <c r="A384" s="33">
        <f>Labels!A385</f>
        <v>378</v>
      </c>
      <c r="B384" s="34">
        <f>INDEX(EchoData!B:B, MATCH(Summary!$A384, EchoData!$A:$A, 0))</f>
        <v>382</v>
      </c>
      <c r="C384" s="35">
        <f>INDEX(EchoData!C:C, MATCH(Summary!$A384, EchoData!$A:$A, 0))</f>
        <v>383</v>
      </c>
      <c r="D384" s="42">
        <f>INDEX(Displacements!B:B, MATCH(Summary!$B384, Displacements!$A:$A, 0))</f>
        <v>426.82799999999997</v>
      </c>
      <c r="E384" s="43">
        <f>INDEX(Displacements!C:C, MATCH(Summary!$B384, Displacements!$A:$A, 0))</f>
        <v>0</v>
      </c>
      <c r="F384" s="44">
        <f>INDEX(Displacements!D:D, MATCH(Summary!$B384, Displacements!$A:$A, 0))</f>
        <v>0</v>
      </c>
      <c r="G384" s="42">
        <f>INDEX(Displacements!B:B, MATCH(Summary!$C384, Displacements!$A:$A, 0))</f>
        <v>431.78399999999999</v>
      </c>
      <c r="H384" s="43">
        <f>INDEX(Displacements!C:C, MATCH(Summary!$C384, Displacements!$A:$A, 0))</f>
        <v>0</v>
      </c>
      <c r="I384" s="44">
        <f>INDEX(Displacements!D:D, MATCH(Summary!$C384, Displacements!$A:$A, 0))</f>
        <v>0</v>
      </c>
      <c r="J384" s="42">
        <f t="shared" si="10"/>
        <v>4.9560000000000173</v>
      </c>
      <c r="K384" s="49">
        <f t="shared" si="11"/>
        <v>1.0000000000000115</v>
      </c>
      <c r="L384" s="54">
        <f>INDEX('Forces+Stresses'!C:C, MATCH(Summary!$A384, 'Forces+Stresses'!$A:$A, 0))</f>
        <v>2835</v>
      </c>
      <c r="M384" s="55">
        <f>INDEX('Forces+Stresses'!D:D, MATCH(Summary!$A384, 'Forces+Stresses'!$A:$A, 0))</f>
        <v>2835</v>
      </c>
      <c r="N384" s="55">
        <f>IFERROR(INDEX('Forces+Stresses'!Q:Q, MATCH(Summary!$A384, 'Forces+Stresses'!$A:$A, 0)), INDEX(Flexjoints!D:D, MATCH(Summary!$A384, Flexjoints!$A:$A, 0)))</f>
        <v>4.0140000000000001E-8</v>
      </c>
      <c r="O384" s="56">
        <f>IFERROR(INDEX('Forces+Stresses'!R:R, MATCH(Summary!$A384, 'Forces+Stresses'!$A:$A, 0)), INDEX(Flexjoints!E:E, MATCH(Summary!$A384, Flexjoints!$A:$A, 0)))</f>
        <v>2.0250000000000001E-6</v>
      </c>
      <c r="P384" s="33" t="str">
        <f>IF(INDEX(Labels!B:B, MATCH(Summary!$A384, Labels!$A:$A, 0)) = 0, "", INDEX(Labels!B:B, MATCH(Summary!$A384, Labels!$A:$A, 0)))</f>
        <v>{Marine Riser String}</v>
      </c>
      <c r="Q384" s="35" t="str">
        <f>IF(INDEX(Labels!C:C, MATCH(Summary!$A384, Labels!$A:$A, 0)) = 0, "", INDEX(Labels!C:C, MATCH(Summary!$A384, Labels!$A:$A, 0)))</f>
        <v>{75ft 2500ft 0.875in Buoyant}</v>
      </c>
      <c r="R384" s="33" t="str">
        <f>IF(INDEX(Labels!D:D, MATCH(Summary!$A384, Labels!$A:$A, 0)) = 0, "", INDEX(Labels!D:D, MATCH(Summary!$A384, Labels!$A:$A, 0)))</f>
        <v/>
      </c>
      <c r="S384" s="35" t="str">
        <f>IF(INDEX(Labels!E:E, MATCH(Summary!$A384, Labels!$A:$A, 0)) = 0, "", INDEX(Labels!E:E, MATCH(Summary!$A384, Labels!$A:$A, 0)))</f>
        <v/>
      </c>
      <c r="T384" s="33" t="str">
        <f>IF(INDEX(Labels!F:F, MATCH(Summary!$A384, Labels!$A:$A, 0)) = 0, "", INDEX(Labels!F:F, MATCH(Summary!$A384, Labels!$A:$A, 0)))</f>
        <v/>
      </c>
      <c r="U384" s="35" t="str">
        <f>IF(INDEX(Labels!G:G, MATCH(Summary!$A384, Labels!$A:$A, 0)) = 0, "", INDEX(Labels!G:G, MATCH(Summary!$A384, Labels!$A:$A, 0)))</f>
        <v/>
      </c>
      <c r="V384" s="62" t="str">
        <f>IF(INDEX(Labels!H:H, MATCH(Summary!$A384, Labels!$A:$A, 0)) = 0, "", INDEX(Labels!H:H, MATCH(Summary!$A384, Labels!$A:$A, 0)))</f>
        <v/>
      </c>
      <c r="W384" t="str">
        <f>IF(INDEX(Labels!I:I, MATCH(Summary!$A384, Labels!$A:$A, 0)) = 0, "", INDEX(Labels!I:I, MATCH(Summary!$A384, Labels!$A:$A, 0)))</f>
        <v/>
      </c>
      <c r="X384" t="str">
        <f>IF(INDEX(Labels!J:J, MATCH(Summary!$A384, Labels!$A:$A, 0)) = 0, "", INDEX(Labels!J:J, MATCH(Summary!$A384, Labels!$A:$A, 0)))</f>
        <v/>
      </c>
    </row>
    <row r="385" spans="1:24" x14ac:dyDescent="0.2">
      <c r="A385" s="33">
        <f>Labels!A386</f>
        <v>379</v>
      </c>
      <c r="B385" s="34">
        <f>INDEX(EchoData!B:B, MATCH(Summary!$A385, EchoData!$A:$A, 0))</f>
        <v>383</v>
      </c>
      <c r="C385" s="35">
        <f>INDEX(EchoData!C:C, MATCH(Summary!$A385, EchoData!$A:$A, 0))</f>
        <v>384</v>
      </c>
      <c r="D385" s="42">
        <f>INDEX(Displacements!B:B, MATCH(Summary!$B385, Displacements!$A:$A, 0))</f>
        <v>431.78399999999999</v>
      </c>
      <c r="E385" s="43">
        <f>INDEX(Displacements!C:C, MATCH(Summary!$B385, Displacements!$A:$A, 0))</f>
        <v>0</v>
      </c>
      <c r="F385" s="44">
        <f>INDEX(Displacements!D:D, MATCH(Summary!$B385, Displacements!$A:$A, 0))</f>
        <v>0</v>
      </c>
      <c r="G385" s="42">
        <f>INDEX(Displacements!B:B, MATCH(Summary!$C385, Displacements!$A:$A, 0))</f>
        <v>436.74</v>
      </c>
      <c r="H385" s="43">
        <f>INDEX(Displacements!C:C, MATCH(Summary!$C385, Displacements!$A:$A, 0))</f>
        <v>0</v>
      </c>
      <c r="I385" s="44">
        <f>INDEX(Displacements!D:D, MATCH(Summary!$C385, Displacements!$A:$A, 0))</f>
        <v>0</v>
      </c>
      <c r="J385" s="42">
        <f t="shared" si="10"/>
        <v>4.9560000000000173</v>
      </c>
      <c r="K385" s="49">
        <f t="shared" si="11"/>
        <v>1</v>
      </c>
      <c r="L385" s="54">
        <f>INDEX('Forces+Stresses'!C:C, MATCH(Summary!$A385, 'Forces+Stresses'!$A:$A, 0))</f>
        <v>2841</v>
      </c>
      <c r="M385" s="55">
        <f>INDEX('Forces+Stresses'!D:D, MATCH(Summary!$A385, 'Forces+Stresses'!$A:$A, 0))</f>
        <v>2841</v>
      </c>
      <c r="N385" s="55">
        <f>IFERROR(INDEX('Forces+Stresses'!Q:Q, MATCH(Summary!$A385, 'Forces+Stresses'!$A:$A, 0)), INDEX(Flexjoints!D:D, MATCH(Summary!$A385, Flexjoints!$A:$A, 0)))</f>
        <v>1.593E-7</v>
      </c>
      <c r="O385" s="56">
        <f>IFERROR(INDEX('Forces+Stresses'!R:R, MATCH(Summary!$A385, 'Forces+Stresses'!$A:$A, 0)), INDEX(Flexjoints!E:E, MATCH(Summary!$A385, Flexjoints!$A:$A, 0)))</f>
        <v>2.0779999999999998E-6</v>
      </c>
      <c r="P385" s="33" t="str">
        <f>IF(INDEX(Labels!B:B, MATCH(Summary!$A385, Labels!$A:$A, 0)) = 0, "", INDEX(Labels!B:B, MATCH(Summary!$A385, Labels!$A:$A, 0)))</f>
        <v>{Marine Riser String}</v>
      </c>
      <c r="Q385" s="35" t="str">
        <f>IF(INDEX(Labels!C:C, MATCH(Summary!$A385, Labels!$A:$A, 0)) = 0, "", INDEX(Labels!C:C, MATCH(Summary!$A385, Labels!$A:$A, 0)))</f>
        <v>{75ft 2500ft 0.875in Buoyant}</v>
      </c>
      <c r="R385" s="33" t="str">
        <f>IF(INDEX(Labels!D:D, MATCH(Summary!$A385, Labels!$A:$A, 0)) = 0, "", INDEX(Labels!D:D, MATCH(Summary!$A385, Labels!$A:$A, 0)))</f>
        <v/>
      </c>
      <c r="S385" s="35" t="str">
        <f>IF(INDEX(Labels!E:E, MATCH(Summary!$A385, Labels!$A:$A, 0)) = 0, "", INDEX(Labels!E:E, MATCH(Summary!$A385, Labels!$A:$A, 0)))</f>
        <v/>
      </c>
      <c r="T385" s="33" t="str">
        <f>IF(INDEX(Labels!F:F, MATCH(Summary!$A385, Labels!$A:$A, 0)) = 0, "", INDEX(Labels!F:F, MATCH(Summary!$A385, Labels!$A:$A, 0)))</f>
        <v/>
      </c>
      <c r="U385" s="35" t="str">
        <f>IF(INDEX(Labels!G:G, MATCH(Summary!$A385, Labels!$A:$A, 0)) = 0, "", INDEX(Labels!G:G, MATCH(Summary!$A385, Labels!$A:$A, 0)))</f>
        <v/>
      </c>
      <c r="V385" s="62" t="str">
        <f>IF(INDEX(Labels!H:H, MATCH(Summary!$A385, Labels!$A:$A, 0)) = 0, "", INDEX(Labels!H:H, MATCH(Summary!$A385, Labels!$A:$A, 0)))</f>
        <v/>
      </c>
      <c r="W385" t="str">
        <f>IF(INDEX(Labels!I:I, MATCH(Summary!$A385, Labels!$A:$A, 0)) = 0, "", INDEX(Labels!I:I, MATCH(Summary!$A385, Labels!$A:$A, 0)))</f>
        <v/>
      </c>
      <c r="X385" t="str">
        <f>IF(INDEX(Labels!J:J, MATCH(Summary!$A385, Labels!$A:$A, 0)) = 0, "", INDEX(Labels!J:J, MATCH(Summary!$A385, Labels!$A:$A, 0)))</f>
        <v/>
      </c>
    </row>
    <row r="386" spans="1:24" x14ac:dyDescent="0.2">
      <c r="A386" s="33">
        <f>Labels!A387</f>
        <v>380</v>
      </c>
      <c r="B386" s="34">
        <f>INDEX(EchoData!B:B, MATCH(Summary!$A386, EchoData!$A:$A, 0))</f>
        <v>384</v>
      </c>
      <c r="C386" s="35">
        <f>INDEX(EchoData!C:C, MATCH(Summary!$A386, EchoData!$A:$A, 0))</f>
        <v>385</v>
      </c>
      <c r="D386" s="42">
        <f>INDEX(Displacements!B:B, MATCH(Summary!$B386, Displacements!$A:$A, 0))</f>
        <v>436.74</v>
      </c>
      <c r="E386" s="43">
        <f>INDEX(Displacements!C:C, MATCH(Summary!$B386, Displacements!$A:$A, 0))</f>
        <v>0</v>
      </c>
      <c r="F386" s="44">
        <f>INDEX(Displacements!D:D, MATCH(Summary!$B386, Displacements!$A:$A, 0))</f>
        <v>0</v>
      </c>
      <c r="G386" s="42">
        <f>INDEX(Displacements!B:B, MATCH(Summary!$C386, Displacements!$A:$A, 0))</f>
        <v>441.69600000000003</v>
      </c>
      <c r="H386" s="43">
        <f>INDEX(Displacements!C:C, MATCH(Summary!$C386, Displacements!$A:$A, 0))</f>
        <v>0</v>
      </c>
      <c r="I386" s="44">
        <f>INDEX(Displacements!D:D, MATCH(Summary!$C386, Displacements!$A:$A, 0))</f>
        <v>0</v>
      </c>
      <c r="J386" s="42">
        <f t="shared" si="10"/>
        <v>4.9560000000000173</v>
      </c>
      <c r="K386" s="49">
        <f t="shared" si="11"/>
        <v>1</v>
      </c>
      <c r="L386" s="54">
        <f>INDEX('Forces+Stresses'!C:C, MATCH(Summary!$A386, 'Forces+Stresses'!$A:$A, 0))</f>
        <v>2848</v>
      </c>
      <c r="M386" s="55">
        <f>INDEX('Forces+Stresses'!D:D, MATCH(Summary!$A386, 'Forces+Stresses'!$A:$A, 0))</f>
        <v>2848</v>
      </c>
      <c r="N386" s="55">
        <f>IFERROR(INDEX('Forces+Stresses'!Q:Q, MATCH(Summary!$A386, 'Forces+Stresses'!$A:$A, 0)), INDEX(Flexjoints!D:D, MATCH(Summary!$A386, Flexjoints!$A:$A, 0)))</f>
        <v>1.4490000000000001E-7</v>
      </c>
      <c r="O386" s="56">
        <f>IFERROR(INDEX('Forces+Stresses'!R:R, MATCH(Summary!$A386, 'Forces+Stresses'!$A:$A, 0)), INDEX(Flexjoints!E:E, MATCH(Summary!$A386, Flexjoints!$A:$A, 0)))</f>
        <v>2.3130000000000001E-6</v>
      </c>
      <c r="P386" s="33" t="str">
        <f>IF(INDEX(Labels!B:B, MATCH(Summary!$A386, Labels!$A:$A, 0)) = 0, "", INDEX(Labels!B:B, MATCH(Summary!$A386, Labels!$A:$A, 0)))</f>
        <v>{Marine Riser String}</v>
      </c>
      <c r="Q386" s="35" t="str">
        <f>IF(INDEX(Labels!C:C, MATCH(Summary!$A386, Labels!$A:$A, 0)) = 0, "", INDEX(Labels!C:C, MATCH(Summary!$A386, Labels!$A:$A, 0)))</f>
        <v>{75ft 2500ft 0.875in Buoyant}</v>
      </c>
      <c r="R386" s="33" t="str">
        <f>IF(INDEX(Labels!D:D, MATCH(Summary!$A386, Labels!$A:$A, 0)) = 0, "", INDEX(Labels!D:D, MATCH(Summary!$A386, Labels!$A:$A, 0)))</f>
        <v/>
      </c>
      <c r="S386" s="35" t="str">
        <f>IF(INDEX(Labels!E:E, MATCH(Summary!$A386, Labels!$A:$A, 0)) = 0, "", INDEX(Labels!E:E, MATCH(Summary!$A386, Labels!$A:$A, 0)))</f>
        <v/>
      </c>
      <c r="T386" s="33" t="str">
        <f>IF(INDEX(Labels!F:F, MATCH(Summary!$A386, Labels!$A:$A, 0)) = 0, "", INDEX(Labels!F:F, MATCH(Summary!$A386, Labels!$A:$A, 0)))</f>
        <v/>
      </c>
      <c r="U386" s="35" t="str">
        <f>IF(INDEX(Labels!G:G, MATCH(Summary!$A386, Labels!$A:$A, 0)) = 0, "", INDEX(Labels!G:G, MATCH(Summary!$A386, Labels!$A:$A, 0)))</f>
        <v/>
      </c>
      <c r="V386" s="62" t="str">
        <f>IF(INDEX(Labels!H:H, MATCH(Summary!$A386, Labels!$A:$A, 0)) = 0, "", INDEX(Labels!H:H, MATCH(Summary!$A386, Labels!$A:$A, 0)))</f>
        <v/>
      </c>
      <c r="W386" t="str">
        <f>IF(INDEX(Labels!I:I, MATCH(Summary!$A386, Labels!$A:$A, 0)) = 0, "", INDEX(Labels!I:I, MATCH(Summary!$A386, Labels!$A:$A, 0)))</f>
        <v/>
      </c>
      <c r="X386" t="str">
        <f>IF(INDEX(Labels!J:J, MATCH(Summary!$A386, Labels!$A:$A, 0)) = 0, "", INDEX(Labels!J:J, MATCH(Summary!$A386, Labels!$A:$A, 0)))</f>
        <v/>
      </c>
    </row>
    <row r="387" spans="1:24" x14ac:dyDescent="0.2">
      <c r="A387" s="33">
        <f>Labels!A388</f>
        <v>381</v>
      </c>
      <c r="B387" s="34">
        <f>INDEX(EchoData!B:B, MATCH(Summary!$A387, EchoData!$A:$A, 0))</f>
        <v>385</v>
      </c>
      <c r="C387" s="35">
        <f>INDEX(EchoData!C:C, MATCH(Summary!$A387, EchoData!$A:$A, 0))</f>
        <v>386</v>
      </c>
      <c r="D387" s="42">
        <f>INDEX(Displacements!B:B, MATCH(Summary!$B387, Displacements!$A:$A, 0))</f>
        <v>441.69600000000003</v>
      </c>
      <c r="E387" s="43">
        <f>INDEX(Displacements!C:C, MATCH(Summary!$B387, Displacements!$A:$A, 0))</f>
        <v>0</v>
      </c>
      <c r="F387" s="44">
        <f>INDEX(Displacements!D:D, MATCH(Summary!$B387, Displacements!$A:$A, 0))</f>
        <v>0</v>
      </c>
      <c r="G387" s="42">
        <f>INDEX(Displacements!B:B, MATCH(Summary!$C387, Displacements!$A:$A, 0))</f>
        <v>446.65199999999999</v>
      </c>
      <c r="H387" s="43">
        <f>INDEX(Displacements!C:C, MATCH(Summary!$C387, Displacements!$A:$A, 0))</f>
        <v>0</v>
      </c>
      <c r="I387" s="44">
        <f>INDEX(Displacements!D:D, MATCH(Summary!$C387, Displacements!$A:$A, 0))</f>
        <v>0</v>
      </c>
      <c r="J387" s="42">
        <f t="shared" si="10"/>
        <v>4.9559999999999604</v>
      </c>
      <c r="K387" s="49">
        <f t="shared" si="11"/>
        <v>0.99999999999998856</v>
      </c>
      <c r="L387" s="54">
        <f>INDEX('Forces+Stresses'!C:C, MATCH(Summary!$A387, 'Forces+Stresses'!$A:$A, 0))</f>
        <v>2855</v>
      </c>
      <c r="M387" s="55">
        <f>INDEX('Forces+Stresses'!D:D, MATCH(Summary!$A387, 'Forces+Stresses'!$A:$A, 0))</f>
        <v>2855</v>
      </c>
      <c r="N387" s="55">
        <f>IFERROR(INDEX('Forces+Stresses'!Q:Q, MATCH(Summary!$A387, 'Forces+Stresses'!$A:$A, 0)), INDEX(Flexjoints!D:D, MATCH(Summary!$A387, Flexjoints!$A:$A, 0)))</f>
        <v>1.103E-7</v>
      </c>
      <c r="O387" s="56">
        <f>IFERROR(INDEX('Forces+Stresses'!R:R, MATCH(Summary!$A387, 'Forces+Stresses'!$A:$A, 0)), INDEX(Flexjoints!E:E, MATCH(Summary!$A387, Flexjoints!$A:$A, 0)))</f>
        <v>1.9539999999999998E-6</v>
      </c>
      <c r="P387" s="33" t="str">
        <f>IF(INDEX(Labels!B:B, MATCH(Summary!$A387, Labels!$A:$A, 0)) = 0, "", INDEX(Labels!B:B, MATCH(Summary!$A387, Labels!$A:$A, 0)))</f>
        <v>{Marine Riser String}</v>
      </c>
      <c r="Q387" s="35" t="str">
        <f>IF(INDEX(Labels!C:C, MATCH(Summary!$A387, Labels!$A:$A, 0)) = 0, "", INDEX(Labels!C:C, MATCH(Summary!$A387, Labels!$A:$A, 0)))</f>
        <v>{75ft 2500ft 0.875in Buoyant}</v>
      </c>
      <c r="R387" s="33" t="str">
        <f>IF(INDEX(Labels!D:D, MATCH(Summary!$A387, Labels!$A:$A, 0)) = 0, "", INDEX(Labels!D:D, MATCH(Summary!$A387, Labels!$A:$A, 0)))</f>
        <v/>
      </c>
      <c r="S387" s="35" t="str">
        <f>IF(INDEX(Labels!E:E, MATCH(Summary!$A387, Labels!$A:$A, 0)) = 0, "", INDEX(Labels!E:E, MATCH(Summary!$A387, Labels!$A:$A, 0)))</f>
        <v/>
      </c>
      <c r="T387" s="33" t="str">
        <f>IF(INDEX(Labels!F:F, MATCH(Summary!$A387, Labels!$A:$A, 0)) = 0, "", INDEX(Labels!F:F, MATCH(Summary!$A387, Labels!$A:$A, 0)))</f>
        <v/>
      </c>
      <c r="U387" s="35" t="str">
        <f>IF(INDEX(Labels!G:G, MATCH(Summary!$A387, Labels!$A:$A, 0)) = 0, "", INDEX(Labels!G:G, MATCH(Summary!$A387, Labels!$A:$A, 0)))</f>
        <v/>
      </c>
      <c r="V387" s="62" t="str">
        <f>IF(INDEX(Labels!H:H, MATCH(Summary!$A387, Labels!$A:$A, 0)) = 0, "", INDEX(Labels!H:H, MATCH(Summary!$A387, Labels!$A:$A, 0)))</f>
        <v/>
      </c>
      <c r="W387" t="str">
        <f>IF(INDEX(Labels!I:I, MATCH(Summary!$A387, Labels!$A:$A, 0)) = 0, "", INDEX(Labels!I:I, MATCH(Summary!$A387, Labels!$A:$A, 0)))</f>
        <v/>
      </c>
      <c r="X387" t="str">
        <f>IF(INDEX(Labels!J:J, MATCH(Summary!$A387, Labels!$A:$A, 0)) = 0, "", INDEX(Labels!J:J, MATCH(Summary!$A387, Labels!$A:$A, 0)))</f>
        <v/>
      </c>
    </row>
    <row r="388" spans="1:24" x14ac:dyDescent="0.2">
      <c r="A388" s="33">
        <f>Labels!A389</f>
        <v>382</v>
      </c>
      <c r="B388" s="34">
        <f>INDEX(EchoData!B:B, MATCH(Summary!$A388, EchoData!$A:$A, 0))</f>
        <v>386</v>
      </c>
      <c r="C388" s="35">
        <f>INDEX(EchoData!C:C, MATCH(Summary!$A388, EchoData!$A:$A, 0))</f>
        <v>387</v>
      </c>
      <c r="D388" s="42">
        <f>INDEX(Displacements!B:B, MATCH(Summary!$B388, Displacements!$A:$A, 0))</f>
        <v>446.65199999999999</v>
      </c>
      <c r="E388" s="43">
        <f>INDEX(Displacements!C:C, MATCH(Summary!$B388, Displacements!$A:$A, 0))</f>
        <v>0</v>
      </c>
      <c r="F388" s="44">
        <f>INDEX(Displacements!D:D, MATCH(Summary!$B388, Displacements!$A:$A, 0))</f>
        <v>0</v>
      </c>
      <c r="G388" s="42">
        <f>INDEX(Displacements!B:B, MATCH(Summary!$C388, Displacements!$A:$A, 0))</f>
        <v>451.608</v>
      </c>
      <c r="H388" s="43">
        <f>INDEX(Displacements!C:C, MATCH(Summary!$C388, Displacements!$A:$A, 0))</f>
        <v>0</v>
      </c>
      <c r="I388" s="44">
        <f>INDEX(Displacements!D:D, MATCH(Summary!$C388, Displacements!$A:$A, 0))</f>
        <v>0</v>
      </c>
      <c r="J388" s="42">
        <f t="shared" si="10"/>
        <v>4.9560000000000173</v>
      </c>
      <c r="K388" s="49">
        <f t="shared" si="11"/>
        <v>1.0000000000000115</v>
      </c>
      <c r="L388" s="54">
        <f>INDEX('Forces+Stresses'!C:C, MATCH(Summary!$A388, 'Forces+Stresses'!$A:$A, 0))</f>
        <v>2861</v>
      </c>
      <c r="M388" s="55">
        <f>INDEX('Forces+Stresses'!D:D, MATCH(Summary!$A388, 'Forces+Stresses'!$A:$A, 0))</f>
        <v>2861</v>
      </c>
      <c r="N388" s="55">
        <f>IFERROR(INDEX('Forces+Stresses'!Q:Q, MATCH(Summary!$A388, 'Forces+Stresses'!$A:$A, 0)), INDEX(Flexjoints!D:D, MATCH(Summary!$A388, Flexjoints!$A:$A, 0)))</f>
        <v>4.9819999999999999E-8</v>
      </c>
      <c r="O388" s="56">
        <f>IFERROR(INDEX('Forces+Stresses'!R:R, MATCH(Summary!$A388, 'Forces+Stresses'!$A:$A, 0)), INDEX(Flexjoints!E:E, MATCH(Summary!$A388, Flexjoints!$A:$A, 0)))</f>
        <v>1.7689999999999999E-6</v>
      </c>
      <c r="P388" s="33" t="str">
        <f>IF(INDEX(Labels!B:B, MATCH(Summary!$A388, Labels!$A:$A, 0)) = 0, "", INDEX(Labels!B:B, MATCH(Summary!$A388, Labels!$A:$A, 0)))</f>
        <v>{Marine Riser String}</v>
      </c>
      <c r="Q388" s="35" t="str">
        <f>IF(INDEX(Labels!C:C, MATCH(Summary!$A388, Labels!$A:$A, 0)) = 0, "", INDEX(Labels!C:C, MATCH(Summary!$A388, Labels!$A:$A, 0)))</f>
        <v>{75ft 2500ft 0.875in Buoyant}</v>
      </c>
      <c r="R388" s="33" t="str">
        <f>IF(INDEX(Labels!D:D, MATCH(Summary!$A388, Labels!$A:$A, 0)) = 0, "", INDEX(Labels!D:D, MATCH(Summary!$A388, Labels!$A:$A, 0)))</f>
        <v/>
      </c>
      <c r="S388" s="35" t="str">
        <f>IF(INDEX(Labels!E:E, MATCH(Summary!$A388, Labels!$A:$A, 0)) = 0, "", INDEX(Labels!E:E, MATCH(Summary!$A388, Labels!$A:$A, 0)))</f>
        <v/>
      </c>
      <c r="T388" s="33" t="str">
        <f>IF(INDEX(Labels!F:F, MATCH(Summary!$A388, Labels!$A:$A, 0)) = 0, "", INDEX(Labels!F:F, MATCH(Summary!$A388, Labels!$A:$A, 0)))</f>
        <v/>
      </c>
      <c r="U388" s="35" t="str">
        <f>IF(INDEX(Labels!G:G, MATCH(Summary!$A388, Labels!$A:$A, 0)) = 0, "", INDEX(Labels!G:G, MATCH(Summary!$A388, Labels!$A:$A, 0)))</f>
        <v/>
      </c>
      <c r="V388" s="62" t="str">
        <f>IF(INDEX(Labels!H:H, MATCH(Summary!$A388, Labels!$A:$A, 0)) = 0, "", INDEX(Labels!H:H, MATCH(Summary!$A388, Labels!$A:$A, 0)))</f>
        <v/>
      </c>
      <c r="W388" t="str">
        <f>IF(INDEX(Labels!I:I, MATCH(Summary!$A388, Labels!$A:$A, 0)) = 0, "", INDEX(Labels!I:I, MATCH(Summary!$A388, Labels!$A:$A, 0)))</f>
        <v/>
      </c>
      <c r="X388" t="str">
        <f>IF(INDEX(Labels!J:J, MATCH(Summary!$A388, Labels!$A:$A, 0)) = 0, "", INDEX(Labels!J:J, MATCH(Summary!$A388, Labels!$A:$A, 0)))</f>
        <v/>
      </c>
    </row>
    <row r="389" spans="1:24" x14ac:dyDescent="0.2">
      <c r="A389" s="33">
        <f>Labels!A390</f>
        <v>383</v>
      </c>
      <c r="B389" s="34">
        <f>INDEX(EchoData!B:B, MATCH(Summary!$A389, EchoData!$A:$A, 0))</f>
        <v>387</v>
      </c>
      <c r="C389" s="35">
        <f>INDEX(EchoData!C:C, MATCH(Summary!$A389, EchoData!$A:$A, 0))</f>
        <v>388</v>
      </c>
      <c r="D389" s="42">
        <f>INDEX(Displacements!B:B, MATCH(Summary!$B389, Displacements!$A:$A, 0))</f>
        <v>451.608</v>
      </c>
      <c r="E389" s="43">
        <f>INDEX(Displacements!C:C, MATCH(Summary!$B389, Displacements!$A:$A, 0))</f>
        <v>0</v>
      </c>
      <c r="F389" s="44">
        <f>INDEX(Displacements!D:D, MATCH(Summary!$B389, Displacements!$A:$A, 0))</f>
        <v>0</v>
      </c>
      <c r="G389" s="42">
        <f>INDEX(Displacements!B:B, MATCH(Summary!$C389, Displacements!$A:$A, 0))</f>
        <v>456.56400000000002</v>
      </c>
      <c r="H389" s="43">
        <f>INDEX(Displacements!C:C, MATCH(Summary!$C389, Displacements!$A:$A, 0))</f>
        <v>0</v>
      </c>
      <c r="I389" s="44">
        <f>INDEX(Displacements!D:D, MATCH(Summary!$C389, Displacements!$A:$A, 0))</f>
        <v>0</v>
      </c>
      <c r="J389" s="42">
        <f t="shared" si="10"/>
        <v>4.9560000000000173</v>
      </c>
      <c r="K389" s="49">
        <f t="shared" si="11"/>
        <v>1</v>
      </c>
      <c r="L389" s="54">
        <f>INDEX('Forces+Stresses'!C:C, MATCH(Summary!$A389, 'Forces+Stresses'!$A:$A, 0))</f>
        <v>2868</v>
      </c>
      <c r="M389" s="55">
        <f>INDEX('Forces+Stresses'!D:D, MATCH(Summary!$A389, 'Forces+Stresses'!$A:$A, 0))</f>
        <v>2868</v>
      </c>
      <c r="N389" s="55">
        <f>IFERROR(INDEX('Forces+Stresses'!Q:Q, MATCH(Summary!$A389, 'Forces+Stresses'!$A:$A, 0)), INDEX(Flexjoints!D:D, MATCH(Summary!$A389, Flexjoints!$A:$A, 0)))</f>
        <v>1.053E-7</v>
      </c>
      <c r="O389" s="56">
        <f>IFERROR(INDEX('Forces+Stresses'!R:R, MATCH(Summary!$A389, 'Forces+Stresses'!$A:$A, 0)), INDEX(Flexjoints!E:E, MATCH(Summary!$A389, Flexjoints!$A:$A, 0)))</f>
        <v>1.765E-6</v>
      </c>
      <c r="P389" s="33" t="str">
        <f>IF(INDEX(Labels!B:B, MATCH(Summary!$A389, Labels!$A:$A, 0)) = 0, "", INDEX(Labels!B:B, MATCH(Summary!$A389, Labels!$A:$A, 0)))</f>
        <v>{Marine Riser String}</v>
      </c>
      <c r="Q389" s="35" t="str">
        <f>IF(INDEX(Labels!C:C, MATCH(Summary!$A389, Labels!$A:$A, 0)) = 0, "", INDEX(Labels!C:C, MATCH(Summary!$A389, Labels!$A:$A, 0)))</f>
        <v>{75ft 2500ft 0.875in Buoyant}</v>
      </c>
      <c r="R389" s="33" t="str">
        <f>IF(INDEX(Labels!D:D, MATCH(Summary!$A389, Labels!$A:$A, 0)) = 0, "", INDEX(Labels!D:D, MATCH(Summary!$A389, Labels!$A:$A, 0)))</f>
        <v/>
      </c>
      <c r="S389" s="35" t="str">
        <f>IF(INDEX(Labels!E:E, MATCH(Summary!$A389, Labels!$A:$A, 0)) = 0, "", INDEX(Labels!E:E, MATCH(Summary!$A389, Labels!$A:$A, 0)))</f>
        <v/>
      </c>
      <c r="T389" s="33" t="str">
        <f>IF(INDEX(Labels!F:F, MATCH(Summary!$A389, Labels!$A:$A, 0)) = 0, "", INDEX(Labels!F:F, MATCH(Summary!$A389, Labels!$A:$A, 0)))</f>
        <v/>
      </c>
      <c r="U389" s="35" t="str">
        <f>IF(INDEX(Labels!G:G, MATCH(Summary!$A389, Labels!$A:$A, 0)) = 0, "", INDEX(Labels!G:G, MATCH(Summary!$A389, Labels!$A:$A, 0)))</f>
        <v/>
      </c>
      <c r="V389" s="62" t="str">
        <f>IF(INDEX(Labels!H:H, MATCH(Summary!$A389, Labels!$A:$A, 0)) = 0, "", INDEX(Labels!H:H, MATCH(Summary!$A389, Labels!$A:$A, 0)))</f>
        <v/>
      </c>
      <c r="W389" t="str">
        <f>IF(INDEX(Labels!I:I, MATCH(Summary!$A389, Labels!$A:$A, 0)) = 0, "", INDEX(Labels!I:I, MATCH(Summary!$A389, Labels!$A:$A, 0)))</f>
        <v/>
      </c>
      <c r="X389" t="str">
        <f>IF(INDEX(Labels!J:J, MATCH(Summary!$A389, Labels!$A:$A, 0)) = 0, "", INDEX(Labels!J:J, MATCH(Summary!$A389, Labels!$A:$A, 0)))</f>
        <v/>
      </c>
    </row>
    <row r="390" spans="1:24" x14ac:dyDescent="0.2">
      <c r="A390" s="33">
        <f>Labels!A391</f>
        <v>384</v>
      </c>
      <c r="B390" s="34">
        <f>INDEX(EchoData!B:B, MATCH(Summary!$A390, EchoData!$A:$A, 0))</f>
        <v>388</v>
      </c>
      <c r="C390" s="35">
        <f>INDEX(EchoData!C:C, MATCH(Summary!$A390, EchoData!$A:$A, 0))</f>
        <v>389</v>
      </c>
      <c r="D390" s="42">
        <f>INDEX(Displacements!B:B, MATCH(Summary!$B390, Displacements!$A:$A, 0))</f>
        <v>456.56400000000002</v>
      </c>
      <c r="E390" s="43">
        <f>INDEX(Displacements!C:C, MATCH(Summary!$B390, Displacements!$A:$A, 0))</f>
        <v>0</v>
      </c>
      <c r="F390" s="44">
        <f>INDEX(Displacements!D:D, MATCH(Summary!$B390, Displacements!$A:$A, 0))</f>
        <v>0</v>
      </c>
      <c r="G390" s="42">
        <f>INDEX(Displacements!B:B, MATCH(Summary!$C390, Displacements!$A:$A, 0))</f>
        <v>461.52</v>
      </c>
      <c r="H390" s="43">
        <f>INDEX(Displacements!C:C, MATCH(Summary!$C390, Displacements!$A:$A, 0))</f>
        <v>0</v>
      </c>
      <c r="I390" s="44">
        <f>INDEX(Displacements!D:D, MATCH(Summary!$C390, Displacements!$A:$A, 0))</f>
        <v>0</v>
      </c>
      <c r="J390" s="42">
        <f t="shared" si="10"/>
        <v>4.9559999999999604</v>
      </c>
      <c r="K390" s="49">
        <f t="shared" si="11"/>
        <v>0.99999999999998856</v>
      </c>
      <c r="L390" s="54">
        <f>INDEX('Forces+Stresses'!C:C, MATCH(Summary!$A390, 'Forces+Stresses'!$A:$A, 0))</f>
        <v>2874</v>
      </c>
      <c r="M390" s="55">
        <f>INDEX('Forces+Stresses'!D:D, MATCH(Summary!$A390, 'Forces+Stresses'!$A:$A, 0))</f>
        <v>2874</v>
      </c>
      <c r="N390" s="55">
        <f>IFERROR(INDEX('Forces+Stresses'!Q:Q, MATCH(Summary!$A390, 'Forces+Stresses'!$A:$A, 0)), INDEX(Flexjoints!D:D, MATCH(Summary!$A390, Flexjoints!$A:$A, 0)))</f>
        <v>5.3069999999999998E-8</v>
      </c>
      <c r="O390" s="56">
        <f>IFERROR(INDEX('Forces+Stresses'!R:R, MATCH(Summary!$A390, 'Forces+Stresses'!$A:$A, 0)), INDEX(Flexjoints!E:E, MATCH(Summary!$A390, Flexjoints!$A:$A, 0)))</f>
        <v>2.018E-6</v>
      </c>
      <c r="P390" s="33" t="str">
        <f>IF(INDEX(Labels!B:B, MATCH(Summary!$A390, Labels!$A:$A, 0)) = 0, "", INDEX(Labels!B:B, MATCH(Summary!$A390, Labels!$A:$A, 0)))</f>
        <v>{Marine Riser String}</v>
      </c>
      <c r="Q390" s="35" t="str">
        <f>IF(INDEX(Labels!C:C, MATCH(Summary!$A390, Labels!$A:$A, 0)) = 0, "", INDEX(Labels!C:C, MATCH(Summary!$A390, Labels!$A:$A, 0)))</f>
        <v>{75ft 2500ft 0.875in Buoyant}</v>
      </c>
      <c r="R390" s="33" t="str">
        <f>IF(INDEX(Labels!D:D, MATCH(Summary!$A390, Labels!$A:$A, 0)) = 0, "", INDEX(Labels!D:D, MATCH(Summary!$A390, Labels!$A:$A, 0)))</f>
        <v/>
      </c>
      <c r="S390" s="35" t="str">
        <f>IF(INDEX(Labels!E:E, MATCH(Summary!$A390, Labels!$A:$A, 0)) = 0, "", INDEX(Labels!E:E, MATCH(Summary!$A390, Labels!$A:$A, 0)))</f>
        <v/>
      </c>
      <c r="T390" s="33" t="str">
        <f>IF(INDEX(Labels!F:F, MATCH(Summary!$A390, Labels!$A:$A, 0)) = 0, "", INDEX(Labels!F:F, MATCH(Summary!$A390, Labels!$A:$A, 0)))</f>
        <v/>
      </c>
      <c r="U390" s="35" t="str">
        <f>IF(INDEX(Labels!G:G, MATCH(Summary!$A390, Labels!$A:$A, 0)) = 0, "", INDEX(Labels!G:G, MATCH(Summary!$A390, Labels!$A:$A, 0)))</f>
        <v/>
      </c>
      <c r="V390" s="62" t="str">
        <f>IF(INDEX(Labels!H:H, MATCH(Summary!$A390, Labels!$A:$A, 0)) = 0, "", INDEX(Labels!H:H, MATCH(Summary!$A390, Labels!$A:$A, 0)))</f>
        <v/>
      </c>
      <c r="W390" t="str">
        <f>IF(INDEX(Labels!I:I, MATCH(Summary!$A390, Labels!$A:$A, 0)) = 0, "", INDEX(Labels!I:I, MATCH(Summary!$A390, Labels!$A:$A, 0)))</f>
        <v/>
      </c>
      <c r="X390" t="str">
        <f>IF(INDEX(Labels!J:J, MATCH(Summary!$A390, Labels!$A:$A, 0)) = 0, "", INDEX(Labels!J:J, MATCH(Summary!$A390, Labels!$A:$A, 0)))</f>
        <v/>
      </c>
    </row>
    <row r="391" spans="1:24" x14ac:dyDescent="0.2">
      <c r="A391" s="33">
        <f>Labels!A392</f>
        <v>385</v>
      </c>
      <c r="B391" s="34">
        <f>INDEX(EchoData!B:B, MATCH(Summary!$A391, EchoData!$A:$A, 0))</f>
        <v>389</v>
      </c>
      <c r="C391" s="35">
        <f>INDEX(EchoData!C:C, MATCH(Summary!$A391, EchoData!$A:$A, 0))</f>
        <v>390</v>
      </c>
      <c r="D391" s="42">
        <f>INDEX(Displacements!B:B, MATCH(Summary!$B391, Displacements!$A:$A, 0))</f>
        <v>461.52</v>
      </c>
      <c r="E391" s="43">
        <f>INDEX(Displacements!C:C, MATCH(Summary!$B391, Displacements!$A:$A, 0))</f>
        <v>0</v>
      </c>
      <c r="F391" s="44">
        <f>INDEX(Displacements!D:D, MATCH(Summary!$B391, Displacements!$A:$A, 0))</f>
        <v>0</v>
      </c>
      <c r="G391" s="42">
        <f>INDEX(Displacements!B:B, MATCH(Summary!$C391, Displacements!$A:$A, 0))</f>
        <v>466.476</v>
      </c>
      <c r="H391" s="43">
        <f>INDEX(Displacements!C:C, MATCH(Summary!$C391, Displacements!$A:$A, 0))</f>
        <v>0</v>
      </c>
      <c r="I391" s="44">
        <f>INDEX(Displacements!D:D, MATCH(Summary!$C391, Displacements!$A:$A, 0))</f>
        <v>0</v>
      </c>
      <c r="J391" s="42">
        <f t="shared" ref="J391:J454" si="12">SQRT((G391 - D391)^2 + (H391 - E391)^2 + (I391 - F391)^2)</f>
        <v>4.9560000000000173</v>
      </c>
      <c r="K391" s="49">
        <f t="shared" ref="K391:K454" si="13">IF(P391 = P390, J391/J390, "N/A")</f>
        <v>1.0000000000000115</v>
      </c>
      <c r="L391" s="54">
        <f>INDEX('Forces+Stresses'!C:C, MATCH(Summary!$A391, 'Forces+Stresses'!$A:$A, 0))</f>
        <v>2881</v>
      </c>
      <c r="M391" s="55">
        <f>INDEX('Forces+Stresses'!D:D, MATCH(Summary!$A391, 'Forces+Stresses'!$A:$A, 0))</f>
        <v>2881</v>
      </c>
      <c r="N391" s="55">
        <f>IFERROR(INDEX('Forces+Stresses'!Q:Q, MATCH(Summary!$A391, 'Forces+Stresses'!$A:$A, 0)), INDEX(Flexjoints!D:D, MATCH(Summary!$A391, Flexjoints!$A:$A, 0)))</f>
        <v>3.4669999999999999E-8</v>
      </c>
      <c r="O391" s="56">
        <f>IFERROR(INDEX('Forces+Stresses'!R:R, MATCH(Summary!$A391, 'Forces+Stresses'!$A:$A, 0)), INDEX(Flexjoints!E:E, MATCH(Summary!$A391, Flexjoints!$A:$A, 0)))</f>
        <v>2.3080000000000002E-6</v>
      </c>
      <c r="P391" s="33" t="str">
        <f>IF(INDEX(Labels!B:B, MATCH(Summary!$A391, Labels!$A:$A, 0)) = 0, "", INDEX(Labels!B:B, MATCH(Summary!$A391, Labels!$A:$A, 0)))</f>
        <v>{Marine Riser String}</v>
      </c>
      <c r="Q391" s="35" t="str">
        <f>IF(INDEX(Labels!C:C, MATCH(Summary!$A391, Labels!$A:$A, 0)) = 0, "", INDEX(Labels!C:C, MATCH(Summary!$A391, Labels!$A:$A, 0)))</f>
        <v>{75ft 2500ft 0.875in Buoyant}</v>
      </c>
      <c r="R391" s="33" t="str">
        <f>IF(INDEX(Labels!D:D, MATCH(Summary!$A391, Labels!$A:$A, 0)) = 0, "", INDEX(Labels!D:D, MATCH(Summary!$A391, Labels!$A:$A, 0)))</f>
        <v/>
      </c>
      <c r="S391" s="35" t="str">
        <f>IF(INDEX(Labels!E:E, MATCH(Summary!$A391, Labels!$A:$A, 0)) = 0, "", INDEX(Labels!E:E, MATCH(Summary!$A391, Labels!$A:$A, 0)))</f>
        <v/>
      </c>
      <c r="T391" s="33" t="str">
        <f>IF(INDEX(Labels!F:F, MATCH(Summary!$A391, Labels!$A:$A, 0)) = 0, "", INDEX(Labels!F:F, MATCH(Summary!$A391, Labels!$A:$A, 0)))</f>
        <v/>
      </c>
      <c r="U391" s="35" t="str">
        <f>IF(INDEX(Labels!G:G, MATCH(Summary!$A391, Labels!$A:$A, 0)) = 0, "", INDEX(Labels!G:G, MATCH(Summary!$A391, Labels!$A:$A, 0)))</f>
        <v/>
      </c>
      <c r="V391" s="62" t="str">
        <f>IF(INDEX(Labels!H:H, MATCH(Summary!$A391, Labels!$A:$A, 0)) = 0, "", INDEX(Labels!H:H, MATCH(Summary!$A391, Labels!$A:$A, 0)))</f>
        <v/>
      </c>
      <c r="W391" t="str">
        <f>IF(INDEX(Labels!I:I, MATCH(Summary!$A391, Labels!$A:$A, 0)) = 0, "", INDEX(Labels!I:I, MATCH(Summary!$A391, Labels!$A:$A, 0)))</f>
        <v/>
      </c>
      <c r="X391" t="str">
        <f>IF(INDEX(Labels!J:J, MATCH(Summary!$A391, Labels!$A:$A, 0)) = 0, "", INDEX(Labels!J:J, MATCH(Summary!$A391, Labels!$A:$A, 0)))</f>
        <v/>
      </c>
    </row>
    <row r="392" spans="1:24" x14ac:dyDescent="0.2">
      <c r="A392" s="33">
        <f>Labels!A393</f>
        <v>386</v>
      </c>
      <c r="B392" s="34">
        <f>INDEX(EchoData!B:B, MATCH(Summary!$A392, EchoData!$A:$A, 0))</f>
        <v>390</v>
      </c>
      <c r="C392" s="35">
        <f>INDEX(EchoData!C:C, MATCH(Summary!$A392, EchoData!$A:$A, 0))</f>
        <v>391</v>
      </c>
      <c r="D392" s="42">
        <f>INDEX(Displacements!B:B, MATCH(Summary!$B392, Displacements!$A:$A, 0))</f>
        <v>466.476</v>
      </c>
      <c r="E392" s="43">
        <f>INDEX(Displacements!C:C, MATCH(Summary!$B392, Displacements!$A:$A, 0))</f>
        <v>0</v>
      </c>
      <c r="F392" s="44">
        <f>INDEX(Displacements!D:D, MATCH(Summary!$B392, Displacements!$A:$A, 0))</f>
        <v>0</v>
      </c>
      <c r="G392" s="42">
        <f>INDEX(Displacements!B:B, MATCH(Summary!$C392, Displacements!$A:$A, 0))</f>
        <v>471.43200000000002</v>
      </c>
      <c r="H392" s="43">
        <f>INDEX(Displacements!C:C, MATCH(Summary!$C392, Displacements!$A:$A, 0))</f>
        <v>0</v>
      </c>
      <c r="I392" s="44">
        <f>INDEX(Displacements!D:D, MATCH(Summary!$C392, Displacements!$A:$A, 0))</f>
        <v>0</v>
      </c>
      <c r="J392" s="42">
        <f t="shared" si="12"/>
        <v>4.9560000000000173</v>
      </c>
      <c r="K392" s="49">
        <f t="shared" si="13"/>
        <v>1</v>
      </c>
      <c r="L392" s="54">
        <f>INDEX('Forces+Stresses'!C:C, MATCH(Summary!$A392, 'Forces+Stresses'!$A:$A, 0))</f>
        <v>2887</v>
      </c>
      <c r="M392" s="55">
        <f>INDEX('Forces+Stresses'!D:D, MATCH(Summary!$A392, 'Forces+Stresses'!$A:$A, 0))</f>
        <v>2887</v>
      </c>
      <c r="N392" s="55">
        <f>IFERROR(INDEX('Forces+Stresses'!Q:Q, MATCH(Summary!$A392, 'Forces+Stresses'!$A:$A, 0)), INDEX(Flexjoints!D:D, MATCH(Summary!$A392, Flexjoints!$A:$A, 0)))</f>
        <v>1.325E-7</v>
      </c>
      <c r="O392" s="56">
        <f>IFERROR(INDEX('Forces+Stresses'!R:R, MATCH(Summary!$A392, 'Forces+Stresses'!$A:$A, 0)), INDEX(Flexjoints!E:E, MATCH(Summary!$A392, Flexjoints!$A:$A, 0)))</f>
        <v>2.4669999999999998E-6</v>
      </c>
      <c r="P392" s="33" t="str">
        <f>IF(INDEX(Labels!B:B, MATCH(Summary!$A392, Labels!$A:$A, 0)) = 0, "", INDEX(Labels!B:B, MATCH(Summary!$A392, Labels!$A:$A, 0)))</f>
        <v>{Marine Riser String}</v>
      </c>
      <c r="Q392" s="35" t="str">
        <f>IF(INDEX(Labels!C:C, MATCH(Summary!$A392, Labels!$A:$A, 0)) = 0, "", INDEX(Labels!C:C, MATCH(Summary!$A392, Labels!$A:$A, 0)))</f>
        <v>{75ft 2500ft 0.875in Buoyant}</v>
      </c>
      <c r="R392" s="33" t="str">
        <f>IF(INDEX(Labels!D:D, MATCH(Summary!$A392, Labels!$A:$A, 0)) = 0, "", INDEX(Labels!D:D, MATCH(Summary!$A392, Labels!$A:$A, 0)))</f>
        <v/>
      </c>
      <c r="S392" s="35" t="str">
        <f>IF(INDEX(Labels!E:E, MATCH(Summary!$A392, Labels!$A:$A, 0)) = 0, "", INDEX(Labels!E:E, MATCH(Summary!$A392, Labels!$A:$A, 0)))</f>
        <v/>
      </c>
      <c r="T392" s="33" t="str">
        <f>IF(INDEX(Labels!F:F, MATCH(Summary!$A392, Labels!$A:$A, 0)) = 0, "", INDEX(Labels!F:F, MATCH(Summary!$A392, Labels!$A:$A, 0)))</f>
        <v/>
      </c>
      <c r="U392" s="35" t="str">
        <f>IF(INDEX(Labels!G:G, MATCH(Summary!$A392, Labels!$A:$A, 0)) = 0, "", INDEX(Labels!G:G, MATCH(Summary!$A392, Labels!$A:$A, 0)))</f>
        <v/>
      </c>
      <c r="V392" s="62" t="str">
        <f>IF(INDEX(Labels!H:H, MATCH(Summary!$A392, Labels!$A:$A, 0)) = 0, "", INDEX(Labels!H:H, MATCH(Summary!$A392, Labels!$A:$A, 0)))</f>
        <v/>
      </c>
      <c r="W392" t="str">
        <f>IF(INDEX(Labels!I:I, MATCH(Summary!$A392, Labels!$A:$A, 0)) = 0, "", INDEX(Labels!I:I, MATCH(Summary!$A392, Labels!$A:$A, 0)))</f>
        <v/>
      </c>
      <c r="X392" t="str">
        <f>IF(INDEX(Labels!J:J, MATCH(Summary!$A392, Labels!$A:$A, 0)) = 0, "", INDEX(Labels!J:J, MATCH(Summary!$A392, Labels!$A:$A, 0)))</f>
        <v/>
      </c>
    </row>
    <row r="393" spans="1:24" x14ac:dyDescent="0.2">
      <c r="A393" s="33">
        <f>Labels!A394</f>
        <v>387</v>
      </c>
      <c r="B393" s="34">
        <f>INDEX(EchoData!B:B, MATCH(Summary!$A393, EchoData!$A:$A, 0))</f>
        <v>391</v>
      </c>
      <c r="C393" s="35">
        <f>INDEX(EchoData!C:C, MATCH(Summary!$A393, EchoData!$A:$A, 0))</f>
        <v>392</v>
      </c>
      <c r="D393" s="42">
        <f>INDEX(Displacements!B:B, MATCH(Summary!$B393, Displacements!$A:$A, 0))</f>
        <v>471.43200000000002</v>
      </c>
      <c r="E393" s="43">
        <f>INDEX(Displacements!C:C, MATCH(Summary!$B393, Displacements!$A:$A, 0))</f>
        <v>0</v>
      </c>
      <c r="F393" s="44">
        <f>INDEX(Displacements!D:D, MATCH(Summary!$B393, Displacements!$A:$A, 0))</f>
        <v>0</v>
      </c>
      <c r="G393" s="42">
        <f>INDEX(Displacements!B:B, MATCH(Summary!$C393, Displacements!$A:$A, 0))</f>
        <v>476.38900000000001</v>
      </c>
      <c r="H393" s="43">
        <f>INDEX(Displacements!C:C, MATCH(Summary!$C393, Displacements!$A:$A, 0))</f>
        <v>0</v>
      </c>
      <c r="I393" s="44">
        <f>INDEX(Displacements!D:D, MATCH(Summary!$C393, Displacements!$A:$A, 0))</f>
        <v>0</v>
      </c>
      <c r="J393" s="42">
        <f t="shared" si="12"/>
        <v>4.9569999999999936</v>
      </c>
      <c r="K393" s="49">
        <f t="shared" si="13"/>
        <v>1.0002017756254997</v>
      </c>
      <c r="L393" s="54">
        <f>INDEX('Forces+Stresses'!C:C, MATCH(Summary!$A393, 'Forces+Stresses'!$A:$A, 0))</f>
        <v>2894</v>
      </c>
      <c r="M393" s="55">
        <f>INDEX('Forces+Stresses'!D:D, MATCH(Summary!$A393, 'Forces+Stresses'!$A:$A, 0))</f>
        <v>2894</v>
      </c>
      <c r="N393" s="55">
        <f>IFERROR(INDEX('Forces+Stresses'!Q:Q, MATCH(Summary!$A393, 'Forces+Stresses'!$A:$A, 0)), INDEX(Flexjoints!D:D, MATCH(Summary!$A393, Flexjoints!$A:$A, 0)))</f>
        <v>9.7990000000000006E-8</v>
      </c>
      <c r="O393" s="56">
        <f>IFERROR(INDEX('Forces+Stresses'!R:R, MATCH(Summary!$A393, 'Forces+Stresses'!$A:$A, 0)), INDEX(Flexjoints!E:E, MATCH(Summary!$A393, Flexjoints!$A:$A, 0)))</f>
        <v>2.244E-6</v>
      </c>
      <c r="P393" s="33" t="str">
        <f>IF(INDEX(Labels!B:B, MATCH(Summary!$A393, Labels!$A:$A, 0)) = 0, "", INDEX(Labels!B:B, MATCH(Summary!$A393, Labels!$A:$A, 0)))</f>
        <v>{Marine Riser String}</v>
      </c>
      <c r="Q393" s="35" t="str">
        <f>IF(INDEX(Labels!C:C, MATCH(Summary!$A393, Labels!$A:$A, 0)) = 0, "", INDEX(Labels!C:C, MATCH(Summary!$A393, Labels!$A:$A, 0)))</f>
        <v>{75ft 2500ft 0.875in Buoyant}</v>
      </c>
      <c r="R393" s="33" t="str">
        <f>IF(INDEX(Labels!D:D, MATCH(Summary!$A393, Labels!$A:$A, 0)) = 0, "", INDEX(Labels!D:D, MATCH(Summary!$A393, Labels!$A:$A, 0)))</f>
        <v/>
      </c>
      <c r="S393" s="35" t="str">
        <f>IF(INDEX(Labels!E:E, MATCH(Summary!$A393, Labels!$A:$A, 0)) = 0, "", INDEX(Labels!E:E, MATCH(Summary!$A393, Labels!$A:$A, 0)))</f>
        <v/>
      </c>
      <c r="T393" s="33" t="str">
        <f>IF(INDEX(Labels!F:F, MATCH(Summary!$A393, Labels!$A:$A, 0)) = 0, "", INDEX(Labels!F:F, MATCH(Summary!$A393, Labels!$A:$A, 0)))</f>
        <v/>
      </c>
      <c r="U393" s="35" t="str">
        <f>IF(INDEX(Labels!G:G, MATCH(Summary!$A393, Labels!$A:$A, 0)) = 0, "", INDEX(Labels!G:G, MATCH(Summary!$A393, Labels!$A:$A, 0)))</f>
        <v/>
      </c>
      <c r="V393" s="62" t="str">
        <f>IF(INDEX(Labels!H:H, MATCH(Summary!$A393, Labels!$A:$A, 0)) = 0, "", INDEX(Labels!H:H, MATCH(Summary!$A393, Labels!$A:$A, 0)))</f>
        <v/>
      </c>
      <c r="W393" t="str">
        <f>IF(INDEX(Labels!I:I, MATCH(Summary!$A393, Labels!$A:$A, 0)) = 0, "", INDEX(Labels!I:I, MATCH(Summary!$A393, Labels!$A:$A, 0)))</f>
        <v/>
      </c>
      <c r="X393" t="str">
        <f>IF(INDEX(Labels!J:J, MATCH(Summary!$A393, Labels!$A:$A, 0)) = 0, "", INDEX(Labels!J:J, MATCH(Summary!$A393, Labels!$A:$A, 0)))</f>
        <v/>
      </c>
    </row>
    <row r="394" spans="1:24" x14ac:dyDescent="0.2">
      <c r="A394" s="33">
        <f>Labels!A395</f>
        <v>388</v>
      </c>
      <c r="B394" s="34">
        <f>INDEX(EchoData!B:B, MATCH(Summary!$A394, EchoData!$A:$A, 0))</f>
        <v>392</v>
      </c>
      <c r="C394" s="35">
        <f>INDEX(EchoData!C:C, MATCH(Summary!$A394, EchoData!$A:$A, 0))</f>
        <v>393</v>
      </c>
      <c r="D394" s="42">
        <f>INDEX(Displacements!B:B, MATCH(Summary!$B394, Displacements!$A:$A, 0))</f>
        <v>476.38900000000001</v>
      </c>
      <c r="E394" s="43">
        <f>INDEX(Displacements!C:C, MATCH(Summary!$B394, Displacements!$A:$A, 0))</f>
        <v>0</v>
      </c>
      <c r="F394" s="44">
        <f>INDEX(Displacements!D:D, MATCH(Summary!$B394, Displacements!$A:$A, 0))</f>
        <v>0</v>
      </c>
      <c r="G394" s="42">
        <f>INDEX(Displacements!B:B, MATCH(Summary!$C394, Displacements!$A:$A, 0))</f>
        <v>481.34500000000003</v>
      </c>
      <c r="H394" s="43">
        <f>INDEX(Displacements!C:C, MATCH(Summary!$C394, Displacements!$A:$A, 0))</f>
        <v>0</v>
      </c>
      <c r="I394" s="44">
        <f>INDEX(Displacements!D:D, MATCH(Summary!$C394, Displacements!$A:$A, 0))</f>
        <v>0</v>
      </c>
      <c r="J394" s="42">
        <f t="shared" si="12"/>
        <v>4.9560000000000173</v>
      </c>
      <c r="K394" s="49">
        <f t="shared" si="13"/>
        <v>0.99979826507969005</v>
      </c>
      <c r="L394" s="54">
        <f>INDEX('Forces+Stresses'!C:C, MATCH(Summary!$A394, 'Forces+Stresses'!$A:$A, 0))</f>
        <v>2900</v>
      </c>
      <c r="M394" s="55">
        <f>INDEX('Forces+Stresses'!D:D, MATCH(Summary!$A394, 'Forces+Stresses'!$A:$A, 0))</f>
        <v>2900</v>
      </c>
      <c r="N394" s="55">
        <f>IFERROR(INDEX('Forces+Stresses'!Q:Q, MATCH(Summary!$A394, 'Forces+Stresses'!$A:$A, 0)), INDEX(Flexjoints!D:D, MATCH(Summary!$A394, Flexjoints!$A:$A, 0)))</f>
        <v>1.5990000000000002E-7</v>
      </c>
      <c r="O394" s="56">
        <f>IFERROR(INDEX('Forces+Stresses'!R:R, MATCH(Summary!$A394, 'Forces+Stresses'!$A:$A, 0)), INDEX(Flexjoints!E:E, MATCH(Summary!$A394, Flexjoints!$A:$A, 0)))</f>
        <v>1.9290000000000001E-6</v>
      </c>
      <c r="P394" s="33" t="str">
        <f>IF(INDEX(Labels!B:B, MATCH(Summary!$A394, Labels!$A:$A, 0)) = 0, "", INDEX(Labels!B:B, MATCH(Summary!$A394, Labels!$A:$A, 0)))</f>
        <v>{Marine Riser String}</v>
      </c>
      <c r="Q394" s="35" t="str">
        <f>IF(INDEX(Labels!C:C, MATCH(Summary!$A394, Labels!$A:$A, 0)) = 0, "", INDEX(Labels!C:C, MATCH(Summary!$A394, Labels!$A:$A, 0)))</f>
        <v>{75ft 2500ft 0.875in Buoyant}</v>
      </c>
      <c r="R394" s="33" t="str">
        <f>IF(INDEX(Labels!D:D, MATCH(Summary!$A394, Labels!$A:$A, 0)) = 0, "", INDEX(Labels!D:D, MATCH(Summary!$A394, Labels!$A:$A, 0)))</f>
        <v/>
      </c>
      <c r="S394" s="35" t="str">
        <f>IF(INDEX(Labels!E:E, MATCH(Summary!$A394, Labels!$A:$A, 0)) = 0, "", INDEX(Labels!E:E, MATCH(Summary!$A394, Labels!$A:$A, 0)))</f>
        <v/>
      </c>
      <c r="T394" s="33" t="str">
        <f>IF(INDEX(Labels!F:F, MATCH(Summary!$A394, Labels!$A:$A, 0)) = 0, "", INDEX(Labels!F:F, MATCH(Summary!$A394, Labels!$A:$A, 0)))</f>
        <v/>
      </c>
      <c r="U394" s="35" t="str">
        <f>IF(INDEX(Labels!G:G, MATCH(Summary!$A394, Labels!$A:$A, 0)) = 0, "", INDEX(Labels!G:G, MATCH(Summary!$A394, Labels!$A:$A, 0)))</f>
        <v/>
      </c>
      <c r="V394" s="62" t="str">
        <f>IF(INDEX(Labels!H:H, MATCH(Summary!$A394, Labels!$A:$A, 0)) = 0, "", INDEX(Labels!H:H, MATCH(Summary!$A394, Labels!$A:$A, 0)))</f>
        <v/>
      </c>
      <c r="W394" t="str">
        <f>IF(INDEX(Labels!I:I, MATCH(Summary!$A394, Labels!$A:$A, 0)) = 0, "", INDEX(Labels!I:I, MATCH(Summary!$A394, Labels!$A:$A, 0)))</f>
        <v/>
      </c>
      <c r="X394" t="str">
        <f>IF(INDEX(Labels!J:J, MATCH(Summary!$A394, Labels!$A:$A, 0)) = 0, "", INDEX(Labels!J:J, MATCH(Summary!$A394, Labels!$A:$A, 0)))</f>
        <v/>
      </c>
    </row>
    <row r="395" spans="1:24" x14ac:dyDescent="0.2">
      <c r="A395" s="33">
        <f>Labels!A396</f>
        <v>389</v>
      </c>
      <c r="B395" s="34">
        <f>INDEX(EchoData!B:B, MATCH(Summary!$A395, EchoData!$A:$A, 0))</f>
        <v>393</v>
      </c>
      <c r="C395" s="35">
        <f>INDEX(EchoData!C:C, MATCH(Summary!$A395, EchoData!$A:$A, 0))</f>
        <v>394</v>
      </c>
      <c r="D395" s="42">
        <f>INDEX(Displacements!B:B, MATCH(Summary!$B395, Displacements!$A:$A, 0))</f>
        <v>481.34500000000003</v>
      </c>
      <c r="E395" s="43">
        <f>INDEX(Displacements!C:C, MATCH(Summary!$B395, Displacements!$A:$A, 0))</f>
        <v>0</v>
      </c>
      <c r="F395" s="44">
        <f>INDEX(Displacements!D:D, MATCH(Summary!$B395, Displacements!$A:$A, 0))</f>
        <v>0</v>
      </c>
      <c r="G395" s="42">
        <f>INDEX(Displacements!B:B, MATCH(Summary!$C395, Displacements!$A:$A, 0))</f>
        <v>486.30099999999999</v>
      </c>
      <c r="H395" s="43">
        <f>INDEX(Displacements!C:C, MATCH(Summary!$C395, Displacements!$A:$A, 0))</f>
        <v>0</v>
      </c>
      <c r="I395" s="44">
        <f>INDEX(Displacements!D:D, MATCH(Summary!$C395, Displacements!$A:$A, 0))</f>
        <v>0</v>
      </c>
      <c r="J395" s="42">
        <f t="shared" si="12"/>
        <v>4.9559999999999604</v>
      </c>
      <c r="K395" s="49">
        <f t="shared" si="13"/>
        <v>0.99999999999998856</v>
      </c>
      <c r="L395" s="54">
        <f>INDEX('Forces+Stresses'!C:C, MATCH(Summary!$A395, 'Forces+Stresses'!$A:$A, 0))</f>
        <v>2907</v>
      </c>
      <c r="M395" s="55">
        <f>INDEX('Forces+Stresses'!D:D, MATCH(Summary!$A395, 'Forces+Stresses'!$A:$A, 0))</f>
        <v>2907</v>
      </c>
      <c r="N395" s="55">
        <f>IFERROR(INDEX('Forces+Stresses'!Q:Q, MATCH(Summary!$A395, 'Forces+Stresses'!$A:$A, 0)), INDEX(Flexjoints!D:D, MATCH(Summary!$A395, Flexjoints!$A:$A, 0)))</f>
        <v>8.1379999999999992E-8</v>
      </c>
      <c r="O395" s="56">
        <f>IFERROR(INDEX('Forces+Stresses'!R:R, MATCH(Summary!$A395, 'Forces+Stresses'!$A:$A, 0)), INDEX(Flexjoints!E:E, MATCH(Summary!$A395, Flexjoints!$A:$A, 0)))</f>
        <v>1.9139999999999998E-6</v>
      </c>
      <c r="P395" s="33" t="str">
        <f>IF(INDEX(Labels!B:B, MATCH(Summary!$A395, Labels!$A:$A, 0)) = 0, "", INDEX(Labels!B:B, MATCH(Summary!$A395, Labels!$A:$A, 0)))</f>
        <v>{Marine Riser String}</v>
      </c>
      <c r="Q395" s="35" t="str">
        <f>IF(INDEX(Labels!C:C, MATCH(Summary!$A395, Labels!$A:$A, 0)) = 0, "", INDEX(Labels!C:C, MATCH(Summary!$A395, Labels!$A:$A, 0)))</f>
        <v>{75ft 2500ft 0.875in Buoyant}</v>
      </c>
      <c r="R395" s="33" t="str">
        <f>IF(INDEX(Labels!D:D, MATCH(Summary!$A395, Labels!$A:$A, 0)) = 0, "", INDEX(Labels!D:D, MATCH(Summary!$A395, Labels!$A:$A, 0)))</f>
        <v/>
      </c>
      <c r="S395" s="35" t="str">
        <f>IF(INDEX(Labels!E:E, MATCH(Summary!$A395, Labels!$A:$A, 0)) = 0, "", INDEX(Labels!E:E, MATCH(Summary!$A395, Labels!$A:$A, 0)))</f>
        <v/>
      </c>
      <c r="T395" s="33" t="str">
        <f>IF(INDEX(Labels!F:F, MATCH(Summary!$A395, Labels!$A:$A, 0)) = 0, "", INDEX(Labels!F:F, MATCH(Summary!$A395, Labels!$A:$A, 0)))</f>
        <v/>
      </c>
      <c r="U395" s="35" t="str">
        <f>IF(INDEX(Labels!G:G, MATCH(Summary!$A395, Labels!$A:$A, 0)) = 0, "", INDEX(Labels!G:G, MATCH(Summary!$A395, Labels!$A:$A, 0)))</f>
        <v/>
      </c>
      <c r="V395" s="62" t="str">
        <f>IF(INDEX(Labels!H:H, MATCH(Summary!$A395, Labels!$A:$A, 0)) = 0, "", INDEX(Labels!H:H, MATCH(Summary!$A395, Labels!$A:$A, 0)))</f>
        <v/>
      </c>
      <c r="W395" t="str">
        <f>IF(INDEX(Labels!I:I, MATCH(Summary!$A395, Labels!$A:$A, 0)) = 0, "", INDEX(Labels!I:I, MATCH(Summary!$A395, Labels!$A:$A, 0)))</f>
        <v/>
      </c>
      <c r="X395" t="str">
        <f>IF(INDEX(Labels!J:J, MATCH(Summary!$A395, Labels!$A:$A, 0)) = 0, "", INDEX(Labels!J:J, MATCH(Summary!$A395, Labels!$A:$A, 0)))</f>
        <v/>
      </c>
    </row>
    <row r="396" spans="1:24" x14ac:dyDescent="0.2">
      <c r="A396" s="33">
        <f>Labels!A397</f>
        <v>390</v>
      </c>
      <c r="B396" s="34">
        <f>INDEX(EchoData!B:B, MATCH(Summary!$A396, EchoData!$A:$A, 0))</f>
        <v>394</v>
      </c>
      <c r="C396" s="35">
        <f>INDEX(EchoData!C:C, MATCH(Summary!$A396, EchoData!$A:$A, 0))</f>
        <v>395</v>
      </c>
      <c r="D396" s="42">
        <f>INDEX(Displacements!B:B, MATCH(Summary!$B396, Displacements!$A:$A, 0))</f>
        <v>486.30099999999999</v>
      </c>
      <c r="E396" s="43">
        <f>INDEX(Displacements!C:C, MATCH(Summary!$B396, Displacements!$A:$A, 0))</f>
        <v>0</v>
      </c>
      <c r="F396" s="44">
        <f>INDEX(Displacements!D:D, MATCH(Summary!$B396, Displacements!$A:$A, 0))</f>
        <v>0</v>
      </c>
      <c r="G396" s="42">
        <f>INDEX(Displacements!B:B, MATCH(Summary!$C396, Displacements!$A:$A, 0))</f>
        <v>491.25700000000001</v>
      </c>
      <c r="H396" s="43">
        <f>INDEX(Displacements!C:C, MATCH(Summary!$C396, Displacements!$A:$A, 0))</f>
        <v>0</v>
      </c>
      <c r="I396" s="44">
        <f>INDEX(Displacements!D:D, MATCH(Summary!$C396, Displacements!$A:$A, 0))</f>
        <v>0</v>
      </c>
      <c r="J396" s="42">
        <f t="shared" si="12"/>
        <v>4.9560000000000173</v>
      </c>
      <c r="K396" s="49">
        <f t="shared" si="13"/>
        <v>1.0000000000000115</v>
      </c>
      <c r="L396" s="54">
        <f>INDEX('Forces+Stresses'!C:C, MATCH(Summary!$A396, 'Forces+Stresses'!$A:$A, 0))</f>
        <v>2914</v>
      </c>
      <c r="M396" s="55">
        <f>INDEX('Forces+Stresses'!D:D, MATCH(Summary!$A396, 'Forces+Stresses'!$A:$A, 0))</f>
        <v>2914</v>
      </c>
      <c r="N396" s="55">
        <f>IFERROR(INDEX('Forces+Stresses'!Q:Q, MATCH(Summary!$A396, 'Forces+Stresses'!$A:$A, 0)), INDEX(Flexjoints!D:D, MATCH(Summary!$A396, Flexjoints!$A:$A, 0)))</f>
        <v>2.756E-8</v>
      </c>
      <c r="O396" s="56">
        <f>IFERROR(INDEX('Forces+Stresses'!R:R, MATCH(Summary!$A396, 'Forces+Stresses'!$A:$A, 0)), INDEX(Flexjoints!E:E, MATCH(Summary!$A396, Flexjoints!$A:$A, 0)))</f>
        <v>1.9200000000000003E-6</v>
      </c>
      <c r="P396" s="33" t="str">
        <f>IF(INDEX(Labels!B:B, MATCH(Summary!$A396, Labels!$A:$A, 0)) = 0, "", INDEX(Labels!B:B, MATCH(Summary!$A396, Labels!$A:$A, 0)))</f>
        <v>{Marine Riser String}</v>
      </c>
      <c r="Q396" s="35" t="str">
        <f>IF(INDEX(Labels!C:C, MATCH(Summary!$A396, Labels!$A:$A, 0)) = 0, "", INDEX(Labels!C:C, MATCH(Summary!$A396, Labels!$A:$A, 0)))</f>
        <v>{75ft 2500ft 0.875in Buoyant}</v>
      </c>
      <c r="R396" s="33" t="str">
        <f>IF(INDEX(Labels!D:D, MATCH(Summary!$A396, Labels!$A:$A, 0)) = 0, "", INDEX(Labels!D:D, MATCH(Summary!$A396, Labels!$A:$A, 0)))</f>
        <v/>
      </c>
      <c r="S396" s="35" t="str">
        <f>IF(INDEX(Labels!E:E, MATCH(Summary!$A396, Labels!$A:$A, 0)) = 0, "", INDEX(Labels!E:E, MATCH(Summary!$A396, Labels!$A:$A, 0)))</f>
        <v/>
      </c>
      <c r="T396" s="33" t="str">
        <f>IF(INDEX(Labels!F:F, MATCH(Summary!$A396, Labels!$A:$A, 0)) = 0, "", INDEX(Labels!F:F, MATCH(Summary!$A396, Labels!$A:$A, 0)))</f>
        <v/>
      </c>
      <c r="U396" s="35" t="str">
        <f>IF(INDEX(Labels!G:G, MATCH(Summary!$A396, Labels!$A:$A, 0)) = 0, "", INDEX(Labels!G:G, MATCH(Summary!$A396, Labels!$A:$A, 0)))</f>
        <v/>
      </c>
      <c r="V396" s="62" t="str">
        <f>IF(INDEX(Labels!H:H, MATCH(Summary!$A396, Labels!$A:$A, 0)) = 0, "", INDEX(Labels!H:H, MATCH(Summary!$A396, Labels!$A:$A, 0)))</f>
        <v/>
      </c>
      <c r="W396" t="str">
        <f>IF(INDEX(Labels!I:I, MATCH(Summary!$A396, Labels!$A:$A, 0)) = 0, "", INDEX(Labels!I:I, MATCH(Summary!$A396, Labels!$A:$A, 0)))</f>
        <v/>
      </c>
      <c r="X396" t="str">
        <f>IF(INDEX(Labels!J:J, MATCH(Summary!$A396, Labels!$A:$A, 0)) = 0, "", INDEX(Labels!J:J, MATCH(Summary!$A396, Labels!$A:$A, 0)))</f>
        <v/>
      </c>
    </row>
    <row r="397" spans="1:24" x14ac:dyDescent="0.2">
      <c r="A397" s="33">
        <f>Labels!A398</f>
        <v>391</v>
      </c>
      <c r="B397" s="34">
        <f>INDEX(EchoData!B:B, MATCH(Summary!$A397, EchoData!$A:$A, 0))</f>
        <v>395</v>
      </c>
      <c r="C397" s="35">
        <f>INDEX(EchoData!C:C, MATCH(Summary!$A397, EchoData!$A:$A, 0))</f>
        <v>396</v>
      </c>
      <c r="D397" s="42">
        <f>INDEX(Displacements!B:B, MATCH(Summary!$B397, Displacements!$A:$A, 0))</f>
        <v>491.25700000000001</v>
      </c>
      <c r="E397" s="43">
        <f>INDEX(Displacements!C:C, MATCH(Summary!$B397, Displacements!$A:$A, 0))</f>
        <v>0</v>
      </c>
      <c r="F397" s="44">
        <f>INDEX(Displacements!D:D, MATCH(Summary!$B397, Displacements!$A:$A, 0))</f>
        <v>0</v>
      </c>
      <c r="G397" s="42">
        <f>INDEX(Displacements!B:B, MATCH(Summary!$C397, Displacements!$A:$A, 0))</f>
        <v>496.21300000000002</v>
      </c>
      <c r="H397" s="43">
        <f>INDEX(Displacements!C:C, MATCH(Summary!$C397, Displacements!$A:$A, 0))</f>
        <v>0</v>
      </c>
      <c r="I397" s="44">
        <f>INDEX(Displacements!D:D, MATCH(Summary!$C397, Displacements!$A:$A, 0))</f>
        <v>0</v>
      </c>
      <c r="J397" s="42">
        <f t="shared" si="12"/>
        <v>4.9560000000000173</v>
      </c>
      <c r="K397" s="49">
        <f t="shared" si="13"/>
        <v>1</v>
      </c>
      <c r="L397" s="54">
        <f>INDEX('Forces+Stresses'!C:C, MATCH(Summary!$A397, 'Forces+Stresses'!$A:$A, 0))</f>
        <v>2920</v>
      </c>
      <c r="M397" s="55">
        <f>INDEX('Forces+Stresses'!D:D, MATCH(Summary!$A397, 'Forces+Stresses'!$A:$A, 0))</f>
        <v>2920</v>
      </c>
      <c r="N397" s="55">
        <f>IFERROR(INDEX('Forces+Stresses'!Q:Q, MATCH(Summary!$A397, 'Forces+Stresses'!$A:$A, 0)), INDEX(Flexjoints!D:D, MATCH(Summary!$A397, Flexjoints!$A:$A, 0)))</f>
        <v>1.4430000000000001E-8</v>
      </c>
      <c r="O397" s="56">
        <f>IFERROR(INDEX('Forces+Stresses'!R:R, MATCH(Summary!$A397, 'Forces+Stresses'!$A:$A, 0)), INDEX(Flexjoints!E:E, MATCH(Summary!$A397, Flexjoints!$A:$A, 0)))</f>
        <v>2.2290000000000002E-6</v>
      </c>
      <c r="P397" s="33" t="str">
        <f>IF(INDEX(Labels!B:B, MATCH(Summary!$A397, Labels!$A:$A, 0)) = 0, "", INDEX(Labels!B:B, MATCH(Summary!$A397, Labels!$A:$A, 0)))</f>
        <v>{Marine Riser String}</v>
      </c>
      <c r="Q397" s="35" t="str">
        <f>IF(INDEX(Labels!C:C, MATCH(Summary!$A397, Labels!$A:$A, 0)) = 0, "", INDEX(Labels!C:C, MATCH(Summary!$A397, Labels!$A:$A, 0)))</f>
        <v>{75ft 2500ft 0.875in Buoyant}</v>
      </c>
      <c r="R397" s="33" t="str">
        <f>IF(INDEX(Labels!D:D, MATCH(Summary!$A397, Labels!$A:$A, 0)) = 0, "", INDEX(Labels!D:D, MATCH(Summary!$A397, Labels!$A:$A, 0)))</f>
        <v/>
      </c>
      <c r="S397" s="35" t="str">
        <f>IF(INDEX(Labels!E:E, MATCH(Summary!$A397, Labels!$A:$A, 0)) = 0, "", INDEX(Labels!E:E, MATCH(Summary!$A397, Labels!$A:$A, 0)))</f>
        <v/>
      </c>
      <c r="T397" s="33" t="str">
        <f>IF(INDEX(Labels!F:F, MATCH(Summary!$A397, Labels!$A:$A, 0)) = 0, "", INDEX(Labels!F:F, MATCH(Summary!$A397, Labels!$A:$A, 0)))</f>
        <v/>
      </c>
      <c r="U397" s="35" t="str">
        <f>IF(INDEX(Labels!G:G, MATCH(Summary!$A397, Labels!$A:$A, 0)) = 0, "", INDEX(Labels!G:G, MATCH(Summary!$A397, Labels!$A:$A, 0)))</f>
        <v/>
      </c>
      <c r="V397" s="62" t="str">
        <f>IF(INDEX(Labels!H:H, MATCH(Summary!$A397, Labels!$A:$A, 0)) = 0, "", INDEX(Labels!H:H, MATCH(Summary!$A397, Labels!$A:$A, 0)))</f>
        <v/>
      </c>
      <c r="W397" t="str">
        <f>IF(INDEX(Labels!I:I, MATCH(Summary!$A397, Labels!$A:$A, 0)) = 0, "", INDEX(Labels!I:I, MATCH(Summary!$A397, Labels!$A:$A, 0)))</f>
        <v/>
      </c>
      <c r="X397" t="str">
        <f>IF(INDEX(Labels!J:J, MATCH(Summary!$A397, Labels!$A:$A, 0)) = 0, "", INDEX(Labels!J:J, MATCH(Summary!$A397, Labels!$A:$A, 0)))</f>
        <v/>
      </c>
    </row>
    <row r="398" spans="1:24" x14ac:dyDescent="0.2">
      <c r="A398" s="33">
        <f>Labels!A399</f>
        <v>392</v>
      </c>
      <c r="B398" s="34">
        <f>INDEX(EchoData!B:B, MATCH(Summary!$A398, EchoData!$A:$A, 0))</f>
        <v>396</v>
      </c>
      <c r="C398" s="35">
        <f>INDEX(EchoData!C:C, MATCH(Summary!$A398, EchoData!$A:$A, 0))</f>
        <v>397</v>
      </c>
      <c r="D398" s="42">
        <f>INDEX(Displacements!B:B, MATCH(Summary!$B398, Displacements!$A:$A, 0))</f>
        <v>496.21300000000002</v>
      </c>
      <c r="E398" s="43">
        <f>INDEX(Displacements!C:C, MATCH(Summary!$B398, Displacements!$A:$A, 0))</f>
        <v>0</v>
      </c>
      <c r="F398" s="44">
        <f>INDEX(Displacements!D:D, MATCH(Summary!$B398, Displacements!$A:$A, 0))</f>
        <v>0</v>
      </c>
      <c r="G398" s="42">
        <f>INDEX(Displacements!B:B, MATCH(Summary!$C398, Displacements!$A:$A, 0))</f>
        <v>501.16899999999998</v>
      </c>
      <c r="H398" s="43">
        <f>INDEX(Displacements!C:C, MATCH(Summary!$C398, Displacements!$A:$A, 0))</f>
        <v>0</v>
      </c>
      <c r="I398" s="44">
        <f>INDEX(Displacements!D:D, MATCH(Summary!$C398, Displacements!$A:$A, 0))</f>
        <v>0</v>
      </c>
      <c r="J398" s="42">
        <f t="shared" si="12"/>
        <v>4.9559999999999604</v>
      </c>
      <c r="K398" s="49">
        <f t="shared" si="13"/>
        <v>0.99999999999998856</v>
      </c>
      <c r="L398" s="54">
        <f>INDEX('Forces+Stresses'!C:C, MATCH(Summary!$A398, 'Forces+Stresses'!$A:$A, 0))</f>
        <v>2927</v>
      </c>
      <c r="M398" s="55">
        <f>INDEX('Forces+Stresses'!D:D, MATCH(Summary!$A398, 'Forces+Stresses'!$A:$A, 0))</f>
        <v>2927</v>
      </c>
      <c r="N398" s="55">
        <f>IFERROR(INDEX('Forces+Stresses'!Q:Q, MATCH(Summary!$A398, 'Forces+Stresses'!$A:$A, 0)), INDEX(Flexjoints!D:D, MATCH(Summary!$A398, Flexjoints!$A:$A, 0)))</f>
        <v>7.8869999999999991E-8</v>
      </c>
      <c r="O398" s="56">
        <f>IFERROR(INDEX('Forces+Stresses'!R:R, MATCH(Summary!$A398, 'Forces+Stresses'!$A:$A, 0)), INDEX(Flexjoints!E:E, MATCH(Summary!$A398, Flexjoints!$A:$A, 0)))</f>
        <v>2.4290000000000004E-6</v>
      </c>
      <c r="P398" s="33" t="str">
        <f>IF(INDEX(Labels!B:B, MATCH(Summary!$A398, Labels!$A:$A, 0)) = 0, "", INDEX(Labels!B:B, MATCH(Summary!$A398, Labels!$A:$A, 0)))</f>
        <v>{Marine Riser String}</v>
      </c>
      <c r="Q398" s="35" t="str">
        <f>IF(INDEX(Labels!C:C, MATCH(Summary!$A398, Labels!$A:$A, 0)) = 0, "", INDEX(Labels!C:C, MATCH(Summary!$A398, Labels!$A:$A, 0)))</f>
        <v>{75ft 2500ft 0.875in Buoyant}</v>
      </c>
      <c r="R398" s="33" t="str">
        <f>IF(INDEX(Labels!D:D, MATCH(Summary!$A398, Labels!$A:$A, 0)) = 0, "", INDEX(Labels!D:D, MATCH(Summary!$A398, Labels!$A:$A, 0)))</f>
        <v/>
      </c>
      <c r="S398" s="35" t="str">
        <f>IF(INDEX(Labels!E:E, MATCH(Summary!$A398, Labels!$A:$A, 0)) = 0, "", INDEX(Labels!E:E, MATCH(Summary!$A398, Labels!$A:$A, 0)))</f>
        <v/>
      </c>
      <c r="T398" s="33" t="str">
        <f>IF(INDEX(Labels!F:F, MATCH(Summary!$A398, Labels!$A:$A, 0)) = 0, "", INDEX(Labels!F:F, MATCH(Summary!$A398, Labels!$A:$A, 0)))</f>
        <v/>
      </c>
      <c r="U398" s="35" t="str">
        <f>IF(INDEX(Labels!G:G, MATCH(Summary!$A398, Labels!$A:$A, 0)) = 0, "", INDEX(Labels!G:G, MATCH(Summary!$A398, Labels!$A:$A, 0)))</f>
        <v/>
      </c>
      <c r="V398" s="62" t="str">
        <f>IF(INDEX(Labels!H:H, MATCH(Summary!$A398, Labels!$A:$A, 0)) = 0, "", INDEX(Labels!H:H, MATCH(Summary!$A398, Labels!$A:$A, 0)))</f>
        <v/>
      </c>
      <c r="W398" t="str">
        <f>IF(INDEX(Labels!I:I, MATCH(Summary!$A398, Labels!$A:$A, 0)) = 0, "", INDEX(Labels!I:I, MATCH(Summary!$A398, Labels!$A:$A, 0)))</f>
        <v/>
      </c>
      <c r="X398" t="str">
        <f>IF(INDEX(Labels!J:J, MATCH(Summary!$A398, Labels!$A:$A, 0)) = 0, "", INDEX(Labels!J:J, MATCH(Summary!$A398, Labels!$A:$A, 0)))</f>
        <v/>
      </c>
    </row>
    <row r="399" spans="1:24" x14ac:dyDescent="0.2">
      <c r="A399" s="33">
        <f>Labels!A400</f>
        <v>393</v>
      </c>
      <c r="B399" s="34">
        <f>INDEX(EchoData!B:B, MATCH(Summary!$A399, EchoData!$A:$A, 0))</f>
        <v>397</v>
      </c>
      <c r="C399" s="35">
        <f>INDEX(EchoData!C:C, MATCH(Summary!$A399, EchoData!$A:$A, 0))</f>
        <v>398</v>
      </c>
      <c r="D399" s="42">
        <f>INDEX(Displacements!B:B, MATCH(Summary!$B399, Displacements!$A:$A, 0))</f>
        <v>501.16899999999998</v>
      </c>
      <c r="E399" s="43">
        <f>INDEX(Displacements!C:C, MATCH(Summary!$B399, Displacements!$A:$A, 0))</f>
        <v>0</v>
      </c>
      <c r="F399" s="44">
        <f>INDEX(Displacements!D:D, MATCH(Summary!$B399, Displacements!$A:$A, 0))</f>
        <v>0</v>
      </c>
      <c r="G399" s="42">
        <f>INDEX(Displacements!B:B, MATCH(Summary!$C399, Displacements!$A:$A, 0))</f>
        <v>506.125</v>
      </c>
      <c r="H399" s="43">
        <f>INDEX(Displacements!C:C, MATCH(Summary!$C399, Displacements!$A:$A, 0))</f>
        <v>0</v>
      </c>
      <c r="I399" s="44">
        <f>INDEX(Displacements!D:D, MATCH(Summary!$C399, Displacements!$A:$A, 0))</f>
        <v>0</v>
      </c>
      <c r="J399" s="42">
        <f t="shared" si="12"/>
        <v>4.9560000000000173</v>
      </c>
      <c r="K399" s="49">
        <f t="shared" si="13"/>
        <v>1.0000000000000115</v>
      </c>
      <c r="L399" s="54">
        <f>INDEX('Forces+Stresses'!C:C, MATCH(Summary!$A399, 'Forces+Stresses'!$A:$A, 0))</f>
        <v>2933</v>
      </c>
      <c r="M399" s="55">
        <f>INDEX('Forces+Stresses'!D:D, MATCH(Summary!$A399, 'Forces+Stresses'!$A:$A, 0))</f>
        <v>2933</v>
      </c>
      <c r="N399" s="55">
        <f>IFERROR(INDEX('Forces+Stresses'!Q:Q, MATCH(Summary!$A399, 'Forces+Stresses'!$A:$A, 0)), INDEX(Flexjoints!D:D, MATCH(Summary!$A399, Flexjoints!$A:$A, 0)))</f>
        <v>5.4200000000000002E-8</v>
      </c>
      <c r="O399" s="56">
        <f>IFERROR(INDEX('Forces+Stresses'!R:R, MATCH(Summary!$A399, 'Forces+Stresses'!$A:$A, 0)), INDEX(Flexjoints!E:E, MATCH(Summary!$A399, Flexjoints!$A:$A, 0)))</f>
        <v>2.1150000000000001E-6</v>
      </c>
      <c r="P399" s="33" t="str">
        <f>IF(INDEX(Labels!B:B, MATCH(Summary!$A399, Labels!$A:$A, 0)) = 0, "", INDEX(Labels!B:B, MATCH(Summary!$A399, Labels!$A:$A, 0)))</f>
        <v>{Marine Riser String}</v>
      </c>
      <c r="Q399" s="35" t="str">
        <f>IF(INDEX(Labels!C:C, MATCH(Summary!$A399, Labels!$A:$A, 0)) = 0, "", INDEX(Labels!C:C, MATCH(Summary!$A399, Labels!$A:$A, 0)))</f>
        <v>{75ft 2500ft 0.875in Buoyant}</v>
      </c>
      <c r="R399" s="33" t="str">
        <f>IF(INDEX(Labels!D:D, MATCH(Summary!$A399, Labels!$A:$A, 0)) = 0, "", INDEX(Labels!D:D, MATCH(Summary!$A399, Labels!$A:$A, 0)))</f>
        <v/>
      </c>
      <c r="S399" s="35" t="str">
        <f>IF(INDEX(Labels!E:E, MATCH(Summary!$A399, Labels!$A:$A, 0)) = 0, "", INDEX(Labels!E:E, MATCH(Summary!$A399, Labels!$A:$A, 0)))</f>
        <v/>
      </c>
      <c r="T399" s="33" t="str">
        <f>IF(INDEX(Labels!F:F, MATCH(Summary!$A399, Labels!$A:$A, 0)) = 0, "", INDEX(Labels!F:F, MATCH(Summary!$A399, Labels!$A:$A, 0)))</f>
        <v/>
      </c>
      <c r="U399" s="35" t="str">
        <f>IF(INDEX(Labels!G:G, MATCH(Summary!$A399, Labels!$A:$A, 0)) = 0, "", INDEX(Labels!G:G, MATCH(Summary!$A399, Labels!$A:$A, 0)))</f>
        <v/>
      </c>
      <c r="V399" s="62" t="str">
        <f>IF(INDEX(Labels!H:H, MATCH(Summary!$A399, Labels!$A:$A, 0)) = 0, "", INDEX(Labels!H:H, MATCH(Summary!$A399, Labels!$A:$A, 0)))</f>
        <v/>
      </c>
      <c r="W399" t="str">
        <f>IF(INDEX(Labels!I:I, MATCH(Summary!$A399, Labels!$A:$A, 0)) = 0, "", INDEX(Labels!I:I, MATCH(Summary!$A399, Labels!$A:$A, 0)))</f>
        <v/>
      </c>
      <c r="X399" t="str">
        <f>IF(INDEX(Labels!J:J, MATCH(Summary!$A399, Labels!$A:$A, 0)) = 0, "", INDEX(Labels!J:J, MATCH(Summary!$A399, Labels!$A:$A, 0)))</f>
        <v/>
      </c>
    </row>
    <row r="400" spans="1:24" x14ac:dyDescent="0.2">
      <c r="A400" s="33">
        <f>Labels!A401</f>
        <v>394</v>
      </c>
      <c r="B400" s="34">
        <f>INDEX(EchoData!B:B, MATCH(Summary!$A400, EchoData!$A:$A, 0))</f>
        <v>398</v>
      </c>
      <c r="C400" s="35">
        <f>INDEX(EchoData!C:C, MATCH(Summary!$A400, EchoData!$A:$A, 0))</f>
        <v>399</v>
      </c>
      <c r="D400" s="42">
        <f>INDEX(Displacements!B:B, MATCH(Summary!$B400, Displacements!$A:$A, 0))</f>
        <v>506.125</v>
      </c>
      <c r="E400" s="43">
        <f>INDEX(Displacements!C:C, MATCH(Summary!$B400, Displacements!$A:$A, 0))</f>
        <v>0</v>
      </c>
      <c r="F400" s="44">
        <f>INDEX(Displacements!D:D, MATCH(Summary!$B400, Displacements!$A:$A, 0))</f>
        <v>0</v>
      </c>
      <c r="G400" s="42">
        <f>INDEX(Displacements!B:B, MATCH(Summary!$C400, Displacements!$A:$A, 0))</f>
        <v>511.08100000000002</v>
      </c>
      <c r="H400" s="43">
        <f>INDEX(Displacements!C:C, MATCH(Summary!$C400, Displacements!$A:$A, 0))</f>
        <v>0</v>
      </c>
      <c r="I400" s="44">
        <f>INDEX(Displacements!D:D, MATCH(Summary!$C400, Displacements!$A:$A, 0))</f>
        <v>0</v>
      </c>
      <c r="J400" s="42">
        <f t="shared" si="12"/>
        <v>4.9560000000000173</v>
      </c>
      <c r="K400" s="49">
        <f t="shared" si="13"/>
        <v>1</v>
      </c>
      <c r="L400" s="54">
        <f>INDEX('Forces+Stresses'!C:C, MATCH(Summary!$A400, 'Forces+Stresses'!$A:$A, 0))</f>
        <v>2940</v>
      </c>
      <c r="M400" s="55">
        <f>INDEX('Forces+Stresses'!D:D, MATCH(Summary!$A400, 'Forces+Stresses'!$A:$A, 0))</f>
        <v>2940</v>
      </c>
      <c r="N400" s="55">
        <f>IFERROR(INDEX('Forces+Stresses'!Q:Q, MATCH(Summary!$A400, 'Forces+Stresses'!$A:$A, 0)), INDEX(Flexjoints!D:D, MATCH(Summary!$A400, Flexjoints!$A:$A, 0)))</f>
        <v>3.8590000000000003E-8</v>
      </c>
      <c r="O400" s="56">
        <f>IFERROR(INDEX('Forces+Stresses'!R:R, MATCH(Summary!$A400, 'Forces+Stresses'!$A:$A, 0)), INDEX(Flexjoints!E:E, MATCH(Summary!$A400, Flexjoints!$A:$A, 0)))</f>
        <v>1.9520000000000001E-6</v>
      </c>
      <c r="P400" s="33" t="str">
        <f>IF(INDEX(Labels!B:B, MATCH(Summary!$A400, Labels!$A:$A, 0)) = 0, "", INDEX(Labels!B:B, MATCH(Summary!$A400, Labels!$A:$A, 0)))</f>
        <v>{Marine Riser String}</v>
      </c>
      <c r="Q400" s="35" t="str">
        <f>IF(INDEX(Labels!C:C, MATCH(Summary!$A400, Labels!$A:$A, 0)) = 0, "", INDEX(Labels!C:C, MATCH(Summary!$A400, Labels!$A:$A, 0)))</f>
        <v>{75ft 2500ft 0.875in Buoyant}</v>
      </c>
      <c r="R400" s="33" t="str">
        <f>IF(INDEX(Labels!D:D, MATCH(Summary!$A400, Labels!$A:$A, 0)) = 0, "", INDEX(Labels!D:D, MATCH(Summary!$A400, Labels!$A:$A, 0)))</f>
        <v/>
      </c>
      <c r="S400" s="35" t="str">
        <f>IF(INDEX(Labels!E:E, MATCH(Summary!$A400, Labels!$A:$A, 0)) = 0, "", INDEX(Labels!E:E, MATCH(Summary!$A400, Labels!$A:$A, 0)))</f>
        <v/>
      </c>
      <c r="T400" s="33" t="str">
        <f>IF(INDEX(Labels!F:F, MATCH(Summary!$A400, Labels!$A:$A, 0)) = 0, "", INDEX(Labels!F:F, MATCH(Summary!$A400, Labels!$A:$A, 0)))</f>
        <v/>
      </c>
      <c r="U400" s="35" t="str">
        <f>IF(INDEX(Labels!G:G, MATCH(Summary!$A400, Labels!$A:$A, 0)) = 0, "", INDEX(Labels!G:G, MATCH(Summary!$A400, Labels!$A:$A, 0)))</f>
        <v/>
      </c>
      <c r="V400" s="62" t="str">
        <f>IF(INDEX(Labels!H:H, MATCH(Summary!$A400, Labels!$A:$A, 0)) = 0, "", INDEX(Labels!H:H, MATCH(Summary!$A400, Labels!$A:$A, 0)))</f>
        <v/>
      </c>
      <c r="W400" t="str">
        <f>IF(INDEX(Labels!I:I, MATCH(Summary!$A400, Labels!$A:$A, 0)) = 0, "", INDEX(Labels!I:I, MATCH(Summary!$A400, Labels!$A:$A, 0)))</f>
        <v/>
      </c>
      <c r="X400" t="str">
        <f>IF(INDEX(Labels!J:J, MATCH(Summary!$A400, Labels!$A:$A, 0)) = 0, "", INDEX(Labels!J:J, MATCH(Summary!$A400, Labels!$A:$A, 0)))</f>
        <v/>
      </c>
    </row>
    <row r="401" spans="1:24" x14ac:dyDescent="0.2">
      <c r="A401" s="33">
        <f>Labels!A402</f>
        <v>395</v>
      </c>
      <c r="B401" s="34">
        <f>INDEX(EchoData!B:B, MATCH(Summary!$A401, EchoData!$A:$A, 0))</f>
        <v>399</v>
      </c>
      <c r="C401" s="35">
        <f>INDEX(EchoData!C:C, MATCH(Summary!$A401, EchoData!$A:$A, 0))</f>
        <v>400</v>
      </c>
      <c r="D401" s="42">
        <f>INDEX(Displacements!B:B, MATCH(Summary!$B401, Displacements!$A:$A, 0))</f>
        <v>511.08100000000002</v>
      </c>
      <c r="E401" s="43">
        <f>INDEX(Displacements!C:C, MATCH(Summary!$B401, Displacements!$A:$A, 0))</f>
        <v>0</v>
      </c>
      <c r="F401" s="44">
        <f>INDEX(Displacements!D:D, MATCH(Summary!$B401, Displacements!$A:$A, 0))</f>
        <v>0</v>
      </c>
      <c r="G401" s="42">
        <f>INDEX(Displacements!B:B, MATCH(Summary!$C401, Displacements!$A:$A, 0))</f>
        <v>516.03700000000003</v>
      </c>
      <c r="H401" s="43">
        <f>INDEX(Displacements!C:C, MATCH(Summary!$C401, Displacements!$A:$A, 0))</f>
        <v>0</v>
      </c>
      <c r="I401" s="44">
        <f>INDEX(Displacements!D:D, MATCH(Summary!$C401, Displacements!$A:$A, 0))</f>
        <v>0</v>
      </c>
      <c r="J401" s="42">
        <f t="shared" si="12"/>
        <v>4.9560000000000173</v>
      </c>
      <c r="K401" s="49">
        <f t="shared" si="13"/>
        <v>1</v>
      </c>
      <c r="L401" s="54">
        <f>INDEX('Forces+Stresses'!C:C, MATCH(Summary!$A401, 'Forces+Stresses'!$A:$A, 0))</f>
        <v>2946</v>
      </c>
      <c r="M401" s="55">
        <f>INDEX('Forces+Stresses'!D:D, MATCH(Summary!$A401, 'Forces+Stresses'!$A:$A, 0))</f>
        <v>2946</v>
      </c>
      <c r="N401" s="55">
        <f>IFERROR(INDEX('Forces+Stresses'!Q:Q, MATCH(Summary!$A401, 'Forces+Stresses'!$A:$A, 0)), INDEX(Flexjoints!D:D, MATCH(Summary!$A401, Flexjoints!$A:$A, 0)))</f>
        <v>4.5160000000000002E-8</v>
      </c>
      <c r="O401" s="56">
        <f>IFERROR(INDEX('Forces+Stresses'!R:R, MATCH(Summary!$A401, 'Forces+Stresses'!$A:$A, 0)), INDEX(Flexjoints!E:E, MATCH(Summary!$A401, Flexjoints!$A:$A, 0)))</f>
        <v>1.793E-6</v>
      </c>
      <c r="P401" s="33" t="str">
        <f>IF(INDEX(Labels!B:B, MATCH(Summary!$A401, Labels!$A:$A, 0)) = 0, "", INDEX(Labels!B:B, MATCH(Summary!$A401, Labels!$A:$A, 0)))</f>
        <v>{Marine Riser String}</v>
      </c>
      <c r="Q401" s="35" t="str">
        <f>IF(INDEX(Labels!C:C, MATCH(Summary!$A401, Labels!$A:$A, 0)) = 0, "", INDEX(Labels!C:C, MATCH(Summary!$A401, Labels!$A:$A, 0)))</f>
        <v>{75ft 2500ft 0.875in Buoyant}</v>
      </c>
      <c r="R401" s="33" t="str">
        <f>IF(INDEX(Labels!D:D, MATCH(Summary!$A401, Labels!$A:$A, 0)) = 0, "", INDEX(Labels!D:D, MATCH(Summary!$A401, Labels!$A:$A, 0)))</f>
        <v/>
      </c>
      <c r="S401" s="35" t="str">
        <f>IF(INDEX(Labels!E:E, MATCH(Summary!$A401, Labels!$A:$A, 0)) = 0, "", INDEX(Labels!E:E, MATCH(Summary!$A401, Labels!$A:$A, 0)))</f>
        <v/>
      </c>
      <c r="T401" s="33" t="str">
        <f>IF(INDEX(Labels!F:F, MATCH(Summary!$A401, Labels!$A:$A, 0)) = 0, "", INDEX(Labels!F:F, MATCH(Summary!$A401, Labels!$A:$A, 0)))</f>
        <v/>
      </c>
      <c r="U401" s="35" t="str">
        <f>IF(INDEX(Labels!G:G, MATCH(Summary!$A401, Labels!$A:$A, 0)) = 0, "", INDEX(Labels!G:G, MATCH(Summary!$A401, Labels!$A:$A, 0)))</f>
        <v/>
      </c>
      <c r="V401" s="62" t="str">
        <f>IF(INDEX(Labels!H:H, MATCH(Summary!$A401, Labels!$A:$A, 0)) = 0, "", INDEX(Labels!H:H, MATCH(Summary!$A401, Labels!$A:$A, 0)))</f>
        <v/>
      </c>
      <c r="W401" t="str">
        <f>IF(INDEX(Labels!I:I, MATCH(Summary!$A401, Labels!$A:$A, 0)) = 0, "", INDEX(Labels!I:I, MATCH(Summary!$A401, Labels!$A:$A, 0)))</f>
        <v/>
      </c>
      <c r="X401" t="str">
        <f>IF(INDEX(Labels!J:J, MATCH(Summary!$A401, Labels!$A:$A, 0)) = 0, "", INDEX(Labels!J:J, MATCH(Summary!$A401, Labels!$A:$A, 0)))</f>
        <v/>
      </c>
    </row>
    <row r="402" spans="1:24" x14ac:dyDescent="0.2">
      <c r="A402" s="33">
        <f>Labels!A403</f>
        <v>396</v>
      </c>
      <c r="B402" s="34">
        <f>INDEX(EchoData!B:B, MATCH(Summary!$A402, EchoData!$A:$A, 0))</f>
        <v>400</v>
      </c>
      <c r="C402" s="35">
        <f>INDEX(EchoData!C:C, MATCH(Summary!$A402, EchoData!$A:$A, 0))</f>
        <v>401</v>
      </c>
      <c r="D402" s="42">
        <f>INDEX(Displacements!B:B, MATCH(Summary!$B402, Displacements!$A:$A, 0))</f>
        <v>516.03700000000003</v>
      </c>
      <c r="E402" s="43">
        <f>INDEX(Displacements!C:C, MATCH(Summary!$B402, Displacements!$A:$A, 0))</f>
        <v>0</v>
      </c>
      <c r="F402" s="44">
        <f>INDEX(Displacements!D:D, MATCH(Summary!$B402, Displacements!$A:$A, 0))</f>
        <v>0</v>
      </c>
      <c r="G402" s="42">
        <f>INDEX(Displacements!B:B, MATCH(Summary!$C402, Displacements!$A:$A, 0))</f>
        <v>520.99300000000005</v>
      </c>
      <c r="H402" s="43">
        <f>INDEX(Displacements!C:C, MATCH(Summary!$C402, Displacements!$A:$A, 0))</f>
        <v>0</v>
      </c>
      <c r="I402" s="44">
        <f>INDEX(Displacements!D:D, MATCH(Summary!$C402, Displacements!$A:$A, 0))</f>
        <v>0</v>
      </c>
      <c r="J402" s="42">
        <f t="shared" si="12"/>
        <v>4.9560000000000173</v>
      </c>
      <c r="K402" s="49">
        <f t="shared" si="13"/>
        <v>1</v>
      </c>
      <c r="L402" s="54">
        <f>INDEX('Forces+Stresses'!C:C, MATCH(Summary!$A402, 'Forces+Stresses'!$A:$A, 0))</f>
        <v>2953</v>
      </c>
      <c r="M402" s="55">
        <f>INDEX('Forces+Stresses'!D:D, MATCH(Summary!$A402, 'Forces+Stresses'!$A:$A, 0))</f>
        <v>2953</v>
      </c>
      <c r="N402" s="55">
        <f>IFERROR(INDEX('Forces+Stresses'!Q:Q, MATCH(Summary!$A402, 'Forces+Stresses'!$A:$A, 0)), INDEX(Flexjoints!D:D, MATCH(Summary!$A402, Flexjoints!$A:$A, 0)))</f>
        <v>8.3859999999999998E-8</v>
      </c>
      <c r="O402" s="56">
        <f>IFERROR(INDEX('Forces+Stresses'!R:R, MATCH(Summary!$A402, 'Forces+Stresses'!$A:$A, 0)), INDEX(Flexjoints!E:E, MATCH(Summary!$A402, Flexjoints!$A:$A, 0)))</f>
        <v>1.8450000000000001E-6</v>
      </c>
      <c r="P402" s="33" t="str">
        <f>IF(INDEX(Labels!B:B, MATCH(Summary!$A402, Labels!$A:$A, 0)) = 0, "", INDEX(Labels!B:B, MATCH(Summary!$A402, Labels!$A:$A, 0)))</f>
        <v>{Marine Riser String}</v>
      </c>
      <c r="Q402" s="35" t="str">
        <f>IF(INDEX(Labels!C:C, MATCH(Summary!$A402, Labels!$A:$A, 0)) = 0, "", INDEX(Labels!C:C, MATCH(Summary!$A402, Labels!$A:$A, 0)))</f>
        <v>{75ft 2500ft 0.875in Buoyant}</v>
      </c>
      <c r="R402" s="33" t="str">
        <f>IF(INDEX(Labels!D:D, MATCH(Summary!$A402, Labels!$A:$A, 0)) = 0, "", INDEX(Labels!D:D, MATCH(Summary!$A402, Labels!$A:$A, 0)))</f>
        <v/>
      </c>
      <c r="S402" s="35" t="str">
        <f>IF(INDEX(Labels!E:E, MATCH(Summary!$A402, Labels!$A:$A, 0)) = 0, "", INDEX(Labels!E:E, MATCH(Summary!$A402, Labels!$A:$A, 0)))</f>
        <v/>
      </c>
      <c r="T402" s="33" t="str">
        <f>IF(INDEX(Labels!F:F, MATCH(Summary!$A402, Labels!$A:$A, 0)) = 0, "", INDEX(Labels!F:F, MATCH(Summary!$A402, Labels!$A:$A, 0)))</f>
        <v/>
      </c>
      <c r="U402" s="35" t="str">
        <f>IF(INDEX(Labels!G:G, MATCH(Summary!$A402, Labels!$A:$A, 0)) = 0, "", INDEX(Labels!G:G, MATCH(Summary!$A402, Labels!$A:$A, 0)))</f>
        <v/>
      </c>
      <c r="V402" s="62" t="str">
        <f>IF(INDEX(Labels!H:H, MATCH(Summary!$A402, Labels!$A:$A, 0)) = 0, "", INDEX(Labels!H:H, MATCH(Summary!$A402, Labels!$A:$A, 0)))</f>
        <v/>
      </c>
      <c r="W402" t="str">
        <f>IF(INDEX(Labels!I:I, MATCH(Summary!$A402, Labels!$A:$A, 0)) = 0, "", INDEX(Labels!I:I, MATCH(Summary!$A402, Labels!$A:$A, 0)))</f>
        <v/>
      </c>
      <c r="X402" t="str">
        <f>IF(INDEX(Labels!J:J, MATCH(Summary!$A402, Labels!$A:$A, 0)) = 0, "", INDEX(Labels!J:J, MATCH(Summary!$A402, Labels!$A:$A, 0)))</f>
        <v/>
      </c>
    </row>
    <row r="403" spans="1:24" x14ac:dyDescent="0.2">
      <c r="A403" s="33">
        <f>Labels!A404</f>
        <v>397</v>
      </c>
      <c r="B403" s="34">
        <f>INDEX(EchoData!B:B, MATCH(Summary!$A403, EchoData!$A:$A, 0))</f>
        <v>401</v>
      </c>
      <c r="C403" s="35">
        <f>INDEX(EchoData!C:C, MATCH(Summary!$A403, EchoData!$A:$A, 0))</f>
        <v>402</v>
      </c>
      <c r="D403" s="42">
        <f>INDEX(Displacements!B:B, MATCH(Summary!$B403, Displacements!$A:$A, 0))</f>
        <v>520.99300000000005</v>
      </c>
      <c r="E403" s="43">
        <f>INDEX(Displacements!C:C, MATCH(Summary!$B403, Displacements!$A:$A, 0))</f>
        <v>0</v>
      </c>
      <c r="F403" s="44">
        <f>INDEX(Displacements!D:D, MATCH(Summary!$B403, Displacements!$A:$A, 0))</f>
        <v>0</v>
      </c>
      <c r="G403" s="42">
        <f>INDEX(Displacements!B:B, MATCH(Summary!$C403, Displacements!$A:$A, 0))</f>
        <v>525.94899999999996</v>
      </c>
      <c r="H403" s="43">
        <f>INDEX(Displacements!C:C, MATCH(Summary!$C403, Displacements!$A:$A, 0))</f>
        <v>0</v>
      </c>
      <c r="I403" s="44">
        <f>INDEX(Displacements!D:D, MATCH(Summary!$C403, Displacements!$A:$A, 0))</f>
        <v>0</v>
      </c>
      <c r="J403" s="42">
        <f t="shared" si="12"/>
        <v>4.9559999999999036</v>
      </c>
      <c r="K403" s="49">
        <f t="shared" si="13"/>
        <v>0.99999999999997702</v>
      </c>
      <c r="L403" s="54">
        <f>INDEX('Forces+Stresses'!C:C, MATCH(Summary!$A403, 'Forces+Stresses'!$A:$A, 0))</f>
        <v>2959</v>
      </c>
      <c r="M403" s="55">
        <f>INDEX('Forces+Stresses'!D:D, MATCH(Summary!$A403, 'Forces+Stresses'!$A:$A, 0))</f>
        <v>2959</v>
      </c>
      <c r="N403" s="55">
        <f>IFERROR(INDEX('Forces+Stresses'!Q:Q, MATCH(Summary!$A403, 'Forces+Stresses'!$A:$A, 0)), INDEX(Flexjoints!D:D, MATCH(Summary!$A403, Flexjoints!$A:$A, 0)))</f>
        <v>1.212E-7</v>
      </c>
      <c r="O403" s="56">
        <f>IFERROR(INDEX('Forces+Stresses'!R:R, MATCH(Summary!$A403, 'Forces+Stresses'!$A:$A, 0)), INDEX(Flexjoints!E:E, MATCH(Summary!$A403, Flexjoints!$A:$A, 0)))</f>
        <v>2.2300000000000002E-6</v>
      </c>
      <c r="P403" s="33" t="str">
        <f>IF(INDEX(Labels!B:B, MATCH(Summary!$A403, Labels!$A:$A, 0)) = 0, "", INDEX(Labels!B:B, MATCH(Summary!$A403, Labels!$A:$A, 0)))</f>
        <v>{Marine Riser String}</v>
      </c>
      <c r="Q403" s="35" t="str">
        <f>IF(INDEX(Labels!C:C, MATCH(Summary!$A403, Labels!$A:$A, 0)) = 0, "", INDEX(Labels!C:C, MATCH(Summary!$A403, Labels!$A:$A, 0)))</f>
        <v>{75ft 2500ft 0.875in Buoyant}</v>
      </c>
      <c r="R403" s="33" t="str">
        <f>IF(INDEX(Labels!D:D, MATCH(Summary!$A403, Labels!$A:$A, 0)) = 0, "", INDEX(Labels!D:D, MATCH(Summary!$A403, Labels!$A:$A, 0)))</f>
        <v/>
      </c>
      <c r="S403" s="35" t="str">
        <f>IF(INDEX(Labels!E:E, MATCH(Summary!$A403, Labels!$A:$A, 0)) = 0, "", INDEX(Labels!E:E, MATCH(Summary!$A403, Labels!$A:$A, 0)))</f>
        <v/>
      </c>
      <c r="T403" s="33" t="str">
        <f>IF(INDEX(Labels!F:F, MATCH(Summary!$A403, Labels!$A:$A, 0)) = 0, "", INDEX(Labels!F:F, MATCH(Summary!$A403, Labels!$A:$A, 0)))</f>
        <v/>
      </c>
      <c r="U403" s="35" t="str">
        <f>IF(INDEX(Labels!G:G, MATCH(Summary!$A403, Labels!$A:$A, 0)) = 0, "", INDEX(Labels!G:G, MATCH(Summary!$A403, Labels!$A:$A, 0)))</f>
        <v/>
      </c>
      <c r="V403" s="62" t="str">
        <f>IF(INDEX(Labels!H:H, MATCH(Summary!$A403, Labels!$A:$A, 0)) = 0, "", INDEX(Labels!H:H, MATCH(Summary!$A403, Labels!$A:$A, 0)))</f>
        <v/>
      </c>
      <c r="W403" t="str">
        <f>IF(INDEX(Labels!I:I, MATCH(Summary!$A403, Labels!$A:$A, 0)) = 0, "", INDEX(Labels!I:I, MATCH(Summary!$A403, Labels!$A:$A, 0)))</f>
        <v/>
      </c>
      <c r="X403" t="str">
        <f>IF(INDEX(Labels!J:J, MATCH(Summary!$A403, Labels!$A:$A, 0)) = 0, "", INDEX(Labels!J:J, MATCH(Summary!$A403, Labels!$A:$A, 0)))</f>
        <v/>
      </c>
    </row>
    <row r="404" spans="1:24" x14ac:dyDescent="0.2">
      <c r="A404" s="33">
        <f>Labels!A405</f>
        <v>398</v>
      </c>
      <c r="B404" s="34">
        <f>INDEX(EchoData!B:B, MATCH(Summary!$A404, EchoData!$A:$A, 0))</f>
        <v>402</v>
      </c>
      <c r="C404" s="35">
        <f>INDEX(EchoData!C:C, MATCH(Summary!$A404, EchoData!$A:$A, 0))</f>
        <v>403</v>
      </c>
      <c r="D404" s="42">
        <f>INDEX(Displacements!B:B, MATCH(Summary!$B404, Displacements!$A:$A, 0))</f>
        <v>525.94899999999996</v>
      </c>
      <c r="E404" s="43">
        <f>INDEX(Displacements!C:C, MATCH(Summary!$B404, Displacements!$A:$A, 0))</f>
        <v>0</v>
      </c>
      <c r="F404" s="44">
        <f>INDEX(Displacements!D:D, MATCH(Summary!$B404, Displacements!$A:$A, 0))</f>
        <v>0</v>
      </c>
      <c r="G404" s="42">
        <f>INDEX(Displacements!B:B, MATCH(Summary!$C404, Displacements!$A:$A, 0))</f>
        <v>530.90599999999995</v>
      </c>
      <c r="H404" s="43">
        <f>INDEX(Displacements!C:C, MATCH(Summary!$C404, Displacements!$A:$A, 0))</f>
        <v>0</v>
      </c>
      <c r="I404" s="44">
        <f>INDEX(Displacements!D:D, MATCH(Summary!$C404, Displacements!$A:$A, 0))</f>
        <v>0</v>
      </c>
      <c r="J404" s="42">
        <f t="shared" si="12"/>
        <v>4.9569999999999936</v>
      </c>
      <c r="K404" s="49">
        <f t="shared" si="13"/>
        <v>1.0002017756255226</v>
      </c>
      <c r="L404" s="54">
        <f>INDEX('Forces+Stresses'!C:C, MATCH(Summary!$A404, 'Forces+Stresses'!$A:$A, 0))</f>
        <v>2966</v>
      </c>
      <c r="M404" s="55">
        <f>INDEX('Forces+Stresses'!D:D, MATCH(Summary!$A404, 'Forces+Stresses'!$A:$A, 0))</f>
        <v>2966</v>
      </c>
      <c r="N404" s="55">
        <f>IFERROR(INDEX('Forces+Stresses'!Q:Q, MATCH(Summary!$A404, 'Forces+Stresses'!$A:$A, 0)), INDEX(Flexjoints!D:D, MATCH(Summary!$A404, Flexjoints!$A:$A, 0)))</f>
        <v>1.791E-8</v>
      </c>
      <c r="O404" s="56">
        <f>IFERROR(INDEX('Forces+Stresses'!R:R, MATCH(Summary!$A404, 'Forces+Stresses'!$A:$A, 0)), INDEX(Flexjoints!E:E, MATCH(Summary!$A404, Flexjoints!$A:$A, 0)))</f>
        <v>2.2670000000000001E-6</v>
      </c>
      <c r="P404" s="33" t="str">
        <f>IF(INDEX(Labels!B:B, MATCH(Summary!$A404, Labels!$A:$A, 0)) = 0, "", INDEX(Labels!B:B, MATCH(Summary!$A404, Labels!$A:$A, 0)))</f>
        <v>{Marine Riser String}</v>
      </c>
      <c r="Q404" s="35" t="str">
        <f>IF(INDEX(Labels!C:C, MATCH(Summary!$A404, Labels!$A:$A, 0)) = 0, "", INDEX(Labels!C:C, MATCH(Summary!$A404, Labels!$A:$A, 0)))</f>
        <v>{75ft 2500ft 0.875in Buoyant}</v>
      </c>
      <c r="R404" s="33" t="str">
        <f>IF(INDEX(Labels!D:D, MATCH(Summary!$A404, Labels!$A:$A, 0)) = 0, "", INDEX(Labels!D:D, MATCH(Summary!$A404, Labels!$A:$A, 0)))</f>
        <v/>
      </c>
      <c r="S404" s="35" t="str">
        <f>IF(INDEX(Labels!E:E, MATCH(Summary!$A404, Labels!$A:$A, 0)) = 0, "", INDEX(Labels!E:E, MATCH(Summary!$A404, Labels!$A:$A, 0)))</f>
        <v/>
      </c>
      <c r="T404" s="33" t="str">
        <f>IF(INDEX(Labels!F:F, MATCH(Summary!$A404, Labels!$A:$A, 0)) = 0, "", INDEX(Labels!F:F, MATCH(Summary!$A404, Labels!$A:$A, 0)))</f>
        <v/>
      </c>
      <c r="U404" s="35" t="str">
        <f>IF(INDEX(Labels!G:G, MATCH(Summary!$A404, Labels!$A:$A, 0)) = 0, "", INDEX(Labels!G:G, MATCH(Summary!$A404, Labels!$A:$A, 0)))</f>
        <v/>
      </c>
      <c r="V404" s="62" t="str">
        <f>IF(INDEX(Labels!H:H, MATCH(Summary!$A404, Labels!$A:$A, 0)) = 0, "", INDEX(Labels!H:H, MATCH(Summary!$A404, Labels!$A:$A, 0)))</f>
        <v/>
      </c>
      <c r="W404" t="str">
        <f>IF(INDEX(Labels!I:I, MATCH(Summary!$A404, Labels!$A:$A, 0)) = 0, "", INDEX(Labels!I:I, MATCH(Summary!$A404, Labels!$A:$A, 0)))</f>
        <v/>
      </c>
      <c r="X404" t="str">
        <f>IF(INDEX(Labels!J:J, MATCH(Summary!$A404, Labels!$A:$A, 0)) = 0, "", INDEX(Labels!J:J, MATCH(Summary!$A404, Labels!$A:$A, 0)))</f>
        <v/>
      </c>
    </row>
    <row r="405" spans="1:24" x14ac:dyDescent="0.2">
      <c r="A405" s="33">
        <f>Labels!A406</f>
        <v>399</v>
      </c>
      <c r="B405" s="34">
        <f>INDEX(EchoData!B:B, MATCH(Summary!$A405, EchoData!$A:$A, 0))</f>
        <v>403</v>
      </c>
      <c r="C405" s="35">
        <f>INDEX(EchoData!C:C, MATCH(Summary!$A405, EchoData!$A:$A, 0))</f>
        <v>404</v>
      </c>
      <c r="D405" s="42">
        <f>INDEX(Displacements!B:B, MATCH(Summary!$B405, Displacements!$A:$A, 0))</f>
        <v>530.90599999999995</v>
      </c>
      <c r="E405" s="43">
        <f>INDEX(Displacements!C:C, MATCH(Summary!$B405, Displacements!$A:$A, 0))</f>
        <v>0</v>
      </c>
      <c r="F405" s="44">
        <f>INDEX(Displacements!D:D, MATCH(Summary!$B405, Displacements!$A:$A, 0))</f>
        <v>0</v>
      </c>
      <c r="G405" s="42">
        <f>INDEX(Displacements!B:B, MATCH(Summary!$C405, Displacements!$A:$A, 0))</f>
        <v>535.86199999999997</v>
      </c>
      <c r="H405" s="43">
        <f>INDEX(Displacements!C:C, MATCH(Summary!$C405, Displacements!$A:$A, 0))</f>
        <v>0</v>
      </c>
      <c r="I405" s="44">
        <f>INDEX(Displacements!D:D, MATCH(Summary!$C405, Displacements!$A:$A, 0))</f>
        <v>0</v>
      </c>
      <c r="J405" s="42">
        <f t="shared" si="12"/>
        <v>4.9560000000000173</v>
      </c>
      <c r="K405" s="49">
        <f t="shared" si="13"/>
        <v>0.99979826507969005</v>
      </c>
      <c r="L405" s="54">
        <f>INDEX('Forces+Stresses'!C:C, MATCH(Summary!$A405, 'Forces+Stresses'!$A:$A, 0))</f>
        <v>2973</v>
      </c>
      <c r="M405" s="55">
        <f>INDEX('Forces+Stresses'!D:D, MATCH(Summary!$A405, 'Forces+Stresses'!$A:$A, 0))</f>
        <v>2973</v>
      </c>
      <c r="N405" s="55">
        <f>IFERROR(INDEX('Forces+Stresses'!Q:Q, MATCH(Summary!$A405, 'Forces+Stresses'!$A:$A, 0)), INDEX(Flexjoints!D:D, MATCH(Summary!$A405, Flexjoints!$A:$A, 0)))</f>
        <v>8.0719999999999998E-8</v>
      </c>
      <c r="O405" s="56">
        <f>IFERROR(INDEX('Forces+Stresses'!R:R, MATCH(Summary!$A405, 'Forces+Stresses'!$A:$A, 0)), INDEX(Flexjoints!E:E, MATCH(Summary!$A405, Flexjoints!$A:$A, 0)))</f>
        <v>1.9099999999999999E-6</v>
      </c>
      <c r="P405" s="33" t="str">
        <f>IF(INDEX(Labels!B:B, MATCH(Summary!$A405, Labels!$A:$A, 0)) = 0, "", INDEX(Labels!B:B, MATCH(Summary!$A405, Labels!$A:$A, 0)))</f>
        <v>{Marine Riser String}</v>
      </c>
      <c r="Q405" s="35" t="str">
        <f>IF(INDEX(Labels!C:C, MATCH(Summary!$A405, Labels!$A:$A, 0)) = 0, "", INDEX(Labels!C:C, MATCH(Summary!$A405, Labels!$A:$A, 0)))</f>
        <v>{75ft 2500ft 0.875in Buoyant}</v>
      </c>
      <c r="R405" s="33" t="str">
        <f>IF(INDEX(Labels!D:D, MATCH(Summary!$A405, Labels!$A:$A, 0)) = 0, "", INDEX(Labels!D:D, MATCH(Summary!$A405, Labels!$A:$A, 0)))</f>
        <v/>
      </c>
      <c r="S405" s="35" t="str">
        <f>IF(INDEX(Labels!E:E, MATCH(Summary!$A405, Labels!$A:$A, 0)) = 0, "", INDEX(Labels!E:E, MATCH(Summary!$A405, Labels!$A:$A, 0)))</f>
        <v/>
      </c>
      <c r="T405" s="33" t="str">
        <f>IF(INDEX(Labels!F:F, MATCH(Summary!$A405, Labels!$A:$A, 0)) = 0, "", INDEX(Labels!F:F, MATCH(Summary!$A405, Labels!$A:$A, 0)))</f>
        <v/>
      </c>
      <c r="U405" s="35" t="str">
        <f>IF(INDEX(Labels!G:G, MATCH(Summary!$A405, Labels!$A:$A, 0)) = 0, "", INDEX(Labels!G:G, MATCH(Summary!$A405, Labels!$A:$A, 0)))</f>
        <v/>
      </c>
      <c r="V405" s="62" t="str">
        <f>IF(INDEX(Labels!H:H, MATCH(Summary!$A405, Labels!$A:$A, 0)) = 0, "", INDEX(Labels!H:H, MATCH(Summary!$A405, Labels!$A:$A, 0)))</f>
        <v/>
      </c>
      <c r="W405" t="str">
        <f>IF(INDEX(Labels!I:I, MATCH(Summary!$A405, Labels!$A:$A, 0)) = 0, "", INDEX(Labels!I:I, MATCH(Summary!$A405, Labels!$A:$A, 0)))</f>
        <v/>
      </c>
      <c r="X405" t="str">
        <f>IF(INDEX(Labels!J:J, MATCH(Summary!$A405, Labels!$A:$A, 0)) = 0, "", INDEX(Labels!J:J, MATCH(Summary!$A405, Labels!$A:$A, 0)))</f>
        <v/>
      </c>
    </row>
    <row r="406" spans="1:24" x14ac:dyDescent="0.2">
      <c r="A406" s="33">
        <f>Labels!A407</f>
        <v>400</v>
      </c>
      <c r="B406" s="34">
        <f>INDEX(EchoData!B:B, MATCH(Summary!$A406, EchoData!$A:$A, 0))</f>
        <v>404</v>
      </c>
      <c r="C406" s="35">
        <f>INDEX(EchoData!C:C, MATCH(Summary!$A406, EchoData!$A:$A, 0))</f>
        <v>405</v>
      </c>
      <c r="D406" s="42">
        <f>INDEX(Displacements!B:B, MATCH(Summary!$B406, Displacements!$A:$A, 0))</f>
        <v>535.86199999999997</v>
      </c>
      <c r="E406" s="43">
        <f>INDEX(Displacements!C:C, MATCH(Summary!$B406, Displacements!$A:$A, 0))</f>
        <v>0</v>
      </c>
      <c r="F406" s="44">
        <f>INDEX(Displacements!D:D, MATCH(Summary!$B406, Displacements!$A:$A, 0))</f>
        <v>0</v>
      </c>
      <c r="G406" s="42">
        <f>INDEX(Displacements!B:B, MATCH(Summary!$C406, Displacements!$A:$A, 0))</f>
        <v>540.81799999999998</v>
      </c>
      <c r="H406" s="43">
        <f>INDEX(Displacements!C:C, MATCH(Summary!$C406, Displacements!$A:$A, 0))</f>
        <v>0</v>
      </c>
      <c r="I406" s="44">
        <f>INDEX(Displacements!D:D, MATCH(Summary!$C406, Displacements!$A:$A, 0))</f>
        <v>0</v>
      </c>
      <c r="J406" s="42">
        <f t="shared" si="12"/>
        <v>4.9560000000000173</v>
      </c>
      <c r="K406" s="49">
        <f t="shared" si="13"/>
        <v>1</v>
      </c>
      <c r="L406" s="54">
        <f>INDEX('Forces+Stresses'!C:C, MATCH(Summary!$A406, 'Forces+Stresses'!$A:$A, 0))</f>
        <v>2979</v>
      </c>
      <c r="M406" s="55">
        <f>INDEX('Forces+Stresses'!D:D, MATCH(Summary!$A406, 'Forces+Stresses'!$A:$A, 0))</f>
        <v>2979</v>
      </c>
      <c r="N406" s="55">
        <f>IFERROR(INDEX('Forces+Stresses'!Q:Q, MATCH(Summary!$A406, 'Forces+Stresses'!$A:$A, 0)), INDEX(Flexjoints!D:D, MATCH(Summary!$A406, Flexjoints!$A:$A, 0)))</f>
        <v>9.6509999999999995E-8</v>
      </c>
      <c r="O406" s="56">
        <f>IFERROR(INDEX('Forces+Stresses'!R:R, MATCH(Summary!$A406, 'Forces+Stresses'!$A:$A, 0)), INDEX(Flexjoints!E:E, MATCH(Summary!$A406, Flexjoints!$A:$A, 0)))</f>
        <v>1.64E-6</v>
      </c>
      <c r="P406" s="33" t="str">
        <f>IF(INDEX(Labels!B:B, MATCH(Summary!$A406, Labels!$A:$A, 0)) = 0, "", INDEX(Labels!B:B, MATCH(Summary!$A406, Labels!$A:$A, 0)))</f>
        <v>{Marine Riser String}</v>
      </c>
      <c r="Q406" s="35" t="str">
        <f>IF(INDEX(Labels!C:C, MATCH(Summary!$A406, Labels!$A:$A, 0)) = 0, "", INDEX(Labels!C:C, MATCH(Summary!$A406, Labels!$A:$A, 0)))</f>
        <v>{75ft 2500ft 0.875in Buoyant}</v>
      </c>
      <c r="R406" s="33" t="str">
        <f>IF(INDEX(Labels!D:D, MATCH(Summary!$A406, Labels!$A:$A, 0)) = 0, "", INDEX(Labels!D:D, MATCH(Summary!$A406, Labels!$A:$A, 0)))</f>
        <v/>
      </c>
      <c r="S406" s="35" t="str">
        <f>IF(INDEX(Labels!E:E, MATCH(Summary!$A406, Labels!$A:$A, 0)) = 0, "", INDEX(Labels!E:E, MATCH(Summary!$A406, Labels!$A:$A, 0)))</f>
        <v/>
      </c>
      <c r="T406" s="33" t="str">
        <f>IF(INDEX(Labels!F:F, MATCH(Summary!$A406, Labels!$A:$A, 0)) = 0, "", INDEX(Labels!F:F, MATCH(Summary!$A406, Labels!$A:$A, 0)))</f>
        <v/>
      </c>
      <c r="U406" s="35" t="str">
        <f>IF(INDEX(Labels!G:G, MATCH(Summary!$A406, Labels!$A:$A, 0)) = 0, "", INDEX(Labels!G:G, MATCH(Summary!$A406, Labels!$A:$A, 0)))</f>
        <v/>
      </c>
      <c r="V406" s="62" t="str">
        <f>IF(INDEX(Labels!H:H, MATCH(Summary!$A406, Labels!$A:$A, 0)) = 0, "", INDEX(Labels!H:H, MATCH(Summary!$A406, Labels!$A:$A, 0)))</f>
        <v/>
      </c>
      <c r="W406" t="str">
        <f>IF(INDEX(Labels!I:I, MATCH(Summary!$A406, Labels!$A:$A, 0)) = 0, "", INDEX(Labels!I:I, MATCH(Summary!$A406, Labels!$A:$A, 0)))</f>
        <v/>
      </c>
      <c r="X406" t="str">
        <f>IF(INDEX(Labels!J:J, MATCH(Summary!$A406, Labels!$A:$A, 0)) = 0, "", INDEX(Labels!J:J, MATCH(Summary!$A406, Labels!$A:$A, 0)))</f>
        <v/>
      </c>
    </row>
    <row r="407" spans="1:24" x14ac:dyDescent="0.2">
      <c r="A407" s="33">
        <f>Labels!A408</f>
        <v>401</v>
      </c>
      <c r="B407" s="34">
        <f>INDEX(EchoData!B:B, MATCH(Summary!$A407, EchoData!$A:$A, 0))</f>
        <v>405</v>
      </c>
      <c r="C407" s="35">
        <f>INDEX(EchoData!C:C, MATCH(Summary!$A407, EchoData!$A:$A, 0))</f>
        <v>406</v>
      </c>
      <c r="D407" s="42">
        <f>INDEX(Displacements!B:B, MATCH(Summary!$B407, Displacements!$A:$A, 0))</f>
        <v>540.81799999999998</v>
      </c>
      <c r="E407" s="43">
        <f>INDEX(Displacements!C:C, MATCH(Summary!$B407, Displacements!$A:$A, 0))</f>
        <v>0</v>
      </c>
      <c r="F407" s="44">
        <f>INDEX(Displacements!D:D, MATCH(Summary!$B407, Displacements!$A:$A, 0))</f>
        <v>0</v>
      </c>
      <c r="G407" s="42">
        <f>INDEX(Displacements!B:B, MATCH(Summary!$C407, Displacements!$A:$A, 0))</f>
        <v>545.774</v>
      </c>
      <c r="H407" s="43">
        <f>INDEX(Displacements!C:C, MATCH(Summary!$C407, Displacements!$A:$A, 0))</f>
        <v>0</v>
      </c>
      <c r="I407" s="44">
        <f>INDEX(Displacements!D:D, MATCH(Summary!$C407, Displacements!$A:$A, 0))</f>
        <v>0</v>
      </c>
      <c r="J407" s="42">
        <f t="shared" si="12"/>
        <v>4.9560000000000173</v>
      </c>
      <c r="K407" s="49">
        <f t="shared" si="13"/>
        <v>1</v>
      </c>
      <c r="L407" s="54">
        <f>INDEX('Forces+Stresses'!C:C, MATCH(Summary!$A407, 'Forces+Stresses'!$A:$A, 0))</f>
        <v>2986</v>
      </c>
      <c r="M407" s="55">
        <f>INDEX('Forces+Stresses'!D:D, MATCH(Summary!$A407, 'Forces+Stresses'!$A:$A, 0))</f>
        <v>2986</v>
      </c>
      <c r="N407" s="55">
        <f>IFERROR(INDEX('Forces+Stresses'!Q:Q, MATCH(Summary!$A407, 'Forces+Stresses'!$A:$A, 0)), INDEX(Flexjoints!D:D, MATCH(Summary!$A407, Flexjoints!$A:$A, 0)))</f>
        <v>6.137E-8</v>
      </c>
      <c r="O407" s="56">
        <f>IFERROR(INDEX('Forces+Stresses'!R:R, MATCH(Summary!$A407, 'Forces+Stresses'!$A:$A, 0)), INDEX(Flexjoints!E:E, MATCH(Summary!$A407, Flexjoints!$A:$A, 0)))</f>
        <v>1.9750000000000001E-6</v>
      </c>
      <c r="P407" s="33" t="str">
        <f>IF(INDEX(Labels!B:B, MATCH(Summary!$A407, Labels!$A:$A, 0)) = 0, "", INDEX(Labels!B:B, MATCH(Summary!$A407, Labels!$A:$A, 0)))</f>
        <v>{Marine Riser String}</v>
      </c>
      <c r="Q407" s="35" t="str">
        <f>IF(INDEX(Labels!C:C, MATCH(Summary!$A407, Labels!$A:$A, 0)) = 0, "", INDEX(Labels!C:C, MATCH(Summary!$A407, Labels!$A:$A, 0)))</f>
        <v>{75ft 2500ft 0.875in Buoyant}</v>
      </c>
      <c r="R407" s="33" t="str">
        <f>IF(INDEX(Labels!D:D, MATCH(Summary!$A407, Labels!$A:$A, 0)) = 0, "", INDEX(Labels!D:D, MATCH(Summary!$A407, Labels!$A:$A, 0)))</f>
        <v/>
      </c>
      <c r="S407" s="35" t="str">
        <f>IF(INDEX(Labels!E:E, MATCH(Summary!$A407, Labels!$A:$A, 0)) = 0, "", INDEX(Labels!E:E, MATCH(Summary!$A407, Labels!$A:$A, 0)))</f>
        <v/>
      </c>
      <c r="T407" s="33" t="str">
        <f>IF(INDEX(Labels!F:F, MATCH(Summary!$A407, Labels!$A:$A, 0)) = 0, "", INDEX(Labels!F:F, MATCH(Summary!$A407, Labels!$A:$A, 0)))</f>
        <v/>
      </c>
      <c r="U407" s="35" t="str">
        <f>IF(INDEX(Labels!G:G, MATCH(Summary!$A407, Labels!$A:$A, 0)) = 0, "", INDEX(Labels!G:G, MATCH(Summary!$A407, Labels!$A:$A, 0)))</f>
        <v/>
      </c>
      <c r="V407" s="62" t="str">
        <f>IF(INDEX(Labels!H:H, MATCH(Summary!$A407, Labels!$A:$A, 0)) = 0, "", INDEX(Labels!H:H, MATCH(Summary!$A407, Labels!$A:$A, 0)))</f>
        <v/>
      </c>
      <c r="W407" t="str">
        <f>IF(INDEX(Labels!I:I, MATCH(Summary!$A407, Labels!$A:$A, 0)) = 0, "", INDEX(Labels!I:I, MATCH(Summary!$A407, Labels!$A:$A, 0)))</f>
        <v/>
      </c>
      <c r="X407" t="str">
        <f>IF(INDEX(Labels!J:J, MATCH(Summary!$A407, Labels!$A:$A, 0)) = 0, "", INDEX(Labels!J:J, MATCH(Summary!$A407, Labels!$A:$A, 0)))</f>
        <v/>
      </c>
    </row>
    <row r="408" spans="1:24" x14ac:dyDescent="0.2">
      <c r="A408" s="33">
        <f>Labels!A409</f>
        <v>402</v>
      </c>
      <c r="B408" s="34">
        <f>INDEX(EchoData!B:B, MATCH(Summary!$A408, EchoData!$A:$A, 0))</f>
        <v>406</v>
      </c>
      <c r="C408" s="35">
        <f>INDEX(EchoData!C:C, MATCH(Summary!$A408, EchoData!$A:$A, 0))</f>
        <v>407</v>
      </c>
      <c r="D408" s="42">
        <f>INDEX(Displacements!B:B, MATCH(Summary!$B408, Displacements!$A:$A, 0))</f>
        <v>545.774</v>
      </c>
      <c r="E408" s="43">
        <f>INDEX(Displacements!C:C, MATCH(Summary!$B408, Displacements!$A:$A, 0))</f>
        <v>0</v>
      </c>
      <c r="F408" s="44">
        <f>INDEX(Displacements!D:D, MATCH(Summary!$B408, Displacements!$A:$A, 0))</f>
        <v>0</v>
      </c>
      <c r="G408" s="42">
        <f>INDEX(Displacements!B:B, MATCH(Summary!$C408, Displacements!$A:$A, 0))</f>
        <v>550.73</v>
      </c>
      <c r="H408" s="43">
        <f>INDEX(Displacements!C:C, MATCH(Summary!$C408, Displacements!$A:$A, 0))</f>
        <v>0</v>
      </c>
      <c r="I408" s="44">
        <f>INDEX(Displacements!D:D, MATCH(Summary!$C408, Displacements!$A:$A, 0))</f>
        <v>0</v>
      </c>
      <c r="J408" s="42">
        <f t="shared" si="12"/>
        <v>4.9560000000000173</v>
      </c>
      <c r="K408" s="49">
        <f t="shared" si="13"/>
        <v>1</v>
      </c>
      <c r="L408" s="54">
        <f>INDEX('Forces+Stresses'!C:C, MATCH(Summary!$A408, 'Forces+Stresses'!$A:$A, 0))</f>
        <v>2992</v>
      </c>
      <c r="M408" s="55">
        <f>INDEX('Forces+Stresses'!D:D, MATCH(Summary!$A408, 'Forces+Stresses'!$A:$A, 0))</f>
        <v>2992</v>
      </c>
      <c r="N408" s="55">
        <f>IFERROR(INDEX('Forces+Stresses'!Q:Q, MATCH(Summary!$A408, 'Forces+Stresses'!$A:$A, 0)), INDEX(Flexjoints!D:D, MATCH(Summary!$A408, Flexjoints!$A:$A, 0)))</f>
        <v>8.4729999999999992E-8</v>
      </c>
      <c r="O408" s="56">
        <f>IFERROR(INDEX('Forces+Stresses'!R:R, MATCH(Summary!$A408, 'Forces+Stresses'!$A:$A, 0)), INDEX(Flexjoints!E:E, MATCH(Summary!$A408, Flexjoints!$A:$A, 0)))</f>
        <v>1.9429999999999999E-6</v>
      </c>
      <c r="P408" s="33" t="str">
        <f>IF(INDEX(Labels!B:B, MATCH(Summary!$A408, Labels!$A:$A, 0)) = 0, "", INDEX(Labels!B:B, MATCH(Summary!$A408, Labels!$A:$A, 0)))</f>
        <v>{Marine Riser String}</v>
      </c>
      <c r="Q408" s="35" t="str">
        <f>IF(INDEX(Labels!C:C, MATCH(Summary!$A408, Labels!$A:$A, 0)) = 0, "", INDEX(Labels!C:C, MATCH(Summary!$A408, Labels!$A:$A, 0)))</f>
        <v>{75ft 2500ft 0.875in Buoyant}</v>
      </c>
      <c r="R408" s="33" t="str">
        <f>IF(INDEX(Labels!D:D, MATCH(Summary!$A408, Labels!$A:$A, 0)) = 0, "", INDEX(Labels!D:D, MATCH(Summary!$A408, Labels!$A:$A, 0)))</f>
        <v/>
      </c>
      <c r="S408" s="35" t="str">
        <f>IF(INDEX(Labels!E:E, MATCH(Summary!$A408, Labels!$A:$A, 0)) = 0, "", INDEX(Labels!E:E, MATCH(Summary!$A408, Labels!$A:$A, 0)))</f>
        <v/>
      </c>
      <c r="T408" s="33" t="str">
        <f>IF(INDEX(Labels!F:F, MATCH(Summary!$A408, Labels!$A:$A, 0)) = 0, "", INDEX(Labels!F:F, MATCH(Summary!$A408, Labels!$A:$A, 0)))</f>
        <v/>
      </c>
      <c r="U408" s="35" t="str">
        <f>IF(INDEX(Labels!G:G, MATCH(Summary!$A408, Labels!$A:$A, 0)) = 0, "", INDEX(Labels!G:G, MATCH(Summary!$A408, Labels!$A:$A, 0)))</f>
        <v/>
      </c>
      <c r="V408" s="62" t="str">
        <f>IF(INDEX(Labels!H:H, MATCH(Summary!$A408, Labels!$A:$A, 0)) = 0, "", INDEX(Labels!H:H, MATCH(Summary!$A408, Labels!$A:$A, 0)))</f>
        <v/>
      </c>
      <c r="W408" t="str">
        <f>IF(INDEX(Labels!I:I, MATCH(Summary!$A408, Labels!$A:$A, 0)) = 0, "", INDEX(Labels!I:I, MATCH(Summary!$A408, Labels!$A:$A, 0)))</f>
        <v/>
      </c>
      <c r="X408" t="str">
        <f>IF(INDEX(Labels!J:J, MATCH(Summary!$A408, Labels!$A:$A, 0)) = 0, "", INDEX(Labels!J:J, MATCH(Summary!$A408, Labels!$A:$A, 0)))</f>
        <v/>
      </c>
    </row>
    <row r="409" spans="1:24" x14ac:dyDescent="0.2">
      <c r="A409" s="33">
        <f>Labels!A410</f>
        <v>403</v>
      </c>
      <c r="B409" s="34">
        <f>INDEX(EchoData!B:B, MATCH(Summary!$A409, EchoData!$A:$A, 0))</f>
        <v>407</v>
      </c>
      <c r="C409" s="35">
        <f>INDEX(EchoData!C:C, MATCH(Summary!$A409, EchoData!$A:$A, 0))</f>
        <v>408</v>
      </c>
      <c r="D409" s="42">
        <f>INDEX(Displacements!B:B, MATCH(Summary!$B409, Displacements!$A:$A, 0))</f>
        <v>550.73</v>
      </c>
      <c r="E409" s="43">
        <f>INDEX(Displacements!C:C, MATCH(Summary!$B409, Displacements!$A:$A, 0))</f>
        <v>0</v>
      </c>
      <c r="F409" s="44">
        <f>INDEX(Displacements!D:D, MATCH(Summary!$B409, Displacements!$A:$A, 0))</f>
        <v>0</v>
      </c>
      <c r="G409" s="42">
        <f>INDEX(Displacements!B:B, MATCH(Summary!$C409, Displacements!$A:$A, 0))</f>
        <v>555.68600000000004</v>
      </c>
      <c r="H409" s="43">
        <f>INDEX(Displacements!C:C, MATCH(Summary!$C409, Displacements!$A:$A, 0))</f>
        <v>0</v>
      </c>
      <c r="I409" s="44">
        <f>INDEX(Displacements!D:D, MATCH(Summary!$C409, Displacements!$A:$A, 0))</f>
        <v>0</v>
      </c>
      <c r="J409" s="42">
        <f t="shared" si="12"/>
        <v>4.9560000000000173</v>
      </c>
      <c r="K409" s="49">
        <f t="shared" si="13"/>
        <v>1</v>
      </c>
      <c r="L409" s="54">
        <f>INDEX('Forces+Stresses'!C:C, MATCH(Summary!$A409, 'Forces+Stresses'!$A:$A, 0))</f>
        <v>2999</v>
      </c>
      <c r="M409" s="55">
        <f>INDEX('Forces+Stresses'!D:D, MATCH(Summary!$A409, 'Forces+Stresses'!$A:$A, 0))</f>
        <v>2999</v>
      </c>
      <c r="N409" s="55">
        <f>IFERROR(INDEX('Forces+Stresses'!Q:Q, MATCH(Summary!$A409, 'Forces+Stresses'!$A:$A, 0)), INDEX(Flexjoints!D:D, MATCH(Summary!$A409, Flexjoints!$A:$A, 0)))</f>
        <v>9.1250000000000006E-9</v>
      </c>
      <c r="O409" s="56">
        <f>IFERROR(INDEX('Forces+Stresses'!R:R, MATCH(Summary!$A409, 'Forces+Stresses'!$A:$A, 0)), INDEX(Flexjoints!E:E, MATCH(Summary!$A409, Flexjoints!$A:$A, 0)))</f>
        <v>1.945E-6</v>
      </c>
      <c r="P409" s="33" t="str">
        <f>IF(INDEX(Labels!B:B, MATCH(Summary!$A409, Labels!$A:$A, 0)) = 0, "", INDEX(Labels!B:B, MATCH(Summary!$A409, Labels!$A:$A, 0)))</f>
        <v>{Marine Riser String}</v>
      </c>
      <c r="Q409" s="35" t="str">
        <f>IF(INDEX(Labels!C:C, MATCH(Summary!$A409, Labels!$A:$A, 0)) = 0, "", INDEX(Labels!C:C, MATCH(Summary!$A409, Labels!$A:$A, 0)))</f>
        <v>{75ft 2500ft 0.875in Buoyant}</v>
      </c>
      <c r="R409" s="33" t="str">
        <f>IF(INDEX(Labels!D:D, MATCH(Summary!$A409, Labels!$A:$A, 0)) = 0, "", INDEX(Labels!D:D, MATCH(Summary!$A409, Labels!$A:$A, 0)))</f>
        <v/>
      </c>
      <c r="S409" s="35" t="str">
        <f>IF(INDEX(Labels!E:E, MATCH(Summary!$A409, Labels!$A:$A, 0)) = 0, "", INDEX(Labels!E:E, MATCH(Summary!$A409, Labels!$A:$A, 0)))</f>
        <v/>
      </c>
      <c r="T409" s="33" t="str">
        <f>IF(INDEX(Labels!F:F, MATCH(Summary!$A409, Labels!$A:$A, 0)) = 0, "", INDEX(Labels!F:F, MATCH(Summary!$A409, Labels!$A:$A, 0)))</f>
        <v/>
      </c>
      <c r="U409" s="35" t="str">
        <f>IF(INDEX(Labels!G:G, MATCH(Summary!$A409, Labels!$A:$A, 0)) = 0, "", INDEX(Labels!G:G, MATCH(Summary!$A409, Labels!$A:$A, 0)))</f>
        <v/>
      </c>
      <c r="V409" s="62" t="str">
        <f>IF(INDEX(Labels!H:H, MATCH(Summary!$A409, Labels!$A:$A, 0)) = 0, "", INDEX(Labels!H:H, MATCH(Summary!$A409, Labels!$A:$A, 0)))</f>
        <v/>
      </c>
      <c r="W409" t="str">
        <f>IF(INDEX(Labels!I:I, MATCH(Summary!$A409, Labels!$A:$A, 0)) = 0, "", INDEX(Labels!I:I, MATCH(Summary!$A409, Labels!$A:$A, 0)))</f>
        <v/>
      </c>
      <c r="X409" t="str">
        <f>IF(INDEX(Labels!J:J, MATCH(Summary!$A409, Labels!$A:$A, 0)) = 0, "", INDEX(Labels!J:J, MATCH(Summary!$A409, Labels!$A:$A, 0)))</f>
        <v/>
      </c>
    </row>
    <row r="410" spans="1:24" x14ac:dyDescent="0.2">
      <c r="A410" s="33">
        <f>Labels!A411</f>
        <v>404</v>
      </c>
      <c r="B410" s="34">
        <f>INDEX(EchoData!B:B, MATCH(Summary!$A410, EchoData!$A:$A, 0))</f>
        <v>408</v>
      </c>
      <c r="C410" s="35">
        <f>INDEX(EchoData!C:C, MATCH(Summary!$A410, EchoData!$A:$A, 0))</f>
        <v>409</v>
      </c>
      <c r="D410" s="42">
        <f>INDEX(Displacements!B:B, MATCH(Summary!$B410, Displacements!$A:$A, 0))</f>
        <v>555.68600000000004</v>
      </c>
      <c r="E410" s="43">
        <f>INDEX(Displacements!C:C, MATCH(Summary!$B410, Displacements!$A:$A, 0))</f>
        <v>0</v>
      </c>
      <c r="F410" s="44">
        <f>INDEX(Displacements!D:D, MATCH(Summary!$B410, Displacements!$A:$A, 0))</f>
        <v>0</v>
      </c>
      <c r="G410" s="42">
        <f>INDEX(Displacements!B:B, MATCH(Summary!$C410, Displacements!$A:$A, 0))</f>
        <v>560.64200000000005</v>
      </c>
      <c r="H410" s="43">
        <f>INDEX(Displacements!C:C, MATCH(Summary!$C410, Displacements!$A:$A, 0))</f>
        <v>0</v>
      </c>
      <c r="I410" s="44">
        <f>INDEX(Displacements!D:D, MATCH(Summary!$C410, Displacements!$A:$A, 0))</f>
        <v>0</v>
      </c>
      <c r="J410" s="42">
        <f t="shared" si="12"/>
        <v>4.9560000000000173</v>
      </c>
      <c r="K410" s="49">
        <f t="shared" si="13"/>
        <v>1</v>
      </c>
      <c r="L410" s="54">
        <f>INDEX('Forces+Stresses'!C:C, MATCH(Summary!$A410, 'Forces+Stresses'!$A:$A, 0))</f>
        <v>3005</v>
      </c>
      <c r="M410" s="55">
        <f>INDEX('Forces+Stresses'!D:D, MATCH(Summary!$A410, 'Forces+Stresses'!$A:$A, 0))</f>
        <v>3005</v>
      </c>
      <c r="N410" s="55">
        <f>IFERROR(INDEX('Forces+Stresses'!Q:Q, MATCH(Summary!$A410, 'Forces+Stresses'!$A:$A, 0)), INDEX(Flexjoints!D:D, MATCH(Summary!$A410, Flexjoints!$A:$A, 0)))</f>
        <v>5.4400000000000004E-8</v>
      </c>
      <c r="O410" s="56">
        <f>IFERROR(INDEX('Forces+Stresses'!R:R, MATCH(Summary!$A410, 'Forces+Stresses'!$A:$A, 0)), INDEX(Flexjoints!E:E, MATCH(Summary!$A410, Flexjoints!$A:$A, 0)))</f>
        <v>2.041E-6</v>
      </c>
      <c r="P410" s="33" t="str">
        <f>IF(INDEX(Labels!B:B, MATCH(Summary!$A410, Labels!$A:$A, 0)) = 0, "", INDEX(Labels!B:B, MATCH(Summary!$A410, Labels!$A:$A, 0)))</f>
        <v>{Marine Riser String}</v>
      </c>
      <c r="Q410" s="35" t="str">
        <f>IF(INDEX(Labels!C:C, MATCH(Summary!$A410, Labels!$A:$A, 0)) = 0, "", INDEX(Labels!C:C, MATCH(Summary!$A410, Labels!$A:$A, 0)))</f>
        <v>{75ft 2500ft 0.875in Buoyant}</v>
      </c>
      <c r="R410" s="33" t="str">
        <f>IF(INDEX(Labels!D:D, MATCH(Summary!$A410, Labels!$A:$A, 0)) = 0, "", INDEX(Labels!D:D, MATCH(Summary!$A410, Labels!$A:$A, 0)))</f>
        <v/>
      </c>
      <c r="S410" s="35" t="str">
        <f>IF(INDEX(Labels!E:E, MATCH(Summary!$A410, Labels!$A:$A, 0)) = 0, "", INDEX(Labels!E:E, MATCH(Summary!$A410, Labels!$A:$A, 0)))</f>
        <v/>
      </c>
      <c r="T410" s="33" t="str">
        <f>IF(INDEX(Labels!F:F, MATCH(Summary!$A410, Labels!$A:$A, 0)) = 0, "", INDEX(Labels!F:F, MATCH(Summary!$A410, Labels!$A:$A, 0)))</f>
        <v/>
      </c>
      <c r="U410" s="35" t="str">
        <f>IF(INDEX(Labels!G:G, MATCH(Summary!$A410, Labels!$A:$A, 0)) = 0, "", INDEX(Labels!G:G, MATCH(Summary!$A410, Labels!$A:$A, 0)))</f>
        <v/>
      </c>
      <c r="V410" s="62" t="str">
        <f>IF(INDEX(Labels!H:H, MATCH(Summary!$A410, Labels!$A:$A, 0)) = 0, "", INDEX(Labels!H:H, MATCH(Summary!$A410, Labels!$A:$A, 0)))</f>
        <v/>
      </c>
      <c r="W410" t="str">
        <f>IF(INDEX(Labels!I:I, MATCH(Summary!$A410, Labels!$A:$A, 0)) = 0, "", INDEX(Labels!I:I, MATCH(Summary!$A410, Labels!$A:$A, 0)))</f>
        <v/>
      </c>
      <c r="X410" t="str">
        <f>IF(INDEX(Labels!J:J, MATCH(Summary!$A410, Labels!$A:$A, 0)) = 0, "", INDEX(Labels!J:J, MATCH(Summary!$A410, Labels!$A:$A, 0)))</f>
        <v/>
      </c>
    </row>
    <row r="411" spans="1:24" x14ac:dyDescent="0.2">
      <c r="A411" s="33">
        <f>Labels!A412</f>
        <v>405</v>
      </c>
      <c r="B411" s="34">
        <f>INDEX(EchoData!B:B, MATCH(Summary!$A411, EchoData!$A:$A, 0))</f>
        <v>409</v>
      </c>
      <c r="C411" s="35">
        <f>INDEX(EchoData!C:C, MATCH(Summary!$A411, EchoData!$A:$A, 0))</f>
        <v>410</v>
      </c>
      <c r="D411" s="42">
        <f>INDEX(Displacements!B:B, MATCH(Summary!$B411, Displacements!$A:$A, 0))</f>
        <v>560.64200000000005</v>
      </c>
      <c r="E411" s="43">
        <f>INDEX(Displacements!C:C, MATCH(Summary!$B411, Displacements!$A:$A, 0))</f>
        <v>0</v>
      </c>
      <c r="F411" s="44">
        <f>INDEX(Displacements!D:D, MATCH(Summary!$B411, Displacements!$A:$A, 0))</f>
        <v>0</v>
      </c>
      <c r="G411" s="42">
        <f>INDEX(Displacements!B:B, MATCH(Summary!$C411, Displacements!$A:$A, 0))</f>
        <v>565.59799999999996</v>
      </c>
      <c r="H411" s="43">
        <f>INDEX(Displacements!C:C, MATCH(Summary!$C411, Displacements!$A:$A, 0))</f>
        <v>0</v>
      </c>
      <c r="I411" s="44">
        <f>INDEX(Displacements!D:D, MATCH(Summary!$C411, Displacements!$A:$A, 0))</f>
        <v>0</v>
      </c>
      <c r="J411" s="42">
        <f t="shared" si="12"/>
        <v>4.9559999999999036</v>
      </c>
      <c r="K411" s="49">
        <f t="shared" si="13"/>
        <v>0.99999999999997702</v>
      </c>
      <c r="L411" s="54">
        <f>INDEX('Forces+Stresses'!C:C, MATCH(Summary!$A411, 'Forces+Stresses'!$A:$A, 0))</f>
        <v>3012</v>
      </c>
      <c r="M411" s="55">
        <f>INDEX('Forces+Stresses'!D:D, MATCH(Summary!$A411, 'Forces+Stresses'!$A:$A, 0))</f>
        <v>3012</v>
      </c>
      <c r="N411" s="55">
        <f>IFERROR(INDEX('Forces+Stresses'!Q:Q, MATCH(Summary!$A411, 'Forces+Stresses'!$A:$A, 0)), INDEX(Flexjoints!D:D, MATCH(Summary!$A411, Flexjoints!$A:$A, 0)))</f>
        <v>5.6230000000000001E-8</v>
      </c>
      <c r="O411" s="56">
        <f>IFERROR(INDEX('Forces+Stresses'!R:R, MATCH(Summary!$A411, 'Forces+Stresses'!$A:$A, 0)), INDEX(Flexjoints!E:E, MATCH(Summary!$A411, Flexjoints!$A:$A, 0)))</f>
        <v>1.951E-6</v>
      </c>
      <c r="P411" s="33" t="str">
        <f>IF(INDEX(Labels!B:B, MATCH(Summary!$A411, Labels!$A:$A, 0)) = 0, "", INDEX(Labels!B:B, MATCH(Summary!$A411, Labels!$A:$A, 0)))</f>
        <v>{Marine Riser String}</v>
      </c>
      <c r="Q411" s="35" t="str">
        <f>IF(INDEX(Labels!C:C, MATCH(Summary!$A411, Labels!$A:$A, 0)) = 0, "", INDEX(Labels!C:C, MATCH(Summary!$A411, Labels!$A:$A, 0)))</f>
        <v>{75ft 2500ft 0.875in Buoyant}</v>
      </c>
      <c r="R411" s="33" t="str">
        <f>IF(INDEX(Labels!D:D, MATCH(Summary!$A411, Labels!$A:$A, 0)) = 0, "", INDEX(Labels!D:D, MATCH(Summary!$A411, Labels!$A:$A, 0)))</f>
        <v/>
      </c>
      <c r="S411" s="35" t="str">
        <f>IF(INDEX(Labels!E:E, MATCH(Summary!$A411, Labels!$A:$A, 0)) = 0, "", INDEX(Labels!E:E, MATCH(Summary!$A411, Labels!$A:$A, 0)))</f>
        <v/>
      </c>
      <c r="T411" s="33" t="str">
        <f>IF(INDEX(Labels!F:F, MATCH(Summary!$A411, Labels!$A:$A, 0)) = 0, "", INDEX(Labels!F:F, MATCH(Summary!$A411, Labels!$A:$A, 0)))</f>
        <v/>
      </c>
      <c r="U411" s="35" t="str">
        <f>IF(INDEX(Labels!G:G, MATCH(Summary!$A411, Labels!$A:$A, 0)) = 0, "", INDEX(Labels!G:G, MATCH(Summary!$A411, Labels!$A:$A, 0)))</f>
        <v/>
      </c>
      <c r="V411" s="62" t="str">
        <f>IF(INDEX(Labels!H:H, MATCH(Summary!$A411, Labels!$A:$A, 0)) = 0, "", INDEX(Labels!H:H, MATCH(Summary!$A411, Labels!$A:$A, 0)))</f>
        <v/>
      </c>
      <c r="W411" t="str">
        <f>IF(INDEX(Labels!I:I, MATCH(Summary!$A411, Labels!$A:$A, 0)) = 0, "", INDEX(Labels!I:I, MATCH(Summary!$A411, Labels!$A:$A, 0)))</f>
        <v/>
      </c>
      <c r="X411" t="str">
        <f>IF(INDEX(Labels!J:J, MATCH(Summary!$A411, Labels!$A:$A, 0)) = 0, "", INDEX(Labels!J:J, MATCH(Summary!$A411, Labels!$A:$A, 0)))</f>
        <v/>
      </c>
    </row>
    <row r="412" spans="1:24" x14ac:dyDescent="0.2">
      <c r="A412" s="33">
        <f>Labels!A413</f>
        <v>406</v>
      </c>
      <c r="B412" s="34">
        <f>INDEX(EchoData!B:B, MATCH(Summary!$A412, EchoData!$A:$A, 0))</f>
        <v>410</v>
      </c>
      <c r="C412" s="35">
        <f>INDEX(EchoData!C:C, MATCH(Summary!$A412, EchoData!$A:$A, 0))</f>
        <v>411</v>
      </c>
      <c r="D412" s="42">
        <f>INDEX(Displacements!B:B, MATCH(Summary!$B412, Displacements!$A:$A, 0))</f>
        <v>565.59799999999996</v>
      </c>
      <c r="E412" s="43">
        <f>INDEX(Displacements!C:C, MATCH(Summary!$B412, Displacements!$A:$A, 0))</f>
        <v>0</v>
      </c>
      <c r="F412" s="44">
        <f>INDEX(Displacements!D:D, MATCH(Summary!$B412, Displacements!$A:$A, 0))</f>
        <v>0</v>
      </c>
      <c r="G412" s="42">
        <f>INDEX(Displacements!B:B, MATCH(Summary!$C412, Displacements!$A:$A, 0))</f>
        <v>570.55499999999995</v>
      </c>
      <c r="H412" s="43">
        <f>INDEX(Displacements!C:C, MATCH(Summary!$C412, Displacements!$A:$A, 0))</f>
        <v>0</v>
      </c>
      <c r="I412" s="44">
        <f>INDEX(Displacements!D:D, MATCH(Summary!$C412, Displacements!$A:$A, 0))</f>
        <v>0</v>
      </c>
      <c r="J412" s="42">
        <f t="shared" si="12"/>
        <v>4.9569999999999936</v>
      </c>
      <c r="K412" s="49">
        <f t="shared" si="13"/>
        <v>1.0002017756255226</v>
      </c>
      <c r="L412" s="54">
        <f>INDEX('Forces+Stresses'!C:C, MATCH(Summary!$A412, 'Forces+Stresses'!$A:$A, 0))</f>
        <v>3018</v>
      </c>
      <c r="M412" s="55">
        <f>INDEX('Forces+Stresses'!D:D, MATCH(Summary!$A412, 'Forces+Stresses'!$A:$A, 0))</f>
        <v>3018</v>
      </c>
      <c r="N412" s="55">
        <f>IFERROR(INDEX('Forces+Stresses'!Q:Q, MATCH(Summary!$A412, 'Forces+Stresses'!$A:$A, 0)), INDEX(Flexjoints!D:D, MATCH(Summary!$A412, Flexjoints!$A:$A, 0)))</f>
        <v>3.3890000000000001E-8</v>
      </c>
      <c r="O412" s="56">
        <f>IFERROR(INDEX('Forces+Stresses'!R:R, MATCH(Summary!$A412, 'Forces+Stresses'!$A:$A, 0)), INDEX(Flexjoints!E:E, MATCH(Summary!$A412, Flexjoints!$A:$A, 0)))</f>
        <v>1.6390000000000001E-6</v>
      </c>
      <c r="P412" s="33" t="str">
        <f>IF(INDEX(Labels!B:B, MATCH(Summary!$A412, Labels!$A:$A, 0)) = 0, "", INDEX(Labels!B:B, MATCH(Summary!$A412, Labels!$A:$A, 0)))</f>
        <v>{Marine Riser String}</v>
      </c>
      <c r="Q412" s="35" t="str">
        <f>IF(INDEX(Labels!C:C, MATCH(Summary!$A412, Labels!$A:$A, 0)) = 0, "", INDEX(Labels!C:C, MATCH(Summary!$A412, Labels!$A:$A, 0)))</f>
        <v>{75ft 2500ft 0.875in Buoyant}</v>
      </c>
      <c r="R412" s="33" t="str">
        <f>IF(INDEX(Labels!D:D, MATCH(Summary!$A412, Labels!$A:$A, 0)) = 0, "", INDEX(Labels!D:D, MATCH(Summary!$A412, Labels!$A:$A, 0)))</f>
        <v/>
      </c>
      <c r="S412" s="35" t="str">
        <f>IF(INDEX(Labels!E:E, MATCH(Summary!$A412, Labels!$A:$A, 0)) = 0, "", INDEX(Labels!E:E, MATCH(Summary!$A412, Labels!$A:$A, 0)))</f>
        <v/>
      </c>
      <c r="T412" s="33" t="str">
        <f>IF(INDEX(Labels!F:F, MATCH(Summary!$A412, Labels!$A:$A, 0)) = 0, "", INDEX(Labels!F:F, MATCH(Summary!$A412, Labels!$A:$A, 0)))</f>
        <v/>
      </c>
      <c r="U412" s="35" t="str">
        <f>IF(INDEX(Labels!G:G, MATCH(Summary!$A412, Labels!$A:$A, 0)) = 0, "", INDEX(Labels!G:G, MATCH(Summary!$A412, Labels!$A:$A, 0)))</f>
        <v/>
      </c>
      <c r="V412" s="62" t="str">
        <f>IF(INDEX(Labels!H:H, MATCH(Summary!$A412, Labels!$A:$A, 0)) = 0, "", INDEX(Labels!H:H, MATCH(Summary!$A412, Labels!$A:$A, 0)))</f>
        <v/>
      </c>
      <c r="W412" t="str">
        <f>IF(INDEX(Labels!I:I, MATCH(Summary!$A412, Labels!$A:$A, 0)) = 0, "", INDEX(Labels!I:I, MATCH(Summary!$A412, Labels!$A:$A, 0)))</f>
        <v/>
      </c>
      <c r="X412" t="str">
        <f>IF(INDEX(Labels!J:J, MATCH(Summary!$A412, Labels!$A:$A, 0)) = 0, "", INDEX(Labels!J:J, MATCH(Summary!$A412, Labels!$A:$A, 0)))</f>
        <v/>
      </c>
    </row>
    <row r="413" spans="1:24" x14ac:dyDescent="0.2">
      <c r="A413" s="33">
        <f>Labels!A414</f>
        <v>407</v>
      </c>
      <c r="B413" s="34">
        <f>INDEX(EchoData!B:B, MATCH(Summary!$A413, EchoData!$A:$A, 0))</f>
        <v>411</v>
      </c>
      <c r="C413" s="35">
        <f>INDEX(EchoData!C:C, MATCH(Summary!$A413, EchoData!$A:$A, 0))</f>
        <v>412</v>
      </c>
      <c r="D413" s="42">
        <f>INDEX(Displacements!B:B, MATCH(Summary!$B413, Displacements!$A:$A, 0))</f>
        <v>570.55499999999995</v>
      </c>
      <c r="E413" s="43">
        <f>INDEX(Displacements!C:C, MATCH(Summary!$B413, Displacements!$A:$A, 0))</f>
        <v>0</v>
      </c>
      <c r="F413" s="44">
        <f>INDEX(Displacements!D:D, MATCH(Summary!$B413, Displacements!$A:$A, 0))</f>
        <v>0</v>
      </c>
      <c r="G413" s="42">
        <f>INDEX(Displacements!B:B, MATCH(Summary!$C413, Displacements!$A:$A, 0))</f>
        <v>575.51099999999997</v>
      </c>
      <c r="H413" s="43">
        <f>INDEX(Displacements!C:C, MATCH(Summary!$C413, Displacements!$A:$A, 0))</f>
        <v>0</v>
      </c>
      <c r="I413" s="44">
        <f>INDEX(Displacements!D:D, MATCH(Summary!$C413, Displacements!$A:$A, 0))</f>
        <v>0</v>
      </c>
      <c r="J413" s="42">
        <f t="shared" si="12"/>
        <v>4.9560000000000173</v>
      </c>
      <c r="K413" s="49">
        <f t="shared" si="13"/>
        <v>0.99979826507969005</v>
      </c>
      <c r="L413" s="54">
        <f>INDEX('Forces+Stresses'!C:C, MATCH(Summary!$A413, 'Forces+Stresses'!$A:$A, 0))</f>
        <v>3025</v>
      </c>
      <c r="M413" s="55">
        <f>INDEX('Forces+Stresses'!D:D, MATCH(Summary!$A413, 'Forces+Stresses'!$A:$A, 0))</f>
        <v>3025</v>
      </c>
      <c r="N413" s="55">
        <f>IFERROR(INDEX('Forces+Stresses'!Q:Q, MATCH(Summary!$A413, 'Forces+Stresses'!$A:$A, 0)), INDEX(Flexjoints!D:D, MATCH(Summary!$A413, Flexjoints!$A:$A, 0)))</f>
        <v>7.8969999999999998E-8</v>
      </c>
      <c r="O413" s="56">
        <f>IFERROR(INDEX('Forces+Stresses'!R:R, MATCH(Summary!$A413, 'Forces+Stresses'!$A:$A, 0)), INDEX(Flexjoints!E:E, MATCH(Summary!$A413, Flexjoints!$A:$A, 0)))</f>
        <v>2.108E-6</v>
      </c>
      <c r="P413" s="33" t="str">
        <f>IF(INDEX(Labels!B:B, MATCH(Summary!$A413, Labels!$A:$A, 0)) = 0, "", INDEX(Labels!B:B, MATCH(Summary!$A413, Labels!$A:$A, 0)))</f>
        <v>{Marine Riser String}</v>
      </c>
      <c r="Q413" s="35" t="str">
        <f>IF(INDEX(Labels!C:C, MATCH(Summary!$A413, Labels!$A:$A, 0)) = 0, "", INDEX(Labels!C:C, MATCH(Summary!$A413, Labels!$A:$A, 0)))</f>
        <v>{75ft 2500ft 0.875in Buoyant}</v>
      </c>
      <c r="R413" s="33" t="str">
        <f>IF(INDEX(Labels!D:D, MATCH(Summary!$A413, Labels!$A:$A, 0)) = 0, "", INDEX(Labels!D:D, MATCH(Summary!$A413, Labels!$A:$A, 0)))</f>
        <v/>
      </c>
      <c r="S413" s="35" t="str">
        <f>IF(INDEX(Labels!E:E, MATCH(Summary!$A413, Labels!$A:$A, 0)) = 0, "", INDEX(Labels!E:E, MATCH(Summary!$A413, Labels!$A:$A, 0)))</f>
        <v/>
      </c>
      <c r="T413" s="33" t="str">
        <f>IF(INDEX(Labels!F:F, MATCH(Summary!$A413, Labels!$A:$A, 0)) = 0, "", INDEX(Labels!F:F, MATCH(Summary!$A413, Labels!$A:$A, 0)))</f>
        <v/>
      </c>
      <c r="U413" s="35" t="str">
        <f>IF(INDEX(Labels!G:G, MATCH(Summary!$A413, Labels!$A:$A, 0)) = 0, "", INDEX(Labels!G:G, MATCH(Summary!$A413, Labels!$A:$A, 0)))</f>
        <v/>
      </c>
      <c r="V413" s="62" t="str">
        <f>IF(INDEX(Labels!H:H, MATCH(Summary!$A413, Labels!$A:$A, 0)) = 0, "", INDEX(Labels!H:H, MATCH(Summary!$A413, Labels!$A:$A, 0)))</f>
        <v/>
      </c>
      <c r="W413" t="str">
        <f>IF(INDEX(Labels!I:I, MATCH(Summary!$A413, Labels!$A:$A, 0)) = 0, "", INDEX(Labels!I:I, MATCH(Summary!$A413, Labels!$A:$A, 0)))</f>
        <v/>
      </c>
      <c r="X413" t="str">
        <f>IF(INDEX(Labels!J:J, MATCH(Summary!$A413, Labels!$A:$A, 0)) = 0, "", INDEX(Labels!J:J, MATCH(Summary!$A413, Labels!$A:$A, 0)))</f>
        <v/>
      </c>
    </row>
    <row r="414" spans="1:24" x14ac:dyDescent="0.2">
      <c r="A414" s="33">
        <f>Labels!A415</f>
        <v>408</v>
      </c>
      <c r="B414" s="34">
        <f>INDEX(EchoData!B:B, MATCH(Summary!$A414, EchoData!$A:$A, 0))</f>
        <v>412</v>
      </c>
      <c r="C414" s="35">
        <f>INDEX(EchoData!C:C, MATCH(Summary!$A414, EchoData!$A:$A, 0))</f>
        <v>413</v>
      </c>
      <c r="D414" s="42">
        <f>INDEX(Displacements!B:B, MATCH(Summary!$B414, Displacements!$A:$A, 0))</f>
        <v>575.51099999999997</v>
      </c>
      <c r="E414" s="43">
        <f>INDEX(Displacements!C:C, MATCH(Summary!$B414, Displacements!$A:$A, 0))</f>
        <v>0</v>
      </c>
      <c r="F414" s="44">
        <f>INDEX(Displacements!D:D, MATCH(Summary!$B414, Displacements!$A:$A, 0))</f>
        <v>0</v>
      </c>
      <c r="G414" s="42">
        <f>INDEX(Displacements!B:B, MATCH(Summary!$C414, Displacements!$A:$A, 0))</f>
        <v>580.46699999999998</v>
      </c>
      <c r="H414" s="43">
        <f>INDEX(Displacements!C:C, MATCH(Summary!$C414, Displacements!$A:$A, 0))</f>
        <v>0</v>
      </c>
      <c r="I414" s="44">
        <f>INDEX(Displacements!D:D, MATCH(Summary!$C414, Displacements!$A:$A, 0))</f>
        <v>0</v>
      </c>
      <c r="J414" s="42">
        <f t="shared" si="12"/>
        <v>4.9560000000000173</v>
      </c>
      <c r="K414" s="49">
        <f t="shared" si="13"/>
        <v>1</v>
      </c>
      <c r="L414" s="54">
        <f>INDEX('Forces+Stresses'!C:C, MATCH(Summary!$A414, 'Forces+Stresses'!$A:$A, 0))</f>
        <v>3032</v>
      </c>
      <c r="M414" s="55">
        <f>INDEX('Forces+Stresses'!D:D, MATCH(Summary!$A414, 'Forces+Stresses'!$A:$A, 0))</f>
        <v>3032</v>
      </c>
      <c r="N414" s="55">
        <f>IFERROR(INDEX('Forces+Stresses'!Q:Q, MATCH(Summary!$A414, 'Forces+Stresses'!$A:$A, 0)), INDEX(Flexjoints!D:D, MATCH(Summary!$A414, Flexjoints!$A:$A, 0)))</f>
        <v>4.7780000000000002E-8</v>
      </c>
      <c r="O414" s="56">
        <f>IFERROR(INDEX('Forces+Stresses'!R:R, MATCH(Summary!$A414, 'Forces+Stresses'!$A:$A, 0)), INDEX(Flexjoints!E:E, MATCH(Summary!$A414, Flexjoints!$A:$A, 0)))</f>
        <v>2.1600000000000001E-6</v>
      </c>
      <c r="P414" s="33" t="str">
        <f>IF(INDEX(Labels!B:B, MATCH(Summary!$A414, Labels!$A:$A, 0)) = 0, "", INDEX(Labels!B:B, MATCH(Summary!$A414, Labels!$A:$A, 0)))</f>
        <v>{Marine Riser String}</v>
      </c>
      <c r="Q414" s="35" t="str">
        <f>IF(INDEX(Labels!C:C, MATCH(Summary!$A414, Labels!$A:$A, 0)) = 0, "", INDEX(Labels!C:C, MATCH(Summary!$A414, Labels!$A:$A, 0)))</f>
        <v>{75ft 2500ft 0.875in Buoyant}</v>
      </c>
      <c r="R414" s="33" t="str">
        <f>IF(INDEX(Labels!D:D, MATCH(Summary!$A414, Labels!$A:$A, 0)) = 0, "", INDEX(Labels!D:D, MATCH(Summary!$A414, Labels!$A:$A, 0)))</f>
        <v/>
      </c>
      <c r="S414" s="35" t="str">
        <f>IF(INDEX(Labels!E:E, MATCH(Summary!$A414, Labels!$A:$A, 0)) = 0, "", INDEX(Labels!E:E, MATCH(Summary!$A414, Labels!$A:$A, 0)))</f>
        <v/>
      </c>
      <c r="T414" s="33" t="str">
        <f>IF(INDEX(Labels!F:F, MATCH(Summary!$A414, Labels!$A:$A, 0)) = 0, "", INDEX(Labels!F:F, MATCH(Summary!$A414, Labels!$A:$A, 0)))</f>
        <v/>
      </c>
      <c r="U414" s="35" t="str">
        <f>IF(INDEX(Labels!G:G, MATCH(Summary!$A414, Labels!$A:$A, 0)) = 0, "", INDEX(Labels!G:G, MATCH(Summary!$A414, Labels!$A:$A, 0)))</f>
        <v/>
      </c>
      <c r="V414" s="62" t="str">
        <f>IF(INDEX(Labels!H:H, MATCH(Summary!$A414, Labels!$A:$A, 0)) = 0, "", INDEX(Labels!H:H, MATCH(Summary!$A414, Labels!$A:$A, 0)))</f>
        <v/>
      </c>
      <c r="W414" t="str">
        <f>IF(INDEX(Labels!I:I, MATCH(Summary!$A414, Labels!$A:$A, 0)) = 0, "", INDEX(Labels!I:I, MATCH(Summary!$A414, Labels!$A:$A, 0)))</f>
        <v/>
      </c>
      <c r="X414" t="str">
        <f>IF(INDEX(Labels!J:J, MATCH(Summary!$A414, Labels!$A:$A, 0)) = 0, "", INDEX(Labels!J:J, MATCH(Summary!$A414, Labels!$A:$A, 0)))</f>
        <v/>
      </c>
    </row>
    <row r="415" spans="1:24" x14ac:dyDescent="0.2">
      <c r="A415" s="33">
        <f>Labels!A416</f>
        <v>409</v>
      </c>
      <c r="B415" s="34">
        <f>INDEX(EchoData!B:B, MATCH(Summary!$A415, EchoData!$A:$A, 0))</f>
        <v>413</v>
      </c>
      <c r="C415" s="35">
        <f>INDEX(EchoData!C:C, MATCH(Summary!$A415, EchoData!$A:$A, 0))</f>
        <v>414</v>
      </c>
      <c r="D415" s="42">
        <f>INDEX(Displacements!B:B, MATCH(Summary!$B415, Displacements!$A:$A, 0))</f>
        <v>580.46699999999998</v>
      </c>
      <c r="E415" s="43">
        <f>INDEX(Displacements!C:C, MATCH(Summary!$B415, Displacements!$A:$A, 0))</f>
        <v>0</v>
      </c>
      <c r="F415" s="44">
        <f>INDEX(Displacements!D:D, MATCH(Summary!$B415, Displacements!$A:$A, 0))</f>
        <v>0</v>
      </c>
      <c r="G415" s="42">
        <f>INDEX(Displacements!B:B, MATCH(Summary!$C415, Displacements!$A:$A, 0))</f>
        <v>585.423</v>
      </c>
      <c r="H415" s="43">
        <f>INDEX(Displacements!C:C, MATCH(Summary!$C415, Displacements!$A:$A, 0))</f>
        <v>0</v>
      </c>
      <c r="I415" s="44">
        <f>INDEX(Displacements!D:D, MATCH(Summary!$C415, Displacements!$A:$A, 0))</f>
        <v>0</v>
      </c>
      <c r="J415" s="42">
        <f t="shared" si="12"/>
        <v>4.9560000000000173</v>
      </c>
      <c r="K415" s="49">
        <f t="shared" si="13"/>
        <v>1</v>
      </c>
      <c r="L415" s="54">
        <f>INDEX('Forces+Stresses'!C:C, MATCH(Summary!$A415, 'Forces+Stresses'!$A:$A, 0))</f>
        <v>3038</v>
      </c>
      <c r="M415" s="55">
        <f>INDEX('Forces+Stresses'!D:D, MATCH(Summary!$A415, 'Forces+Stresses'!$A:$A, 0))</f>
        <v>3038</v>
      </c>
      <c r="N415" s="55">
        <f>IFERROR(INDEX('Forces+Stresses'!Q:Q, MATCH(Summary!$A415, 'Forces+Stresses'!$A:$A, 0)), INDEX(Flexjoints!D:D, MATCH(Summary!$A415, Flexjoints!$A:$A, 0)))</f>
        <v>2.754E-8</v>
      </c>
      <c r="O415" s="56">
        <f>IFERROR(INDEX('Forces+Stresses'!R:R, MATCH(Summary!$A415, 'Forces+Stresses'!$A:$A, 0)), INDEX(Flexjoints!E:E, MATCH(Summary!$A415, Flexjoints!$A:$A, 0)))</f>
        <v>1.717E-6</v>
      </c>
      <c r="P415" s="33" t="str">
        <f>IF(INDEX(Labels!B:B, MATCH(Summary!$A415, Labels!$A:$A, 0)) = 0, "", INDEX(Labels!B:B, MATCH(Summary!$A415, Labels!$A:$A, 0)))</f>
        <v>{Marine Riser String}</v>
      </c>
      <c r="Q415" s="35" t="str">
        <f>IF(INDEX(Labels!C:C, MATCH(Summary!$A415, Labels!$A:$A, 0)) = 0, "", INDEX(Labels!C:C, MATCH(Summary!$A415, Labels!$A:$A, 0)))</f>
        <v>{75ft 2500ft 0.875in Buoyant}</v>
      </c>
      <c r="R415" s="33" t="str">
        <f>IF(INDEX(Labels!D:D, MATCH(Summary!$A415, Labels!$A:$A, 0)) = 0, "", INDEX(Labels!D:D, MATCH(Summary!$A415, Labels!$A:$A, 0)))</f>
        <v/>
      </c>
      <c r="S415" s="35" t="str">
        <f>IF(INDEX(Labels!E:E, MATCH(Summary!$A415, Labels!$A:$A, 0)) = 0, "", INDEX(Labels!E:E, MATCH(Summary!$A415, Labels!$A:$A, 0)))</f>
        <v/>
      </c>
      <c r="T415" s="33" t="str">
        <f>IF(INDEX(Labels!F:F, MATCH(Summary!$A415, Labels!$A:$A, 0)) = 0, "", INDEX(Labels!F:F, MATCH(Summary!$A415, Labels!$A:$A, 0)))</f>
        <v/>
      </c>
      <c r="U415" s="35" t="str">
        <f>IF(INDEX(Labels!G:G, MATCH(Summary!$A415, Labels!$A:$A, 0)) = 0, "", INDEX(Labels!G:G, MATCH(Summary!$A415, Labels!$A:$A, 0)))</f>
        <v/>
      </c>
      <c r="V415" s="62" t="str">
        <f>IF(INDEX(Labels!H:H, MATCH(Summary!$A415, Labels!$A:$A, 0)) = 0, "", INDEX(Labels!H:H, MATCH(Summary!$A415, Labels!$A:$A, 0)))</f>
        <v/>
      </c>
      <c r="W415" t="str">
        <f>IF(INDEX(Labels!I:I, MATCH(Summary!$A415, Labels!$A:$A, 0)) = 0, "", INDEX(Labels!I:I, MATCH(Summary!$A415, Labels!$A:$A, 0)))</f>
        <v/>
      </c>
      <c r="X415" t="str">
        <f>IF(INDEX(Labels!J:J, MATCH(Summary!$A415, Labels!$A:$A, 0)) = 0, "", INDEX(Labels!J:J, MATCH(Summary!$A415, Labels!$A:$A, 0)))</f>
        <v/>
      </c>
    </row>
    <row r="416" spans="1:24" x14ac:dyDescent="0.2">
      <c r="A416" s="33">
        <f>Labels!A417</f>
        <v>410</v>
      </c>
      <c r="B416" s="34">
        <f>INDEX(EchoData!B:B, MATCH(Summary!$A416, EchoData!$A:$A, 0))</f>
        <v>414</v>
      </c>
      <c r="C416" s="35">
        <f>INDEX(EchoData!C:C, MATCH(Summary!$A416, EchoData!$A:$A, 0))</f>
        <v>415</v>
      </c>
      <c r="D416" s="42">
        <f>INDEX(Displacements!B:B, MATCH(Summary!$B416, Displacements!$A:$A, 0))</f>
        <v>585.423</v>
      </c>
      <c r="E416" s="43">
        <f>INDEX(Displacements!C:C, MATCH(Summary!$B416, Displacements!$A:$A, 0))</f>
        <v>0</v>
      </c>
      <c r="F416" s="44">
        <f>INDEX(Displacements!D:D, MATCH(Summary!$B416, Displacements!$A:$A, 0))</f>
        <v>0</v>
      </c>
      <c r="G416" s="42">
        <f>INDEX(Displacements!B:B, MATCH(Summary!$C416, Displacements!$A:$A, 0))</f>
        <v>590.37900000000002</v>
      </c>
      <c r="H416" s="43">
        <f>INDEX(Displacements!C:C, MATCH(Summary!$C416, Displacements!$A:$A, 0))</f>
        <v>0</v>
      </c>
      <c r="I416" s="44">
        <f>INDEX(Displacements!D:D, MATCH(Summary!$C416, Displacements!$A:$A, 0))</f>
        <v>0</v>
      </c>
      <c r="J416" s="42">
        <f t="shared" si="12"/>
        <v>4.9560000000000173</v>
      </c>
      <c r="K416" s="49">
        <f t="shared" si="13"/>
        <v>1</v>
      </c>
      <c r="L416" s="54">
        <f>INDEX('Forces+Stresses'!C:C, MATCH(Summary!$A416, 'Forces+Stresses'!$A:$A, 0))</f>
        <v>3045</v>
      </c>
      <c r="M416" s="55">
        <f>INDEX('Forces+Stresses'!D:D, MATCH(Summary!$A416, 'Forces+Stresses'!$A:$A, 0))</f>
        <v>3045</v>
      </c>
      <c r="N416" s="55">
        <f>IFERROR(INDEX('Forces+Stresses'!Q:Q, MATCH(Summary!$A416, 'Forces+Stresses'!$A:$A, 0)), INDEX(Flexjoints!D:D, MATCH(Summary!$A416, Flexjoints!$A:$A, 0)))</f>
        <v>1.0189999999999999E-7</v>
      </c>
      <c r="O416" s="56">
        <f>IFERROR(INDEX('Forces+Stresses'!R:R, MATCH(Summary!$A416, 'Forces+Stresses'!$A:$A, 0)), INDEX(Flexjoints!E:E, MATCH(Summary!$A416, Flexjoints!$A:$A, 0)))</f>
        <v>2.0260000000000002E-6</v>
      </c>
      <c r="P416" s="33" t="str">
        <f>IF(INDEX(Labels!B:B, MATCH(Summary!$A416, Labels!$A:$A, 0)) = 0, "", INDEX(Labels!B:B, MATCH(Summary!$A416, Labels!$A:$A, 0)))</f>
        <v>{Marine Riser String}</v>
      </c>
      <c r="Q416" s="35" t="str">
        <f>IF(INDEX(Labels!C:C, MATCH(Summary!$A416, Labels!$A:$A, 0)) = 0, "", INDEX(Labels!C:C, MATCH(Summary!$A416, Labels!$A:$A, 0)))</f>
        <v>{75ft 2500ft 0.875in Buoyant}</v>
      </c>
      <c r="R416" s="33" t="str">
        <f>IF(INDEX(Labels!D:D, MATCH(Summary!$A416, Labels!$A:$A, 0)) = 0, "", INDEX(Labels!D:D, MATCH(Summary!$A416, Labels!$A:$A, 0)))</f>
        <v/>
      </c>
      <c r="S416" s="35" t="str">
        <f>IF(INDEX(Labels!E:E, MATCH(Summary!$A416, Labels!$A:$A, 0)) = 0, "", INDEX(Labels!E:E, MATCH(Summary!$A416, Labels!$A:$A, 0)))</f>
        <v/>
      </c>
      <c r="T416" s="33" t="str">
        <f>IF(INDEX(Labels!F:F, MATCH(Summary!$A416, Labels!$A:$A, 0)) = 0, "", INDEX(Labels!F:F, MATCH(Summary!$A416, Labels!$A:$A, 0)))</f>
        <v/>
      </c>
      <c r="U416" s="35" t="str">
        <f>IF(INDEX(Labels!G:G, MATCH(Summary!$A416, Labels!$A:$A, 0)) = 0, "", INDEX(Labels!G:G, MATCH(Summary!$A416, Labels!$A:$A, 0)))</f>
        <v/>
      </c>
      <c r="V416" s="62" t="str">
        <f>IF(INDEX(Labels!H:H, MATCH(Summary!$A416, Labels!$A:$A, 0)) = 0, "", INDEX(Labels!H:H, MATCH(Summary!$A416, Labels!$A:$A, 0)))</f>
        <v/>
      </c>
      <c r="W416" t="str">
        <f>IF(INDEX(Labels!I:I, MATCH(Summary!$A416, Labels!$A:$A, 0)) = 0, "", INDEX(Labels!I:I, MATCH(Summary!$A416, Labels!$A:$A, 0)))</f>
        <v/>
      </c>
      <c r="X416" t="str">
        <f>IF(INDEX(Labels!J:J, MATCH(Summary!$A416, Labels!$A:$A, 0)) = 0, "", INDEX(Labels!J:J, MATCH(Summary!$A416, Labels!$A:$A, 0)))</f>
        <v/>
      </c>
    </row>
    <row r="417" spans="1:24" x14ac:dyDescent="0.2">
      <c r="A417" s="33">
        <f>Labels!A418</f>
        <v>411</v>
      </c>
      <c r="B417" s="34">
        <f>INDEX(EchoData!B:B, MATCH(Summary!$A417, EchoData!$A:$A, 0))</f>
        <v>415</v>
      </c>
      <c r="C417" s="35">
        <f>INDEX(EchoData!C:C, MATCH(Summary!$A417, EchoData!$A:$A, 0))</f>
        <v>416</v>
      </c>
      <c r="D417" s="42">
        <f>INDEX(Displacements!B:B, MATCH(Summary!$B417, Displacements!$A:$A, 0))</f>
        <v>590.37900000000002</v>
      </c>
      <c r="E417" s="43">
        <f>INDEX(Displacements!C:C, MATCH(Summary!$B417, Displacements!$A:$A, 0))</f>
        <v>0</v>
      </c>
      <c r="F417" s="44">
        <f>INDEX(Displacements!D:D, MATCH(Summary!$B417, Displacements!$A:$A, 0))</f>
        <v>0</v>
      </c>
      <c r="G417" s="42">
        <f>INDEX(Displacements!B:B, MATCH(Summary!$C417, Displacements!$A:$A, 0))</f>
        <v>595.33500000000004</v>
      </c>
      <c r="H417" s="43">
        <f>INDEX(Displacements!C:C, MATCH(Summary!$C417, Displacements!$A:$A, 0))</f>
        <v>0</v>
      </c>
      <c r="I417" s="44">
        <f>INDEX(Displacements!D:D, MATCH(Summary!$C417, Displacements!$A:$A, 0))</f>
        <v>0</v>
      </c>
      <c r="J417" s="42">
        <f t="shared" si="12"/>
        <v>4.9560000000000173</v>
      </c>
      <c r="K417" s="49">
        <f t="shared" si="13"/>
        <v>1</v>
      </c>
      <c r="L417" s="54">
        <f>INDEX('Forces+Stresses'!C:C, MATCH(Summary!$A417, 'Forces+Stresses'!$A:$A, 0))</f>
        <v>3051</v>
      </c>
      <c r="M417" s="55">
        <f>INDEX('Forces+Stresses'!D:D, MATCH(Summary!$A417, 'Forces+Stresses'!$A:$A, 0))</f>
        <v>3051</v>
      </c>
      <c r="N417" s="55">
        <f>IFERROR(INDEX('Forces+Stresses'!Q:Q, MATCH(Summary!$A417, 'Forces+Stresses'!$A:$A, 0)), INDEX(Flexjoints!D:D, MATCH(Summary!$A417, Flexjoints!$A:$A, 0)))</f>
        <v>1.438E-7</v>
      </c>
      <c r="O417" s="56">
        <f>IFERROR(INDEX('Forces+Stresses'!R:R, MATCH(Summary!$A417, 'Forces+Stresses'!$A:$A, 0)), INDEX(Flexjoints!E:E, MATCH(Summary!$A417, Flexjoints!$A:$A, 0)))</f>
        <v>1.857E-6</v>
      </c>
      <c r="P417" s="33" t="str">
        <f>IF(INDEX(Labels!B:B, MATCH(Summary!$A417, Labels!$A:$A, 0)) = 0, "", INDEX(Labels!B:B, MATCH(Summary!$A417, Labels!$A:$A, 0)))</f>
        <v>{Marine Riser String}</v>
      </c>
      <c r="Q417" s="35" t="str">
        <f>IF(INDEX(Labels!C:C, MATCH(Summary!$A417, Labels!$A:$A, 0)) = 0, "", INDEX(Labels!C:C, MATCH(Summary!$A417, Labels!$A:$A, 0)))</f>
        <v>{75ft 2500ft 0.875in Buoyant}</v>
      </c>
      <c r="R417" s="33" t="str">
        <f>IF(INDEX(Labels!D:D, MATCH(Summary!$A417, Labels!$A:$A, 0)) = 0, "", INDEX(Labels!D:D, MATCH(Summary!$A417, Labels!$A:$A, 0)))</f>
        <v/>
      </c>
      <c r="S417" s="35" t="str">
        <f>IF(INDEX(Labels!E:E, MATCH(Summary!$A417, Labels!$A:$A, 0)) = 0, "", INDEX(Labels!E:E, MATCH(Summary!$A417, Labels!$A:$A, 0)))</f>
        <v/>
      </c>
      <c r="T417" s="33" t="str">
        <f>IF(INDEX(Labels!F:F, MATCH(Summary!$A417, Labels!$A:$A, 0)) = 0, "", INDEX(Labels!F:F, MATCH(Summary!$A417, Labels!$A:$A, 0)))</f>
        <v/>
      </c>
      <c r="U417" s="35" t="str">
        <f>IF(INDEX(Labels!G:G, MATCH(Summary!$A417, Labels!$A:$A, 0)) = 0, "", INDEX(Labels!G:G, MATCH(Summary!$A417, Labels!$A:$A, 0)))</f>
        <v/>
      </c>
      <c r="V417" s="62" t="str">
        <f>IF(INDEX(Labels!H:H, MATCH(Summary!$A417, Labels!$A:$A, 0)) = 0, "", INDEX(Labels!H:H, MATCH(Summary!$A417, Labels!$A:$A, 0)))</f>
        <v/>
      </c>
      <c r="W417" t="str">
        <f>IF(INDEX(Labels!I:I, MATCH(Summary!$A417, Labels!$A:$A, 0)) = 0, "", INDEX(Labels!I:I, MATCH(Summary!$A417, Labels!$A:$A, 0)))</f>
        <v/>
      </c>
      <c r="X417" t="str">
        <f>IF(INDEX(Labels!J:J, MATCH(Summary!$A417, Labels!$A:$A, 0)) = 0, "", INDEX(Labels!J:J, MATCH(Summary!$A417, Labels!$A:$A, 0)))</f>
        <v/>
      </c>
    </row>
    <row r="418" spans="1:24" x14ac:dyDescent="0.2">
      <c r="A418" s="33">
        <f>Labels!A419</f>
        <v>412</v>
      </c>
      <c r="B418" s="34">
        <f>INDEX(EchoData!B:B, MATCH(Summary!$A418, EchoData!$A:$A, 0))</f>
        <v>416</v>
      </c>
      <c r="C418" s="35">
        <f>INDEX(EchoData!C:C, MATCH(Summary!$A418, EchoData!$A:$A, 0))</f>
        <v>417</v>
      </c>
      <c r="D418" s="42">
        <f>INDEX(Displacements!B:B, MATCH(Summary!$B418, Displacements!$A:$A, 0))</f>
        <v>595.33500000000004</v>
      </c>
      <c r="E418" s="43">
        <f>INDEX(Displacements!C:C, MATCH(Summary!$B418, Displacements!$A:$A, 0))</f>
        <v>0</v>
      </c>
      <c r="F418" s="44">
        <f>INDEX(Displacements!D:D, MATCH(Summary!$B418, Displacements!$A:$A, 0))</f>
        <v>0</v>
      </c>
      <c r="G418" s="42">
        <f>INDEX(Displacements!B:B, MATCH(Summary!$C418, Displacements!$A:$A, 0))</f>
        <v>600.29100000000005</v>
      </c>
      <c r="H418" s="43">
        <f>INDEX(Displacements!C:C, MATCH(Summary!$C418, Displacements!$A:$A, 0))</f>
        <v>0</v>
      </c>
      <c r="I418" s="44">
        <f>INDEX(Displacements!D:D, MATCH(Summary!$C418, Displacements!$A:$A, 0))</f>
        <v>0</v>
      </c>
      <c r="J418" s="42">
        <f t="shared" si="12"/>
        <v>4.9560000000000173</v>
      </c>
      <c r="K418" s="49">
        <f t="shared" si="13"/>
        <v>1</v>
      </c>
      <c r="L418" s="54">
        <f>INDEX('Forces+Stresses'!C:C, MATCH(Summary!$A418, 'Forces+Stresses'!$A:$A, 0))</f>
        <v>3058</v>
      </c>
      <c r="M418" s="55">
        <f>INDEX('Forces+Stresses'!D:D, MATCH(Summary!$A418, 'Forces+Stresses'!$A:$A, 0))</f>
        <v>3058</v>
      </c>
      <c r="N418" s="55">
        <f>IFERROR(INDEX('Forces+Stresses'!Q:Q, MATCH(Summary!$A418, 'Forces+Stresses'!$A:$A, 0)), INDEX(Flexjoints!D:D, MATCH(Summary!$A418, Flexjoints!$A:$A, 0)))</f>
        <v>2.2210000000000001E-7</v>
      </c>
      <c r="O418" s="56">
        <f>IFERROR(INDEX('Forces+Stresses'!R:R, MATCH(Summary!$A418, 'Forces+Stresses'!$A:$A, 0)), INDEX(Flexjoints!E:E, MATCH(Summary!$A418, Flexjoints!$A:$A, 0)))</f>
        <v>1.8819999999999999E-6</v>
      </c>
      <c r="P418" s="33" t="str">
        <f>IF(INDEX(Labels!B:B, MATCH(Summary!$A418, Labels!$A:$A, 0)) = 0, "", INDEX(Labels!B:B, MATCH(Summary!$A418, Labels!$A:$A, 0)))</f>
        <v>{Marine Riser String}</v>
      </c>
      <c r="Q418" s="35" t="str">
        <f>IF(INDEX(Labels!C:C, MATCH(Summary!$A418, Labels!$A:$A, 0)) = 0, "", INDEX(Labels!C:C, MATCH(Summary!$A418, Labels!$A:$A, 0)))</f>
        <v>{75ft 2500ft 0.875in Buoyant}</v>
      </c>
      <c r="R418" s="33" t="str">
        <f>IF(INDEX(Labels!D:D, MATCH(Summary!$A418, Labels!$A:$A, 0)) = 0, "", INDEX(Labels!D:D, MATCH(Summary!$A418, Labels!$A:$A, 0)))</f>
        <v/>
      </c>
      <c r="S418" s="35" t="str">
        <f>IF(INDEX(Labels!E:E, MATCH(Summary!$A418, Labels!$A:$A, 0)) = 0, "", INDEX(Labels!E:E, MATCH(Summary!$A418, Labels!$A:$A, 0)))</f>
        <v/>
      </c>
      <c r="T418" s="33" t="str">
        <f>IF(INDEX(Labels!F:F, MATCH(Summary!$A418, Labels!$A:$A, 0)) = 0, "", INDEX(Labels!F:F, MATCH(Summary!$A418, Labels!$A:$A, 0)))</f>
        <v/>
      </c>
      <c r="U418" s="35" t="str">
        <f>IF(INDEX(Labels!G:G, MATCH(Summary!$A418, Labels!$A:$A, 0)) = 0, "", INDEX(Labels!G:G, MATCH(Summary!$A418, Labels!$A:$A, 0)))</f>
        <v/>
      </c>
      <c r="V418" s="62" t="str">
        <f>IF(INDEX(Labels!H:H, MATCH(Summary!$A418, Labels!$A:$A, 0)) = 0, "", INDEX(Labels!H:H, MATCH(Summary!$A418, Labels!$A:$A, 0)))</f>
        <v/>
      </c>
      <c r="W418" t="str">
        <f>IF(INDEX(Labels!I:I, MATCH(Summary!$A418, Labels!$A:$A, 0)) = 0, "", INDEX(Labels!I:I, MATCH(Summary!$A418, Labels!$A:$A, 0)))</f>
        <v/>
      </c>
      <c r="X418" t="str">
        <f>IF(INDEX(Labels!J:J, MATCH(Summary!$A418, Labels!$A:$A, 0)) = 0, "", INDEX(Labels!J:J, MATCH(Summary!$A418, Labels!$A:$A, 0)))</f>
        <v/>
      </c>
    </row>
    <row r="419" spans="1:24" x14ac:dyDescent="0.2">
      <c r="A419" s="33">
        <f>Labels!A420</f>
        <v>413</v>
      </c>
      <c r="B419" s="34">
        <f>INDEX(EchoData!B:B, MATCH(Summary!$A419, EchoData!$A:$A, 0))</f>
        <v>417</v>
      </c>
      <c r="C419" s="35">
        <f>INDEX(EchoData!C:C, MATCH(Summary!$A419, EchoData!$A:$A, 0))</f>
        <v>418</v>
      </c>
      <c r="D419" s="42">
        <f>INDEX(Displacements!B:B, MATCH(Summary!$B419, Displacements!$A:$A, 0))</f>
        <v>600.29100000000005</v>
      </c>
      <c r="E419" s="43">
        <f>INDEX(Displacements!C:C, MATCH(Summary!$B419, Displacements!$A:$A, 0))</f>
        <v>0</v>
      </c>
      <c r="F419" s="44">
        <f>INDEX(Displacements!D:D, MATCH(Summary!$B419, Displacements!$A:$A, 0))</f>
        <v>0</v>
      </c>
      <c r="G419" s="42">
        <f>INDEX(Displacements!B:B, MATCH(Summary!$C419, Displacements!$A:$A, 0))</f>
        <v>605.24699999999996</v>
      </c>
      <c r="H419" s="43">
        <f>INDEX(Displacements!C:C, MATCH(Summary!$C419, Displacements!$A:$A, 0))</f>
        <v>0</v>
      </c>
      <c r="I419" s="44">
        <f>INDEX(Displacements!D:D, MATCH(Summary!$C419, Displacements!$A:$A, 0))</f>
        <v>0</v>
      </c>
      <c r="J419" s="42">
        <f t="shared" si="12"/>
        <v>4.9559999999999036</v>
      </c>
      <c r="K419" s="49">
        <f t="shared" si="13"/>
        <v>0.99999999999997702</v>
      </c>
      <c r="L419" s="54">
        <f>INDEX('Forces+Stresses'!C:C, MATCH(Summary!$A419, 'Forces+Stresses'!$A:$A, 0))</f>
        <v>3064</v>
      </c>
      <c r="M419" s="55">
        <f>INDEX('Forces+Stresses'!D:D, MATCH(Summary!$A419, 'Forces+Stresses'!$A:$A, 0))</f>
        <v>3064</v>
      </c>
      <c r="N419" s="55">
        <f>IFERROR(INDEX('Forces+Stresses'!Q:Q, MATCH(Summary!$A419, 'Forces+Stresses'!$A:$A, 0)), INDEX(Flexjoints!D:D, MATCH(Summary!$A419, Flexjoints!$A:$A, 0)))</f>
        <v>6.2169999999999994E-8</v>
      </c>
      <c r="O419" s="56">
        <f>IFERROR(INDEX('Forces+Stresses'!R:R, MATCH(Summary!$A419, 'Forces+Stresses'!$A:$A, 0)), INDEX(Flexjoints!E:E, MATCH(Summary!$A419, Flexjoints!$A:$A, 0)))</f>
        <v>2.1559999999999998E-6</v>
      </c>
      <c r="P419" s="33" t="str">
        <f>IF(INDEX(Labels!B:B, MATCH(Summary!$A419, Labels!$A:$A, 0)) = 0, "", INDEX(Labels!B:B, MATCH(Summary!$A419, Labels!$A:$A, 0)))</f>
        <v>{Marine Riser String}</v>
      </c>
      <c r="Q419" s="35" t="str">
        <f>IF(INDEX(Labels!C:C, MATCH(Summary!$A419, Labels!$A:$A, 0)) = 0, "", INDEX(Labels!C:C, MATCH(Summary!$A419, Labels!$A:$A, 0)))</f>
        <v>{75ft 2500ft 0.875in Buoyant}</v>
      </c>
      <c r="R419" s="33" t="str">
        <f>IF(INDEX(Labels!D:D, MATCH(Summary!$A419, Labels!$A:$A, 0)) = 0, "", INDEX(Labels!D:D, MATCH(Summary!$A419, Labels!$A:$A, 0)))</f>
        <v/>
      </c>
      <c r="S419" s="35" t="str">
        <f>IF(INDEX(Labels!E:E, MATCH(Summary!$A419, Labels!$A:$A, 0)) = 0, "", INDEX(Labels!E:E, MATCH(Summary!$A419, Labels!$A:$A, 0)))</f>
        <v/>
      </c>
      <c r="T419" s="33" t="str">
        <f>IF(INDEX(Labels!F:F, MATCH(Summary!$A419, Labels!$A:$A, 0)) = 0, "", INDEX(Labels!F:F, MATCH(Summary!$A419, Labels!$A:$A, 0)))</f>
        <v/>
      </c>
      <c r="U419" s="35" t="str">
        <f>IF(INDEX(Labels!G:G, MATCH(Summary!$A419, Labels!$A:$A, 0)) = 0, "", INDEX(Labels!G:G, MATCH(Summary!$A419, Labels!$A:$A, 0)))</f>
        <v/>
      </c>
      <c r="V419" s="62" t="str">
        <f>IF(INDEX(Labels!H:H, MATCH(Summary!$A419, Labels!$A:$A, 0)) = 0, "", INDEX(Labels!H:H, MATCH(Summary!$A419, Labels!$A:$A, 0)))</f>
        <v/>
      </c>
      <c r="W419" t="str">
        <f>IF(INDEX(Labels!I:I, MATCH(Summary!$A419, Labels!$A:$A, 0)) = 0, "", INDEX(Labels!I:I, MATCH(Summary!$A419, Labels!$A:$A, 0)))</f>
        <v/>
      </c>
      <c r="X419" t="str">
        <f>IF(INDEX(Labels!J:J, MATCH(Summary!$A419, Labels!$A:$A, 0)) = 0, "", INDEX(Labels!J:J, MATCH(Summary!$A419, Labels!$A:$A, 0)))</f>
        <v/>
      </c>
    </row>
    <row r="420" spans="1:24" x14ac:dyDescent="0.2">
      <c r="A420" s="33">
        <f>Labels!A421</f>
        <v>414</v>
      </c>
      <c r="B420" s="34">
        <f>INDEX(EchoData!B:B, MATCH(Summary!$A420, EchoData!$A:$A, 0))</f>
        <v>418</v>
      </c>
      <c r="C420" s="35">
        <f>INDEX(EchoData!C:C, MATCH(Summary!$A420, EchoData!$A:$A, 0))</f>
        <v>419</v>
      </c>
      <c r="D420" s="42">
        <f>INDEX(Displacements!B:B, MATCH(Summary!$B420, Displacements!$A:$A, 0))</f>
        <v>605.24699999999996</v>
      </c>
      <c r="E420" s="43">
        <f>INDEX(Displacements!C:C, MATCH(Summary!$B420, Displacements!$A:$A, 0))</f>
        <v>0</v>
      </c>
      <c r="F420" s="44">
        <f>INDEX(Displacements!D:D, MATCH(Summary!$B420, Displacements!$A:$A, 0))</f>
        <v>0</v>
      </c>
      <c r="G420" s="42">
        <f>INDEX(Displacements!B:B, MATCH(Summary!$C420, Displacements!$A:$A, 0))</f>
        <v>610.20299999999997</v>
      </c>
      <c r="H420" s="43">
        <f>INDEX(Displacements!C:C, MATCH(Summary!$C420, Displacements!$A:$A, 0))</f>
        <v>0</v>
      </c>
      <c r="I420" s="44">
        <f>INDEX(Displacements!D:D, MATCH(Summary!$C420, Displacements!$A:$A, 0))</f>
        <v>0</v>
      </c>
      <c r="J420" s="42">
        <f t="shared" si="12"/>
        <v>4.9560000000000173</v>
      </c>
      <c r="K420" s="49">
        <f t="shared" si="13"/>
        <v>1.0000000000000229</v>
      </c>
      <c r="L420" s="54">
        <f>INDEX('Forces+Stresses'!C:C, MATCH(Summary!$A420, 'Forces+Stresses'!$A:$A, 0))</f>
        <v>3071</v>
      </c>
      <c r="M420" s="55">
        <f>INDEX('Forces+Stresses'!D:D, MATCH(Summary!$A420, 'Forces+Stresses'!$A:$A, 0))</f>
        <v>3071</v>
      </c>
      <c r="N420" s="55">
        <f>IFERROR(INDEX('Forces+Stresses'!Q:Q, MATCH(Summary!$A420, 'Forces+Stresses'!$A:$A, 0)), INDEX(Flexjoints!D:D, MATCH(Summary!$A420, Flexjoints!$A:$A, 0)))</f>
        <v>8.2889999999999996E-8</v>
      </c>
      <c r="O420" s="56">
        <f>IFERROR(INDEX('Forces+Stresses'!R:R, MATCH(Summary!$A420, 'Forces+Stresses'!$A:$A, 0)), INDEX(Flexjoints!E:E, MATCH(Summary!$A420, Flexjoints!$A:$A, 0)))</f>
        <v>1.8779999999999998E-6</v>
      </c>
      <c r="P420" s="33" t="str">
        <f>IF(INDEX(Labels!B:B, MATCH(Summary!$A420, Labels!$A:$A, 0)) = 0, "", INDEX(Labels!B:B, MATCH(Summary!$A420, Labels!$A:$A, 0)))</f>
        <v>{Marine Riser String}</v>
      </c>
      <c r="Q420" s="35" t="str">
        <f>IF(INDEX(Labels!C:C, MATCH(Summary!$A420, Labels!$A:$A, 0)) = 0, "", INDEX(Labels!C:C, MATCH(Summary!$A420, Labels!$A:$A, 0)))</f>
        <v>{75ft 2500ft 0.875in Buoyant}</v>
      </c>
      <c r="R420" s="33" t="str">
        <f>IF(INDEX(Labels!D:D, MATCH(Summary!$A420, Labels!$A:$A, 0)) = 0, "", INDEX(Labels!D:D, MATCH(Summary!$A420, Labels!$A:$A, 0)))</f>
        <v/>
      </c>
      <c r="S420" s="35" t="str">
        <f>IF(INDEX(Labels!E:E, MATCH(Summary!$A420, Labels!$A:$A, 0)) = 0, "", INDEX(Labels!E:E, MATCH(Summary!$A420, Labels!$A:$A, 0)))</f>
        <v/>
      </c>
      <c r="T420" s="33" t="str">
        <f>IF(INDEX(Labels!F:F, MATCH(Summary!$A420, Labels!$A:$A, 0)) = 0, "", INDEX(Labels!F:F, MATCH(Summary!$A420, Labels!$A:$A, 0)))</f>
        <v/>
      </c>
      <c r="U420" s="35" t="str">
        <f>IF(INDEX(Labels!G:G, MATCH(Summary!$A420, Labels!$A:$A, 0)) = 0, "", INDEX(Labels!G:G, MATCH(Summary!$A420, Labels!$A:$A, 0)))</f>
        <v/>
      </c>
      <c r="V420" s="62" t="str">
        <f>IF(INDEX(Labels!H:H, MATCH(Summary!$A420, Labels!$A:$A, 0)) = 0, "", INDEX(Labels!H:H, MATCH(Summary!$A420, Labels!$A:$A, 0)))</f>
        <v/>
      </c>
      <c r="W420" t="str">
        <f>IF(INDEX(Labels!I:I, MATCH(Summary!$A420, Labels!$A:$A, 0)) = 0, "", INDEX(Labels!I:I, MATCH(Summary!$A420, Labels!$A:$A, 0)))</f>
        <v/>
      </c>
      <c r="X420" t="str">
        <f>IF(INDEX(Labels!J:J, MATCH(Summary!$A420, Labels!$A:$A, 0)) = 0, "", INDEX(Labels!J:J, MATCH(Summary!$A420, Labels!$A:$A, 0)))</f>
        <v/>
      </c>
    </row>
    <row r="421" spans="1:24" x14ac:dyDescent="0.2">
      <c r="A421" s="33">
        <f>Labels!A422</f>
        <v>415</v>
      </c>
      <c r="B421" s="34">
        <f>INDEX(EchoData!B:B, MATCH(Summary!$A421, EchoData!$A:$A, 0))</f>
        <v>419</v>
      </c>
      <c r="C421" s="35">
        <f>INDEX(EchoData!C:C, MATCH(Summary!$A421, EchoData!$A:$A, 0))</f>
        <v>420</v>
      </c>
      <c r="D421" s="42">
        <f>INDEX(Displacements!B:B, MATCH(Summary!$B421, Displacements!$A:$A, 0))</f>
        <v>610.20299999999997</v>
      </c>
      <c r="E421" s="43">
        <f>INDEX(Displacements!C:C, MATCH(Summary!$B421, Displacements!$A:$A, 0))</f>
        <v>0</v>
      </c>
      <c r="F421" s="44">
        <f>INDEX(Displacements!D:D, MATCH(Summary!$B421, Displacements!$A:$A, 0))</f>
        <v>0</v>
      </c>
      <c r="G421" s="42">
        <f>INDEX(Displacements!B:B, MATCH(Summary!$C421, Displacements!$A:$A, 0))</f>
        <v>615.16</v>
      </c>
      <c r="H421" s="43">
        <f>INDEX(Displacements!C:C, MATCH(Summary!$C421, Displacements!$A:$A, 0))</f>
        <v>0</v>
      </c>
      <c r="I421" s="44">
        <f>INDEX(Displacements!D:D, MATCH(Summary!$C421, Displacements!$A:$A, 0))</f>
        <v>0</v>
      </c>
      <c r="J421" s="42">
        <f t="shared" si="12"/>
        <v>4.9569999999999936</v>
      </c>
      <c r="K421" s="49">
        <f t="shared" si="13"/>
        <v>1.0002017756254997</v>
      </c>
      <c r="L421" s="54">
        <f>INDEX('Forces+Stresses'!C:C, MATCH(Summary!$A421, 'Forces+Stresses'!$A:$A, 0))</f>
        <v>3077</v>
      </c>
      <c r="M421" s="55">
        <f>INDEX('Forces+Stresses'!D:D, MATCH(Summary!$A421, 'Forces+Stresses'!$A:$A, 0))</f>
        <v>3077</v>
      </c>
      <c r="N421" s="55">
        <f>IFERROR(INDEX('Forces+Stresses'!Q:Q, MATCH(Summary!$A421, 'Forces+Stresses'!$A:$A, 0)), INDEX(Flexjoints!D:D, MATCH(Summary!$A421, Flexjoints!$A:$A, 0)))</f>
        <v>4.8030000000000001E-8</v>
      </c>
      <c r="O421" s="56">
        <f>IFERROR(INDEX('Forces+Stresses'!R:R, MATCH(Summary!$A421, 'Forces+Stresses'!$A:$A, 0)), INDEX(Flexjoints!E:E, MATCH(Summary!$A421, Flexjoints!$A:$A, 0)))</f>
        <v>1.7429999999999999E-6</v>
      </c>
      <c r="P421" s="33" t="str">
        <f>IF(INDEX(Labels!B:B, MATCH(Summary!$A421, Labels!$A:$A, 0)) = 0, "", INDEX(Labels!B:B, MATCH(Summary!$A421, Labels!$A:$A, 0)))</f>
        <v>{Marine Riser String}</v>
      </c>
      <c r="Q421" s="35" t="str">
        <f>IF(INDEX(Labels!C:C, MATCH(Summary!$A421, Labels!$A:$A, 0)) = 0, "", INDEX(Labels!C:C, MATCH(Summary!$A421, Labels!$A:$A, 0)))</f>
        <v>{75ft 2500ft 0.875in Buoyant}</v>
      </c>
      <c r="R421" s="33" t="str">
        <f>IF(INDEX(Labels!D:D, MATCH(Summary!$A421, Labels!$A:$A, 0)) = 0, "", INDEX(Labels!D:D, MATCH(Summary!$A421, Labels!$A:$A, 0)))</f>
        <v/>
      </c>
      <c r="S421" s="35" t="str">
        <f>IF(INDEX(Labels!E:E, MATCH(Summary!$A421, Labels!$A:$A, 0)) = 0, "", INDEX(Labels!E:E, MATCH(Summary!$A421, Labels!$A:$A, 0)))</f>
        <v/>
      </c>
      <c r="T421" s="33" t="str">
        <f>IF(INDEX(Labels!F:F, MATCH(Summary!$A421, Labels!$A:$A, 0)) = 0, "", INDEX(Labels!F:F, MATCH(Summary!$A421, Labels!$A:$A, 0)))</f>
        <v/>
      </c>
      <c r="U421" s="35" t="str">
        <f>IF(INDEX(Labels!G:G, MATCH(Summary!$A421, Labels!$A:$A, 0)) = 0, "", INDEX(Labels!G:G, MATCH(Summary!$A421, Labels!$A:$A, 0)))</f>
        <v/>
      </c>
      <c r="V421" s="62" t="str">
        <f>IF(INDEX(Labels!H:H, MATCH(Summary!$A421, Labels!$A:$A, 0)) = 0, "", INDEX(Labels!H:H, MATCH(Summary!$A421, Labels!$A:$A, 0)))</f>
        <v/>
      </c>
      <c r="W421" t="str">
        <f>IF(INDEX(Labels!I:I, MATCH(Summary!$A421, Labels!$A:$A, 0)) = 0, "", INDEX(Labels!I:I, MATCH(Summary!$A421, Labels!$A:$A, 0)))</f>
        <v/>
      </c>
      <c r="X421" t="str">
        <f>IF(INDEX(Labels!J:J, MATCH(Summary!$A421, Labels!$A:$A, 0)) = 0, "", INDEX(Labels!J:J, MATCH(Summary!$A421, Labels!$A:$A, 0)))</f>
        <v/>
      </c>
    </row>
    <row r="422" spans="1:24" x14ac:dyDescent="0.2">
      <c r="A422" s="33">
        <f>Labels!A423</f>
        <v>416</v>
      </c>
      <c r="B422" s="34">
        <f>INDEX(EchoData!B:B, MATCH(Summary!$A422, EchoData!$A:$A, 0))</f>
        <v>420</v>
      </c>
      <c r="C422" s="35">
        <f>INDEX(EchoData!C:C, MATCH(Summary!$A422, EchoData!$A:$A, 0))</f>
        <v>421</v>
      </c>
      <c r="D422" s="42">
        <f>INDEX(Displacements!B:B, MATCH(Summary!$B422, Displacements!$A:$A, 0))</f>
        <v>615.16</v>
      </c>
      <c r="E422" s="43">
        <f>INDEX(Displacements!C:C, MATCH(Summary!$B422, Displacements!$A:$A, 0))</f>
        <v>0</v>
      </c>
      <c r="F422" s="44">
        <f>INDEX(Displacements!D:D, MATCH(Summary!$B422, Displacements!$A:$A, 0))</f>
        <v>0</v>
      </c>
      <c r="G422" s="42">
        <f>INDEX(Displacements!B:B, MATCH(Summary!$C422, Displacements!$A:$A, 0))</f>
        <v>620.11599999999999</v>
      </c>
      <c r="H422" s="43">
        <f>INDEX(Displacements!C:C, MATCH(Summary!$C422, Displacements!$A:$A, 0))</f>
        <v>0</v>
      </c>
      <c r="I422" s="44">
        <f>INDEX(Displacements!D:D, MATCH(Summary!$C422, Displacements!$A:$A, 0))</f>
        <v>0</v>
      </c>
      <c r="J422" s="42">
        <f t="shared" si="12"/>
        <v>4.9560000000000173</v>
      </c>
      <c r="K422" s="49">
        <f t="shared" si="13"/>
        <v>0.99979826507969005</v>
      </c>
      <c r="L422" s="54">
        <f>INDEX('Forces+Stresses'!C:C, MATCH(Summary!$A422, 'Forces+Stresses'!$A:$A, 0))</f>
        <v>3084</v>
      </c>
      <c r="M422" s="55">
        <f>INDEX('Forces+Stresses'!D:D, MATCH(Summary!$A422, 'Forces+Stresses'!$A:$A, 0))</f>
        <v>3084</v>
      </c>
      <c r="N422" s="55">
        <f>IFERROR(INDEX('Forces+Stresses'!Q:Q, MATCH(Summary!$A422, 'Forces+Stresses'!$A:$A, 0)), INDEX(Flexjoints!D:D, MATCH(Summary!$A422, Flexjoints!$A:$A, 0)))</f>
        <v>9.9740000000000005E-9</v>
      </c>
      <c r="O422" s="56">
        <f>IFERROR(INDEX('Forces+Stresses'!R:R, MATCH(Summary!$A422, 'Forces+Stresses'!$A:$A, 0)), INDEX(Flexjoints!E:E, MATCH(Summary!$A422, Flexjoints!$A:$A, 0)))</f>
        <v>1.6819999999999999E-6</v>
      </c>
      <c r="P422" s="33" t="str">
        <f>IF(INDEX(Labels!B:B, MATCH(Summary!$A422, Labels!$A:$A, 0)) = 0, "", INDEX(Labels!B:B, MATCH(Summary!$A422, Labels!$A:$A, 0)))</f>
        <v>{Marine Riser String}</v>
      </c>
      <c r="Q422" s="35" t="str">
        <f>IF(INDEX(Labels!C:C, MATCH(Summary!$A422, Labels!$A:$A, 0)) = 0, "", INDEX(Labels!C:C, MATCH(Summary!$A422, Labels!$A:$A, 0)))</f>
        <v>{75ft 2500ft 0.875in Buoyant}</v>
      </c>
      <c r="R422" s="33" t="str">
        <f>IF(INDEX(Labels!D:D, MATCH(Summary!$A422, Labels!$A:$A, 0)) = 0, "", INDEX(Labels!D:D, MATCH(Summary!$A422, Labels!$A:$A, 0)))</f>
        <v/>
      </c>
      <c r="S422" s="35" t="str">
        <f>IF(INDEX(Labels!E:E, MATCH(Summary!$A422, Labels!$A:$A, 0)) = 0, "", INDEX(Labels!E:E, MATCH(Summary!$A422, Labels!$A:$A, 0)))</f>
        <v/>
      </c>
      <c r="T422" s="33" t="str">
        <f>IF(INDEX(Labels!F:F, MATCH(Summary!$A422, Labels!$A:$A, 0)) = 0, "", INDEX(Labels!F:F, MATCH(Summary!$A422, Labels!$A:$A, 0)))</f>
        <v/>
      </c>
      <c r="U422" s="35" t="str">
        <f>IF(INDEX(Labels!G:G, MATCH(Summary!$A422, Labels!$A:$A, 0)) = 0, "", INDEX(Labels!G:G, MATCH(Summary!$A422, Labels!$A:$A, 0)))</f>
        <v/>
      </c>
      <c r="V422" s="62" t="str">
        <f>IF(INDEX(Labels!H:H, MATCH(Summary!$A422, Labels!$A:$A, 0)) = 0, "", INDEX(Labels!H:H, MATCH(Summary!$A422, Labels!$A:$A, 0)))</f>
        <v/>
      </c>
      <c r="W422" t="str">
        <f>IF(INDEX(Labels!I:I, MATCH(Summary!$A422, Labels!$A:$A, 0)) = 0, "", INDEX(Labels!I:I, MATCH(Summary!$A422, Labels!$A:$A, 0)))</f>
        <v/>
      </c>
      <c r="X422" t="str">
        <f>IF(INDEX(Labels!J:J, MATCH(Summary!$A422, Labels!$A:$A, 0)) = 0, "", INDEX(Labels!J:J, MATCH(Summary!$A422, Labels!$A:$A, 0)))</f>
        <v/>
      </c>
    </row>
    <row r="423" spans="1:24" x14ac:dyDescent="0.2">
      <c r="A423" s="33">
        <f>Labels!A424</f>
        <v>417</v>
      </c>
      <c r="B423" s="34">
        <f>INDEX(EchoData!B:B, MATCH(Summary!$A423, EchoData!$A:$A, 0))</f>
        <v>421</v>
      </c>
      <c r="C423" s="35">
        <f>INDEX(EchoData!C:C, MATCH(Summary!$A423, EchoData!$A:$A, 0))</f>
        <v>422</v>
      </c>
      <c r="D423" s="42">
        <f>INDEX(Displacements!B:B, MATCH(Summary!$B423, Displacements!$A:$A, 0))</f>
        <v>620.11599999999999</v>
      </c>
      <c r="E423" s="43">
        <f>INDEX(Displacements!C:C, MATCH(Summary!$B423, Displacements!$A:$A, 0))</f>
        <v>0</v>
      </c>
      <c r="F423" s="44">
        <f>INDEX(Displacements!D:D, MATCH(Summary!$B423, Displacements!$A:$A, 0))</f>
        <v>0</v>
      </c>
      <c r="G423" s="42">
        <f>INDEX(Displacements!B:B, MATCH(Summary!$C423, Displacements!$A:$A, 0))</f>
        <v>625.072</v>
      </c>
      <c r="H423" s="43">
        <f>INDEX(Displacements!C:C, MATCH(Summary!$C423, Displacements!$A:$A, 0))</f>
        <v>0</v>
      </c>
      <c r="I423" s="44">
        <f>INDEX(Displacements!D:D, MATCH(Summary!$C423, Displacements!$A:$A, 0))</f>
        <v>0</v>
      </c>
      <c r="J423" s="42">
        <f t="shared" si="12"/>
        <v>4.9560000000000173</v>
      </c>
      <c r="K423" s="49">
        <f t="shared" si="13"/>
        <v>1</v>
      </c>
      <c r="L423" s="54">
        <f>INDEX('Forces+Stresses'!C:C, MATCH(Summary!$A423, 'Forces+Stresses'!$A:$A, 0))</f>
        <v>3091</v>
      </c>
      <c r="M423" s="55">
        <f>INDEX('Forces+Stresses'!D:D, MATCH(Summary!$A423, 'Forces+Stresses'!$A:$A, 0))</f>
        <v>3091</v>
      </c>
      <c r="N423" s="55">
        <f>IFERROR(INDEX('Forces+Stresses'!Q:Q, MATCH(Summary!$A423, 'Forces+Stresses'!$A:$A, 0)), INDEX(Flexjoints!D:D, MATCH(Summary!$A423, Flexjoints!$A:$A, 0)))</f>
        <v>3.4789999999999996E-8</v>
      </c>
      <c r="O423" s="56">
        <f>IFERROR(INDEX('Forces+Stresses'!R:R, MATCH(Summary!$A423, 'Forces+Stresses'!$A:$A, 0)), INDEX(Flexjoints!E:E, MATCH(Summary!$A423, Flexjoints!$A:$A, 0)))</f>
        <v>1.5540000000000001E-6</v>
      </c>
      <c r="P423" s="33" t="str">
        <f>IF(INDEX(Labels!B:B, MATCH(Summary!$A423, Labels!$A:$A, 0)) = 0, "", INDEX(Labels!B:B, MATCH(Summary!$A423, Labels!$A:$A, 0)))</f>
        <v>{Marine Riser String}</v>
      </c>
      <c r="Q423" s="35" t="str">
        <f>IF(INDEX(Labels!C:C, MATCH(Summary!$A423, Labels!$A:$A, 0)) = 0, "", INDEX(Labels!C:C, MATCH(Summary!$A423, Labels!$A:$A, 0)))</f>
        <v>{75ft 2500ft 0.875in Buoyant}</v>
      </c>
      <c r="R423" s="33" t="str">
        <f>IF(INDEX(Labels!D:D, MATCH(Summary!$A423, Labels!$A:$A, 0)) = 0, "", INDEX(Labels!D:D, MATCH(Summary!$A423, Labels!$A:$A, 0)))</f>
        <v/>
      </c>
      <c r="S423" s="35" t="str">
        <f>IF(INDEX(Labels!E:E, MATCH(Summary!$A423, Labels!$A:$A, 0)) = 0, "", INDEX(Labels!E:E, MATCH(Summary!$A423, Labels!$A:$A, 0)))</f>
        <v/>
      </c>
      <c r="T423" s="33" t="str">
        <f>IF(INDEX(Labels!F:F, MATCH(Summary!$A423, Labels!$A:$A, 0)) = 0, "", INDEX(Labels!F:F, MATCH(Summary!$A423, Labels!$A:$A, 0)))</f>
        <v/>
      </c>
      <c r="U423" s="35" t="str">
        <f>IF(INDEX(Labels!G:G, MATCH(Summary!$A423, Labels!$A:$A, 0)) = 0, "", INDEX(Labels!G:G, MATCH(Summary!$A423, Labels!$A:$A, 0)))</f>
        <v/>
      </c>
      <c r="V423" s="62" t="str">
        <f>IF(INDEX(Labels!H:H, MATCH(Summary!$A423, Labels!$A:$A, 0)) = 0, "", INDEX(Labels!H:H, MATCH(Summary!$A423, Labels!$A:$A, 0)))</f>
        <v/>
      </c>
      <c r="W423" t="str">
        <f>IF(INDEX(Labels!I:I, MATCH(Summary!$A423, Labels!$A:$A, 0)) = 0, "", INDEX(Labels!I:I, MATCH(Summary!$A423, Labels!$A:$A, 0)))</f>
        <v/>
      </c>
      <c r="X423" t="str">
        <f>IF(INDEX(Labels!J:J, MATCH(Summary!$A423, Labels!$A:$A, 0)) = 0, "", INDEX(Labels!J:J, MATCH(Summary!$A423, Labels!$A:$A, 0)))</f>
        <v/>
      </c>
    </row>
    <row r="424" spans="1:24" x14ac:dyDescent="0.2">
      <c r="A424" s="33">
        <f>Labels!A425</f>
        <v>418</v>
      </c>
      <c r="B424" s="34">
        <f>INDEX(EchoData!B:B, MATCH(Summary!$A424, EchoData!$A:$A, 0))</f>
        <v>422</v>
      </c>
      <c r="C424" s="35">
        <f>INDEX(EchoData!C:C, MATCH(Summary!$A424, EchoData!$A:$A, 0))</f>
        <v>423</v>
      </c>
      <c r="D424" s="42">
        <f>INDEX(Displacements!B:B, MATCH(Summary!$B424, Displacements!$A:$A, 0))</f>
        <v>625.072</v>
      </c>
      <c r="E424" s="43">
        <f>INDEX(Displacements!C:C, MATCH(Summary!$B424, Displacements!$A:$A, 0))</f>
        <v>0</v>
      </c>
      <c r="F424" s="44">
        <f>INDEX(Displacements!D:D, MATCH(Summary!$B424, Displacements!$A:$A, 0))</f>
        <v>0</v>
      </c>
      <c r="G424" s="42">
        <f>INDEX(Displacements!B:B, MATCH(Summary!$C424, Displacements!$A:$A, 0))</f>
        <v>630.02800000000002</v>
      </c>
      <c r="H424" s="43">
        <f>INDEX(Displacements!C:C, MATCH(Summary!$C424, Displacements!$A:$A, 0))</f>
        <v>0</v>
      </c>
      <c r="I424" s="44">
        <f>INDEX(Displacements!D:D, MATCH(Summary!$C424, Displacements!$A:$A, 0))</f>
        <v>0</v>
      </c>
      <c r="J424" s="42">
        <f t="shared" si="12"/>
        <v>4.9560000000000173</v>
      </c>
      <c r="K424" s="49">
        <f t="shared" si="13"/>
        <v>1</v>
      </c>
      <c r="L424" s="54">
        <f>INDEX('Forces+Stresses'!C:C, MATCH(Summary!$A424, 'Forces+Stresses'!$A:$A, 0))</f>
        <v>3097</v>
      </c>
      <c r="M424" s="55">
        <f>INDEX('Forces+Stresses'!D:D, MATCH(Summary!$A424, 'Forces+Stresses'!$A:$A, 0))</f>
        <v>3097</v>
      </c>
      <c r="N424" s="55">
        <f>IFERROR(INDEX('Forces+Stresses'!Q:Q, MATCH(Summary!$A424, 'Forces+Stresses'!$A:$A, 0)), INDEX(Flexjoints!D:D, MATCH(Summary!$A424, Flexjoints!$A:$A, 0)))</f>
        <v>3.208E-8</v>
      </c>
      <c r="O424" s="56">
        <f>IFERROR(INDEX('Forces+Stresses'!R:R, MATCH(Summary!$A424, 'Forces+Stresses'!$A:$A, 0)), INDEX(Flexjoints!E:E, MATCH(Summary!$A424, Flexjoints!$A:$A, 0)))</f>
        <v>1.7570000000000001E-6</v>
      </c>
      <c r="P424" s="33" t="str">
        <f>IF(INDEX(Labels!B:B, MATCH(Summary!$A424, Labels!$A:$A, 0)) = 0, "", INDEX(Labels!B:B, MATCH(Summary!$A424, Labels!$A:$A, 0)))</f>
        <v>{Marine Riser String}</v>
      </c>
      <c r="Q424" s="35" t="str">
        <f>IF(INDEX(Labels!C:C, MATCH(Summary!$A424, Labels!$A:$A, 0)) = 0, "", INDEX(Labels!C:C, MATCH(Summary!$A424, Labels!$A:$A, 0)))</f>
        <v>{75ft 2500ft 0.875in Buoyant}</v>
      </c>
      <c r="R424" s="33" t="str">
        <f>IF(INDEX(Labels!D:D, MATCH(Summary!$A424, Labels!$A:$A, 0)) = 0, "", INDEX(Labels!D:D, MATCH(Summary!$A424, Labels!$A:$A, 0)))</f>
        <v/>
      </c>
      <c r="S424" s="35" t="str">
        <f>IF(INDEX(Labels!E:E, MATCH(Summary!$A424, Labels!$A:$A, 0)) = 0, "", INDEX(Labels!E:E, MATCH(Summary!$A424, Labels!$A:$A, 0)))</f>
        <v/>
      </c>
      <c r="T424" s="33" t="str">
        <f>IF(INDEX(Labels!F:F, MATCH(Summary!$A424, Labels!$A:$A, 0)) = 0, "", INDEX(Labels!F:F, MATCH(Summary!$A424, Labels!$A:$A, 0)))</f>
        <v/>
      </c>
      <c r="U424" s="35" t="str">
        <f>IF(INDEX(Labels!G:G, MATCH(Summary!$A424, Labels!$A:$A, 0)) = 0, "", INDEX(Labels!G:G, MATCH(Summary!$A424, Labels!$A:$A, 0)))</f>
        <v/>
      </c>
      <c r="V424" s="62" t="str">
        <f>IF(INDEX(Labels!H:H, MATCH(Summary!$A424, Labels!$A:$A, 0)) = 0, "", INDEX(Labels!H:H, MATCH(Summary!$A424, Labels!$A:$A, 0)))</f>
        <v/>
      </c>
      <c r="W424" t="str">
        <f>IF(INDEX(Labels!I:I, MATCH(Summary!$A424, Labels!$A:$A, 0)) = 0, "", INDEX(Labels!I:I, MATCH(Summary!$A424, Labels!$A:$A, 0)))</f>
        <v/>
      </c>
      <c r="X424" t="str">
        <f>IF(INDEX(Labels!J:J, MATCH(Summary!$A424, Labels!$A:$A, 0)) = 0, "", INDEX(Labels!J:J, MATCH(Summary!$A424, Labels!$A:$A, 0)))</f>
        <v/>
      </c>
    </row>
    <row r="425" spans="1:24" x14ac:dyDescent="0.2">
      <c r="A425" s="33">
        <f>Labels!A426</f>
        <v>419</v>
      </c>
      <c r="B425" s="34">
        <f>INDEX(EchoData!B:B, MATCH(Summary!$A425, EchoData!$A:$A, 0))</f>
        <v>423</v>
      </c>
      <c r="C425" s="35">
        <f>INDEX(EchoData!C:C, MATCH(Summary!$A425, EchoData!$A:$A, 0))</f>
        <v>424</v>
      </c>
      <c r="D425" s="42">
        <f>INDEX(Displacements!B:B, MATCH(Summary!$B425, Displacements!$A:$A, 0))</f>
        <v>630.02800000000002</v>
      </c>
      <c r="E425" s="43">
        <f>INDEX(Displacements!C:C, MATCH(Summary!$B425, Displacements!$A:$A, 0))</f>
        <v>0</v>
      </c>
      <c r="F425" s="44">
        <f>INDEX(Displacements!D:D, MATCH(Summary!$B425, Displacements!$A:$A, 0))</f>
        <v>0</v>
      </c>
      <c r="G425" s="42">
        <f>INDEX(Displacements!B:B, MATCH(Summary!$C425, Displacements!$A:$A, 0))</f>
        <v>634.98400000000004</v>
      </c>
      <c r="H425" s="43">
        <f>INDEX(Displacements!C:C, MATCH(Summary!$C425, Displacements!$A:$A, 0))</f>
        <v>0</v>
      </c>
      <c r="I425" s="44">
        <f>INDEX(Displacements!D:D, MATCH(Summary!$C425, Displacements!$A:$A, 0))</f>
        <v>0</v>
      </c>
      <c r="J425" s="42">
        <f t="shared" si="12"/>
        <v>4.9560000000000173</v>
      </c>
      <c r="K425" s="49">
        <f t="shared" si="13"/>
        <v>1</v>
      </c>
      <c r="L425" s="54">
        <f>INDEX('Forces+Stresses'!C:C, MATCH(Summary!$A425, 'Forces+Stresses'!$A:$A, 0))</f>
        <v>3104</v>
      </c>
      <c r="M425" s="55">
        <f>INDEX('Forces+Stresses'!D:D, MATCH(Summary!$A425, 'Forces+Stresses'!$A:$A, 0))</f>
        <v>3104</v>
      </c>
      <c r="N425" s="55">
        <f>IFERROR(INDEX('Forces+Stresses'!Q:Q, MATCH(Summary!$A425, 'Forces+Stresses'!$A:$A, 0)), INDEX(Flexjoints!D:D, MATCH(Summary!$A425, Flexjoints!$A:$A, 0)))</f>
        <v>7.3430000000000003E-8</v>
      </c>
      <c r="O425" s="56">
        <f>IFERROR(INDEX('Forces+Stresses'!R:R, MATCH(Summary!$A425, 'Forces+Stresses'!$A:$A, 0)), INDEX(Flexjoints!E:E, MATCH(Summary!$A425, Flexjoints!$A:$A, 0)))</f>
        <v>1.6390000000000001E-6</v>
      </c>
      <c r="P425" s="33" t="str">
        <f>IF(INDEX(Labels!B:B, MATCH(Summary!$A425, Labels!$A:$A, 0)) = 0, "", INDEX(Labels!B:B, MATCH(Summary!$A425, Labels!$A:$A, 0)))</f>
        <v>{Marine Riser String}</v>
      </c>
      <c r="Q425" s="35" t="str">
        <f>IF(INDEX(Labels!C:C, MATCH(Summary!$A425, Labels!$A:$A, 0)) = 0, "", INDEX(Labels!C:C, MATCH(Summary!$A425, Labels!$A:$A, 0)))</f>
        <v>{75ft 2500ft 0.875in Buoyant}</v>
      </c>
      <c r="R425" s="33" t="str">
        <f>IF(INDEX(Labels!D:D, MATCH(Summary!$A425, Labels!$A:$A, 0)) = 0, "", INDEX(Labels!D:D, MATCH(Summary!$A425, Labels!$A:$A, 0)))</f>
        <v/>
      </c>
      <c r="S425" s="35" t="str">
        <f>IF(INDEX(Labels!E:E, MATCH(Summary!$A425, Labels!$A:$A, 0)) = 0, "", INDEX(Labels!E:E, MATCH(Summary!$A425, Labels!$A:$A, 0)))</f>
        <v/>
      </c>
      <c r="T425" s="33" t="str">
        <f>IF(INDEX(Labels!F:F, MATCH(Summary!$A425, Labels!$A:$A, 0)) = 0, "", INDEX(Labels!F:F, MATCH(Summary!$A425, Labels!$A:$A, 0)))</f>
        <v/>
      </c>
      <c r="U425" s="35" t="str">
        <f>IF(INDEX(Labels!G:G, MATCH(Summary!$A425, Labels!$A:$A, 0)) = 0, "", INDEX(Labels!G:G, MATCH(Summary!$A425, Labels!$A:$A, 0)))</f>
        <v/>
      </c>
      <c r="V425" s="62" t="str">
        <f>IF(INDEX(Labels!H:H, MATCH(Summary!$A425, Labels!$A:$A, 0)) = 0, "", INDEX(Labels!H:H, MATCH(Summary!$A425, Labels!$A:$A, 0)))</f>
        <v/>
      </c>
      <c r="W425" t="str">
        <f>IF(INDEX(Labels!I:I, MATCH(Summary!$A425, Labels!$A:$A, 0)) = 0, "", INDEX(Labels!I:I, MATCH(Summary!$A425, Labels!$A:$A, 0)))</f>
        <v/>
      </c>
      <c r="X425" t="str">
        <f>IF(INDEX(Labels!J:J, MATCH(Summary!$A425, Labels!$A:$A, 0)) = 0, "", INDEX(Labels!J:J, MATCH(Summary!$A425, Labels!$A:$A, 0)))</f>
        <v/>
      </c>
    </row>
    <row r="426" spans="1:24" x14ac:dyDescent="0.2">
      <c r="A426" s="33">
        <f>Labels!A427</f>
        <v>420</v>
      </c>
      <c r="B426" s="34">
        <f>INDEX(EchoData!B:B, MATCH(Summary!$A426, EchoData!$A:$A, 0))</f>
        <v>424</v>
      </c>
      <c r="C426" s="35">
        <f>INDEX(EchoData!C:C, MATCH(Summary!$A426, EchoData!$A:$A, 0))</f>
        <v>425</v>
      </c>
      <c r="D426" s="42">
        <f>INDEX(Displacements!B:B, MATCH(Summary!$B426, Displacements!$A:$A, 0))</f>
        <v>634.98400000000004</v>
      </c>
      <c r="E426" s="43">
        <f>INDEX(Displacements!C:C, MATCH(Summary!$B426, Displacements!$A:$A, 0))</f>
        <v>0</v>
      </c>
      <c r="F426" s="44">
        <f>INDEX(Displacements!D:D, MATCH(Summary!$B426, Displacements!$A:$A, 0))</f>
        <v>0</v>
      </c>
      <c r="G426" s="42">
        <f>INDEX(Displacements!B:B, MATCH(Summary!$C426, Displacements!$A:$A, 0))</f>
        <v>639.94000000000005</v>
      </c>
      <c r="H426" s="43">
        <f>INDEX(Displacements!C:C, MATCH(Summary!$C426, Displacements!$A:$A, 0))</f>
        <v>0</v>
      </c>
      <c r="I426" s="44">
        <f>INDEX(Displacements!D:D, MATCH(Summary!$C426, Displacements!$A:$A, 0))</f>
        <v>0</v>
      </c>
      <c r="J426" s="42">
        <f t="shared" si="12"/>
        <v>4.9560000000000173</v>
      </c>
      <c r="K426" s="49">
        <f t="shared" si="13"/>
        <v>1</v>
      </c>
      <c r="L426" s="54">
        <f>INDEX('Forces+Stresses'!C:C, MATCH(Summary!$A426, 'Forces+Stresses'!$A:$A, 0))</f>
        <v>3110</v>
      </c>
      <c r="M426" s="55">
        <f>INDEX('Forces+Stresses'!D:D, MATCH(Summary!$A426, 'Forces+Stresses'!$A:$A, 0))</f>
        <v>3110</v>
      </c>
      <c r="N426" s="55">
        <f>IFERROR(INDEX('Forces+Stresses'!Q:Q, MATCH(Summary!$A426, 'Forces+Stresses'!$A:$A, 0)), INDEX(Flexjoints!D:D, MATCH(Summary!$A426, Flexjoints!$A:$A, 0)))</f>
        <v>7.4679999999999991E-8</v>
      </c>
      <c r="O426" s="56">
        <f>IFERROR(INDEX('Forces+Stresses'!R:R, MATCH(Summary!$A426, 'Forces+Stresses'!$A:$A, 0)), INDEX(Flexjoints!E:E, MATCH(Summary!$A426, Flexjoints!$A:$A, 0)))</f>
        <v>1.584E-6</v>
      </c>
      <c r="P426" s="33" t="str">
        <f>IF(INDEX(Labels!B:B, MATCH(Summary!$A426, Labels!$A:$A, 0)) = 0, "", INDEX(Labels!B:B, MATCH(Summary!$A426, Labels!$A:$A, 0)))</f>
        <v>{Marine Riser String}</v>
      </c>
      <c r="Q426" s="35" t="str">
        <f>IF(INDEX(Labels!C:C, MATCH(Summary!$A426, Labels!$A:$A, 0)) = 0, "", INDEX(Labels!C:C, MATCH(Summary!$A426, Labels!$A:$A, 0)))</f>
        <v>{75ft 2500ft 0.875in Buoyant}</v>
      </c>
      <c r="R426" s="33" t="str">
        <f>IF(INDEX(Labels!D:D, MATCH(Summary!$A426, Labels!$A:$A, 0)) = 0, "", INDEX(Labels!D:D, MATCH(Summary!$A426, Labels!$A:$A, 0)))</f>
        <v/>
      </c>
      <c r="S426" s="35" t="str">
        <f>IF(INDEX(Labels!E:E, MATCH(Summary!$A426, Labels!$A:$A, 0)) = 0, "", INDEX(Labels!E:E, MATCH(Summary!$A426, Labels!$A:$A, 0)))</f>
        <v/>
      </c>
      <c r="T426" s="33" t="str">
        <f>IF(INDEX(Labels!F:F, MATCH(Summary!$A426, Labels!$A:$A, 0)) = 0, "", INDEX(Labels!F:F, MATCH(Summary!$A426, Labels!$A:$A, 0)))</f>
        <v/>
      </c>
      <c r="U426" s="35" t="str">
        <f>IF(INDEX(Labels!G:G, MATCH(Summary!$A426, Labels!$A:$A, 0)) = 0, "", INDEX(Labels!G:G, MATCH(Summary!$A426, Labels!$A:$A, 0)))</f>
        <v/>
      </c>
      <c r="V426" s="62" t="str">
        <f>IF(INDEX(Labels!H:H, MATCH(Summary!$A426, Labels!$A:$A, 0)) = 0, "", INDEX(Labels!H:H, MATCH(Summary!$A426, Labels!$A:$A, 0)))</f>
        <v/>
      </c>
      <c r="W426" t="str">
        <f>IF(INDEX(Labels!I:I, MATCH(Summary!$A426, Labels!$A:$A, 0)) = 0, "", INDEX(Labels!I:I, MATCH(Summary!$A426, Labels!$A:$A, 0)))</f>
        <v/>
      </c>
      <c r="X426" t="str">
        <f>IF(INDEX(Labels!J:J, MATCH(Summary!$A426, Labels!$A:$A, 0)) = 0, "", INDEX(Labels!J:J, MATCH(Summary!$A426, Labels!$A:$A, 0)))</f>
        <v/>
      </c>
    </row>
    <row r="427" spans="1:24" x14ac:dyDescent="0.2">
      <c r="A427" s="33">
        <f>Labels!A428</f>
        <v>421</v>
      </c>
      <c r="B427" s="34">
        <f>INDEX(EchoData!B:B, MATCH(Summary!$A427, EchoData!$A:$A, 0))</f>
        <v>425</v>
      </c>
      <c r="C427" s="35">
        <f>INDEX(EchoData!C:C, MATCH(Summary!$A427, EchoData!$A:$A, 0))</f>
        <v>426</v>
      </c>
      <c r="D427" s="42">
        <f>INDEX(Displacements!B:B, MATCH(Summary!$B427, Displacements!$A:$A, 0))</f>
        <v>639.94000000000005</v>
      </c>
      <c r="E427" s="43">
        <f>INDEX(Displacements!C:C, MATCH(Summary!$B427, Displacements!$A:$A, 0))</f>
        <v>0</v>
      </c>
      <c r="F427" s="44">
        <f>INDEX(Displacements!D:D, MATCH(Summary!$B427, Displacements!$A:$A, 0))</f>
        <v>0</v>
      </c>
      <c r="G427" s="42">
        <f>INDEX(Displacements!B:B, MATCH(Summary!$C427, Displacements!$A:$A, 0))</f>
        <v>644.89599999999996</v>
      </c>
      <c r="H427" s="43">
        <f>INDEX(Displacements!C:C, MATCH(Summary!$C427, Displacements!$A:$A, 0))</f>
        <v>0</v>
      </c>
      <c r="I427" s="44">
        <f>INDEX(Displacements!D:D, MATCH(Summary!$C427, Displacements!$A:$A, 0))</f>
        <v>0</v>
      </c>
      <c r="J427" s="42">
        <f t="shared" si="12"/>
        <v>4.9559999999999036</v>
      </c>
      <c r="K427" s="49">
        <f t="shared" si="13"/>
        <v>0.99999999999997702</v>
      </c>
      <c r="L427" s="54">
        <f>INDEX('Forces+Stresses'!C:C, MATCH(Summary!$A427, 'Forces+Stresses'!$A:$A, 0))</f>
        <v>3117</v>
      </c>
      <c r="M427" s="55">
        <f>INDEX('Forces+Stresses'!D:D, MATCH(Summary!$A427, 'Forces+Stresses'!$A:$A, 0))</f>
        <v>3117</v>
      </c>
      <c r="N427" s="55">
        <f>IFERROR(INDEX('Forces+Stresses'!Q:Q, MATCH(Summary!$A427, 'Forces+Stresses'!$A:$A, 0)), INDEX(Flexjoints!D:D, MATCH(Summary!$A427, Flexjoints!$A:$A, 0)))</f>
        <v>6.4759999999999992E-8</v>
      </c>
      <c r="O427" s="56">
        <f>IFERROR(INDEX('Forces+Stresses'!R:R, MATCH(Summary!$A427, 'Forces+Stresses'!$A:$A, 0)), INDEX(Flexjoints!E:E, MATCH(Summary!$A427, Flexjoints!$A:$A, 0)))</f>
        <v>1.6190000000000001E-6</v>
      </c>
      <c r="P427" s="33" t="str">
        <f>IF(INDEX(Labels!B:B, MATCH(Summary!$A427, Labels!$A:$A, 0)) = 0, "", INDEX(Labels!B:B, MATCH(Summary!$A427, Labels!$A:$A, 0)))</f>
        <v>{Marine Riser String}</v>
      </c>
      <c r="Q427" s="35" t="str">
        <f>IF(INDEX(Labels!C:C, MATCH(Summary!$A427, Labels!$A:$A, 0)) = 0, "", INDEX(Labels!C:C, MATCH(Summary!$A427, Labels!$A:$A, 0)))</f>
        <v>{75ft 2500ft 0.875in Buoyant}</v>
      </c>
      <c r="R427" s="33" t="str">
        <f>IF(INDEX(Labels!D:D, MATCH(Summary!$A427, Labels!$A:$A, 0)) = 0, "", INDEX(Labels!D:D, MATCH(Summary!$A427, Labels!$A:$A, 0)))</f>
        <v/>
      </c>
      <c r="S427" s="35" t="str">
        <f>IF(INDEX(Labels!E:E, MATCH(Summary!$A427, Labels!$A:$A, 0)) = 0, "", INDEX(Labels!E:E, MATCH(Summary!$A427, Labels!$A:$A, 0)))</f>
        <v/>
      </c>
      <c r="T427" s="33" t="str">
        <f>IF(INDEX(Labels!F:F, MATCH(Summary!$A427, Labels!$A:$A, 0)) = 0, "", INDEX(Labels!F:F, MATCH(Summary!$A427, Labels!$A:$A, 0)))</f>
        <v/>
      </c>
      <c r="U427" s="35" t="str">
        <f>IF(INDEX(Labels!G:G, MATCH(Summary!$A427, Labels!$A:$A, 0)) = 0, "", INDEX(Labels!G:G, MATCH(Summary!$A427, Labels!$A:$A, 0)))</f>
        <v/>
      </c>
      <c r="V427" s="62" t="str">
        <f>IF(INDEX(Labels!H:H, MATCH(Summary!$A427, Labels!$A:$A, 0)) = 0, "", INDEX(Labels!H:H, MATCH(Summary!$A427, Labels!$A:$A, 0)))</f>
        <v/>
      </c>
      <c r="W427" t="str">
        <f>IF(INDEX(Labels!I:I, MATCH(Summary!$A427, Labels!$A:$A, 0)) = 0, "", INDEX(Labels!I:I, MATCH(Summary!$A427, Labels!$A:$A, 0)))</f>
        <v/>
      </c>
      <c r="X427" t="str">
        <f>IF(INDEX(Labels!J:J, MATCH(Summary!$A427, Labels!$A:$A, 0)) = 0, "", INDEX(Labels!J:J, MATCH(Summary!$A427, Labels!$A:$A, 0)))</f>
        <v/>
      </c>
    </row>
    <row r="428" spans="1:24" x14ac:dyDescent="0.2">
      <c r="A428" s="33">
        <f>Labels!A429</f>
        <v>422</v>
      </c>
      <c r="B428" s="34">
        <f>INDEX(EchoData!B:B, MATCH(Summary!$A428, EchoData!$A:$A, 0))</f>
        <v>426</v>
      </c>
      <c r="C428" s="35">
        <f>INDEX(EchoData!C:C, MATCH(Summary!$A428, EchoData!$A:$A, 0))</f>
        <v>427</v>
      </c>
      <c r="D428" s="42">
        <f>INDEX(Displacements!B:B, MATCH(Summary!$B428, Displacements!$A:$A, 0))</f>
        <v>644.89599999999996</v>
      </c>
      <c r="E428" s="43">
        <f>INDEX(Displacements!C:C, MATCH(Summary!$B428, Displacements!$A:$A, 0))</f>
        <v>0</v>
      </c>
      <c r="F428" s="44">
        <f>INDEX(Displacements!D:D, MATCH(Summary!$B428, Displacements!$A:$A, 0))</f>
        <v>0</v>
      </c>
      <c r="G428" s="42">
        <f>INDEX(Displacements!B:B, MATCH(Summary!$C428, Displacements!$A:$A, 0))</f>
        <v>649.85199999999998</v>
      </c>
      <c r="H428" s="43">
        <f>INDEX(Displacements!C:C, MATCH(Summary!$C428, Displacements!$A:$A, 0))</f>
        <v>0</v>
      </c>
      <c r="I428" s="44">
        <f>INDEX(Displacements!D:D, MATCH(Summary!$C428, Displacements!$A:$A, 0))</f>
        <v>0</v>
      </c>
      <c r="J428" s="42">
        <f t="shared" si="12"/>
        <v>4.9560000000000173</v>
      </c>
      <c r="K428" s="49">
        <f t="shared" si="13"/>
        <v>1.0000000000000229</v>
      </c>
      <c r="L428" s="54">
        <f>INDEX('Forces+Stresses'!C:C, MATCH(Summary!$A428, 'Forces+Stresses'!$A:$A, 0))</f>
        <v>3123</v>
      </c>
      <c r="M428" s="55">
        <f>INDEX('Forces+Stresses'!D:D, MATCH(Summary!$A428, 'Forces+Stresses'!$A:$A, 0))</f>
        <v>3123</v>
      </c>
      <c r="N428" s="55">
        <f>IFERROR(INDEX('Forces+Stresses'!Q:Q, MATCH(Summary!$A428, 'Forces+Stresses'!$A:$A, 0)), INDEX(Flexjoints!D:D, MATCH(Summary!$A428, Flexjoints!$A:$A, 0)))</f>
        <v>9.1580000000000003E-8</v>
      </c>
      <c r="O428" s="56">
        <f>IFERROR(INDEX('Forces+Stresses'!R:R, MATCH(Summary!$A428, 'Forces+Stresses'!$A:$A, 0)), INDEX(Flexjoints!E:E, MATCH(Summary!$A428, Flexjoints!$A:$A, 0)))</f>
        <v>1.4339999999999999E-6</v>
      </c>
      <c r="P428" s="33" t="str">
        <f>IF(INDEX(Labels!B:B, MATCH(Summary!$A428, Labels!$A:$A, 0)) = 0, "", INDEX(Labels!B:B, MATCH(Summary!$A428, Labels!$A:$A, 0)))</f>
        <v>{Marine Riser String}</v>
      </c>
      <c r="Q428" s="35" t="str">
        <f>IF(INDEX(Labels!C:C, MATCH(Summary!$A428, Labels!$A:$A, 0)) = 0, "", INDEX(Labels!C:C, MATCH(Summary!$A428, Labels!$A:$A, 0)))</f>
        <v>{75ft 2500ft 0.875in Buoyant}</v>
      </c>
      <c r="R428" s="33" t="str">
        <f>IF(INDEX(Labels!D:D, MATCH(Summary!$A428, Labels!$A:$A, 0)) = 0, "", INDEX(Labels!D:D, MATCH(Summary!$A428, Labels!$A:$A, 0)))</f>
        <v/>
      </c>
      <c r="S428" s="35" t="str">
        <f>IF(INDEX(Labels!E:E, MATCH(Summary!$A428, Labels!$A:$A, 0)) = 0, "", INDEX(Labels!E:E, MATCH(Summary!$A428, Labels!$A:$A, 0)))</f>
        <v/>
      </c>
      <c r="T428" s="33" t="str">
        <f>IF(INDEX(Labels!F:F, MATCH(Summary!$A428, Labels!$A:$A, 0)) = 0, "", INDEX(Labels!F:F, MATCH(Summary!$A428, Labels!$A:$A, 0)))</f>
        <v/>
      </c>
      <c r="U428" s="35" t="str">
        <f>IF(INDEX(Labels!G:G, MATCH(Summary!$A428, Labels!$A:$A, 0)) = 0, "", INDEX(Labels!G:G, MATCH(Summary!$A428, Labels!$A:$A, 0)))</f>
        <v/>
      </c>
      <c r="V428" s="62" t="str">
        <f>IF(INDEX(Labels!H:H, MATCH(Summary!$A428, Labels!$A:$A, 0)) = 0, "", INDEX(Labels!H:H, MATCH(Summary!$A428, Labels!$A:$A, 0)))</f>
        <v/>
      </c>
      <c r="W428" t="str">
        <f>IF(INDEX(Labels!I:I, MATCH(Summary!$A428, Labels!$A:$A, 0)) = 0, "", INDEX(Labels!I:I, MATCH(Summary!$A428, Labels!$A:$A, 0)))</f>
        <v/>
      </c>
      <c r="X428" t="str">
        <f>IF(INDEX(Labels!J:J, MATCH(Summary!$A428, Labels!$A:$A, 0)) = 0, "", INDEX(Labels!J:J, MATCH(Summary!$A428, Labels!$A:$A, 0)))</f>
        <v/>
      </c>
    </row>
    <row r="429" spans="1:24" x14ac:dyDescent="0.2">
      <c r="A429" s="33">
        <f>Labels!A430</f>
        <v>423</v>
      </c>
      <c r="B429" s="34">
        <f>INDEX(EchoData!B:B, MATCH(Summary!$A429, EchoData!$A:$A, 0))</f>
        <v>427</v>
      </c>
      <c r="C429" s="35">
        <f>INDEX(EchoData!C:C, MATCH(Summary!$A429, EchoData!$A:$A, 0))</f>
        <v>428</v>
      </c>
      <c r="D429" s="42">
        <f>INDEX(Displacements!B:B, MATCH(Summary!$B429, Displacements!$A:$A, 0))</f>
        <v>649.85199999999998</v>
      </c>
      <c r="E429" s="43">
        <f>INDEX(Displacements!C:C, MATCH(Summary!$B429, Displacements!$A:$A, 0))</f>
        <v>0</v>
      </c>
      <c r="F429" s="44">
        <f>INDEX(Displacements!D:D, MATCH(Summary!$B429, Displacements!$A:$A, 0))</f>
        <v>0</v>
      </c>
      <c r="G429" s="42">
        <f>INDEX(Displacements!B:B, MATCH(Summary!$C429, Displacements!$A:$A, 0))</f>
        <v>654.80799999999999</v>
      </c>
      <c r="H429" s="43">
        <f>INDEX(Displacements!C:C, MATCH(Summary!$C429, Displacements!$A:$A, 0))</f>
        <v>0</v>
      </c>
      <c r="I429" s="44">
        <f>INDEX(Displacements!D:D, MATCH(Summary!$C429, Displacements!$A:$A, 0))</f>
        <v>0</v>
      </c>
      <c r="J429" s="42">
        <f t="shared" si="12"/>
        <v>4.9560000000000173</v>
      </c>
      <c r="K429" s="49">
        <f t="shared" si="13"/>
        <v>1</v>
      </c>
      <c r="L429" s="54">
        <f>INDEX('Forces+Stresses'!C:C, MATCH(Summary!$A429, 'Forces+Stresses'!$A:$A, 0))</f>
        <v>3130</v>
      </c>
      <c r="M429" s="55">
        <f>INDEX('Forces+Stresses'!D:D, MATCH(Summary!$A429, 'Forces+Stresses'!$A:$A, 0))</f>
        <v>3130</v>
      </c>
      <c r="N429" s="55">
        <f>IFERROR(INDEX('Forces+Stresses'!Q:Q, MATCH(Summary!$A429, 'Forces+Stresses'!$A:$A, 0)), INDEX(Flexjoints!D:D, MATCH(Summary!$A429, Flexjoints!$A:$A, 0)))</f>
        <v>9.9769999999999999E-8</v>
      </c>
      <c r="O429" s="56">
        <f>IFERROR(INDEX('Forces+Stresses'!R:R, MATCH(Summary!$A429, 'Forces+Stresses'!$A:$A, 0)), INDEX(Flexjoints!E:E, MATCH(Summary!$A429, Flexjoints!$A:$A, 0)))</f>
        <v>1.5169999999999998E-6</v>
      </c>
      <c r="P429" s="33" t="str">
        <f>IF(INDEX(Labels!B:B, MATCH(Summary!$A429, Labels!$A:$A, 0)) = 0, "", INDEX(Labels!B:B, MATCH(Summary!$A429, Labels!$A:$A, 0)))</f>
        <v>{Marine Riser String}</v>
      </c>
      <c r="Q429" s="35" t="str">
        <f>IF(INDEX(Labels!C:C, MATCH(Summary!$A429, Labels!$A:$A, 0)) = 0, "", INDEX(Labels!C:C, MATCH(Summary!$A429, Labels!$A:$A, 0)))</f>
        <v>{75ft 2500ft 0.875in Buoyant}</v>
      </c>
      <c r="R429" s="33" t="str">
        <f>IF(INDEX(Labels!D:D, MATCH(Summary!$A429, Labels!$A:$A, 0)) = 0, "", INDEX(Labels!D:D, MATCH(Summary!$A429, Labels!$A:$A, 0)))</f>
        <v/>
      </c>
      <c r="S429" s="35" t="str">
        <f>IF(INDEX(Labels!E:E, MATCH(Summary!$A429, Labels!$A:$A, 0)) = 0, "", INDEX(Labels!E:E, MATCH(Summary!$A429, Labels!$A:$A, 0)))</f>
        <v/>
      </c>
      <c r="T429" s="33" t="str">
        <f>IF(INDEX(Labels!F:F, MATCH(Summary!$A429, Labels!$A:$A, 0)) = 0, "", INDEX(Labels!F:F, MATCH(Summary!$A429, Labels!$A:$A, 0)))</f>
        <v/>
      </c>
      <c r="U429" s="35" t="str">
        <f>IF(INDEX(Labels!G:G, MATCH(Summary!$A429, Labels!$A:$A, 0)) = 0, "", INDEX(Labels!G:G, MATCH(Summary!$A429, Labels!$A:$A, 0)))</f>
        <v/>
      </c>
      <c r="V429" s="62" t="str">
        <f>IF(INDEX(Labels!H:H, MATCH(Summary!$A429, Labels!$A:$A, 0)) = 0, "", INDEX(Labels!H:H, MATCH(Summary!$A429, Labels!$A:$A, 0)))</f>
        <v/>
      </c>
      <c r="W429" t="str">
        <f>IF(INDEX(Labels!I:I, MATCH(Summary!$A429, Labels!$A:$A, 0)) = 0, "", INDEX(Labels!I:I, MATCH(Summary!$A429, Labels!$A:$A, 0)))</f>
        <v/>
      </c>
      <c r="X429" t="str">
        <f>IF(INDEX(Labels!J:J, MATCH(Summary!$A429, Labels!$A:$A, 0)) = 0, "", INDEX(Labels!J:J, MATCH(Summary!$A429, Labels!$A:$A, 0)))</f>
        <v/>
      </c>
    </row>
    <row r="430" spans="1:24" x14ac:dyDescent="0.2">
      <c r="A430" s="33">
        <f>Labels!A431</f>
        <v>424</v>
      </c>
      <c r="B430" s="34">
        <f>INDEX(EchoData!B:B, MATCH(Summary!$A430, EchoData!$A:$A, 0))</f>
        <v>428</v>
      </c>
      <c r="C430" s="35">
        <f>INDEX(EchoData!C:C, MATCH(Summary!$A430, EchoData!$A:$A, 0))</f>
        <v>429</v>
      </c>
      <c r="D430" s="42">
        <f>INDEX(Displacements!B:B, MATCH(Summary!$B430, Displacements!$A:$A, 0))</f>
        <v>654.80799999999999</v>
      </c>
      <c r="E430" s="43">
        <f>INDEX(Displacements!C:C, MATCH(Summary!$B430, Displacements!$A:$A, 0))</f>
        <v>0</v>
      </c>
      <c r="F430" s="44">
        <f>INDEX(Displacements!D:D, MATCH(Summary!$B430, Displacements!$A:$A, 0))</f>
        <v>0</v>
      </c>
      <c r="G430" s="42">
        <f>INDEX(Displacements!B:B, MATCH(Summary!$C430, Displacements!$A:$A, 0))</f>
        <v>659.76499999999999</v>
      </c>
      <c r="H430" s="43">
        <f>INDEX(Displacements!C:C, MATCH(Summary!$C430, Displacements!$A:$A, 0))</f>
        <v>0</v>
      </c>
      <c r="I430" s="44">
        <f>INDEX(Displacements!D:D, MATCH(Summary!$C430, Displacements!$A:$A, 0))</f>
        <v>0</v>
      </c>
      <c r="J430" s="42">
        <f t="shared" si="12"/>
        <v>4.9569999999999936</v>
      </c>
      <c r="K430" s="49">
        <f t="shared" si="13"/>
        <v>1.0002017756254997</v>
      </c>
      <c r="L430" s="54">
        <f>INDEX('Forces+Stresses'!C:C, MATCH(Summary!$A430, 'Forces+Stresses'!$A:$A, 0))</f>
        <v>3136</v>
      </c>
      <c r="M430" s="55">
        <f>INDEX('Forces+Stresses'!D:D, MATCH(Summary!$A430, 'Forces+Stresses'!$A:$A, 0))</f>
        <v>3136</v>
      </c>
      <c r="N430" s="55">
        <f>IFERROR(INDEX('Forces+Stresses'!Q:Q, MATCH(Summary!$A430, 'Forces+Stresses'!$A:$A, 0)), INDEX(Flexjoints!D:D, MATCH(Summary!$A430, Flexjoints!$A:$A, 0)))</f>
        <v>1.2490000000000001E-7</v>
      </c>
      <c r="O430" s="56">
        <f>IFERROR(INDEX('Forces+Stresses'!R:R, MATCH(Summary!$A430, 'Forces+Stresses'!$A:$A, 0)), INDEX(Flexjoints!E:E, MATCH(Summary!$A430, Flexjoints!$A:$A, 0)))</f>
        <v>1.609E-6</v>
      </c>
      <c r="P430" s="33" t="str">
        <f>IF(INDEX(Labels!B:B, MATCH(Summary!$A430, Labels!$A:$A, 0)) = 0, "", INDEX(Labels!B:B, MATCH(Summary!$A430, Labels!$A:$A, 0)))</f>
        <v>{Marine Riser String}</v>
      </c>
      <c r="Q430" s="35" t="str">
        <f>IF(INDEX(Labels!C:C, MATCH(Summary!$A430, Labels!$A:$A, 0)) = 0, "", INDEX(Labels!C:C, MATCH(Summary!$A430, Labels!$A:$A, 0)))</f>
        <v>{75ft 2500ft 0.875in Buoyant}</v>
      </c>
      <c r="R430" s="33" t="str">
        <f>IF(INDEX(Labels!D:D, MATCH(Summary!$A430, Labels!$A:$A, 0)) = 0, "", INDEX(Labels!D:D, MATCH(Summary!$A430, Labels!$A:$A, 0)))</f>
        <v/>
      </c>
      <c r="S430" s="35" t="str">
        <f>IF(INDEX(Labels!E:E, MATCH(Summary!$A430, Labels!$A:$A, 0)) = 0, "", INDEX(Labels!E:E, MATCH(Summary!$A430, Labels!$A:$A, 0)))</f>
        <v/>
      </c>
      <c r="T430" s="33" t="str">
        <f>IF(INDEX(Labels!F:F, MATCH(Summary!$A430, Labels!$A:$A, 0)) = 0, "", INDEX(Labels!F:F, MATCH(Summary!$A430, Labels!$A:$A, 0)))</f>
        <v/>
      </c>
      <c r="U430" s="35" t="str">
        <f>IF(INDEX(Labels!G:G, MATCH(Summary!$A430, Labels!$A:$A, 0)) = 0, "", INDEX(Labels!G:G, MATCH(Summary!$A430, Labels!$A:$A, 0)))</f>
        <v/>
      </c>
      <c r="V430" s="62" t="str">
        <f>IF(INDEX(Labels!H:H, MATCH(Summary!$A430, Labels!$A:$A, 0)) = 0, "", INDEX(Labels!H:H, MATCH(Summary!$A430, Labels!$A:$A, 0)))</f>
        <v/>
      </c>
      <c r="W430" t="str">
        <f>IF(INDEX(Labels!I:I, MATCH(Summary!$A430, Labels!$A:$A, 0)) = 0, "", INDEX(Labels!I:I, MATCH(Summary!$A430, Labels!$A:$A, 0)))</f>
        <v/>
      </c>
      <c r="X430" t="str">
        <f>IF(INDEX(Labels!J:J, MATCH(Summary!$A430, Labels!$A:$A, 0)) = 0, "", INDEX(Labels!J:J, MATCH(Summary!$A430, Labels!$A:$A, 0)))</f>
        <v/>
      </c>
    </row>
    <row r="431" spans="1:24" x14ac:dyDescent="0.2">
      <c r="A431" s="33">
        <f>Labels!A432</f>
        <v>425</v>
      </c>
      <c r="B431" s="34">
        <f>INDEX(EchoData!B:B, MATCH(Summary!$A431, EchoData!$A:$A, 0))</f>
        <v>429</v>
      </c>
      <c r="C431" s="35">
        <f>INDEX(EchoData!C:C, MATCH(Summary!$A431, EchoData!$A:$A, 0))</f>
        <v>430</v>
      </c>
      <c r="D431" s="42">
        <f>INDEX(Displacements!B:B, MATCH(Summary!$B431, Displacements!$A:$A, 0))</f>
        <v>659.76499999999999</v>
      </c>
      <c r="E431" s="43">
        <f>INDEX(Displacements!C:C, MATCH(Summary!$B431, Displacements!$A:$A, 0))</f>
        <v>0</v>
      </c>
      <c r="F431" s="44">
        <f>INDEX(Displacements!D:D, MATCH(Summary!$B431, Displacements!$A:$A, 0))</f>
        <v>0</v>
      </c>
      <c r="G431" s="42">
        <f>INDEX(Displacements!B:B, MATCH(Summary!$C431, Displacements!$A:$A, 0))</f>
        <v>664.721</v>
      </c>
      <c r="H431" s="43">
        <f>INDEX(Displacements!C:C, MATCH(Summary!$C431, Displacements!$A:$A, 0))</f>
        <v>0</v>
      </c>
      <c r="I431" s="44">
        <f>INDEX(Displacements!D:D, MATCH(Summary!$C431, Displacements!$A:$A, 0))</f>
        <v>0</v>
      </c>
      <c r="J431" s="42">
        <f t="shared" si="12"/>
        <v>4.9560000000000173</v>
      </c>
      <c r="K431" s="49">
        <f t="shared" si="13"/>
        <v>0.99979826507969005</v>
      </c>
      <c r="L431" s="54">
        <f>INDEX('Forces+Stresses'!C:C, MATCH(Summary!$A431, 'Forces+Stresses'!$A:$A, 0))</f>
        <v>3143</v>
      </c>
      <c r="M431" s="55">
        <f>INDEX('Forces+Stresses'!D:D, MATCH(Summary!$A431, 'Forces+Stresses'!$A:$A, 0))</f>
        <v>3143</v>
      </c>
      <c r="N431" s="55">
        <f>IFERROR(INDEX('Forces+Stresses'!Q:Q, MATCH(Summary!$A431, 'Forces+Stresses'!$A:$A, 0)), INDEX(Flexjoints!D:D, MATCH(Summary!$A431, Flexjoints!$A:$A, 0)))</f>
        <v>1.5160000000000001E-7</v>
      </c>
      <c r="O431" s="56">
        <f>IFERROR(INDEX('Forces+Stresses'!R:R, MATCH(Summary!$A431, 'Forces+Stresses'!$A:$A, 0)), INDEX(Flexjoints!E:E, MATCH(Summary!$A431, Flexjoints!$A:$A, 0)))</f>
        <v>1.525E-6</v>
      </c>
      <c r="P431" s="33" t="str">
        <f>IF(INDEX(Labels!B:B, MATCH(Summary!$A431, Labels!$A:$A, 0)) = 0, "", INDEX(Labels!B:B, MATCH(Summary!$A431, Labels!$A:$A, 0)))</f>
        <v>{Marine Riser String}</v>
      </c>
      <c r="Q431" s="35" t="str">
        <f>IF(INDEX(Labels!C:C, MATCH(Summary!$A431, Labels!$A:$A, 0)) = 0, "", INDEX(Labels!C:C, MATCH(Summary!$A431, Labels!$A:$A, 0)))</f>
        <v>{75ft 2500ft 0.875in Buoyant}</v>
      </c>
      <c r="R431" s="33" t="str">
        <f>IF(INDEX(Labels!D:D, MATCH(Summary!$A431, Labels!$A:$A, 0)) = 0, "", INDEX(Labels!D:D, MATCH(Summary!$A431, Labels!$A:$A, 0)))</f>
        <v/>
      </c>
      <c r="S431" s="35" t="str">
        <f>IF(INDEX(Labels!E:E, MATCH(Summary!$A431, Labels!$A:$A, 0)) = 0, "", INDEX(Labels!E:E, MATCH(Summary!$A431, Labels!$A:$A, 0)))</f>
        <v/>
      </c>
      <c r="T431" s="33" t="str">
        <f>IF(INDEX(Labels!F:F, MATCH(Summary!$A431, Labels!$A:$A, 0)) = 0, "", INDEX(Labels!F:F, MATCH(Summary!$A431, Labels!$A:$A, 0)))</f>
        <v/>
      </c>
      <c r="U431" s="35" t="str">
        <f>IF(INDEX(Labels!G:G, MATCH(Summary!$A431, Labels!$A:$A, 0)) = 0, "", INDEX(Labels!G:G, MATCH(Summary!$A431, Labels!$A:$A, 0)))</f>
        <v/>
      </c>
      <c r="V431" s="62" t="str">
        <f>IF(INDEX(Labels!H:H, MATCH(Summary!$A431, Labels!$A:$A, 0)) = 0, "", INDEX(Labels!H:H, MATCH(Summary!$A431, Labels!$A:$A, 0)))</f>
        <v/>
      </c>
      <c r="W431" t="str">
        <f>IF(INDEX(Labels!I:I, MATCH(Summary!$A431, Labels!$A:$A, 0)) = 0, "", INDEX(Labels!I:I, MATCH(Summary!$A431, Labels!$A:$A, 0)))</f>
        <v/>
      </c>
      <c r="X431" t="str">
        <f>IF(INDEX(Labels!J:J, MATCH(Summary!$A431, Labels!$A:$A, 0)) = 0, "", INDEX(Labels!J:J, MATCH(Summary!$A431, Labels!$A:$A, 0)))</f>
        <v/>
      </c>
    </row>
    <row r="432" spans="1:24" x14ac:dyDescent="0.2">
      <c r="A432" s="33">
        <f>Labels!A433</f>
        <v>426</v>
      </c>
      <c r="B432" s="34">
        <f>INDEX(EchoData!B:B, MATCH(Summary!$A432, EchoData!$A:$A, 0))</f>
        <v>430</v>
      </c>
      <c r="C432" s="35">
        <f>INDEX(EchoData!C:C, MATCH(Summary!$A432, EchoData!$A:$A, 0))</f>
        <v>431</v>
      </c>
      <c r="D432" s="42">
        <f>INDEX(Displacements!B:B, MATCH(Summary!$B432, Displacements!$A:$A, 0))</f>
        <v>664.721</v>
      </c>
      <c r="E432" s="43">
        <f>INDEX(Displacements!C:C, MATCH(Summary!$B432, Displacements!$A:$A, 0))</f>
        <v>0</v>
      </c>
      <c r="F432" s="44">
        <f>INDEX(Displacements!D:D, MATCH(Summary!$B432, Displacements!$A:$A, 0))</f>
        <v>0</v>
      </c>
      <c r="G432" s="42">
        <f>INDEX(Displacements!B:B, MATCH(Summary!$C432, Displacements!$A:$A, 0))</f>
        <v>669.67700000000002</v>
      </c>
      <c r="H432" s="43">
        <f>INDEX(Displacements!C:C, MATCH(Summary!$C432, Displacements!$A:$A, 0))</f>
        <v>0</v>
      </c>
      <c r="I432" s="44">
        <f>INDEX(Displacements!D:D, MATCH(Summary!$C432, Displacements!$A:$A, 0))</f>
        <v>0</v>
      </c>
      <c r="J432" s="42">
        <f t="shared" si="12"/>
        <v>4.9560000000000173</v>
      </c>
      <c r="K432" s="49">
        <f t="shared" si="13"/>
        <v>1</v>
      </c>
      <c r="L432" s="54">
        <f>INDEX('Forces+Stresses'!C:C, MATCH(Summary!$A432, 'Forces+Stresses'!$A:$A, 0))</f>
        <v>3150</v>
      </c>
      <c r="M432" s="55">
        <f>INDEX('Forces+Stresses'!D:D, MATCH(Summary!$A432, 'Forces+Stresses'!$A:$A, 0))</f>
        <v>3150</v>
      </c>
      <c r="N432" s="55">
        <f>IFERROR(INDEX('Forces+Stresses'!Q:Q, MATCH(Summary!$A432, 'Forces+Stresses'!$A:$A, 0)), INDEX(Flexjoints!D:D, MATCH(Summary!$A432, Flexjoints!$A:$A, 0)))</f>
        <v>4.8879999999999998E-8</v>
      </c>
      <c r="O432" s="56">
        <f>IFERROR(INDEX('Forces+Stresses'!R:R, MATCH(Summary!$A432, 'Forces+Stresses'!$A:$A, 0)), INDEX(Flexjoints!E:E, MATCH(Summary!$A432, Flexjoints!$A:$A, 0)))</f>
        <v>1.7210000000000001E-6</v>
      </c>
      <c r="P432" s="33" t="str">
        <f>IF(INDEX(Labels!B:B, MATCH(Summary!$A432, Labels!$A:$A, 0)) = 0, "", INDEX(Labels!B:B, MATCH(Summary!$A432, Labels!$A:$A, 0)))</f>
        <v>{Marine Riser String}</v>
      </c>
      <c r="Q432" s="35" t="str">
        <f>IF(INDEX(Labels!C:C, MATCH(Summary!$A432, Labels!$A:$A, 0)) = 0, "", INDEX(Labels!C:C, MATCH(Summary!$A432, Labels!$A:$A, 0)))</f>
        <v>{75ft 2500ft 0.875in Buoyant}</v>
      </c>
      <c r="R432" s="33" t="str">
        <f>IF(INDEX(Labels!D:D, MATCH(Summary!$A432, Labels!$A:$A, 0)) = 0, "", INDEX(Labels!D:D, MATCH(Summary!$A432, Labels!$A:$A, 0)))</f>
        <v/>
      </c>
      <c r="S432" s="35" t="str">
        <f>IF(INDEX(Labels!E:E, MATCH(Summary!$A432, Labels!$A:$A, 0)) = 0, "", INDEX(Labels!E:E, MATCH(Summary!$A432, Labels!$A:$A, 0)))</f>
        <v/>
      </c>
      <c r="T432" s="33" t="str">
        <f>IF(INDEX(Labels!F:F, MATCH(Summary!$A432, Labels!$A:$A, 0)) = 0, "", INDEX(Labels!F:F, MATCH(Summary!$A432, Labels!$A:$A, 0)))</f>
        <v/>
      </c>
      <c r="U432" s="35" t="str">
        <f>IF(INDEX(Labels!G:G, MATCH(Summary!$A432, Labels!$A:$A, 0)) = 0, "", INDEX(Labels!G:G, MATCH(Summary!$A432, Labels!$A:$A, 0)))</f>
        <v/>
      </c>
      <c r="V432" s="62" t="str">
        <f>IF(INDEX(Labels!H:H, MATCH(Summary!$A432, Labels!$A:$A, 0)) = 0, "", INDEX(Labels!H:H, MATCH(Summary!$A432, Labels!$A:$A, 0)))</f>
        <v/>
      </c>
      <c r="W432" t="str">
        <f>IF(INDEX(Labels!I:I, MATCH(Summary!$A432, Labels!$A:$A, 0)) = 0, "", INDEX(Labels!I:I, MATCH(Summary!$A432, Labels!$A:$A, 0)))</f>
        <v/>
      </c>
      <c r="X432" t="str">
        <f>IF(INDEX(Labels!J:J, MATCH(Summary!$A432, Labels!$A:$A, 0)) = 0, "", INDEX(Labels!J:J, MATCH(Summary!$A432, Labels!$A:$A, 0)))</f>
        <v/>
      </c>
    </row>
    <row r="433" spans="1:24" x14ac:dyDescent="0.2">
      <c r="A433" s="33">
        <f>Labels!A434</f>
        <v>427</v>
      </c>
      <c r="B433" s="34">
        <f>INDEX(EchoData!B:B, MATCH(Summary!$A433, EchoData!$A:$A, 0))</f>
        <v>431</v>
      </c>
      <c r="C433" s="35">
        <f>INDEX(EchoData!C:C, MATCH(Summary!$A433, EchoData!$A:$A, 0))</f>
        <v>432</v>
      </c>
      <c r="D433" s="42">
        <f>INDEX(Displacements!B:B, MATCH(Summary!$B433, Displacements!$A:$A, 0))</f>
        <v>669.67700000000002</v>
      </c>
      <c r="E433" s="43">
        <f>INDEX(Displacements!C:C, MATCH(Summary!$B433, Displacements!$A:$A, 0))</f>
        <v>0</v>
      </c>
      <c r="F433" s="44">
        <f>INDEX(Displacements!D:D, MATCH(Summary!$B433, Displacements!$A:$A, 0))</f>
        <v>0</v>
      </c>
      <c r="G433" s="42">
        <f>INDEX(Displacements!B:B, MATCH(Summary!$C433, Displacements!$A:$A, 0))</f>
        <v>674.63300000000004</v>
      </c>
      <c r="H433" s="43">
        <f>INDEX(Displacements!C:C, MATCH(Summary!$C433, Displacements!$A:$A, 0))</f>
        <v>0</v>
      </c>
      <c r="I433" s="44">
        <f>INDEX(Displacements!D:D, MATCH(Summary!$C433, Displacements!$A:$A, 0))</f>
        <v>0</v>
      </c>
      <c r="J433" s="42">
        <f t="shared" si="12"/>
        <v>4.9560000000000173</v>
      </c>
      <c r="K433" s="49">
        <f t="shared" si="13"/>
        <v>1</v>
      </c>
      <c r="L433" s="54">
        <f>INDEX('Forces+Stresses'!C:C, MATCH(Summary!$A433, 'Forces+Stresses'!$A:$A, 0))</f>
        <v>3156</v>
      </c>
      <c r="M433" s="55">
        <f>INDEX('Forces+Stresses'!D:D, MATCH(Summary!$A433, 'Forces+Stresses'!$A:$A, 0))</f>
        <v>3156</v>
      </c>
      <c r="N433" s="55">
        <f>IFERROR(INDEX('Forces+Stresses'!Q:Q, MATCH(Summary!$A433, 'Forces+Stresses'!$A:$A, 0)), INDEX(Flexjoints!D:D, MATCH(Summary!$A433, Flexjoints!$A:$A, 0)))</f>
        <v>6.7559999999999991E-8</v>
      </c>
      <c r="O433" s="56">
        <f>IFERROR(INDEX('Forces+Stresses'!R:R, MATCH(Summary!$A433, 'Forces+Stresses'!$A:$A, 0)), INDEX(Flexjoints!E:E, MATCH(Summary!$A433, Flexjoints!$A:$A, 0)))</f>
        <v>1.846E-6</v>
      </c>
      <c r="P433" s="33" t="str">
        <f>IF(INDEX(Labels!B:B, MATCH(Summary!$A433, Labels!$A:$A, 0)) = 0, "", INDEX(Labels!B:B, MATCH(Summary!$A433, Labels!$A:$A, 0)))</f>
        <v>{Marine Riser String}</v>
      </c>
      <c r="Q433" s="35" t="str">
        <f>IF(INDEX(Labels!C:C, MATCH(Summary!$A433, Labels!$A:$A, 0)) = 0, "", INDEX(Labels!C:C, MATCH(Summary!$A433, Labels!$A:$A, 0)))</f>
        <v>{75ft 2500ft 0.875in Buoyant}</v>
      </c>
      <c r="R433" s="33" t="str">
        <f>IF(INDEX(Labels!D:D, MATCH(Summary!$A433, Labels!$A:$A, 0)) = 0, "", INDEX(Labels!D:D, MATCH(Summary!$A433, Labels!$A:$A, 0)))</f>
        <v/>
      </c>
      <c r="S433" s="35" t="str">
        <f>IF(INDEX(Labels!E:E, MATCH(Summary!$A433, Labels!$A:$A, 0)) = 0, "", INDEX(Labels!E:E, MATCH(Summary!$A433, Labels!$A:$A, 0)))</f>
        <v/>
      </c>
      <c r="T433" s="33" t="str">
        <f>IF(INDEX(Labels!F:F, MATCH(Summary!$A433, Labels!$A:$A, 0)) = 0, "", INDEX(Labels!F:F, MATCH(Summary!$A433, Labels!$A:$A, 0)))</f>
        <v/>
      </c>
      <c r="U433" s="35" t="str">
        <f>IF(INDEX(Labels!G:G, MATCH(Summary!$A433, Labels!$A:$A, 0)) = 0, "", INDEX(Labels!G:G, MATCH(Summary!$A433, Labels!$A:$A, 0)))</f>
        <v/>
      </c>
      <c r="V433" s="62" t="str">
        <f>IF(INDEX(Labels!H:H, MATCH(Summary!$A433, Labels!$A:$A, 0)) = 0, "", INDEX(Labels!H:H, MATCH(Summary!$A433, Labels!$A:$A, 0)))</f>
        <v/>
      </c>
      <c r="W433" t="str">
        <f>IF(INDEX(Labels!I:I, MATCH(Summary!$A433, Labels!$A:$A, 0)) = 0, "", INDEX(Labels!I:I, MATCH(Summary!$A433, Labels!$A:$A, 0)))</f>
        <v/>
      </c>
      <c r="X433" t="str">
        <f>IF(INDEX(Labels!J:J, MATCH(Summary!$A433, Labels!$A:$A, 0)) = 0, "", INDEX(Labels!J:J, MATCH(Summary!$A433, Labels!$A:$A, 0)))</f>
        <v/>
      </c>
    </row>
    <row r="434" spans="1:24" x14ac:dyDescent="0.2">
      <c r="A434" s="33">
        <f>Labels!A435</f>
        <v>428</v>
      </c>
      <c r="B434" s="34">
        <f>INDEX(EchoData!B:B, MATCH(Summary!$A434, EchoData!$A:$A, 0))</f>
        <v>432</v>
      </c>
      <c r="C434" s="35">
        <f>INDEX(EchoData!C:C, MATCH(Summary!$A434, EchoData!$A:$A, 0))</f>
        <v>433</v>
      </c>
      <c r="D434" s="42">
        <f>INDEX(Displacements!B:B, MATCH(Summary!$B434, Displacements!$A:$A, 0))</f>
        <v>674.63300000000004</v>
      </c>
      <c r="E434" s="43">
        <f>INDEX(Displacements!C:C, MATCH(Summary!$B434, Displacements!$A:$A, 0))</f>
        <v>0</v>
      </c>
      <c r="F434" s="44">
        <f>INDEX(Displacements!D:D, MATCH(Summary!$B434, Displacements!$A:$A, 0))</f>
        <v>0</v>
      </c>
      <c r="G434" s="42">
        <f>INDEX(Displacements!B:B, MATCH(Summary!$C434, Displacements!$A:$A, 0))</f>
        <v>679.58900000000006</v>
      </c>
      <c r="H434" s="43">
        <f>INDEX(Displacements!C:C, MATCH(Summary!$C434, Displacements!$A:$A, 0))</f>
        <v>0</v>
      </c>
      <c r="I434" s="44">
        <f>INDEX(Displacements!D:D, MATCH(Summary!$C434, Displacements!$A:$A, 0))</f>
        <v>0</v>
      </c>
      <c r="J434" s="42">
        <f t="shared" si="12"/>
        <v>4.9560000000000173</v>
      </c>
      <c r="K434" s="49">
        <f t="shared" si="13"/>
        <v>1</v>
      </c>
      <c r="L434" s="54">
        <f>INDEX('Forces+Stresses'!C:C, MATCH(Summary!$A434, 'Forces+Stresses'!$A:$A, 0))</f>
        <v>3163</v>
      </c>
      <c r="M434" s="55">
        <f>INDEX('Forces+Stresses'!D:D, MATCH(Summary!$A434, 'Forces+Stresses'!$A:$A, 0))</f>
        <v>3163</v>
      </c>
      <c r="N434" s="55">
        <f>IFERROR(INDEX('Forces+Stresses'!Q:Q, MATCH(Summary!$A434, 'Forces+Stresses'!$A:$A, 0)), INDEX(Flexjoints!D:D, MATCH(Summary!$A434, Flexjoints!$A:$A, 0)))</f>
        <v>1.08E-7</v>
      </c>
      <c r="O434" s="56">
        <f>IFERROR(INDEX('Forces+Stresses'!R:R, MATCH(Summary!$A434, 'Forces+Stresses'!$A:$A, 0)), INDEX(Flexjoints!E:E, MATCH(Summary!$A434, Flexjoints!$A:$A, 0)))</f>
        <v>1.7060000000000001E-6</v>
      </c>
      <c r="P434" s="33" t="str">
        <f>IF(INDEX(Labels!B:B, MATCH(Summary!$A434, Labels!$A:$A, 0)) = 0, "", INDEX(Labels!B:B, MATCH(Summary!$A434, Labels!$A:$A, 0)))</f>
        <v>{Marine Riser String}</v>
      </c>
      <c r="Q434" s="35" t="str">
        <f>IF(INDEX(Labels!C:C, MATCH(Summary!$A434, Labels!$A:$A, 0)) = 0, "", INDEX(Labels!C:C, MATCH(Summary!$A434, Labels!$A:$A, 0)))</f>
        <v>{75ft 2500ft 0.875in Buoyant}</v>
      </c>
      <c r="R434" s="33" t="str">
        <f>IF(INDEX(Labels!D:D, MATCH(Summary!$A434, Labels!$A:$A, 0)) = 0, "", INDEX(Labels!D:D, MATCH(Summary!$A434, Labels!$A:$A, 0)))</f>
        <v/>
      </c>
      <c r="S434" s="35" t="str">
        <f>IF(INDEX(Labels!E:E, MATCH(Summary!$A434, Labels!$A:$A, 0)) = 0, "", INDEX(Labels!E:E, MATCH(Summary!$A434, Labels!$A:$A, 0)))</f>
        <v/>
      </c>
      <c r="T434" s="33" t="str">
        <f>IF(INDEX(Labels!F:F, MATCH(Summary!$A434, Labels!$A:$A, 0)) = 0, "", INDEX(Labels!F:F, MATCH(Summary!$A434, Labels!$A:$A, 0)))</f>
        <v/>
      </c>
      <c r="U434" s="35" t="str">
        <f>IF(INDEX(Labels!G:G, MATCH(Summary!$A434, Labels!$A:$A, 0)) = 0, "", INDEX(Labels!G:G, MATCH(Summary!$A434, Labels!$A:$A, 0)))</f>
        <v/>
      </c>
      <c r="V434" s="62" t="str">
        <f>IF(INDEX(Labels!H:H, MATCH(Summary!$A434, Labels!$A:$A, 0)) = 0, "", INDEX(Labels!H:H, MATCH(Summary!$A434, Labels!$A:$A, 0)))</f>
        <v/>
      </c>
      <c r="W434" t="str">
        <f>IF(INDEX(Labels!I:I, MATCH(Summary!$A434, Labels!$A:$A, 0)) = 0, "", INDEX(Labels!I:I, MATCH(Summary!$A434, Labels!$A:$A, 0)))</f>
        <v/>
      </c>
      <c r="X434" t="str">
        <f>IF(INDEX(Labels!J:J, MATCH(Summary!$A434, Labels!$A:$A, 0)) = 0, "", INDEX(Labels!J:J, MATCH(Summary!$A434, Labels!$A:$A, 0)))</f>
        <v/>
      </c>
    </row>
    <row r="435" spans="1:24" x14ac:dyDescent="0.2">
      <c r="A435" s="33">
        <f>Labels!A436</f>
        <v>429</v>
      </c>
      <c r="B435" s="34">
        <f>INDEX(EchoData!B:B, MATCH(Summary!$A435, EchoData!$A:$A, 0))</f>
        <v>433</v>
      </c>
      <c r="C435" s="35">
        <f>INDEX(EchoData!C:C, MATCH(Summary!$A435, EchoData!$A:$A, 0))</f>
        <v>434</v>
      </c>
      <c r="D435" s="42">
        <f>INDEX(Displacements!B:B, MATCH(Summary!$B435, Displacements!$A:$A, 0))</f>
        <v>679.58900000000006</v>
      </c>
      <c r="E435" s="43">
        <f>INDEX(Displacements!C:C, MATCH(Summary!$B435, Displacements!$A:$A, 0))</f>
        <v>0</v>
      </c>
      <c r="F435" s="44">
        <f>INDEX(Displacements!D:D, MATCH(Summary!$B435, Displacements!$A:$A, 0))</f>
        <v>0</v>
      </c>
      <c r="G435" s="42">
        <f>INDEX(Displacements!B:B, MATCH(Summary!$C435, Displacements!$A:$A, 0))</f>
        <v>684.54499999999996</v>
      </c>
      <c r="H435" s="43">
        <f>INDEX(Displacements!C:C, MATCH(Summary!$C435, Displacements!$A:$A, 0))</f>
        <v>0</v>
      </c>
      <c r="I435" s="44">
        <f>INDEX(Displacements!D:D, MATCH(Summary!$C435, Displacements!$A:$A, 0))</f>
        <v>0</v>
      </c>
      <c r="J435" s="42">
        <f t="shared" si="12"/>
        <v>4.9559999999999036</v>
      </c>
      <c r="K435" s="49">
        <f t="shared" si="13"/>
        <v>0.99999999999997702</v>
      </c>
      <c r="L435" s="54">
        <f>INDEX('Forces+Stresses'!C:C, MATCH(Summary!$A435, 'Forces+Stresses'!$A:$A, 0))</f>
        <v>3169</v>
      </c>
      <c r="M435" s="55">
        <f>INDEX('Forces+Stresses'!D:D, MATCH(Summary!$A435, 'Forces+Stresses'!$A:$A, 0))</f>
        <v>3169</v>
      </c>
      <c r="N435" s="55">
        <f>IFERROR(INDEX('Forces+Stresses'!Q:Q, MATCH(Summary!$A435, 'Forces+Stresses'!$A:$A, 0)), INDEX(Flexjoints!D:D, MATCH(Summary!$A435, Flexjoints!$A:$A, 0)))</f>
        <v>1.504E-7</v>
      </c>
      <c r="O435" s="56">
        <f>IFERROR(INDEX('Forces+Stresses'!R:R, MATCH(Summary!$A435, 'Forces+Stresses'!$A:$A, 0)), INDEX(Flexjoints!E:E, MATCH(Summary!$A435, Flexjoints!$A:$A, 0)))</f>
        <v>1.6310000000000001E-6</v>
      </c>
      <c r="P435" s="33" t="str">
        <f>IF(INDEX(Labels!B:B, MATCH(Summary!$A435, Labels!$A:$A, 0)) = 0, "", INDEX(Labels!B:B, MATCH(Summary!$A435, Labels!$A:$A, 0)))</f>
        <v>{Marine Riser String}</v>
      </c>
      <c r="Q435" s="35" t="str">
        <f>IF(INDEX(Labels!C:C, MATCH(Summary!$A435, Labels!$A:$A, 0)) = 0, "", INDEX(Labels!C:C, MATCH(Summary!$A435, Labels!$A:$A, 0)))</f>
        <v>{75ft 2500ft 0.875in Buoyant}</v>
      </c>
      <c r="R435" s="33" t="str">
        <f>IF(INDEX(Labels!D:D, MATCH(Summary!$A435, Labels!$A:$A, 0)) = 0, "", INDEX(Labels!D:D, MATCH(Summary!$A435, Labels!$A:$A, 0)))</f>
        <v/>
      </c>
      <c r="S435" s="35" t="str">
        <f>IF(INDEX(Labels!E:E, MATCH(Summary!$A435, Labels!$A:$A, 0)) = 0, "", INDEX(Labels!E:E, MATCH(Summary!$A435, Labels!$A:$A, 0)))</f>
        <v/>
      </c>
      <c r="T435" s="33" t="str">
        <f>IF(INDEX(Labels!F:F, MATCH(Summary!$A435, Labels!$A:$A, 0)) = 0, "", INDEX(Labels!F:F, MATCH(Summary!$A435, Labels!$A:$A, 0)))</f>
        <v/>
      </c>
      <c r="U435" s="35" t="str">
        <f>IF(INDEX(Labels!G:G, MATCH(Summary!$A435, Labels!$A:$A, 0)) = 0, "", INDEX(Labels!G:G, MATCH(Summary!$A435, Labels!$A:$A, 0)))</f>
        <v/>
      </c>
      <c r="V435" s="62" t="str">
        <f>IF(INDEX(Labels!H:H, MATCH(Summary!$A435, Labels!$A:$A, 0)) = 0, "", INDEX(Labels!H:H, MATCH(Summary!$A435, Labels!$A:$A, 0)))</f>
        <v/>
      </c>
      <c r="W435" t="str">
        <f>IF(INDEX(Labels!I:I, MATCH(Summary!$A435, Labels!$A:$A, 0)) = 0, "", INDEX(Labels!I:I, MATCH(Summary!$A435, Labels!$A:$A, 0)))</f>
        <v/>
      </c>
      <c r="X435" t="str">
        <f>IF(INDEX(Labels!J:J, MATCH(Summary!$A435, Labels!$A:$A, 0)) = 0, "", INDEX(Labels!J:J, MATCH(Summary!$A435, Labels!$A:$A, 0)))</f>
        <v/>
      </c>
    </row>
    <row r="436" spans="1:24" x14ac:dyDescent="0.2">
      <c r="A436" s="33">
        <f>Labels!A437</f>
        <v>430</v>
      </c>
      <c r="B436" s="34">
        <f>INDEX(EchoData!B:B, MATCH(Summary!$A436, EchoData!$A:$A, 0))</f>
        <v>434</v>
      </c>
      <c r="C436" s="35">
        <f>INDEX(EchoData!C:C, MATCH(Summary!$A436, EchoData!$A:$A, 0))</f>
        <v>435</v>
      </c>
      <c r="D436" s="42">
        <f>INDEX(Displacements!B:B, MATCH(Summary!$B436, Displacements!$A:$A, 0))</f>
        <v>684.54499999999996</v>
      </c>
      <c r="E436" s="43">
        <f>INDEX(Displacements!C:C, MATCH(Summary!$B436, Displacements!$A:$A, 0))</f>
        <v>0</v>
      </c>
      <c r="F436" s="44">
        <f>INDEX(Displacements!D:D, MATCH(Summary!$B436, Displacements!$A:$A, 0))</f>
        <v>0</v>
      </c>
      <c r="G436" s="42">
        <f>INDEX(Displacements!B:B, MATCH(Summary!$C436, Displacements!$A:$A, 0))</f>
        <v>689.50099999999998</v>
      </c>
      <c r="H436" s="43">
        <f>INDEX(Displacements!C:C, MATCH(Summary!$C436, Displacements!$A:$A, 0))</f>
        <v>0</v>
      </c>
      <c r="I436" s="44">
        <f>INDEX(Displacements!D:D, MATCH(Summary!$C436, Displacements!$A:$A, 0))</f>
        <v>0</v>
      </c>
      <c r="J436" s="42">
        <f t="shared" si="12"/>
        <v>4.9560000000000173</v>
      </c>
      <c r="K436" s="49">
        <f t="shared" si="13"/>
        <v>1.0000000000000229</v>
      </c>
      <c r="L436" s="54">
        <f>INDEX('Forces+Stresses'!C:C, MATCH(Summary!$A436, 'Forces+Stresses'!$A:$A, 0))</f>
        <v>3176</v>
      </c>
      <c r="M436" s="55">
        <f>INDEX('Forces+Stresses'!D:D, MATCH(Summary!$A436, 'Forces+Stresses'!$A:$A, 0))</f>
        <v>3176</v>
      </c>
      <c r="N436" s="55">
        <f>IFERROR(INDEX('Forces+Stresses'!Q:Q, MATCH(Summary!$A436, 'Forces+Stresses'!$A:$A, 0)), INDEX(Flexjoints!D:D, MATCH(Summary!$A436, Flexjoints!$A:$A, 0)))</f>
        <v>9.5900000000000005E-8</v>
      </c>
      <c r="O436" s="56">
        <f>IFERROR(INDEX('Forces+Stresses'!R:R, MATCH(Summary!$A436, 'Forces+Stresses'!$A:$A, 0)), INDEX(Flexjoints!E:E, MATCH(Summary!$A436, Flexjoints!$A:$A, 0)))</f>
        <v>1.6609999999999999E-6</v>
      </c>
      <c r="P436" s="33" t="str">
        <f>IF(INDEX(Labels!B:B, MATCH(Summary!$A436, Labels!$A:$A, 0)) = 0, "", INDEX(Labels!B:B, MATCH(Summary!$A436, Labels!$A:$A, 0)))</f>
        <v>{Marine Riser String}</v>
      </c>
      <c r="Q436" s="35" t="str">
        <f>IF(INDEX(Labels!C:C, MATCH(Summary!$A436, Labels!$A:$A, 0)) = 0, "", INDEX(Labels!C:C, MATCH(Summary!$A436, Labels!$A:$A, 0)))</f>
        <v>{75ft 2500ft 0.875in Buoyant}</v>
      </c>
      <c r="R436" s="33" t="str">
        <f>IF(INDEX(Labels!D:D, MATCH(Summary!$A436, Labels!$A:$A, 0)) = 0, "", INDEX(Labels!D:D, MATCH(Summary!$A436, Labels!$A:$A, 0)))</f>
        <v/>
      </c>
      <c r="S436" s="35" t="str">
        <f>IF(INDEX(Labels!E:E, MATCH(Summary!$A436, Labels!$A:$A, 0)) = 0, "", INDEX(Labels!E:E, MATCH(Summary!$A436, Labels!$A:$A, 0)))</f>
        <v/>
      </c>
      <c r="T436" s="33" t="str">
        <f>IF(INDEX(Labels!F:F, MATCH(Summary!$A436, Labels!$A:$A, 0)) = 0, "", INDEX(Labels!F:F, MATCH(Summary!$A436, Labels!$A:$A, 0)))</f>
        <v/>
      </c>
      <c r="U436" s="35" t="str">
        <f>IF(INDEX(Labels!G:G, MATCH(Summary!$A436, Labels!$A:$A, 0)) = 0, "", INDEX(Labels!G:G, MATCH(Summary!$A436, Labels!$A:$A, 0)))</f>
        <v/>
      </c>
      <c r="V436" s="62" t="str">
        <f>IF(INDEX(Labels!H:H, MATCH(Summary!$A436, Labels!$A:$A, 0)) = 0, "", INDEX(Labels!H:H, MATCH(Summary!$A436, Labels!$A:$A, 0)))</f>
        <v/>
      </c>
      <c r="W436" t="str">
        <f>IF(INDEX(Labels!I:I, MATCH(Summary!$A436, Labels!$A:$A, 0)) = 0, "", INDEX(Labels!I:I, MATCH(Summary!$A436, Labels!$A:$A, 0)))</f>
        <v/>
      </c>
      <c r="X436" t="str">
        <f>IF(INDEX(Labels!J:J, MATCH(Summary!$A436, Labels!$A:$A, 0)) = 0, "", INDEX(Labels!J:J, MATCH(Summary!$A436, Labels!$A:$A, 0)))</f>
        <v/>
      </c>
    </row>
    <row r="437" spans="1:24" x14ac:dyDescent="0.2">
      <c r="A437" s="33">
        <f>Labels!A438</f>
        <v>431</v>
      </c>
      <c r="B437" s="34">
        <f>INDEX(EchoData!B:B, MATCH(Summary!$A437, EchoData!$A:$A, 0))</f>
        <v>435</v>
      </c>
      <c r="C437" s="35">
        <f>INDEX(EchoData!C:C, MATCH(Summary!$A437, EchoData!$A:$A, 0))</f>
        <v>436</v>
      </c>
      <c r="D437" s="42">
        <f>INDEX(Displacements!B:B, MATCH(Summary!$B437, Displacements!$A:$A, 0))</f>
        <v>689.50099999999998</v>
      </c>
      <c r="E437" s="43">
        <f>INDEX(Displacements!C:C, MATCH(Summary!$B437, Displacements!$A:$A, 0))</f>
        <v>0</v>
      </c>
      <c r="F437" s="44">
        <f>INDEX(Displacements!D:D, MATCH(Summary!$B437, Displacements!$A:$A, 0))</f>
        <v>0</v>
      </c>
      <c r="G437" s="42">
        <f>INDEX(Displacements!B:B, MATCH(Summary!$C437, Displacements!$A:$A, 0))</f>
        <v>694.45699999999999</v>
      </c>
      <c r="H437" s="43">
        <f>INDEX(Displacements!C:C, MATCH(Summary!$C437, Displacements!$A:$A, 0))</f>
        <v>0</v>
      </c>
      <c r="I437" s="44">
        <f>INDEX(Displacements!D:D, MATCH(Summary!$C437, Displacements!$A:$A, 0))</f>
        <v>0</v>
      </c>
      <c r="J437" s="42">
        <f t="shared" si="12"/>
        <v>4.9560000000000173</v>
      </c>
      <c r="K437" s="49">
        <f t="shared" si="13"/>
        <v>1</v>
      </c>
      <c r="L437" s="54">
        <f>INDEX('Forces+Stresses'!C:C, MATCH(Summary!$A437, 'Forces+Stresses'!$A:$A, 0))</f>
        <v>3182</v>
      </c>
      <c r="M437" s="55">
        <f>INDEX('Forces+Stresses'!D:D, MATCH(Summary!$A437, 'Forces+Stresses'!$A:$A, 0))</f>
        <v>3182</v>
      </c>
      <c r="N437" s="55">
        <f>IFERROR(INDEX('Forces+Stresses'!Q:Q, MATCH(Summary!$A437, 'Forces+Stresses'!$A:$A, 0)), INDEX(Flexjoints!D:D, MATCH(Summary!$A437, Flexjoints!$A:$A, 0)))</f>
        <v>1.3200000000000002E-7</v>
      </c>
      <c r="O437" s="56">
        <f>IFERROR(INDEX('Forces+Stresses'!R:R, MATCH(Summary!$A437, 'Forces+Stresses'!$A:$A, 0)), INDEX(Flexjoints!E:E, MATCH(Summary!$A437, Flexjoints!$A:$A, 0)))</f>
        <v>1.776E-6</v>
      </c>
      <c r="P437" s="33" t="str">
        <f>IF(INDEX(Labels!B:B, MATCH(Summary!$A437, Labels!$A:$A, 0)) = 0, "", INDEX(Labels!B:B, MATCH(Summary!$A437, Labels!$A:$A, 0)))</f>
        <v>{Marine Riser String}</v>
      </c>
      <c r="Q437" s="35" t="str">
        <f>IF(INDEX(Labels!C:C, MATCH(Summary!$A437, Labels!$A:$A, 0)) = 0, "", INDEX(Labels!C:C, MATCH(Summary!$A437, Labels!$A:$A, 0)))</f>
        <v>{75ft 2500ft 0.875in Buoyant}</v>
      </c>
      <c r="R437" s="33" t="str">
        <f>IF(INDEX(Labels!D:D, MATCH(Summary!$A437, Labels!$A:$A, 0)) = 0, "", INDEX(Labels!D:D, MATCH(Summary!$A437, Labels!$A:$A, 0)))</f>
        <v/>
      </c>
      <c r="S437" s="35" t="str">
        <f>IF(INDEX(Labels!E:E, MATCH(Summary!$A437, Labels!$A:$A, 0)) = 0, "", INDEX(Labels!E:E, MATCH(Summary!$A437, Labels!$A:$A, 0)))</f>
        <v/>
      </c>
      <c r="T437" s="33" t="str">
        <f>IF(INDEX(Labels!F:F, MATCH(Summary!$A437, Labels!$A:$A, 0)) = 0, "", INDEX(Labels!F:F, MATCH(Summary!$A437, Labels!$A:$A, 0)))</f>
        <v/>
      </c>
      <c r="U437" s="35" t="str">
        <f>IF(INDEX(Labels!G:G, MATCH(Summary!$A437, Labels!$A:$A, 0)) = 0, "", INDEX(Labels!G:G, MATCH(Summary!$A437, Labels!$A:$A, 0)))</f>
        <v/>
      </c>
      <c r="V437" s="62" t="str">
        <f>IF(INDEX(Labels!H:H, MATCH(Summary!$A437, Labels!$A:$A, 0)) = 0, "", INDEX(Labels!H:H, MATCH(Summary!$A437, Labels!$A:$A, 0)))</f>
        <v/>
      </c>
      <c r="W437" t="str">
        <f>IF(INDEX(Labels!I:I, MATCH(Summary!$A437, Labels!$A:$A, 0)) = 0, "", INDEX(Labels!I:I, MATCH(Summary!$A437, Labels!$A:$A, 0)))</f>
        <v/>
      </c>
      <c r="X437" t="str">
        <f>IF(INDEX(Labels!J:J, MATCH(Summary!$A437, Labels!$A:$A, 0)) = 0, "", INDEX(Labels!J:J, MATCH(Summary!$A437, Labels!$A:$A, 0)))</f>
        <v/>
      </c>
    </row>
    <row r="438" spans="1:24" x14ac:dyDescent="0.2">
      <c r="A438" s="33">
        <f>Labels!A439</f>
        <v>432</v>
      </c>
      <c r="B438" s="34">
        <f>INDEX(EchoData!B:B, MATCH(Summary!$A438, EchoData!$A:$A, 0))</f>
        <v>436</v>
      </c>
      <c r="C438" s="35">
        <f>INDEX(EchoData!C:C, MATCH(Summary!$A438, EchoData!$A:$A, 0))</f>
        <v>437</v>
      </c>
      <c r="D438" s="42">
        <f>INDEX(Displacements!B:B, MATCH(Summary!$B438, Displacements!$A:$A, 0))</f>
        <v>694.45699999999999</v>
      </c>
      <c r="E438" s="43">
        <f>INDEX(Displacements!C:C, MATCH(Summary!$B438, Displacements!$A:$A, 0))</f>
        <v>0</v>
      </c>
      <c r="F438" s="44">
        <f>INDEX(Displacements!D:D, MATCH(Summary!$B438, Displacements!$A:$A, 0))</f>
        <v>0</v>
      </c>
      <c r="G438" s="42">
        <f>INDEX(Displacements!B:B, MATCH(Summary!$C438, Displacements!$A:$A, 0))</f>
        <v>697.803</v>
      </c>
      <c r="H438" s="43">
        <f>INDEX(Displacements!C:C, MATCH(Summary!$C438, Displacements!$A:$A, 0))</f>
        <v>0</v>
      </c>
      <c r="I438" s="44">
        <f>INDEX(Displacements!D:D, MATCH(Summary!$C438, Displacements!$A:$A, 0))</f>
        <v>0</v>
      </c>
      <c r="J438" s="42">
        <f t="shared" si="12"/>
        <v>3.3460000000000036</v>
      </c>
      <c r="K438" s="49">
        <f t="shared" si="13"/>
        <v>0.67514124293785149</v>
      </c>
      <c r="L438" s="54">
        <f>INDEX('Forces+Stresses'!C:C, MATCH(Summary!$A438, 'Forces+Stresses'!$A:$A, 0))</f>
        <v>3189</v>
      </c>
      <c r="M438" s="55">
        <f>INDEX('Forces+Stresses'!D:D, MATCH(Summary!$A438, 'Forces+Stresses'!$A:$A, 0))</f>
        <v>3189</v>
      </c>
      <c r="N438" s="55">
        <f>IFERROR(INDEX('Forces+Stresses'!Q:Q, MATCH(Summary!$A438, 'Forces+Stresses'!$A:$A, 0)), INDEX(Flexjoints!D:D, MATCH(Summary!$A438, Flexjoints!$A:$A, 0)))</f>
        <v>9.4790000000000004E-8</v>
      </c>
      <c r="O438" s="56">
        <f>IFERROR(INDEX('Forces+Stresses'!R:R, MATCH(Summary!$A438, 'Forces+Stresses'!$A:$A, 0)), INDEX(Flexjoints!E:E, MATCH(Summary!$A438, Flexjoints!$A:$A, 0)))</f>
        <v>2.1430000000000001E-6</v>
      </c>
      <c r="P438" s="33" t="str">
        <f>IF(INDEX(Labels!B:B, MATCH(Summary!$A438, Labels!$A:$A, 0)) = 0, "", INDEX(Labels!B:B, MATCH(Summary!$A438, Labels!$A:$A, 0)))</f>
        <v>{Marine Riser String}</v>
      </c>
      <c r="Q438" s="35" t="str">
        <f>IF(INDEX(Labels!C:C, MATCH(Summary!$A438, Labels!$A:$A, 0)) = 0, "", INDEX(Labels!C:C, MATCH(Summary!$A438, Labels!$A:$A, 0)))</f>
        <v>{75ft 2500ft 0.875in Buoyant}</v>
      </c>
      <c r="R438" s="33" t="str">
        <f>IF(INDEX(Labels!D:D, MATCH(Summary!$A438, Labels!$A:$A, 0)) = 0, "", INDEX(Labels!D:D, MATCH(Summary!$A438, Labels!$A:$A, 0)))</f>
        <v/>
      </c>
      <c r="S438" s="35" t="str">
        <f>IF(INDEX(Labels!E:E, MATCH(Summary!$A438, Labels!$A:$A, 0)) = 0, "", INDEX(Labels!E:E, MATCH(Summary!$A438, Labels!$A:$A, 0)))</f>
        <v/>
      </c>
      <c r="T438" s="33" t="str">
        <f>IF(INDEX(Labels!F:F, MATCH(Summary!$A438, Labels!$A:$A, 0)) = 0, "", INDEX(Labels!F:F, MATCH(Summary!$A438, Labels!$A:$A, 0)))</f>
        <v/>
      </c>
      <c r="U438" s="35" t="str">
        <f>IF(INDEX(Labels!G:G, MATCH(Summary!$A438, Labels!$A:$A, 0)) = 0, "", INDEX(Labels!G:G, MATCH(Summary!$A438, Labels!$A:$A, 0)))</f>
        <v/>
      </c>
      <c r="V438" s="62" t="str">
        <f>IF(INDEX(Labels!H:H, MATCH(Summary!$A438, Labels!$A:$A, 0)) = 0, "", INDEX(Labels!H:H, MATCH(Summary!$A438, Labels!$A:$A, 0)))</f>
        <v/>
      </c>
      <c r="W438" t="str">
        <f>IF(INDEX(Labels!I:I, MATCH(Summary!$A438, Labels!$A:$A, 0)) = 0, "", INDEX(Labels!I:I, MATCH(Summary!$A438, Labels!$A:$A, 0)))</f>
        <v/>
      </c>
      <c r="X438" t="str">
        <f>IF(INDEX(Labels!J:J, MATCH(Summary!$A438, Labels!$A:$A, 0)) = 0, "", INDEX(Labels!J:J, MATCH(Summary!$A438, Labels!$A:$A, 0)))</f>
        <v/>
      </c>
    </row>
    <row r="439" spans="1:24" x14ac:dyDescent="0.2">
      <c r="A439" s="33">
        <f>Labels!A440</f>
        <v>433</v>
      </c>
      <c r="B439" s="34">
        <f>INDEX(EchoData!B:B, MATCH(Summary!$A439, EchoData!$A:$A, 0))</f>
        <v>437</v>
      </c>
      <c r="C439" s="35">
        <f>INDEX(EchoData!C:C, MATCH(Summary!$A439, EchoData!$A:$A, 0))</f>
        <v>438</v>
      </c>
      <c r="D439" s="42">
        <f>INDEX(Displacements!B:B, MATCH(Summary!$B439, Displacements!$A:$A, 0))</f>
        <v>697.803</v>
      </c>
      <c r="E439" s="43">
        <f>INDEX(Displacements!C:C, MATCH(Summary!$B439, Displacements!$A:$A, 0))</f>
        <v>0</v>
      </c>
      <c r="F439" s="44">
        <f>INDEX(Displacements!D:D, MATCH(Summary!$B439, Displacements!$A:$A, 0))</f>
        <v>0</v>
      </c>
      <c r="G439" s="42">
        <f>INDEX(Displacements!B:B, MATCH(Summary!$C439, Displacements!$A:$A, 0))</f>
        <v>700.03300000000002</v>
      </c>
      <c r="H439" s="43">
        <f>INDEX(Displacements!C:C, MATCH(Summary!$C439, Displacements!$A:$A, 0))</f>
        <v>0</v>
      </c>
      <c r="I439" s="44">
        <f>INDEX(Displacements!D:D, MATCH(Summary!$C439, Displacements!$A:$A, 0))</f>
        <v>0</v>
      </c>
      <c r="J439" s="42">
        <f t="shared" si="12"/>
        <v>2.2300000000000182</v>
      </c>
      <c r="K439" s="49">
        <f t="shared" si="13"/>
        <v>0.66646742378960422</v>
      </c>
      <c r="L439" s="54">
        <f>INDEX('Forces+Stresses'!C:C, MATCH(Summary!$A439, 'Forces+Stresses'!$A:$A, 0))</f>
        <v>3193</v>
      </c>
      <c r="M439" s="55">
        <f>INDEX('Forces+Stresses'!D:D, MATCH(Summary!$A439, 'Forces+Stresses'!$A:$A, 0))</f>
        <v>3193</v>
      </c>
      <c r="N439" s="55">
        <f>IFERROR(INDEX('Forces+Stresses'!Q:Q, MATCH(Summary!$A439, 'Forces+Stresses'!$A:$A, 0)), INDEX(Flexjoints!D:D, MATCH(Summary!$A439, Flexjoints!$A:$A, 0)))</f>
        <v>5.8189999999999994E-8</v>
      </c>
      <c r="O439" s="56">
        <f>IFERROR(INDEX('Forces+Stresses'!R:R, MATCH(Summary!$A439, 'Forces+Stresses'!$A:$A, 0)), INDEX(Flexjoints!E:E, MATCH(Summary!$A439, Flexjoints!$A:$A, 0)))</f>
        <v>2.0600000000000002E-6</v>
      </c>
      <c r="P439" s="33" t="str">
        <f>IF(INDEX(Labels!B:B, MATCH(Summary!$A439, Labels!$A:$A, 0)) = 0, "", INDEX(Labels!B:B, MATCH(Summary!$A439, Labels!$A:$A, 0)))</f>
        <v>{Marine Riser String}</v>
      </c>
      <c r="Q439" s="35" t="str">
        <f>IF(INDEX(Labels!C:C, MATCH(Summary!$A439, Labels!$A:$A, 0)) = 0, "", INDEX(Labels!C:C, MATCH(Summary!$A439, Labels!$A:$A, 0)))</f>
        <v>{75ft 2500ft 0.875in Buoyant}</v>
      </c>
      <c r="R439" s="33" t="str">
        <f>IF(INDEX(Labels!D:D, MATCH(Summary!$A439, Labels!$A:$A, 0)) = 0, "", INDEX(Labels!D:D, MATCH(Summary!$A439, Labels!$A:$A, 0)))</f>
        <v/>
      </c>
      <c r="S439" s="35" t="str">
        <f>IF(INDEX(Labels!E:E, MATCH(Summary!$A439, Labels!$A:$A, 0)) = 0, "", INDEX(Labels!E:E, MATCH(Summary!$A439, Labels!$A:$A, 0)))</f>
        <v/>
      </c>
      <c r="T439" s="33" t="str">
        <f>IF(INDEX(Labels!F:F, MATCH(Summary!$A439, Labels!$A:$A, 0)) = 0, "", INDEX(Labels!F:F, MATCH(Summary!$A439, Labels!$A:$A, 0)))</f>
        <v/>
      </c>
      <c r="U439" s="35" t="str">
        <f>IF(INDEX(Labels!G:G, MATCH(Summary!$A439, Labels!$A:$A, 0)) = 0, "", INDEX(Labels!G:G, MATCH(Summary!$A439, Labels!$A:$A, 0)))</f>
        <v/>
      </c>
      <c r="V439" s="62" t="str">
        <f>IF(INDEX(Labels!H:H, MATCH(Summary!$A439, Labels!$A:$A, 0)) = 0, "", INDEX(Labels!H:H, MATCH(Summary!$A439, Labels!$A:$A, 0)))</f>
        <v/>
      </c>
      <c r="W439" t="str">
        <f>IF(INDEX(Labels!I:I, MATCH(Summary!$A439, Labels!$A:$A, 0)) = 0, "", INDEX(Labels!I:I, MATCH(Summary!$A439, Labels!$A:$A, 0)))</f>
        <v/>
      </c>
      <c r="X439" t="str">
        <f>IF(INDEX(Labels!J:J, MATCH(Summary!$A439, Labels!$A:$A, 0)) = 0, "", INDEX(Labels!J:J, MATCH(Summary!$A439, Labels!$A:$A, 0)))</f>
        <v/>
      </c>
    </row>
    <row r="440" spans="1:24" x14ac:dyDescent="0.2">
      <c r="A440" s="33">
        <f>Labels!A441</f>
        <v>434</v>
      </c>
      <c r="B440" s="34">
        <f>INDEX(EchoData!B:B, MATCH(Summary!$A440, EchoData!$A:$A, 0))</f>
        <v>438</v>
      </c>
      <c r="C440" s="35">
        <f>INDEX(EchoData!C:C, MATCH(Summary!$A440, EchoData!$A:$A, 0))</f>
        <v>439</v>
      </c>
      <c r="D440" s="42">
        <f>INDEX(Displacements!B:B, MATCH(Summary!$B440, Displacements!$A:$A, 0))</f>
        <v>700.03300000000002</v>
      </c>
      <c r="E440" s="43">
        <f>INDEX(Displacements!C:C, MATCH(Summary!$B440, Displacements!$A:$A, 0))</f>
        <v>0</v>
      </c>
      <c r="F440" s="44">
        <f>INDEX(Displacements!D:D, MATCH(Summary!$B440, Displacements!$A:$A, 0))</f>
        <v>0</v>
      </c>
      <c r="G440" s="42">
        <f>INDEX(Displacements!B:B, MATCH(Summary!$C440, Displacements!$A:$A, 0))</f>
        <v>701.52</v>
      </c>
      <c r="H440" s="43">
        <f>INDEX(Displacements!C:C, MATCH(Summary!$C440, Displacements!$A:$A, 0))</f>
        <v>0</v>
      </c>
      <c r="I440" s="44">
        <f>INDEX(Displacements!D:D, MATCH(Summary!$C440, Displacements!$A:$A, 0))</f>
        <v>0</v>
      </c>
      <c r="J440" s="42">
        <f t="shared" si="12"/>
        <v>1.4869999999999663</v>
      </c>
      <c r="K440" s="49">
        <f t="shared" si="13"/>
        <v>0.66681614349773732</v>
      </c>
      <c r="L440" s="54">
        <f>INDEX('Forces+Stresses'!C:C, MATCH(Summary!$A440, 'Forces+Stresses'!$A:$A, 0))</f>
        <v>3196</v>
      </c>
      <c r="M440" s="55">
        <f>INDEX('Forces+Stresses'!D:D, MATCH(Summary!$A440, 'Forces+Stresses'!$A:$A, 0))</f>
        <v>3196</v>
      </c>
      <c r="N440" s="55">
        <f>IFERROR(INDEX('Forces+Stresses'!Q:Q, MATCH(Summary!$A440, 'Forces+Stresses'!$A:$A, 0)), INDEX(Flexjoints!D:D, MATCH(Summary!$A440, Flexjoints!$A:$A, 0)))</f>
        <v>1.2779999999999999E-7</v>
      </c>
      <c r="O440" s="56">
        <f>IFERROR(INDEX('Forces+Stresses'!R:R, MATCH(Summary!$A440, 'Forces+Stresses'!$A:$A, 0)), INDEX(Flexjoints!E:E, MATCH(Summary!$A440, Flexjoints!$A:$A, 0)))</f>
        <v>1.9580000000000001E-6</v>
      </c>
      <c r="P440" s="33" t="str">
        <f>IF(INDEX(Labels!B:B, MATCH(Summary!$A440, Labels!$A:$A, 0)) = 0, "", INDEX(Labels!B:B, MATCH(Summary!$A440, Labels!$A:$A, 0)))</f>
        <v>{Marine Riser String}</v>
      </c>
      <c r="Q440" s="35" t="str">
        <f>IF(INDEX(Labels!C:C, MATCH(Summary!$A440, Labels!$A:$A, 0)) = 0, "", INDEX(Labels!C:C, MATCH(Summary!$A440, Labels!$A:$A, 0)))</f>
        <v>{75ft 2500ft 0.875in Buoyant}</v>
      </c>
      <c r="R440" s="33" t="str">
        <f>IF(INDEX(Labels!D:D, MATCH(Summary!$A440, Labels!$A:$A, 0)) = 0, "", INDEX(Labels!D:D, MATCH(Summary!$A440, Labels!$A:$A, 0)))</f>
        <v/>
      </c>
      <c r="S440" s="35" t="str">
        <f>IF(INDEX(Labels!E:E, MATCH(Summary!$A440, Labels!$A:$A, 0)) = 0, "", INDEX(Labels!E:E, MATCH(Summary!$A440, Labels!$A:$A, 0)))</f>
        <v/>
      </c>
      <c r="T440" s="33" t="str">
        <f>IF(INDEX(Labels!F:F, MATCH(Summary!$A440, Labels!$A:$A, 0)) = 0, "", INDEX(Labels!F:F, MATCH(Summary!$A440, Labels!$A:$A, 0)))</f>
        <v/>
      </c>
      <c r="U440" s="35" t="str">
        <f>IF(INDEX(Labels!G:G, MATCH(Summary!$A440, Labels!$A:$A, 0)) = 0, "", INDEX(Labels!G:G, MATCH(Summary!$A440, Labels!$A:$A, 0)))</f>
        <v/>
      </c>
      <c r="V440" s="62" t="str">
        <f>IF(INDEX(Labels!H:H, MATCH(Summary!$A440, Labels!$A:$A, 0)) = 0, "", INDEX(Labels!H:H, MATCH(Summary!$A440, Labels!$A:$A, 0)))</f>
        <v/>
      </c>
      <c r="W440" t="str">
        <f>IF(INDEX(Labels!I:I, MATCH(Summary!$A440, Labels!$A:$A, 0)) = 0, "", INDEX(Labels!I:I, MATCH(Summary!$A440, Labels!$A:$A, 0)))</f>
        <v/>
      </c>
      <c r="X440" t="str">
        <f>IF(INDEX(Labels!J:J, MATCH(Summary!$A440, Labels!$A:$A, 0)) = 0, "", INDEX(Labels!J:J, MATCH(Summary!$A440, Labels!$A:$A, 0)))</f>
        <v/>
      </c>
    </row>
    <row r="441" spans="1:24" x14ac:dyDescent="0.2">
      <c r="A441" s="33">
        <f>Labels!A442</f>
        <v>435</v>
      </c>
      <c r="B441" s="34">
        <f>INDEX(EchoData!B:B, MATCH(Summary!$A441, EchoData!$A:$A, 0))</f>
        <v>439</v>
      </c>
      <c r="C441" s="35">
        <f>INDEX(EchoData!C:C, MATCH(Summary!$A441, EchoData!$A:$A, 0))</f>
        <v>440</v>
      </c>
      <c r="D441" s="42">
        <f>INDEX(Displacements!B:B, MATCH(Summary!$B441, Displacements!$A:$A, 0))</f>
        <v>701.52</v>
      </c>
      <c r="E441" s="43">
        <f>INDEX(Displacements!C:C, MATCH(Summary!$B441, Displacements!$A:$A, 0))</f>
        <v>0</v>
      </c>
      <c r="F441" s="44">
        <f>INDEX(Displacements!D:D, MATCH(Summary!$B441, Displacements!$A:$A, 0))</f>
        <v>0</v>
      </c>
      <c r="G441" s="42">
        <f>INDEX(Displacements!B:B, MATCH(Summary!$C441, Displacements!$A:$A, 0))</f>
        <v>702.51099999999997</v>
      </c>
      <c r="H441" s="43">
        <f>INDEX(Displacements!C:C, MATCH(Summary!$C441, Displacements!$A:$A, 0))</f>
        <v>0</v>
      </c>
      <c r="I441" s="44">
        <f>INDEX(Displacements!D:D, MATCH(Summary!$C441, Displacements!$A:$A, 0))</f>
        <v>0</v>
      </c>
      <c r="J441" s="42">
        <f t="shared" si="12"/>
        <v>0.99099999999998545</v>
      </c>
      <c r="K441" s="49">
        <f t="shared" si="13"/>
        <v>0.66644250168124264</v>
      </c>
      <c r="L441" s="54">
        <f>INDEX('Forces+Stresses'!C:C, MATCH(Summary!$A441, 'Forces+Stresses'!$A:$A, 0))</f>
        <v>3198</v>
      </c>
      <c r="M441" s="55">
        <f>INDEX('Forces+Stresses'!D:D, MATCH(Summary!$A441, 'Forces+Stresses'!$A:$A, 0))</f>
        <v>3198</v>
      </c>
      <c r="N441" s="55">
        <f>IFERROR(INDEX('Forces+Stresses'!Q:Q, MATCH(Summary!$A441, 'Forces+Stresses'!$A:$A, 0)), INDEX(Flexjoints!D:D, MATCH(Summary!$A441, Flexjoints!$A:$A, 0)))</f>
        <v>1.069E-7</v>
      </c>
      <c r="O441" s="56">
        <f>IFERROR(INDEX('Forces+Stresses'!R:R, MATCH(Summary!$A441, 'Forces+Stresses'!$A:$A, 0)), INDEX(Flexjoints!E:E, MATCH(Summary!$A441, Flexjoints!$A:$A, 0)))</f>
        <v>1.9139999999999998E-6</v>
      </c>
      <c r="P441" s="33" t="str">
        <f>IF(INDEX(Labels!B:B, MATCH(Summary!$A441, Labels!$A:$A, 0)) = 0, "", INDEX(Labels!B:B, MATCH(Summary!$A441, Labels!$A:$A, 0)))</f>
        <v>{Marine Riser String}</v>
      </c>
      <c r="Q441" s="35" t="str">
        <f>IF(INDEX(Labels!C:C, MATCH(Summary!$A441, Labels!$A:$A, 0)) = 0, "", INDEX(Labels!C:C, MATCH(Summary!$A441, Labels!$A:$A, 0)))</f>
        <v>{75ft 2500ft 0.875in Buoyant}</v>
      </c>
      <c r="R441" s="33" t="str">
        <f>IF(INDEX(Labels!D:D, MATCH(Summary!$A441, Labels!$A:$A, 0)) = 0, "", INDEX(Labels!D:D, MATCH(Summary!$A441, Labels!$A:$A, 0)))</f>
        <v/>
      </c>
      <c r="S441" s="35" t="str">
        <f>IF(INDEX(Labels!E:E, MATCH(Summary!$A441, Labels!$A:$A, 0)) = 0, "", INDEX(Labels!E:E, MATCH(Summary!$A441, Labels!$A:$A, 0)))</f>
        <v/>
      </c>
      <c r="T441" s="33" t="str">
        <f>IF(INDEX(Labels!F:F, MATCH(Summary!$A441, Labels!$A:$A, 0)) = 0, "", INDEX(Labels!F:F, MATCH(Summary!$A441, Labels!$A:$A, 0)))</f>
        <v/>
      </c>
      <c r="U441" s="35" t="str">
        <f>IF(INDEX(Labels!G:G, MATCH(Summary!$A441, Labels!$A:$A, 0)) = 0, "", INDEX(Labels!G:G, MATCH(Summary!$A441, Labels!$A:$A, 0)))</f>
        <v>{75ft 2500ft 0.875in Buoyant_Last}</v>
      </c>
      <c r="V441" s="62" t="str">
        <f>IF(INDEX(Labels!H:H, MATCH(Summary!$A441, Labels!$A:$A, 0)) = 0, "", INDEX(Labels!H:H, MATCH(Summary!$A441, Labels!$A:$A, 0)))</f>
        <v/>
      </c>
      <c r="W441" t="str">
        <f>IF(INDEX(Labels!I:I, MATCH(Summary!$A441, Labels!$A:$A, 0)) = 0, "", INDEX(Labels!I:I, MATCH(Summary!$A441, Labels!$A:$A, 0)))</f>
        <v/>
      </c>
      <c r="X441" t="str">
        <f>IF(INDEX(Labels!J:J, MATCH(Summary!$A441, Labels!$A:$A, 0)) = 0, "", INDEX(Labels!J:J, MATCH(Summary!$A441, Labels!$A:$A, 0)))</f>
        <v/>
      </c>
    </row>
    <row r="442" spans="1:24" x14ac:dyDescent="0.2">
      <c r="A442" s="33">
        <f>Labels!A443</f>
        <v>436</v>
      </c>
      <c r="B442" s="34">
        <f>INDEX(EchoData!B:B, MATCH(Summary!$A442, EchoData!$A:$A, 0))</f>
        <v>440</v>
      </c>
      <c r="C442" s="35">
        <f>INDEX(EchoData!C:C, MATCH(Summary!$A442, EchoData!$A:$A, 0))</f>
        <v>441</v>
      </c>
      <c r="D442" s="42">
        <f>INDEX(Displacements!B:B, MATCH(Summary!$B442, Displacements!$A:$A, 0))</f>
        <v>702.51099999999997</v>
      </c>
      <c r="E442" s="43">
        <f>INDEX(Displacements!C:C, MATCH(Summary!$B442, Displacements!$A:$A, 0))</f>
        <v>0</v>
      </c>
      <c r="F442" s="44">
        <f>INDEX(Displacements!D:D, MATCH(Summary!$B442, Displacements!$A:$A, 0))</f>
        <v>0</v>
      </c>
      <c r="G442" s="42">
        <f>INDEX(Displacements!B:B, MATCH(Summary!$C442, Displacements!$A:$A, 0))</f>
        <v>703.47400000000005</v>
      </c>
      <c r="H442" s="43">
        <f>INDEX(Displacements!C:C, MATCH(Summary!$C442, Displacements!$A:$A, 0))</f>
        <v>0</v>
      </c>
      <c r="I442" s="44">
        <f>INDEX(Displacements!D:D, MATCH(Summary!$C442, Displacements!$A:$A, 0))</f>
        <v>0</v>
      </c>
      <c r="J442" s="42">
        <f t="shared" si="12"/>
        <v>0.96300000000007913</v>
      </c>
      <c r="K442" s="49">
        <f t="shared" si="13"/>
        <v>0.9717457114027177</v>
      </c>
      <c r="L442" s="54">
        <f>INDEX('Forces+Stresses'!C:C, MATCH(Summary!$A442, 'Forces+Stresses'!$A:$A, 0))</f>
        <v>3200</v>
      </c>
      <c r="M442" s="55">
        <f>INDEX('Forces+Stresses'!D:D, MATCH(Summary!$A442, 'Forces+Stresses'!$A:$A, 0))</f>
        <v>3200</v>
      </c>
      <c r="N442" s="55">
        <f>IFERROR(INDEX('Forces+Stresses'!Q:Q, MATCH(Summary!$A442, 'Forces+Stresses'!$A:$A, 0)), INDEX(Flexjoints!D:D, MATCH(Summary!$A442, Flexjoints!$A:$A, 0)))</f>
        <v>6.2069999999999999E-8</v>
      </c>
      <c r="O442" s="56">
        <f>IFERROR(INDEX('Forces+Stresses'!R:R, MATCH(Summary!$A442, 'Forces+Stresses'!$A:$A, 0)), INDEX(Flexjoints!E:E, MATCH(Summary!$A442, Flexjoints!$A:$A, 0)))</f>
        <v>1.855E-6</v>
      </c>
      <c r="P442" s="33" t="str">
        <f>IF(INDEX(Labels!B:B, MATCH(Summary!$A442, Labels!$A:$A, 0)) = 0, "", INDEX(Labels!B:B, MATCH(Summary!$A442, Labels!$A:$A, 0)))</f>
        <v>{Marine Riser String}</v>
      </c>
      <c r="Q442" s="35" t="str">
        <f>IF(INDEX(Labels!C:C, MATCH(Summary!$A442, Labels!$A:$A, 0)) = 0, "", INDEX(Labels!C:C, MATCH(Summary!$A442, Labels!$A:$A, 0)))</f>
        <v>{75ft 2500ft 1in Buoyant}</v>
      </c>
      <c r="R442" s="33" t="str">
        <f>IF(INDEX(Labels!D:D, MATCH(Summary!$A442, Labels!$A:$A, 0)) = 0, "", INDEX(Labels!D:D, MATCH(Summary!$A442, Labels!$A:$A, 0)))</f>
        <v/>
      </c>
      <c r="S442" s="35" t="str">
        <f>IF(INDEX(Labels!E:E, MATCH(Summary!$A442, Labels!$A:$A, 0)) = 0, "", INDEX(Labels!E:E, MATCH(Summary!$A442, Labels!$A:$A, 0)))</f>
        <v/>
      </c>
      <c r="T442" s="33" t="str">
        <f>IF(INDEX(Labels!F:F, MATCH(Summary!$A442, Labels!$A:$A, 0)) = 0, "", INDEX(Labels!F:F, MATCH(Summary!$A442, Labels!$A:$A, 0)))</f>
        <v>{75ft 2500ft 1in Buoyant_First}</v>
      </c>
      <c r="U442" s="35" t="str">
        <f>IF(INDEX(Labels!G:G, MATCH(Summary!$A442, Labels!$A:$A, 0)) = 0, "", INDEX(Labels!G:G, MATCH(Summary!$A442, Labels!$A:$A, 0)))</f>
        <v/>
      </c>
      <c r="V442" s="62" t="str">
        <f>IF(INDEX(Labels!H:H, MATCH(Summary!$A442, Labels!$A:$A, 0)) = 0, "", INDEX(Labels!H:H, MATCH(Summary!$A442, Labels!$A:$A, 0)))</f>
        <v/>
      </c>
      <c r="W442" t="str">
        <f>IF(INDEX(Labels!I:I, MATCH(Summary!$A442, Labels!$A:$A, 0)) = 0, "", INDEX(Labels!I:I, MATCH(Summary!$A442, Labels!$A:$A, 0)))</f>
        <v/>
      </c>
      <c r="X442" t="str">
        <f>IF(INDEX(Labels!J:J, MATCH(Summary!$A442, Labels!$A:$A, 0)) = 0, "", INDEX(Labels!J:J, MATCH(Summary!$A442, Labels!$A:$A, 0)))</f>
        <v/>
      </c>
    </row>
    <row r="443" spans="1:24" x14ac:dyDescent="0.2">
      <c r="A443" s="33">
        <f>Labels!A444</f>
        <v>437</v>
      </c>
      <c r="B443" s="34">
        <f>INDEX(EchoData!B:B, MATCH(Summary!$A443, EchoData!$A:$A, 0))</f>
        <v>441</v>
      </c>
      <c r="C443" s="35">
        <f>INDEX(EchoData!C:C, MATCH(Summary!$A443, EchoData!$A:$A, 0))</f>
        <v>442</v>
      </c>
      <c r="D443" s="42">
        <f>INDEX(Displacements!B:B, MATCH(Summary!$B443, Displacements!$A:$A, 0))</f>
        <v>703.47400000000005</v>
      </c>
      <c r="E443" s="43">
        <f>INDEX(Displacements!C:C, MATCH(Summary!$B443, Displacements!$A:$A, 0))</f>
        <v>0</v>
      </c>
      <c r="F443" s="44">
        <f>INDEX(Displacements!D:D, MATCH(Summary!$B443, Displacements!$A:$A, 0))</f>
        <v>0</v>
      </c>
      <c r="G443" s="42">
        <f>INDEX(Displacements!B:B, MATCH(Summary!$C443, Displacements!$A:$A, 0))</f>
        <v>704.91700000000003</v>
      </c>
      <c r="H443" s="43">
        <f>INDEX(Displacements!C:C, MATCH(Summary!$C443, Displacements!$A:$A, 0))</f>
        <v>0</v>
      </c>
      <c r="I443" s="44">
        <f>INDEX(Displacements!D:D, MATCH(Summary!$C443, Displacements!$A:$A, 0))</f>
        <v>0</v>
      </c>
      <c r="J443" s="42">
        <f t="shared" si="12"/>
        <v>1.4429999999999836</v>
      </c>
      <c r="K443" s="49">
        <f t="shared" si="13"/>
        <v>1.4984423676011061</v>
      </c>
      <c r="L443" s="54">
        <f>INDEX('Forces+Stresses'!C:C, MATCH(Summary!$A443, 'Forces+Stresses'!$A:$A, 0))</f>
        <v>3201</v>
      </c>
      <c r="M443" s="55">
        <f>INDEX('Forces+Stresses'!D:D, MATCH(Summary!$A443, 'Forces+Stresses'!$A:$A, 0))</f>
        <v>3201</v>
      </c>
      <c r="N443" s="55">
        <f>IFERROR(INDEX('Forces+Stresses'!Q:Q, MATCH(Summary!$A443, 'Forces+Stresses'!$A:$A, 0)), INDEX(Flexjoints!D:D, MATCH(Summary!$A443, Flexjoints!$A:$A, 0)))</f>
        <v>6.085999999999999E-8</v>
      </c>
      <c r="O443" s="56">
        <f>IFERROR(INDEX('Forces+Stresses'!R:R, MATCH(Summary!$A443, 'Forces+Stresses'!$A:$A, 0)), INDEX(Flexjoints!E:E, MATCH(Summary!$A443, Flexjoints!$A:$A, 0)))</f>
        <v>1.7769999999999999E-6</v>
      </c>
      <c r="P443" s="33" t="str">
        <f>IF(INDEX(Labels!B:B, MATCH(Summary!$A443, Labels!$A:$A, 0)) = 0, "", INDEX(Labels!B:B, MATCH(Summary!$A443, Labels!$A:$A, 0)))</f>
        <v>{Marine Riser String}</v>
      </c>
      <c r="Q443" s="35" t="str">
        <f>IF(INDEX(Labels!C:C, MATCH(Summary!$A443, Labels!$A:$A, 0)) = 0, "", INDEX(Labels!C:C, MATCH(Summary!$A443, Labels!$A:$A, 0)))</f>
        <v>{75ft 2500ft 1in Buoyant}</v>
      </c>
      <c r="R443" s="33" t="str">
        <f>IF(INDEX(Labels!D:D, MATCH(Summary!$A443, Labels!$A:$A, 0)) = 0, "", INDEX(Labels!D:D, MATCH(Summary!$A443, Labels!$A:$A, 0)))</f>
        <v/>
      </c>
      <c r="S443" s="35" t="str">
        <f>IF(INDEX(Labels!E:E, MATCH(Summary!$A443, Labels!$A:$A, 0)) = 0, "", INDEX(Labels!E:E, MATCH(Summary!$A443, Labels!$A:$A, 0)))</f>
        <v/>
      </c>
      <c r="T443" s="33" t="str">
        <f>IF(INDEX(Labels!F:F, MATCH(Summary!$A443, Labels!$A:$A, 0)) = 0, "", INDEX(Labels!F:F, MATCH(Summary!$A443, Labels!$A:$A, 0)))</f>
        <v/>
      </c>
      <c r="U443" s="35" t="str">
        <f>IF(INDEX(Labels!G:G, MATCH(Summary!$A443, Labels!$A:$A, 0)) = 0, "", INDEX(Labels!G:G, MATCH(Summary!$A443, Labels!$A:$A, 0)))</f>
        <v/>
      </c>
      <c r="V443" s="62" t="str">
        <f>IF(INDEX(Labels!H:H, MATCH(Summary!$A443, Labels!$A:$A, 0)) = 0, "", INDEX(Labels!H:H, MATCH(Summary!$A443, Labels!$A:$A, 0)))</f>
        <v/>
      </c>
      <c r="W443" t="str">
        <f>IF(INDEX(Labels!I:I, MATCH(Summary!$A443, Labels!$A:$A, 0)) = 0, "", INDEX(Labels!I:I, MATCH(Summary!$A443, Labels!$A:$A, 0)))</f>
        <v/>
      </c>
      <c r="X443" t="str">
        <f>IF(INDEX(Labels!J:J, MATCH(Summary!$A443, Labels!$A:$A, 0)) = 0, "", INDEX(Labels!J:J, MATCH(Summary!$A443, Labels!$A:$A, 0)))</f>
        <v/>
      </c>
    </row>
    <row r="444" spans="1:24" x14ac:dyDescent="0.2">
      <c r="A444" s="33">
        <f>Labels!A445</f>
        <v>438</v>
      </c>
      <c r="B444" s="34">
        <f>INDEX(EchoData!B:B, MATCH(Summary!$A444, EchoData!$A:$A, 0))</f>
        <v>442</v>
      </c>
      <c r="C444" s="35">
        <f>INDEX(EchoData!C:C, MATCH(Summary!$A444, EchoData!$A:$A, 0))</f>
        <v>443</v>
      </c>
      <c r="D444" s="42">
        <f>INDEX(Displacements!B:B, MATCH(Summary!$B444, Displacements!$A:$A, 0))</f>
        <v>704.91700000000003</v>
      </c>
      <c r="E444" s="43">
        <f>INDEX(Displacements!C:C, MATCH(Summary!$B444, Displacements!$A:$A, 0))</f>
        <v>0</v>
      </c>
      <c r="F444" s="44">
        <f>INDEX(Displacements!D:D, MATCH(Summary!$B444, Displacements!$A:$A, 0))</f>
        <v>0</v>
      </c>
      <c r="G444" s="42">
        <f>INDEX(Displacements!B:B, MATCH(Summary!$C444, Displacements!$A:$A, 0))</f>
        <v>707.08299999999997</v>
      </c>
      <c r="H444" s="43">
        <f>INDEX(Displacements!C:C, MATCH(Summary!$C444, Displacements!$A:$A, 0))</f>
        <v>0</v>
      </c>
      <c r="I444" s="44">
        <f>INDEX(Displacements!D:D, MATCH(Summary!$C444, Displacements!$A:$A, 0))</f>
        <v>0</v>
      </c>
      <c r="J444" s="42">
        <f t="shared" si="12"/>
        <v>2.16599999999994</v>
      </c>
      <c r="K444" s="49">
        <f t="shared" si="13"/>
        <v>1.5010395010394764</v>
      </c>
      <c r="L444" s="54">
        <f>INDEX('Forces+Stresses'!C:C, MATCH(Summary!$A444, 'Forces+Stresses'!$A:$A, 0))</f>
        <v>3203</v>
      </c>
      <c r="M444" s="55">
        <f>INDEX('Forces+Stresses'!D:D, MATCH(Summary!$A444, 'Forces+Stresses'!$A:$A, 0))</f>
        <v>3203</v>
      </c>
      <c r="N444" s="55">
        <f>IFERROR(INDEX('Forces+Stresses'!Q:Q, MATCH(Summary!$A444, 'Forces+Stresses'!$A:$A, 0)), INDEX(Flexjoints!D:D, MATCH(Summary!$A444, Flexjoints!$A:$A, 0)))</f>
        <v>7.6140000000000005E-8</v>
      </c>
      <c r="O444" s="56">
        <f>IFERROR(INDEX('Forces+Stresses'!R:R, MATCH(Summary!$A444, 'Forces+Stresses'!$A:$A, 0)), INDEX(Flexjoints!E:E, MATCH(Summary!$A444, Flexjoints!$A:$A, 0)))</f>
        <v>1.7120000000000001E-6</v>
      </c>
      <c r="P444" s="33" t="str">
        <f>IF(INDEX(Labels!B:B, MATCH(Summary!$A444, Labels!$A:$A, 0)) = 0, "", INDEX(Labels!B:B, MATCH(Summary!$A444, Labels!$A:$A, 0)))</f>
        <v>{Marine Riser String}</v>
      </c>
      <c r="Q444" s="35" t="str">
        <f>IF(INDEX(Labels!C:C, MATCH(Summary!$A444, Labels!$A:$A, 0)) = 0, "", INDEX(Labels!C:C, MATCH(Summary!$A444, Labels!$A:$A, 0)))</f>
        <v>{75ft 2500ft 1in Buoyant}</v>
      </c>
      <c r="R444" s="33" t="str">
        <f>IF(INDEX(Labels!D:D, MATCH(Summary!$A444, Labels!$A:$A, 0)) = 0, "", INDEX(Labels!D:D, MATCH(Summary!$A444, Labels!$A:$A, 0)))</f>
        <v/>
      </c>
      <c r="S444" s="35" t="str">
        <f>IF(INDEX(Labels!E:E, MATCH(Summary!$A444, Labels!$A:$A, 0)) = 0, "", INDEX(Labels!E:E, MATCH(Summary!$A444, Labels!$A:$A, 0)))</f>
        <v/>
      </c>
      <c r="T444" s="33" t="str">
        <f>IF(INDEX(Labels!F:F, MATCH(Summary!$A444, Labels!$A:$A, 0)) = 0, "", INDEX(Labels!F:F, MATCH(Summary!$A444, Labels!$A:$A, 0)))</f>
        <v/>
      </c>
      <c r="U444" s="35" t="str">
        <f>IF(INDEX(Labels!G:G, MATCH(Summary!$A444, Labels!$A:$A, 0)) = 0, "", INDEX(Labels!G:G, MATCH(Summary!$A444, Labels!$A:$A, 0)))</f>
        <v/>
      </c>
      <c r="V444" s="62" t="str">
        <f>IF(INDEX(Labels!H:H, MATCH(Summary!$A444, Labels!$A:$A, 0)) = 0, "", INDEX(Labels!H:H, MATCH(Summary!$A444, Labels!$A:$A, 0)))</f>
        <v/>
      </c>
      <c r="W444" t="str">
        <f>IF(INDEX(Labels!I:I, MATCH(Summary!$A444, Labels!$A:$A, 0)) = 0, "", INDEX(Labels!I:I, MATCH(Summary!$A444, Labels!$A:$A, 0)))</f>
        <v/>
      </c>
      <c r="X444" t="str">
        <f>IF(INDEX(Labels!J:J, MATCH(Summary!$A444, Labels!$A:$A, 0)) = 0, "", INDEX(Labels!J:J, MATCH(Summary!$A444, Labels!$A:$A, 0)))</f>
        <v/>
      </c>
    </row>
    <row r="445" spans="1:24" x14ac:dyDescent="0.2">
      <c r="A445" s="33">
        <f>Labels!A446</f>
        <v>439</v>
      </c>
      <c r="B445" s="34">
        <f>INDEX(EchoData!B:B, MATCH(Summary!$A445, EchoData!$A:$A, 0))</f>
        <v>443</v>
      </c>
      <c r="C445" s="35">
        <f>INDEX(EchoData!C:C, MATCH(Summary!$A445, EchoData!$A:$A, 0))</f>
        <v>444</v>
      </c>
      <c r="D445" s="42">
        <f>INDEX(Displacements!B:B, MATCH(Summary!$B445, Displacements!$A:$A, 0))</f>
        <v>707.08299999999997</v>
      </c>
      <c r="E445" s="43">
        <f>INDEX(Displacements!C:C, MATCH(Summary!$B445, Displacements!$A:$A, 0))</f>
        <v>0</v>
      </c>
      <c r="F445" s="44">
        <f>INDEX(Displacements!D:D, MATCH(Summary!$B445, Displacements!$A:$A, 0))</f>
        <v>0</v>
      </c>
      <c r="G445" s="42">
        <f>INDEX(Displacements!B:B, MATCH(Summary!$C445, Displacements!$A:$A, 0))</f>
        <v>710.33199999999999</v>
      </c>
      <c r="H445" s="43">
        <f>INDEX(Displacements!C:C, MATCH(Summary!$C445, Displacements!$A:$A, 0))</f>
        <v>0</v>
      </c>
      <c r="I445" s="44">
        <f>INDEX(Displacements!D:D, MATCH(Summary!$C445, Displacements!$A:$A, 0))</f>
        <v>0</v>
      </c>
      <c r="J445" s="42">
        <f t="shared" si="12"/>
        <v>3.2490000000000236</v>
      </c>
      <c r="K445" s="49">
        <f t="shared" si="13"/>
        <v>1.5000000000000524</v>
      </c>
      <c r="L445" s="54">
        <f>INDEX('Forces+Stresses'!C:C, MATCH(Summary!$A445, 'Forces+Stresses'!$A:$A, 0))</f>
        <v>3207</v>
      </c>
      <c r="M445" s="55">
        <f>INDEX('Forces+Stresses'!D:D, MATCH(Summary!$A445, 'Forces+Stresses'!$A:$A, 0))</f>
        <v>3207</v>
      </c>
      <c r="N445" s="55">
        <f>IFERROR(INDEX('Forces+Stresses'!Q:Q, MATCH(Summary!$A445, 'Forces+Stresses'!$A:$A, 0)), INDEX(Flexjoints!D:D, MATCH(Summary!$A445, Flexjoints!$A:$A, 0)))</f>
        <v>5.8029999999999998E-8</v>
      </c>
      <c r="O445" s="56">
        <f>IFERROR(INDEX('Forces+Stresses'!R:R, MATCH(Summary!$A445, 'Forces+Stresses'!$A:$A, 0)), INDEX(Flexjoints!E:E, MATCH(Summary!$A445, Flexjoints!$A:$A, 0)))</f>
        <v>1.686E-6</v>
      </c>
      <c r="P445" s="33" t="str">
        <f>IF(INDEX(Labels!B:B, MATCH(Summary!$A445, Labels!$A:$A, 0)) = 0, "", INDEX(Labels!B:B, MATCH(Summary!$A445, Labels!$A:$A, 0)))</f>
        <v>{Marine Riser String}</v>
      </c>
      <c r="Q445" s="35" t="str">
        <f>IF(INDEX(Labels!C:C, MATCH(Summary!$A445, Labels!$A:$A, 0)) = 0, "", INDEX(Labels!C:C, MATCH(Summary!$A445, Labels!$A:$A, 0)))</f>
        <v>{75ft 2500ft 1in Buoyant}</v>
      </c>
      <c r="R445" s="33" t="str">
        <f>IF(INDEX(Labels!D:D, MATCH(Summary!$A445, Labels!$A:$A, 0)) = 0, "", INDEX(Labels!D:D, MATCH(Summary!$A445, Labels!$A:$A, 0)))</f>
        <v/>
      </c>
      <c r="S445" s="35" t="str">
        <f>IF(INDEX(Labels!E:E, MATCH(Summary!$A445, Labels!$A:$A, 0)) = 0, "", INDEX(Labels!E:E, MATCH(Summary!$A445, Labels!$A:$A, 0)))</f>
        <v/>
      </c>
      <c r="T445" s="33" t="str">
        <f>IF(INDEX(Labels!F:F, MATCH(Summary!$A445, Labels!$A:$A, 0)) = 0, "", INDEX(Labels!F:F, MATCH(Summary!$A445, Labels!$A:$A, 0)))</f>
        <v/>
      </c>
      <c r="U445" s="35" t="str">
        <f>IF(INDEX(Labels!G:G, MATCH(Summary!$A445, Labels!$A:$A, 0)) = 0, "", INDEX(Labels!G:G, MATCH(Summary!$A445, Labels!$A:$A, 0)))</f>
        <v/>
      </c>
      <c r="V445" s="62" t="str">
        <f>IF(INDEX(Labels!H:H, MATCH(Summary!$A445, Labels!$A:$A, 0)) = 0, "", INDEX(Labels!H:H, MATCH(Summary!$A445, Labels!$A:$A, 0)))</f>
        <v/>
      </c>
      <c r="W445" t="str">
        <f>IF(INDEX(Labels!I:I, MATCH(Summary!$A445, Labels!$A:$A, 0)) = 0, "", INDEX(Labels!I:I, MATCH(Summary!$A445, Labels!$A:$A, 0)))</f>
        <v/>
      </c>
      <c r="X445" t="str">
        <f>IF(INDEX(Labels!J:J, MATCH(Summary!$A445, Labels!$A:$A, 0)) = 0, "", INDEX(Labels!J:J, MATCH(Summary!$A445, Labels!$A:$A, 0)))</f>
        <v/>
      </c>
    </row>
    <row r="446" spans="1:24" x14ac:dyDescent="0.2">
      <c r="A446" s="33">
        <f>Labels!A447</f>
        <v>440</v>
      </c>
      <c r="B446" s="34">
        <f>INDEX(EchoData!B:B, MATCH(Summary!$A446, EchoData!$A:$A, 0))</f>
        <v>444</v>
      </c>
      <c r="C446" s="35">
        <f>INDEX(EchoData!C:C, MATCH(Summary!$A446, EchoData!$A:$A, 0))</f>
        <v>445</v>
      </c>
      <c r="D446" s="42">
        <f>INDEX(Displacements!B:B, MATCH(Summary!$B446, Displacements!$A:$A, 0))</f>
        <v>710.33199999999999</v>
      </c>
      <c r="E446" s="43">
        <f>INDEX(Displacements!C:C, MATCH(Summary!$B446, Displacements!$A:$A, 0))</f>
        <v>0</v>
      </c>
      <c r="F446" s="44">
        <f>INDEX(Displacements!D:D, MATCH(Summary!$B446, Displacements!$A:$A, 0))</f>
        <v>0</v>
      </c>
      <c r="G446" s="42">
        <f>INDEX(Displacements!B:B, MATCH(Summary!$C446, Displacements!$A:$A, 0))</f>
        <v>715.14400000000001</v>
      </c>
      <c r="H446" s="43">
        <f>INDEX(Displacements!C:C, MATCH(Summary!$C446, Displacements!$A:$A, 0))</f>
        <v>0</v>
      </c>
      <c r="I446" s="44">
        <f>INDEX(Displacements!D:D, MATCH(Summary!$C446, Displacements!$A:$A, 0))</f>
        <v>0</v>
      </c>
      <c r="J446" s="42">
        <f t="shared" si="12"/>
        <v>4.8120000000000118</v>
      </c>
      <c r="K446" s="49">
        <f t="shared" si="13"/>
        <v>1.4810710987996236</v>
      </c>
      <c r="L446" s="54">
        <f>INDEX('Forces+Stresses'!C:C, MATCH(Summary!$A446, 'Forces+Stresses'!$A:$A, 0))</f>
        <v>3212</v>
      </c>
      <c r="M446" s="55">
        <f>INDEX('Forces+Stresses'!D:D, MATCH(Summary!$A446, 'Forces+Stresses'!$A:$A, 0))</f>
        <v>3212</v>
      </c>
      <c r="N446" s="55">
        <f>IFERROR(INDEX('Forces+Stresses'!Q:Q, MATCH(Summary!$A446, 'Forces+Stresses'!$A:$A, 0)), INDEX(Flexjoints!D:D, MATCH(Summary!$A446, Flexjoints!$A:$A, 0)))</f>
        <v>1.7139999999999999E-7</v>
      </c>
      <c r="O446" s="56">
        <f>IFERROR(INDEX('Forces+Stresses'!R:R, MATCH(Summary!$A446, 'Forces+Stresses'!$A:$A, 0)), INDEX(Flexjoints!E:E, MATCH(Summary!$A446, Flexjoints!$A:$A, 0)))</f>
        <v>1.7379999999999999E-6</v>
      </c>
      <c r="P446" s="33" t="str">
        <f>IF(INDEX(Labels!B:B, MATCH(Summary!$A446, Labels!$A:$A, 0)) = 0, "", INDEX(Labels!B:B, MATCH(Summary!$A446, Labels!$A:$A, 0)))</f>
        <v>{Marine Riser String}</v>
      </c>
      <c r="Q446" s="35" t="str">
        <f>IF(INDEX(Labels!C:C, MATCH(Summary!$A446, Labels!$A:$A, 0)) = 0, "", INDEX(Labels!C:C, MATCH(Summary!$A446, Labels!$A:$A, 0)))</f>
        <v>{75ft 2500ft 1in Buoyant}</v>
      </c>
      <c r="R446" s="33" t="str">
        <f>IF(INDEX(Labels!D:D, MATCH(Summary!$A446, Labels!$A:$A, 0)) = 0, "", INDEX(Labels!D:D, MATCH(Summary!$A446, Labels!$A:$A, 0)))</f>
        <v/>
      </c>
      <c r="S446" s="35" t="str">
        <f>IF(INDEX(Labels!E:E, MATCH(Summary!$A446, Labels!$A:$A, 0)) = 0, "", INDEX(Labels!E:E, MATCH(Summary!$A446, Labels!$A:$A, 0)))</f>
        <v/>
      </c>
      <c r="T446" s="33" t="str">
        <f>IF(INDEX(Labels!F:F, MATCH(Summary!$A446, Labels!$A:$A, 0)) = 0, "", INDEX(Labels!F:F, MATCH(Summary!$A446, Labels!$A:$A, 0)))</f>
        <v/>
      </c>
      <c r="U446" s="35" t="str">
        <f>IF(INDEX(Labels!G:G, MATCH(Summary!$A446, Labels!$A:$A, 0)) = 0, "", INDEX(Labels!G:G, MATCH(Summary!$A446, Labels!$A:$A, 0)))</f>
        <v/>
      </c>
      <c r="V446" s="62" t="str">
        <f>IF(INDEX(Labels!H:H, MATCH(Summary!$A446, Labels!$A:$A, 0)) = 0, "", INDEX(Labels!H:H, MATCH(Summary!$A446, Labels!$A:$A, 0)))</f>
        <v/>
      </c>
      <c r="W446" t="str">
        <f>IF(INDEX(Labels!I:I, MATCH(Summary!$A446, Labels!$A:$A, 0)) = 0, "", INDEX(Labels!I:I, MATCH(Summary!$A446, Labels!$A:$A, 0)))</f>
        <v/>
      </c>
      <c r="X446" t="str">
        <f>IF(INDEX(Labels!J:J, MATCH(Summary!$A446, Labels!$A:$A, 0)) = 0, "", INDEX(Labels!J:J, MATCH(Summary!$A446, Labels!$A:$A, 0)))</f>
        <v/>
      </c>
    </row>
    <row r="447" spans="1:24" x14ac:dyDescent="0.2">
      <c r="A447" s="33">
        <f>Labels!A448</f>
        <v>441</v>
      </c>
      <c r="B447" s="34">
        <f>INDEX(EchoData!B:B, MATCH(Summary!$A447, EchoData!$A:$A, 0))</f>
        <v>445</v>
      </c>
      <c r="C447" s="35">
        <f>INDEX(EchoData!C:C, MATCH(Summary!$A447, EchoData!$A:$A, 0))</f>
        <v>446</v>
      </c>
      <c r="D447" s="42">
        <f>INDEX(Displacements!B:B, MATCH(Summary!$B447, Displacements!$A:$A, 0))</f>
        <v>715.14400000000001</v>
      </c>
      <c r="E447" s="43">
        <f>INDEX(Displacements!C:C, MATCH(Summary!$B447, Displacements!$A:$A, 0))</f>
        <v>0</v>
      </c>
      <c r="F447" s="44">
        <f>INDEX(Displacements!D:D, MATCH(Summary!$B447, Displacements!$A:$A, 0))</f>
        <v>0</v>
      </c>
      <c r="G447" s="42">
        <f>INDEX(Displacements!B:B, MATCH(Summary!$C447, Displacements!$A:$A, 0))</f>
        <v>719.95699999999999</v>
      </c>
      <c r="H447" s="43">
        <f>INDEX(Displacements!C:C, MATCH(Summary!$C447, Displacements!$A:$A, 0))</f>
        <v>0</v>
      </c>
      <c r="I447" s="44">
        <f>INDEX(Displacements!D:D, MATCH(Summary!$C447, Displacements!$A:$A, 0))</f>
        <v>0</v>
      </c>
      <c r="J447" s="42">
        <f t="shared" si="12"/>
        <v>4.8129999999999882</v>
      </c>
      <c r="K447" s="49">
        <f t="shared" si="13"/>
        <v>1.0002078137988313</v>
      </c>
      <c r="L447" s="54">
        <f>INDEX('Forces+Stresses'!C:C, MATCH(Summary!$A447, 'Forces+Stresses'!$A:$A, 0))</f>
        <v>3220</v>
      </c>
      <c r="M447" s="55">
        <f>INDEX('Forces+Stresses'!D:D, MATCH(Summary!$A447, 'Forces+Stresses'!$A:$A, 0))</f>
        <v>3220</v>
      </c>
      <c r="N447" s="55">
        <f>IFERROR(INDEX('Forces+Stresses'!Q:Q, MATCH(Summary!$A447, 'Forces+Stresses'!$A:$A, 0)), INDEX(Flexjoints!D:D, MATCH(Summary!$A447, Flexjoints!$A:$A, 0)))</f>
        <v>3.4159999999999996E-8</v>
      </c>
      <c r="O447" s="56">
        <f>IFERROR(INDEX('Forces+Stresses'!R:R, MATCH(Summary!$A447, 'Forces+Stresses'!$A:$A, 0)), INDEX(Flexjoints!E:E, MATCH(Summary!$A447, Flexjoints!$A:$A, 0)))</f>
        <v>1.7149999999999999E-6</v>
      </c>
      <c r="P447" s="33" t="str">
        <f>IF(INDEX(Labels!B:B, MATCH(Summary!$A447, Labels!$A:$A, 0)) = 0, "", INDEX(Labels!B:B, MATCH(Summary!$A447, Labels!$A:$A, 0)))</f>
        <v>{Marine Riser String}</v>
      </c>
      <c r="Q447" s="35" t="str">
        <f>IF(INDEX(Labels!C:C, MATCH(Summary!$A447, Labels!$A:$A, 0)) = 0, "", INDEX(Labels!C:C, MATCH(Summary!$A447, Labels!$A:$A, 0)))</f>
        <v>{75ft 2500ft 1in Buoyant}</v>
      </c>
      <c r="R447" s="33" t="str">
        <f>IF(INDEX(Labels!D:D, MATCH(Summary!$A447, Labels!$A:$A, 0)) = 0, "", INDEX(Labels!D:D, MATCH(Summary!$A447, Labels!$A:$A, 0)))</f>
        <v/>
      </c>
      <c r="S447" s="35" t="str">
        <f>IF(INDEX(Labels!E:E, MATCH(Summary!$A447, Labels!$A:$A, 0)) = 0, "", INDEX(Labels!E:E, MATCH(Summary!$A447, Labels!$A:$A, 0)))</f>
        <v/>
      </c>
      <c r="T447" s="33" t="str">
        <f>IF(INDEX(Labels!F:F, MATCH(Summary!$A447, Labels!$A:$A, 0)) = 0, "", INDEX(Labels!F:F, MATCH(Summary!$A447, Labels!$A:$A, 0)))</f>
        <v/>
      </c>
      <c r="U447" s="35" t="str">
        <f>IF(INDEX(Labels!G:G, MATCH(Summary!$A447, Labels!$A:$A, 0)) = 0, "", INDEX(Labels!G:G, MATCH(Summary!$A447, Labels!$A:$A, 0)))</f>
        <v/>
      </c>
      <c r="V447" s="62" t="str">
        <f>IF(INDEX(Labels!H:H, MATCH(Summary!$A447, Labels!$A:$A, 0)) = 0, "", INDEX(Labels!H:H, MATCH(Summary!$A447, Labels!$A:$A, 0)))</f>
        <v/>
      </c>
      <c r="W447" t="str">
        <f>IF(INDEX(Labels!I:I, MATCH(Summary!$A447, Labels!$A:$A, 0)) = 0, "", INDEX(Labels!I:I, MATCH(Summary!$A447, Labels!$A:$A, 0)))</f>
        <v/>
      </c>
      <c r="X447" t="str">
        <f>IF(INDEX(Labels!J:J, MATCH(Summary!$A447, Labels!$A:$A, 0)) = 0, "", INDEX(Labels!J:J, MATCH(Summary!$A447, Labels!$A:$A, 0)))</f>
        <v/>
      </c>
    </row>
    <row r="448" spans="1:24" x14ac:dyDescent="0.2">
      <c r="A448" s="33">
        <f>Labels!A449</f>
        <v>442</v>
      </c>
      <c r="B448" s="34">
        <f>INDEX(EchoData!B:B, MATCH(Summary!$A448, EchoData!$A:$A, 0))</f>
        <v>446</v>
      </c>
      <c r="C448" s="35">
        <f>INDEX(EchoData!C:C, MATCH(Summary!$A448, EchoData!$A:$A, 0))</f>
        <v>447</v>
      </c>
      <c r="D448" s="42">
        <f>INDEX(Displacements!B:B, MATCH(Summary!$B448, Displacements!$A:$A, 0))</f>
        <v>719.95699999999999</v>
      </c>
      <c r="E448" s="43">
        <f>INDEX(Displacements!C:C, MATCH(Summary!$B448, Displacements!$A:$A, 0))</f>
        <v>0</v>
      </c>
      <c r="F448" s="44">
        <f>INDEX(Displacements!D:D, MATCH(Summary!$B448, Displacements!$A:$A, 0))</f>
        <v>0</v>
      </c>
      <c r="G448" s="42">
        <f>INDEX(Displacements!B:B, MATCH(Summary!$C448, Displacements!$A:$A, 0))</f>
        <v>724.76900000000001</v>
      </c>
      <c r="H448" s="43">
        <f>INDEX(Displacements!C:C, MATCH(Summary!$C448, Displacements!$A:$A, 0))</f>
        <v>0</v>
      </c>
      <c r="I448" s="44">
        <f>INDEX(Displacements!D:D, MATCH(Summary!$C448, Displacements!$A:$A, 0))</f>
        <v>0</v>
      </c>
      <c r="J448" s="42">
        <f t="shared" si="12"/>
        <v>4.8120000000000118</v>
      </c>
      <c r="K448" s="49">
        <f t="shared" si="13"/>
        <v>0.99979222937877077</v>
      </c>
      <c r="L448" s="54">
        <f>INDEX('Forces+Stresses'!C:C, MATCH(Summary!$A448, 'Forces+Stresses'!$A:$A, 0))</f>
        <v>3228</v>
      </c>
      <c r="M448" s="55">
        <f>INDEX('Forces+Stresses'!D:D, MATCH(Summary!$A448, 'Forces+Stresses'!$A:$A, 0))</f>
        <v>3228</v>
      </c>
      <c r="N448" s="55">
        <f>IFERROR(INDEX('Forces+Stresses'!Q:Q, MATCH(Summary!$A448, 'Forces+Stresses'!$A:$A, 0)), INDEX(Flexjoints!D:D, MATCH(Summary!$A448, Flexjoints!$A:$A, 0)))</f>
        <v>1.0490000000000001E-7</v>
      </c>
      <c r="O448" s="56">
        <f>IFERROR(INDEX('Forces+Stresses'!R:R, MATCH(Summary!$A448, 'Forces+Stresses'!$A:$A, 0)), INDEX(Flexjoints!E:E, MATCH(Summary!$A448, Flexjoints!$A:$A, 0)))</f>
        <v>1.9999999999999999E-6</v>
      </c>
      <c r="P448" s="33" t="str">
        <f>IF(INDEX(Labels!B:B, MATCH(Summary!$A448, Labels!$A:$A, 0)) = 0, "", INDEX(Labels!B:B, MATCH(Summary!$A448, Labels!$A:$A, 0)))</f>
        <v>{Marine Riser String}</v>
      </c>
      <c r="Q448" s="35" t="str">
        <f>IF(INDEX(Labels!C:C, MATCH(Summary!$A448, Labels!$A:$A, 0)) = 0, "", INDEX(Labels!C:C, MATCH(Summary!$A448, Labels!$A:$A, 0)))</f>
        <v>{75ft 2500ft 1in Buoyant}</v>
      </c>
      <c r="R448" s="33" t="str">
        <f>IF(INDEX(Labels!D:D, MATCH(Summary!$A448, Labels!$A:$A, 0)) = 0, "", INDEX(Labels!D:D, MATCH(Summary!$A448, Labels!$A:$A, 0)))</f>
        <v/>
      </c>
      <c r="S448" s="35" t="str">
        <f>IF(INDEX(Labels!E:E, MATCH(Summary!$A448, Labels!$A:$A, 0)) = 0, "", INDEX(Labels!E:E, MATCH(Summary!$A448, Labels!$A:$A, 0)))</f>
        <v/>
      </c>
      <c r="T448" s="33" t="str">
        <f>IF(INDEX(Labels!F:F, MATCH(Summary!$A448, Labels!$A:$A, 0)) = 0, "", INDEX(Labels!F:F, MATCH(Summary!$A448, Labels!$A:$A, 0)))</f>
        <v/>
      </c>
      <c r="U448" s="35" t="str">
        <f>IF(INDEX(Labels!G:G, MATCH(Summary!$A448, Labels!$A:$A, 0)) = 0, "", INDEX(Labels!G:G, MATCH(Summary!$A448, Labels!$A:$A, 0)))</f>
        <v/>
      </c>
      <c r="V448" s="62" t="str">
        <f>IF(INDEX(Labels!H:H, MATCH(Summary!$A448, Labels!$A:$A, 0)) = 0, "", INDEX(Labels!H:H, MATCH(Summary!$A448, Labels!$A:$A, 0)))</f>
        <v/>
      </c>
      <c r="W448" t="str">
        <f>IF(INDEX(Labels!I:I, MATCH(Summary!$A448, Labels!$A:$A, 0)) = 0, "", INDEX(Labels!I:I, MATCH(Summary!$A448, Labels!$A:$A, 0)))</f>
        <v/>
      </c>
      <c r="X448" t="str">
        <f>IF(INDEX(Labels!J:J, MATCH(Summary!$A448, Labels!$A:$A, 0)) = 0, "", INDEX(Labels!J:J, MATCH(Summary!$A448, Labels!$A:$A, 0)))</f>
        <v/>
      </c>
    </row>
    <row r="449" spans="1:24" x14ac:dyDescent="0.2">
      <c r="A449" s="33">
        <f>Labels!A450</f>
        <v>443</v>
      </c>
      <c r="B449" s="34">
        <f>INDEX(EchoData!B:B, MATCH(Summary!$A449, EchoData!$A:$A, 0))</f>
        <v>447</v>
      </c>
      <c r="C449" s="35">
        <f>INDEX(EchoData!C:C, MATCH(Summary!$A449, EchoData!$A:$A, 0))</f>
        <v>448</v>
      </c>
      <c r="D449" s="42">
        <f>INDEX(Displacements!B:B, MATCH(Summary!$B449, Displacements!$A:$A, 0))</f>
        <v>724.76900000000001</v>
      </c>
      <c r="E449" s="43">
        <f>INDEX(Displacements!C:C, MATCH(Summary!$B449, Displacements!$A:$A, 0))</f>
        <v>0</v>
      </c>
      <c r="F449" s="44">
        <f>INDEX(Displacements!D:D, MATCH(Summary!$B449, Displacements!$A:$A, 0))</f>
        <v>0</v>
      </c>
      <c r="G449" s="42">
        <f>INDEX(Displacements!B:B, MATCH(Summary!$C449, Displacements!$A:$A, 0))</f>
        <v>729.58199999999999</v>
      </c>
      <c r="H449" s="43">
        <f>INDEX(Displacements!C:C, MATCH(Summary!$C449, Displacements!$A:$A, 0))</f>
        <v>0</v>
      </c>
      <c r="I449" s="44">
        <f>INDEX(Displacements!D:D, MATCH(Summary!$C449, Displacements!$A:$A, 0))</f>
        <v>0</v>
      </c>
      <c r="J449" s="42">
        <f t="shared" si="12"/>
        <v>4.8129999999999882</v>
      </c>
      <c r="K449" s="49">
        <f t="shared" si="13"/>
        <v>1.0002078137988313</v>
      </c>
      <c r="L449" s="54">
        <f>INDEX('Forces+Stresses'!C:C, MATCH(Summary!$A449, 'Forces+Stresses'!$A:$A, 0))</f>
        <v>3235</v>
      </c>
      <c r="M449" s="55">
        <f>INDEX('Forces+Stresses'!D:D, MATCH(Summary!$A449, 'Forces+Stresses'!$A:$A, 0))</f>
        <v>3235</v>
      </c>
      <c r="N449" s="55">
        <f>IFERROR(INDEX('Forces+Stresses'!Q:Q, MATCH(Summary!$A449, 'Forces+Stresses'!$A:$A, 0)), INDEX(Flexjoints!D:D, MATCH(Summary!$A449, Flexjoints!$A:$A, 0)))</f>
        <v>6.2629999999999999E-8</v>
      </c>
      <c r="O449" s="56">
        <f>IFERROR(INDEX('Forces+Stresses'!R:R, MATCH(Summary!$A449, 'Forces+Stresses'!$A:$A, 0)), INDEX(Flexjoints!E:E, MATCH(Summary!$A449, Flexjoints!$A:$A, 0)))</f>
        <v>2.1270000000000001E-6</v>
      </c>
      <c r="P449" s="33" t="str">
        <f>IF(INDEX(Labels!B:B, MATCH(Summary!$A449, Labels!$A:$A, 0)) = 0, "", INDEX(Labels!B:B, MATCH(Summary!$A449, Labels!$A:$A, 0)))</f>
        <v>{Marine Riser String}</v>
      </c>
      <c r="Q449" s="35" t="str">
        <f>IF(INDEX(Labels!C:C, MATCH(Summary!$A449, Labels!$A:$A, 0)) = 0, "", INDEX(Labels!C:C, MATCH(Summary!$A449, Labels!$A:$A, 0)))</f>
        <v>{75ft 2500ft 1in Buoyant}</v>
      </c>
      <c r="R449" s="33" t="str">
        <f>IF(INDEX(Labels!D:D, MATCH(Summary!$A449, Labels!$A:$A, 0)) = 0, "", INDEX(Labels!D:D, MATCH(Summary!$A449, Labels!$A:$A, 0)))</f>
        <v/>
      </c>
      <c r="S449" s="35" t="str">
        <f>IF(INDEX(Labels!E:E, MATCH(Summary!$A449, Labels!$A:$A, 0)) = 0, "", INDEX(Labels!E:E, MATCH(Summary!$A449, Labels!$A:$A, 0)))</f>
        <v/>
      </c>
      <c r="T449" s="33" t="str">
        <f>IF(INDEX(Labels!F:F, MATCH(Summary!$A449, Labels!$A:$A, 0)) = 0, "", INDEX(Labels!F:F, MATCH(Summary!$A449, Labels!$A:$A, 0)))</f>
        <v/>
      </c>
      <c r="U449" s="35" t="str">
        <f>IF(INDEX(Labels!G:G, MATCH(Summary!$A449, Labels!$A:$A, 0)) = 0, "", INDEX(Labels!G:G, MATCH(Summary!$A449, Labels!$A:$A, 0)))</f>
        <v/>
      </c>
      <c r="V449" s="62" t="str">
        <f>IF(INDEX(Labels!H:H, MATCH(Summary!$A449, Labels!$A:$A, 0)) = 0, "", INDEX(Labels!H:H, MATCH(Summary!$A449, Labels!$A:$A, 0)))</f>
        <v/>
      </c>
      <c r="W449" t="str">
        <f>IF(INDEX(Labels!I:I, MATCH(Summary!$A449, Labels!$A:$A, 0)) = 0, "", INDEX(Labels!I:I, MATCH(Summary!$A449, Labels!$A:$A, 0)))</f>
        <v/>
      </c>
      <c r="X449" t="str">
        <f>IF(INDEX(Labels!J:J, MATCH(Summary!$A449, Labels!$A:$A, 0)) = 0, "", INDEX(Labels!J:J, MATCH(Summary!$A449, Labels!$A:$A, 0)))</f>
        <v/>
      </c>
    </row>
    <row r="450" spans="1:24" x14ac:dyDescent="0.2">
      <c r="A450" s="33">
        <f>Labels!A451</f>
        <v>444</v>
      </c>
      <c r="B450" s="34">
        <f>INDEX(EchoData!B:B, MATCH(Summary!$A450, EchoData!$A:$A, 0))</f>
        <v>448</v>
      </c>
      <c r="C450" s="35">
        <f>INDEX(EchoData!C:C, MATCH(Summary!$A450, EchoData!$A:$A, 0))</f>
        <v>449</v>
      </c>
      <c r="D450" s="42">
        <f>INDEX(Displacements!B:B, MATCH(Summary!$B450, Displacements!$A:$A, 0))</f>
        <v>729.58199999999999</v>
      </c>
      <c r="E450" s="43">
        <f>INDEX(Displacements!C:C, MATCH(Summary!$B450, Displacements!$A:$A, 0))</f>
        <v>0</v>
      </c>
      <c r="F450" s="44">
        <f>INDEX(Displacements!D:D, MATCH(Summary!$B450, Displacements!$A:$A, 0))</f>
        <v>0</v>
      </c>
      <c r="G450" s="42">
        <f>INDEX(Displacements!B:B, MATCH(Summary!$C450, Displacements!$A:$A, 0))</f>
        <v>734.39499999999998</v>
      </c>
      <c r="H450" s="43">
        <f>INDEX(Displacements!C:C, MATCH(Summary!$C450, Displacements!$A:$A, 0))</f>
        <v>0</v>
      </c>
      <c r="I450" s="44">
        <f>INDEX(Displacements!D:D, MATCH(Summary!$C450, Displacements!$A:$A, 0))</f>
        <v>0</v>
      </c>
      <c r="J450" s="42">
        <f t="shared" si="12"/>
        <v>4.8129999999999882</v>
      </c>
      <c r="K450" s="49">
        <f t="shared" si="13"/>
        <v>1</v>
      </c>
      <c r="L450" s="54">
        <f>INDEX('Forces+Stresses'!C:C, MATCH(Summary!$A450, 'Forces+Stresses'!$A:$A, 0))</f>
        <v>3243</v>
      </c>
      <c r="M450" s="55">
        <f>INDEX('Forces+Stresses'!D:D, MATCH(Summary!$A450, 'Forces+Stresses'!$A:$A, 0))</f>
        <v>3243</v>
      </c>
      <c r="N450" s="55">
        <f>IFERROR(INDEX('Forces+Stresses'!Q:Q, MATCH(Summary!$A450, 'Forces+Stresses'!$A:$A, 0)), INDEX(Flexjoints!D:D, MATCH(Summary!$A450, Flexjoints!$A:$A, 0)))</f>
        <v>1.4569999999999999E-7</v>
      </c>
      <c r="O450" s="56">
        <f>IFERROR(INDEX('Forces+Stresses'!R:R, MATCH(Summary!$A450, 'Forces+Stresses'!$A:$A, 0)), INDEX(Flexjoints!E:E, MATCH(Summary!$A450, Flexjoints!$A:$A, 0)))</f>
        <v>2.046E-6</v>
      </c>
      <c r="P450" s="33" t="str">
        <f>IF(INDEX(Labels!B:B, MATCH(Summary!$A450, Labels!$A:$A, 0)) = 0, "", INDEX(Labels!B:B, MATCH(Summary!$A450, Labels!$A:$A, 0)))</f>
        <v>{Marine Riser String}</v>
      </c>
      <c r="Q450" s="35" t="str">
        <f>IF(INDEX(Labels!C:C, MATCH(Summary!$A450, Labels!$A:$A, 0)) = 0, "", INDEX(Labels!C:C, MATCH(Summary!$A450, Labels!$A:$A, 0)))</f>
        <v>{75ft 2500ft 1in Buoyant}</v>
      </c>
      <c r="R450" s="33" t="str">
        <f>IF(INDEX(Labels!D:D, MATCH(Summary!$A450, Labels!$A:$A, 0)) = 0, "", INDEX(Labels!D:D, MATCH(Summary!$A450, Labels!$A:$A, 0)))</f>
        <v/>
      </c>
      <c r="S450" s="35" t="str">
        <f>IF(INDEX(Labels!E:E, MATCH(Summary!$A450, Labels!$A:$A, 0)) = 0, "", INDEX(Labels!E:E, MATCH(Summary!$A450, Labels!$A:$A, 0)))</f>
        <v/>
      </c>
      <c r="T450" s="33" t="str">
        <f>IF(INDEX(Labels!F:F, MATCH(Summary!$A450, Labels!$A:$A, 0)) = 0, "", INDEX(Labels!F:F, MATCH(Summary!$A450, Labels!$A:$A, 0)))</f>
        <v/>
      </c>
      <c r="U450" s="35" t="str">
        <f>IF(INDEX(Labels!G:G, MATCH(Summary!$A450, Labels!$A:$A, 0)) = 0, "", INDEX(Labels!G:G, MATCH(Summary!$A450, Labels!$A:$A, 0)))</f>
        <v/>
      </c>
      <c r="V450" s="62" t="str">
        <f>IF(INDEX(Labels!H:H, MATCH(Summary!$A450, Labels!$A:$A, 0)) = 0, "", INDEX(Labels!H:H, MATCH(Summary!$A450, Labels!$A:$A, 0)))</f>
        <v/>
      </c>
      <c r="W450" t="str">
        <f>IF(INDEX(Labels!I:I, MATCH(Summary!$A450, Labels!$A:$A, 0)) = 0, "", INDEX(Labels!I:I, MATCH(Summary!$A450, Labels!$A:$A, 0)))</f>
        <v/>
      </c>
      <c r="X450" t="str">
        <f>IF(INDEX(Labels!J:J, MATCH(Summary!$A450, Labels!$A:$A, 0)) = 0, "", INDEX(Labels!J:J, MATCH(Summary!$A450, Labels!$A:$A, 0)))</f>
        <v/>
      </c>
    </row>
    <row r="451" spans="1:24" x14ac:dyDescent="0.2">
      <c r="A451" s="33">
        <f>Labels!A452</f>
        <v>445</v>
      </c>
      <c r="B451" s="34">
        <f>INDEX(EchoData!B:B, MATCH(Summary!$A451, EchoData!$A:$A, 0))</f>
        <v>449</v>
      </c>
      <c r="C451" s="35">
        <f>INDEX(EchoData!C:C, MATCH(Summary!$A451, EchoData!$A:$A, 0))</f>
        <v>450</v>
      </c>
      <c r="D451" s="42">
        <f>INDEX(Displacements!B:B, MATCH(Summary!$B451, Displacements!$A:$A, 0))</f>
        <v>734.39499999999998</v>
      </c>
      <c r="E451" s="43">
        <f>INDEX(Displacements!C:C, MATCH(Summary!$B451, Displacements!$A:$A, 0))</f>
        <v>0</v>
      </c>
      <c r="F451" s="44">
        <f>INDEX(Displacements!D:D, MATCH(Summary!$B451, Displacements!$A:$A, 0))</f>
        <v>0</v>
      </c>
      <c r="G451" s="42">
        <f>INDEX(Displacements!B:B, MATCH(Summary!$C451, Displacements!$A:$A, 0))</f>
        <v>739.20699999999999</v>
      </c>
      <c r="H451" s="43">
        <f>INDEX(Displacements!C:C, MATCH(Summary!$C451, Displacements!$A:$A, 0))</f>
        <v>0</v>
      </c>
      <c r="I451" s="44">
        <f>INDEX(Displacements!D:D, MATCH(Summary!$C451, Displacements!$A:$A, 0))</f>
        <v>0</v>
      </c>
      <c r="J451" s="42">
        <f t="shared" si="12"/>
        <v>4.8120000000000118</v>
      </c>
      <c r="K451" s="49">
        <f t="shared" si="13"/>
        <v>0.99979222937877077</v>
      </c>
      <c r="L451" s="54">
        <f>INDEX('Forces+Stresses'!C:C, MATCH(Summary!$A451, 'Forces+Stresses'!$A:$A, 0))</f>
        <v>3251</v>
      </c>
      <c r="M451" s="55">
        <f>INDEX('Forces+Stresses'!D:D, MATCH(Summary!$A451, 'Forces+Stresses'!$A:$A, 0))</f>
        <v>3251</v>
      </c>
      <c r="N451" s="55">
        <f>IFERROR(INDEX('Forces+Stresses'!Q:Q, MATCH(Summary!$A451, 'Forces+Stresses'!$A:$A, 0)), INDEX(Flexjoints!D:D, MATCH(Summary!$A451, Flexjoints!$A:$A, 0)))</f>
        <v>4.58E-8</v>
      </c>
      <c r="O451" s="56">
        <f>IFERROR(INDEX('Forces+Stresses'!R:R, MATCH(Summary!$A451, 'Forces+Stresses'!$A:$A, 0)), INDEX(Flexjoints!E:E, MATCH(Summary!$A451, Flexjoints!$A:$A, 0)))</f>
        <v>1.968E-6</v>
      </c>
      <c r="P451" s="33" t="str">
        <f>IF(INDEX(Labels!B:B, MATCH(Summary!$A451, Labels!$A:$A, 0)) = 0, "", INDEX(Labels!B:B, MATCH(Summary!$A451, Labels!$A:$A, 0)))</f>
        <v>{Marine Riser String}</v>
      </c>
      <c r="Q451" s="35" t="str">
        <f>IF(INDEX(Labels!C:C, MATCH(Summary!$A451, Labels!$A:$A, 0)) = 0, "", INDEX(Labels!C:C, MATCH(Summary!$A451, Labels!$A:$A, 0)))</f>
        <v>{75ft 2500ft 1in Buoyant}</v>
      </c>
      <c r="R451" s="33" t="str">
        <f>IF(INDEX(Labels!D:D, MATCH(Summary!$A451, Labels!$A:$A, 0)) = 0, "", INDEX(Labels!D:D, MATCH(Summary!$A451, Labels!$A:$A, 0)))</f>
        <v/>
      </c>
      <c r="S451" s="35" t="str">
        <f>IF(INDEX(Labels!E:E, MATCH(Summary!$A451, Labels!$A:$A, 0)) = 0, "", INDEX(Labels!E:E, MATCH(Summary!$A451, Labels!$A:$A, 0)))</f>
        <v/>
      </c>
      <c r="T451" s="33" t="str">
        <f>IF(INDEX(Labels!F:F, MATCH(Summary!$A451, Labels!$A:$A, 0)) = 0, "", INDEX(Labels!F:F, MATCH(Summary!$A451, Labels!$A:$A, 0)))</f>
        <v/>
      </c>
      <c r="U451" s="35" t="str">
        <f>IF(INDEX(Labels!G:G, MATCH(Summary!$A451, Labels!$A:$A, 0)) = 0, "", INDEX(Labels!G:G, MATCH(Summary!$A451, Labels!$A:$A, 0)))</f>
        <v/>
      </c>
      <c r="V451" s="62" t="str">
        <f>IF(INDEX(Labels!H:H, MATCH(Summary!$A451, Labels!$A:$A, 0)) = 0, "", INDEX(Labels!H:H, MATCH(Summary!$A451, Labels!$A:$A, 0)))</f>
        <v/>
      </c>
      <c r="W451" t="str">
        <f>IF(INDEX(Labels!I:I, MATCH(Summary!$A451, Labels!$A:$A, 0)) = 0, "", INDEX(Labels!I:I, MATCH(Summary!$A451, Labels!$A:$A, 0)))</f>
        <v/>
      </c>
      <c r="X451" t="str">
        <f>IF(INDEX(Labels!J:J, MATCH(Summary!$A451, Labels!$A:$A, 0)) = 0, "", INDEX(Labels!J:J, MATCH(Summary!$A451, Labels!$A:$A, 0)))</f>
        <v/>
      </c>
    </row>
    <row r="452" spans="1:24" x14ac:dyDescent="0.2">
      <c r="A452" s="33">
        <f>Labels!A453</f>
        <v>446</v>
      </c>
      <c r="B452" s="34">
        <f>INDEX(EchoData!B:B, MATCH(Summary!$A452, EchoData!$A:$A, 0))</f>
        <v>450</v>
      </c>
      <c r="C452" s="35">
        <f>INDEX(EchoData!C:C, MATCH(Summary!$A452, EchoData!$A:$A, 0))</f>
        <v>451</v>
      </c>
      <c r="D452" s="42">
        <f>INDEX(Displacements!B:B, MATCH(Summary!$B452, Displacements!$A:$A, 0))</f>
        <v>739.20699999999999</v>
      </c>
      <c r="E452" s="43">
        <f>INDEX(Displacements!C:C, MATCH(Summary!$B452, Displacements!$A:$A, 0))</f>
        <v>0</v>
      </c>
      <c r="F452" s="44">
        <f>INDEX(Displacements!D:D, MATCH(Summary!$B452, Displacements!$A:$A, 0))</f>
        <v>0</v>
      </c>
      <c r="G452" s="42">
        <f>INDEX(Displacements!B:B, MATCH(Summary!$C452, Displacements!$A:$A, 0))</f>
        <v>744.02</v>
      </c>
      <c r="H452" s="43">
        <f>INDEX(Displacements!C:C, MATCH(Summary!$C452, Displacements!$A:$A, 0))</f>
        <v>0</v>
      </c>
      <c r="I452" s="44">
        <f>INDEX(Displacements!D:D, MATCH(Summary!$C452, Displacements!$A:$A, 0))</f>
        <v>0</v>
      </c>
      <c r="J452" s="42">
        <f t="shared" si="12"/>
        <v>4.8129999999999882</v>
      </c>
      <c r="K452" s="49">
        <f t="shared" si="13"/>
        <v>1.0002078137988313</v>
      </c>
      <c r="L452" s="54">
        <f>INDEX('Forces+Stresses'!C:C, MATCH(Summary!$A452, 'Forces+Stresses'!$A:$A, 0))</f>
        <v>3258</v>
      </c>
      <c r="M452" s="55">
        <f>INDEX('Forces+Stresses'!D:D, MATCH(Summary!$A452, 'Forces+Stresses'!$A:$A, 0))</f>
        <v>3258</v>
      </c>
      <c r="N452" s="55">
        <f>IFERROR(INDEX('Forces+Stresses'!Q:Q, MATCH(Summary!$A452, 'Forces+Stresses'!$A:$A, 0)), INDEX(Flexjoints!D:D, MATCH(Summary!$A452, Flexjoints!$A:$A, 0)))</f>
        <v>6.760000000000001E-8</v>
      </c>
      <c r="O452" s="56">
        <f>IFERROR(INDEX('Forces+Stresses'!R:R, MATCH(Summary!$A452, 'Forces+Stresses'!$A:$A, 0)), INDEX(Flexjoints!E:E, MATCH(Summary!$A452, Flexjoints!$A:$A, 0)))</f>
        <v>1.8899999999999999E-6</v>
      </c>
      <c r="P452" s="33" t="str">
        <f>IF(INDEX(Labels!B:B, MATCH(Summary!$A452, Labels!$A:$A, 0)) = 0, "", INDEX(Labels!B:B, MATCH(Summary!$A452, Labels!$A:$A, 0)))</f>
        <v>{Marine Riser String}</v>
      </c>
      <c r="Q452" s="35" t="str">
        <f>IF(INDEX(Labels!C:C, MATCH(Summary!$A452, Labels!$A:$A, 0)) = 0, "", INDEX(Labels!C:C, MATCH(Summary!$A452, Labels!$A:$A, 0)))</f>
        <v>{75ft 2500ft 1in Buoyant}</v>
      </c>
      <c r="R452" s="33" t="str">
        <f>IF(INDEX(Labels!D:D, MATCH(Summary!$A452, Labels!$A:$A, 0)) = 0, "", INDEX(Labels!D:D, MATCH(Summary!$A452, Labels!$A:$A, 0)))</f>
        <v/>
      </c>
      <c r="S452" s="35" t="str">
        <f>IF(INDEX(Labels!E:E, MATCH(Summary!$A452, Labels!$A:$A, 0)) = 0, "", INDEX(Labels!E:E, MATCH(Summary!$A452, Labels!$A:$A, 0)))</f>
        <v/>
      </c>
      <c r="T452" s="33" t="str">
        <f>IF(INDEX(Labels!F:F, MATCH(Summary!$A452, Labels!$A:$A, 0)) = 0, "", INDEX(Labels!F:F, MATCH(Summary!$A452, Labels!$A:$A, 0)))</f>
        <v/>
      </c>
      <c r="U452" s="35" t="str">
        <f>IF(INDEX(Labels!G:G, MATCH(Summary!$A452, Labels!$A:$A, 0)) = 0, "", INDEX(Labels!G:G, MATCH(Summary!$A452, Labels!$A:$A, 0)))</f>
        <v/>
      </c>
      <c r="V452" s="62" t="str">
        <f>IF(INDEX(Labels!H:H, MATCH(Summary!$A452, Labels!$A:$A, 0)) = 0, "", INDEX(Labels!H:H, MATCH(Summary!$A452, Labels!$A:$A, 0)))</f>
        <v/>
      </c>
      <c r="W452" t="str">
        <f>IF(INDEX(Labels!I:I, MATCH(Summary!$A452, Labels!$A:$A, 0)) = 0, "", INDEX(Labels!I:I, MATCH(Summary!$A452, Labels!$A:$A, 0)))</f>
        <v/>
      </c>
      <c r="X452" t="str">
        <f>IF(INDEX(Labels!J:J, MATCH(Summary!$A452, Labels!$A:$A, 0)) = 0, "", INDEX(Labels!J:J, MATCH(Summary!$A452, Labels!$A:$A, 0)))</f>
        <v/>
      </c>
    </row>
    <row r="453" spans="1:24" x14ac:dyDescent="0.2">
      <c r="A453" s="33">
        <f>Labels!A454</f>
        <v>447</v>
      </c>
      <c r="B453" s="34">
        <f>INDEX(EchoData!B:B, MATCH(Summary!$A453, EchoData!$A:$A, 0))</f>
        <v>451</v>
      </c>
      <c r="C453" s="35">
        <f>INDEX(EchoData!C:C, MATCH(Summary!$A453, EchoData!$A:$A, 0))</f>
        <v>452</v>
      </c>
      <c r="D453" s="42">
        <f>INDEX(Displacements!B:B, MATCH(Summary!$B453, Displacements!$A:$A, 0))</f>
        <v>744.02</v>
      </c>
      <c r="E453" s="43">
        <f>INDEX(Displacements!C:C, MATCH(Summary!$B453, Displacements!$A:$A, 0))</f>
        <v>0</v>
      </c>
      <c r="F453" s="44">
        <f>INDEX(Displacements!D:D, MATCH(Summary!$B453, Displacements!$A:$A, 0))</f>
        <v>0</v>
      </c>
      <c r="G453" s="42">
        <f>INDEX(Displacements!B:B, MATCH(Summary!$C453, Displacements!$A:$A, 0))</f>
        <v>748.83299999999997</v>
      </c>
      <c r="H453" s="43">
        <f>INDEX(Displacements!C:C, MATCH(Summary!$C453, Displacements!$A:$A, 0))</f>
        <v>0</v>
      </c>
      <c r="I453" s="44">
        <f>INDEX(Displacements!D:D, MATCH(Summary!$C453, Displacements!$A:$A, 0))</f>
        <v>0</v>
      </c>
      <c r="J453" s="42">
        <f t="shared" si="12"/>
        <v>4.8129999999999882</v>
      </c>
      <c r="K453" s="49">
        <f t="shared" si="13"/>
        <v>1</v>
      </c>
      <c r="L453" s="54">
        <f>INDEX('Forces+Stresses'!C:C, MATCH(Summary!$A453, 'Forces+Stresses'!$A:$A, 0))</f>
        <v>3266</v>
      </c>
      <c r="M453" s="55">
        <f>INDEX('Forces+Stresses'!D:D, MATCH(Summary!$A453, 'Forces+Stresses'!$A:$A, 0))</f>
        <v>3266</v>
      </c>
      <c r="N453" s="55">
        <f>IFERROR(INDEX('Forces+Stresses'!Q:Q, MATCH(Summary!$A453, 'Forces+Stresses'!$A:$A, 0)), INDEX(Flexjoints!D:D, MATCH(Summary!$A453, Flexjoints!$A:$A, 0)))</f>
        <v>2.4290000000000001E-8</v>
      </c>
      <c r="O453" s="56">
        <f>IFERROR(INDEX('Forces+Stresses'!R:R, MATCH(Summary!$A453, 'Forces+Stresses'!$A:$A, 0)), INDEX(Flexjoints!E:E, MATCH(Summary!$A453, Flexjoints!$A:$A, 0)))</f>
        <v>1.5629999999999999E-6</v>
      </c>
      <c r="P453" s="33" t="str">
        <f>IF(INDEX(Labels!B:B, MATCH(Summary!$A453, Labels!$A:$A, 0)) = 0, "", INDEX(Labels!B:B, MATCH(Summary!$A453, Labels!$A:$A, 0)))</f>
        <v>{Marine Riser String}</v>
      </c>
      <c r="Q453" s="35" t="str">
        <f>IF(INDEX(Labels!C:C, MATCH(Summary!$A453, Labels!$A:$A, 0)) = 0, "", INDEX(Labels!C:C, MATCH(Summary!$A453, Labels!$A:$A, 0)))</f>
        <v>{75ft 2500ft 1in Buoyant}</v>
      </c>
      <c r="R453" s="33" t="str">
        <f>IF(INDEX(Labels!D:D, MATCH(Summary!$A453, Labels!$A:$A, 0)) = 0, "", INDEX(Labels!D:D, MATCH(Summary!$A453, Labels!$A:$A, 0)))</f>
        <v/>
      </c>
      <c r="S453" s="35" t="str">
        <f>IF(INDEX(Labels!E:E, MATCH(Summary!$A453, Labels!$A:$A, 0)) = 0, "", INDEX(Labels!E:E, MATCH(Summary!$A453, Labels!$A:$A, 0)))</f>
        <v/>
      </c>
      <c r="T453" s="33" t="str">
        <f>IF(INDEX(Labels!F:F, MATCH(Summary!$A453, Labels!$A:$A, 0)) = 0, "", INDEX(Labels!F:F, MATCH(Summary!$A453, Labels!$A:$A, 0)))</f>
        <v/>
      </c>
      <c r="U453" s="35" t="str">
        <f>IF(INDEX(Labels!G:G, MATCH(Summary!$A453, Labels!$A:$A, 0)) = 0, "", INDEX(Labels!G:G, MATCH(Summary!$A453, Labels!$A:$A, 0)))</f>
        <v/>
      </c>
      <c r="V453" s="62" t="str">
        <f>IF(INDEX(Labels!H:H, MATCH(Summary!$A453, Labels!$A:$A, 0)) = 0, "", INDEX(Labels!H:H, MATCH(Summary!$A453, Labels!$A:$A, 0)))</f>
        <v/>
      </c>
      <c r="W453" t="str">
        <f>IF(INDEX(Labels!I:I, MATCH(Summary!$A453, Labels!$A:$A, 0)) = 0, "", INDEX(Labels!I:I, MATCH(Summary!$A453, Labels!$A:$A, 0)))</f>
        <v/>
      </c>
      <c r="X453" t="str">
        <f>IF(INDEX(Labels!J:J, MATCH(Summary!$A453, Labels!$A:$A, 0)) = 0, "", INDEX(Labels!J:J, MATCH(Summary!$A453, Labels!$A:$A, 0)))</f>
        <v/>
      </c>
    </row>
    <row r="454" spans="1:24" x14ac:dyDescent="0.2">
      <c r="A454" s="33">
        <f>Labels!A455</f>
        <v>448</v>
      </c>
      <c r="B454" s="34">
        <f>INDEX(EchoData!B:B, MATCH(Summary!$A454, EchoData!$A:$A, 0))</f>
        <v>452</v>
      </c>
      <c r="C454" s="35">
        <f>INDEX(EchoData!C:C, MATCH(Summary!$A454, EchoData!$A:$A, 0))</f>
        <v>453</v>
      </c>
      <c r="D454" s="42">
        <f>INDEX(Displacements!B:B, MATCH(Summary!$B454, Displacements!$A:$A, 0))</f>
        <v>748.83299999999997</v>
      </c>
      <c r="E454" s="43">
        <f>INDEX(Displacements!C:C, MATCH(Summary!$B454, Displacements!$A:$A, 0))</f>
        <v>0</v>
      </c>
      <c r="F454" s="44">
        <f>INDEX(Displacements!D:D, MATCH(Summary!$B454, Displacements!$A:$A, 0))</f>
        <v>0</v>
      </c>
      <c r="G454" s="42">
        <f>INDEX(Displacements!B:B, MATCH(Summary!$C454, Displacements!$A:$A, 0))</f>
        <v>753.64499999999998</v>
      </c>
      <c r="H454" s="43">
        <f>INDEX(Displacements!C:C, MATCH(Summary!$C454, Displacements!$A:$A, 0))</f>
        <v>0</v>
      </c>
      <c r="I454" s="44">
        <f>INDEX(Displacements!D:D, MATCH(Summary!$C454, Displacements!$A:$A, 0))</f>
        <v>0</v>
      </c>
      <c r="J454" s="42">
        <f t="shared" si="12"/>
        <v>4.8120000000000118</v>
      </c>
      <c r="K454" s="49">
        <f t="shared" si="13"/>
        <v>0.99979222937877077</v>
      </c>
      <c r="L454" s="54">
        <f>INDEX('Forces+Stresses'!C:C, MATCH(Summary!$A454, 'Forces+Stresses'!$A:$A, 0))</f>
        <v>3274</v>
      </c>
      <c r="M454" s="55">
        <f>INDEX('Forces+Stresses'!D:D, MATCH(Summary!$A454, 'Forces+Stresses'!$A:$A, 0))</f>
        <v>3274</v>
      </c>
      <c r="N454" s="55">
        <f>IFERROR(INDEX('Forces+Stresses'!Q:Q, MATCH(Summary!$A454, 'Forces+Stresses'!$A:$A, 0)), INDEX(Flexjoints!D:D, MATCH(Summary!$A454, Flexjoints!$A:$A, 0)))</f>
        <v>2.2269999999999997E-8</v>
      </c>
      <c r="O454" s="56">
        <f>IFERROR(INDEX('Forces+Stresses'!R:R, MATCH(Summary!$A454, 'Forces+Stresses'!$A:$A, 0)), INDEX(Flexjoints!E:E, MATCH(Summary!$A454, Flexjoints!$A:$A, 0)))</f>
        <v>1.5460000000000001E-6</v>
      </c>
      <c r="P454" s="33" t="str">
        <f>IF(INDEX(Labels!B:B, MATCH(Summary!$A454, Labels!$A:$A, 0)) = 0, "", INDEX(Labels!B:B, MATCH(Summary!$A454, Labels!$A:$A, 0)))</f>
        <v>{Marine Riser String}</v>
      </c>
      <c r="Q454" s="35" t="str">
        <f>IF(INDEX(Labels!C:C, MATCH(Summary!$A454, Labels!$A:$A, 0)) = 0, "", INDEX(Labels!C:C, MATCH(Summary!$A454, Labels!$A:$A, 0)))</f>
        <v>{75ft 2500ft 1in Buoyant}</v>
      </c>
      <c r="R454" s="33" t="str">
        <f>IF(INDEX(Labels!D:D, MATCH(Summary!$A454, Labels!$A:$A, 0)) = 0, "", INDEX(Labels!D:D, MATCH(Summary!$A454, Labels!$A:$A, 0)))</f>
        <v/>
      </c>
      <c r="S454" s="35" t="str">
        <f>IF(INDEX(Labels!E:E, MATCH(Summary!$A454, Labels!$A:$A, 0)) = 0, "", INDEX(Labels!E:E, MATCH(Summary!$A454, Labels!$A:$A, 0)))</f>
        <v/>
      </c>
      <c r="T454" s="33" t="str">
        <f>IF(INDEX(Labels!F:F, MATCH(Summary!$A454, Labels!$A:$A, 0)) = 0, "", INDEX(Labels!F:F, MATCH(Summary!$A454, Labels!$A:$A, 0)))</f>
        <v/>
      </c>
      <c r="U454" s="35" t="str">
        <f>IF(INDEX(Labels!G:G, MATCH(Summary!$A454, Labels!$A:$A, 0)) = 0, "", INDEX(Labels!G:G, MATCH(Summary!$A454, Labels!$A:$A, 0)))</f>
        <v/>
      </c>
      <c r="V454" s="62" t="str">
        <f>IF(INDEX(Labels!H:H, MATCH(Summary!$A454, Labels!$A:$A, 0)) = 0, "", INDEX(Labels!H:H, MATCH(Summary!$A454, Labels!$A:$A, 0)))</f>
        <v/>
      </c>
      <c r="W454" t="str">
        <f>IF(INDEX(Labels!I:I, MATCH(Summary!$A454, Labels!$A:$A, 0)) = 0, "", INDEX(Labels!I:I, MATCH(Summary!$A454, Labels!$A:$A, 0)))</f>
        <v/>
      </c>
      <c r="X454" t="str">
        <f>IF(INDEX(Labels!J:J, MATCH(Summary!$A454, Labels!$A:$A, 0)) = 0, "", INDEX(Labels!J:J, MATCH(Summary!$A454, Labels!$A:$A, 0)))</f>
        <v/>
      </c>
    </row>
    <row r="455" spans="1:24" x14ac:dyDescent="0.2">
      <c r="A455" s="33">
        <f>Labels!A456</f>
        <v>449</v>
      </c>
      <c r="B455" s="34">
        <f>INDEX(EchoData!B:B, MATCH(Summary!$A455, EchoData!$A:$A, 0))</f>
        <v>453</v>
      </c>
      <c r="C455" s="35">
        <f>INDEX(EchoData!C:C, MATCH(Summary!$A455, EchoData!$A:$A, 0))</f>
        <v>454</v>
      </c>
      <c r="D455" s="42">
        <f>INDEX(Displacements!B:B, MATCH(Summary!$B455, Displacements!$A:$A, 0))</f>
        <v>753.64499999999998</v>
      </c>
      <c r="E455" s="43">
        <f>INDEX(Displacements!C:C, MATCH(Summary!$B455, Displacements!$A:$A, 0))</f>
        <v>0</v>
      </c>
      <c r="F455" s="44">
        <f>INDEX(Displacements!D:D, MATCH(Summary!$B455, Displacements!$A:$A, 0))</f>
        <v>0</v>
      </c>
      <c r="G455" s="42">
        <f>INDEX(Displacements!B:B, MATCH(Summary!$C455, Displacements!$A:$A, 0))</f>
        <v>758.45799999999997</v>
      </c>
      <c r="H455" s="43">
        <f>INDEX(Displacements!C:C, MATCH(Summary!$C455, Displacements!$A:$A, 0))</f>
        <v>0</v>
      </c>
      <c r="I455" s="44">
        <f>INDEX(Displacements!D:D, MATCH(Summary!$C455, Displacements!$A:$A, 0))</f>
        <v>0</v>
      </c>
      <c r="J455" s="42">
        <f t="shared" ref="J455:J518" si="14">SQRT((G455 - D455)^2 + (H455 - E455)^2 + (I455 - F455)^2)</f>
        <v>4.8129999999999882</v>
      </c>
      <c r="K455" s="49">
        <f t="shared" ref="K455:K518" si="15">IF(P455 = P454, J455/J454, "N/A")</f>
        <v>1.0002078137988313</v>
      </c>
      <c r="L455" s="54">
        <f>INDEX('Forces+Stresses'!C:C, MATCH(Summary!$A455, 'Forces+Stresses'!$A:$A, 0))</f>
        <v>3282</v>
      </c>
      <c r="M455" s="55">
        <f>INDEX('Forces+Stresses'!D:D, MATCH(Summary!$A455, 'Forces+Stresses'!$A:$A, 0))</f>
        <v>3282</v>
      </c>
      <c r="N455" s="55">
        <f>IFERROR(INDEX('Forces+Stresses'!Q:Q, MATCH(Summary!$A455, 'Forces+Stresses'!$A:$A, 0)), INDEX(Flexjoints!D:D, MATCH(Summary!$A455, Flexjoints!$A:$A, 0)))</f>
        <v>3.2660000000000003E-8</v>
      </c>
      <c r="O455" s="56">
        <f>IFERROR(INDEX('Forces+Stresses'!R:R, MATCH(Summary!$A455, 'Forces+Stresses'!$A:$A, 0)), INDEX(Flexjoints!E:E, MATCH(Summary!$A455, Flexjoints!$A:$A, 0)))</f>
        <v>1.736E-6</v>
      </c>
      <c r="P455" s="33" t="str">
        <f>IF(INDEX(Labels!B:B, MATCH(Summary!$A455, Labels!$A:$A, 0)) = 0, "", INDEX(Labels!B:B, MATCH(Summary!$A455, Labels!$A:$A, 0)))</f>
        <v>{Marine Riser String}</v>
      </c>
      <c r="Q455" s="35" t="str">
        <f>IF(INDEX(Labels!C:C, MATCH(Summary!$A455, Labels!$A:$A, 0)) = 0, "", INDEX(Labels!C:C, MATCH(Summary!$A455, Labels!$A:$A, 0)))</f>
        <v>{75ft 2500ft 1in Buoyant}</v>
      </c>
      <c r="R455" s="33" t="str">
        <f>IF(INDEX(Labels!D:D, MATCH(Summary!$A455, Labels!$A:$A, 0)) = 0, "", INDEX(Labels!D:D, MATCH(Summary!$A455, Labels!$A:$A, 0)))</f>
        <v/>
      </c>
      <c r="S455" s="35" t="str">
        <f>IF(INDEX(Labels!E:E, MATCH(Summary!$A455, Labels!$A:$A, 0)) = 0, "", INDEX(Labels!E:E, MATCH(Summary!$A455, Labels!$A:$A, 0)))</f>
        <v/>
      </c>
      <c r="T455" s="33" t="str">
        <f>IF(INDEX(Labels!F:F, MATCH(Summary!$A455, Labels!$A:$A, 0)) = 0, "", INDEX(Labels!F:F, MATCH(Summary!$A455, Labels!$A:$A, 0)))</f>
        <v/>
      </c>
      <c r="U455" s="35" t="str">
        <f>IF(INDEX(Labels!G:G, MATCH(Summary!$A455, Labels!$A:$A, 0)) = 0, "", INDEX(Labels!G:G, MATCH(Summary!$A455, Labels!$A:$A, 0)))</f>
        <v/>
      </c>
      <c r="V455" s="62" t="str">
        <f>IF(INDEX(Labels!H:H, MATCH(Summary!$A455, Labels!$A:$A, 0)) = 0, "", INDEX(Labels!H:H, MATCH(Summary!$A455, Labels!$A:$A, 0)))</f>
        <v/>
      </c>
      <c r="W455" t="str">
        <f>IF(INDEX(Labels!I:I, MATCH(Summary!$A455, Labels!$A:$A, 0)) = 0, "", INDEX(Labels!I:I, MATCH(Summary!$A455, Labels!$A:$A, 0)))</f>
        <v/>
      </c>
      <c r="X455" t="str">
        <f>IF(INDEX(Labels!J:J, MATCH(Summary!$A455, Labels!$A:$A, 0)) = 0, "", INDEX(Labels!J:J, MATCH(Summary!$A455, Labels!$A:$A, 0)))</f>
        <v/>
      </c>
    </row>
    <row r="456" spans="1:24" x14ac:dyDescent="0.2">
      <c r="A456" s="33">
        <f>Labels!A457</f>
        <v>450</v>
      </c>
      <c r="B456" s="34">
        <f>INDEX(EchoData!B:B, MATCH(Summary!$A456, EchoData!$A:$A, 0))</f>
        <v>454</v>
      </c>
      <c r="C456" s="35">
        <f>INDEX(EchoData!C:C, MATCH(Summary!$A456, EchoData!$A:$A, 0))</f>
        <v>455</v>
      </c>
      <c r="D456" s="42">
        <f>INDEX(Displacements!B:B, MATCH(Summary!$B456, Displacements!$A:$A, 0))</f>
        <v>758.45799999999997</v>
      </c>
      <c r="E456" s="43">
        <f>INDEX(Displacements!C:C, MATCH(Summary!$B456, Displacements!$A:$A, 0))</f>
        <v>0</v>
      </c>
      <c r="F456" s="44">
        <f>INDEX(Displacements!D:D, MATCH(Summary!$B456, Displacements!$A:$A, 0))</f>
        <v>0</v>
      </c>
      <c r="G456" s="42">
        <f>INDEX(Displacements!B:B, MATCH(Summary!$C456, Displacements!$A:$A, 0))</f>
        <v>763.27</v>
      </c>
      <c r="H456" s="43">
        <f>INDEX(Displacements!C:C, MATCH(Summary!$C456, Displacements!$A:$A, 0))</f>
        <v>0</v>
      </c>
      <c r="I456" s="44">
        <f>INDEX(Displacements!D:D, MATCH(Summary!$C456, Displacements!$A:$A, 0))</f>
        <v>0</v>
      </c>
      <c r="J456" s="42">
        <f t="shared" si="14"/>
        <v>4.8120000000000118</v>
      </c>
      <c r="K456" s="49">
        <f t="shared" si="15"/>
        <v>0.99979222937877077</v>
      </c>
      <c r="L456" s="54">
        <f>INDEX('Forces+Stresses'!C:C, MATCH(Summary!$A456, 'Forces+Stresses'!$A:$A, 0))</f>
        <v>3289</v>
      </c>
      <c r="M456" s="55">
        <f>INDEX('Forces+Stresses'!D:D, MATCH(Summary!$A456, 'Forces+Stresses'!$A:$A, 0))</f>
        <v>3289</v>
      </c>
      <c r="N456" s="55">
        <f>IFERROR(INDEX('Forces+Stresses'!Q:Q, MATCH(Summary!$A456, 'Forces+Stresses'!$A:$A, 0)), INDEX(Flexjoints!D:D, MATCH(Summary!$A456, Flexjoints!$A:$A, 0)))</f>
        <v>3.9300000000000001E-8</v>
      </c>
      <c r="O456" s="56">
        <f>IFERROR(INDEX('Forces+Stresses'!R:R, MATCH(Summary!$A456, 'Forces+Stresses'!$A:$A, 0)), INDEX(Flexjoints!E:E, MATCH(Summary!$A456, Flexjoints!$A:$A, 0)))</f>
        <v>2.1009999999999999E-6</v>
      </c>
      <c r="P456" s="33" t="str">
        <f>IF(INDEX(Labels!B:B, MATCH(Summary!$A456, Labels!$A:$A, 0)) = 0, "", INDEX(Labels!B:B, MATCH(Summary!$A456, Labels!$A:$A, 0)))</f>
        <v>{Marine Riser String}</v>
      </c>
      <c r="Q456" s="35" t="str">
        <f>IF(INDEX(Labels!C:C, MATCH(Summary!$A456, Labels!$A:$A, 0)) = 0, "", INDEX(Labels!C:C, MATCH(Summary!$A456, Labels!$A:$A, 0)))</f>
        <v>{75ft 2500ft 1in Buoyant}</v>
      </c>
      <c r="R456" s="33" t="str">
        <f>IF(INDEX(Labels!D:D, MATCH(Summary!$A456, Labels!$A:$A, 0)) = 0, "", INDEX(Labels!D:D, MATCH(Summary!$A456, Labels!$A:$A, 0)))</f>
        <v/>
      </c>
      <c r="S456" s="35" t="str">
        <f>IF(INDEX(Labels!E:E, MATCH(Summary!$A456, Labels!$A:$A, 0)) = 0, "", INDEX(Labels!E:E, MATCH(Summary!$A456, Labels!$A:$A, 0)))</f>
        <v/>
      </c>
      <c r="T456" s="33" t="str">
        <f>IF(INDEX(Labels!F:F, MATCH(Summary!$A456, Labels!$A:$A, 0)) = 0, "", INDEX(Labels!F:F, MATCH(Summary!$A456, Labels!$A:$A, 0)))</f>
        <v/>
      </c>
      <c r="U456" s="35" t="str">
        <f>IF(INDEX(Labels!G:G, MATCH(Summary!$A456, Labels!$A:$A, 0)) = 0, "", INDEX(Labels!G:G, MATCH(Summary!$A456, Labels!$A:$A, 0)))</f>
        <v/>
      </c>
      <c r="V456" s="62" t="str">
        <f>IF(INDEX(Labels!H:H, MATCH(Summary!$A456, Labels!$A:$A, 0)) = 0, "", INDEX(Labels!H:H, MATCH(Summary!$A456, Labels!$A:$A, 0)))</f>
        <v/>
      </c>
      <c r="W456" t="str">
        <f>IF(INDEX(Labels!I:I, MATCH(Summary!$A456, Labels!$A:$A, 0)) = 0, "", INDEX(Labels!I:I, MATCH(Summary!$A456, Labels!$A:$A, 0)))</f>
        <v/>
      </c>
      <c r="X456" t="str">
        <f>IF(INDEX(Labels!J:J, MATCH(Summary!$A456, Labels!$A:$A, 0)) = 0, "", INDEX(Labels!J:J, MATCH(Summary!$A456, Labels!$A:$A, 0)))</f>
        <v/>
      </c>
    </row>
    <row r="457" spans="1:24" x14ac:dyDescent="0.2">
      <c r="A457" s="33">
        <f>Labels!A458</f>
        <v>451</v>
      </c>
      <c r="B457" s="34">
        <f>INDEX(EchoData!B:B, MATCH(Summary!$A457, EchoData!$A:$A, 0))</f>
        <v>455</v>
      </c>
      <c r="C457" s="35">
        <f>INDEX(EchoData!C:C, MATCH(Summary!$A457, EchoData!$A:$A, 0))</f>
        <v>456</v>
      </c>
      <c r="D457" s="42">
        <f>INDEX(Displacements!B:B, MATCH(Summary!$B457, Displacements!$A:$A, 0))</f>
        <v>763.27</v>
      </c>
      <c r="E457" s="43">
        <f>INDEX(Displacements!C:C, MATCH(Summary!$B457, Displacements!$A:$A, 0))</f>
        <v>0</v>
      </c>
      <c r="F457" s="44">
        <f>INDEX(Displacements!D:D, MATCH(Summary!$B457, Displacements!$A:$A, 0))</f>
        <v>0</v>
      </c>
      <c r="G457" s="42">
        <f>INDEX(Displacements!B:B, MATCH(Summary!$C457, Displacements!$A:$A, 0))</f>
        <v>766.51900000000001</v>
      </c>
      <c r="H457" s="43">
        <f>INDEX(Displacements!C:C, MATCH(Summary!$C457, Displacements!$A:$A, 0))</f>
        <v>0</v>
      </c>
      <c r="I457" s="44">
        <f>INDEX(Displacements!D:D, MATCH(Summary!$C457, Displacements!$A:$A, 0))</f>
        <v>0</v>
      </c>
      <c r="J457" s="42">
        <f t="shared" si="14"/>
        <v>3.2490000000000236</v>
      </c>
      <c r="K457" s="49">
        <f t="shared" si="15"/>
        <v>0.67518703241895583</v>
      </c>
      <c r="L457" s="54">
        <f>INDEX('Forces+Stresses'!C:C, MATCH(Summary!$A457, 'Forces+Stresses'!$A:$A, 0))</f>
        <v>3297</v>
      </c>
      <c r="M457" s="55">
        <f>INDEX('Forces+Stresses'!D:D, MATCH(Summary!$A457, 'Forces+Stresses'!$A:$A, 0))</f>
        <v>3297</v>
      </c>
      <c r="N457" s="55">
        <f>IFERROR(INDEX('Forces+Stresses'!Q:Q, MATCH(Summary!$A457, 'Forces+Stresses'!$A:$A, 0)), INDEX(Flexjoints!D:D, MATCH(Summary!$A457, Flexjoints!$A:$A, 0)))</f>
        <v>2.8340000000000001E-8</v>
      </c>
      <c r="O457" s="56">
        <f>IFERROR(INDEX('Forces+Stresses'!R:R, MATCH(Summary!$A457, 'Forces+Stresses'!$A:$A, 0)), INDEX(Flexjoints!E:E, MATCH(Summary!$A457, Flexjoints!$A:$A, 0)))</f>
        <v>2.3149999999999999E-6</v>
      </c>
      <c r="P457" s="33" t="str">
        <f>IF(INDEX(Labels!B:B, MATCH(Summary!$A457, Labels!$A:$A, 0)) = 0, "", INDEX(Labels!B:B, MATCH(Summary!$A457, Labels!$A:$A, 0)))</f>
        <v>{Marine Riser String}</v>
      </c>
      <c r="Q457" s="35" t="str">
        <f>IF(INDEX(Labels!C:C, MATCH(Summary!$A457, Labels!$A:$A, 0)) = 0, "", INDEX(Labels!C:C, MATCH(Summary!$A457, Labels!$A:$A, 0)))</f>
        <v>{75ft 2500ft 1in Buoyant}</v>
      </c>
      <c r="R457" s="33" t="str">
        <f>IF(INDEX(Labels!D:D, MATCH(Summary!$A457, Labels!$A:$A, 0)) = 0, "", INDEX(Labels!D:D, MATCH(Summary!$A457, Labels!$A:$A, 0)))</f>
        <v/>
      </c>
      <c r="S457" s="35" t="str">
        <f>IF(INDEX(Labels!E:E, MATCH(Summary!$A457, Labels!$A:$A, 0)) = 0, "", INDEX(Labels!E:E, MATCH(Summary!$A457, Labels!$A:$A, 0)))</f>
        <v/>
      </c>
      <c r="T457" s="33" t="str">
        <f>IF(INDEX(Labels!F:F, MATCH(Summary!$A457, Labels!$A:$A, 0)) = 0, "", INDEX(Labels!F:F, MATCH(Summary!$A457, Labels!$A:$A, 0)))</f>
        <v/>
      </c>
      <c r="U457" s="35" t="str">
        <f>IF(INDEX(Labels!G:G, MATCH(Summary!$A457, Labels!$A:$A, 0)) = 0, "", INDEX(Labels!G:G, MATCH(Summary!$A457, Labels!$A:$A, 0)))</f>
        <v/>
      </c>
      <c r="V457" s="62" t="str">
        <f>IF(INDEX(Labels!H:H, MATCH(Summary!$A457, Labels!$A:$A, 0)) = 0, "", INDEX(Labels!H:H, MATCH(Summary!$A457, Labels!$A:$A, 0)))</f>
        <v/>
      </c>
      <c r="W457" t="str">
        <f>IF(INDEX(Labels!I:I, MATCH(Summary!$A457, Labels!$A:$A, 0)) = 0, "", INDEX(Labels!I:I, MATCH(Summary!$A457, Labels!$A:$A, 0)))</f>
        <v/>
      </c>
      <c r="X457" t="str">
        <f>IF(INDEX(Labels!J:J, MATCH(Summary!$A457, Labels!$A:$A, 0)) = 0, "", INDEX(Labels!J:J, MATCH(Summary!$A457, Labels!$A:$A, 0)))</f>
        <v/>
      </c>
    </row>
    <row r="458" spans="1:24" x14ac:dyDescent="0.2">
      <c r="A458" s="33">
        <f>Labels!A459</f>
        <v>452</v>
      </c>
      <c r="B458" s="34">
        <f>INDEX(EchoData!B:B, MATCH(Summary!$A458, EchoData!$A:$A, 0))</f>
        <v>456</v>
      </c>
      <c r="C458" s="35">
        <f>INDEX(EchoData!C:C, MATCH(Summary!$A458, EchoData!$A:$A, 0))</f>
        <v>457</v>
      </c>
      <c r="D458" s="42">
        <f>INDEX(Displacements!B:B, MATCH(Summary!$B458, Displacements!$A:$A, 0))</f>
        <v>766.51900000000001</v>
      </c>
      <c r="E458" s="43">
        <f>INDEX(Displacements!C:C, MATCH(Summary!$B458, Displacements!$A:$A, 0))</f>
        <v>0</v>
      </c>
      <c r="F458" s="44">
        <f>INDEX(Displacements!D:D, MATCH(Summary!$B458, Displacements!$A:$A, 0))</f>
        <v>0</v>
      </c>
      <c r="G458" s="42">
        <f>INDEX(Displacements!B:B, MATCH(Summary!$C458, Displacements!$A:$A, 0))</f>
        <v>768.68499999999995</v>
      </c>
      <c r="H458" s="43">
        <f>INDEX(Displacements!C:C, MATCH(Summary!$C458, Displacements!$A:$A, 0))</f>
        <v>0</v>
      </c>
      <c r="I458" s="44">
        <f>INDEX(Displacements!D:D, MATCH(Summary!$C458, Displacements!$A:$A, 0))</f>
        <v>0</v>
      </c>
      <c r="J458" s="42">
        <f t="shared" si="14"/>
        <v>2.16599999999994</v>
      </c>
      <c r="K458" s="49">
        <f t="shared" si="15"/>
        <v>0.66666666666664331</v>
      </c>
      <c r="L458" s="54">
        <f>INDEX('Forces+Stresses'!C:C, MATCH(Summary!$A458, 'Forces+Stresses'!$A:$A, 0))</f>
        <v>3302</v>
      </c>
      <c r="M458" s="55">
        <f>INDEX('Forces+Stresses'!D:D, MATCH(Summary!$A458, 'Forces+Stresses'!$A:$A, 0))</f>
        <v>3302</v>
      </c>
      <c r="N458" s="55">
        <f>IFERROR(INDEX('Forces+Stresses'!Q:Q, MATCH(Summary!$A458, 'Forces+Stresses'!$A:$A, 0)), INDEX(Flexjoints!D:D, MATCH(Summary!$A458, Flexjoints!$A:$A, 0)))</f>
        <v>7.9469999999999996E-8</v>
      </c>
      <c r="O458" s="56">
        <f>IFERROR(INDEX('Forces+Stresses'!R:R, MATCH(Summary!$A458, 'Forces+Stresses'!$A:$A, 0)), INDEX(Flexjoints!E:E, MATCH(Summary!$A458, Flexjoints!$A:$A, 0)))</f>
        <v>2.0890000000000002E-6</v>
      </c>
      <c r="P458" s="33" t="str">
        <f>IF(INDEX(Labels!B:B, MATCH(Summary!$A458, Labels!$A:$A, 0)) = 0, "", INDEX(Labels!B:B, MATCH(Summary!$A458, Labels!$A:$A, 0)))</f>
        <v>{Marine Riser String}</v>
      </c>
      <c r="Q458" s="35" t="str">
        <f>IF(INDEX(Labels!C:C, MATCH(Summary!$A458, Labels!$A:$A, 0)) = 0, "", INDEX(Labels!C:C, MATCH(Summary!$A458, Labels!$A:$A, 0)))</f>
        <v>{75ft 2500ft 1in Buoyant}</v>
      </c>
      <c r="R458" s="33" t="str">
        <f>IF(INDEX(Labels!D:D, MATCH(Summary!$A458, Labels!$A:$A, 0)) = 0, "", INDEX(Labels!D:D, MATCH(Summary!$A458, Labels!$A:$A, 0)))</f>
        <v/>
      </c>
      <c r="S458" s="35" t="str">
        <f>IF(INDEX(Labels!E:E, MATCH(Summary!$A458, Labels!$A:$A, 0)) = 0, "", INDEX(Labels!E:E, MATCH(Summary!$A458, Labels!$A:$A, 0)))</f>
        <v/>
      </c>
      <c r="T458" s="33" t="str">
        <f>IF(INDEX(Labels!F:F, MATCH(Summary!$A458, Labels!$A:$A, 0)) = 0, "", INDEX(Labels!F:F, MATCH(Summary!$A458, Labels!$A:$A, 0)))</f>
        <v/>
      </c>
      <c r="U458" s="35" t="str">
        <f>IF(INDEX(Labels!G:G, MATCH(Summary!$A458, Labels!$A:$A, 0)) = 0, "", INDEX(Labels!G:G, MATCH(Summary!$A458, Labels!$A:$A, 0)))</f>
        <v/>
      </c>
      <c r="V458" s="62" t="str">
        <f>IF(INDEX(Labels!H:H, MATCH(Summary!$A458, Labels!$A:$A, 0)) = 0, "", INDEX(Labels!H:H, MATCH(Summary!$A458, Labels!$A:$A, 0)))</f>
        <v/>
      </c>
      <c r="W458" t="str">
        <f>IF(INDEX(Labels!I:I, MATCH(Summary!$A458, Labels!$A:$A, 0)) = 0, "", INDEX(Labels!I:I, MATCH(Summary!$A458, Labels!$A:$A, 0)))</f>
        <v/>
      </c>
      <c r="X458" t="str">
        <f>IF(INDEX(Labels!J:J, MATCH(Summary!$A458, Labels!$A:$A, 0)) = 0, "", INDEX(Labels!J:J, MATCH(Summary!$A458, Labels!$A:$A, 0)))</f>
        <v/>
      </c>
    </row>
    <row r="459" spans="1:24" x14ac:dyDescent="0.2">
      <c r="A459" s="33">
        <f>Labels!A460</f>
        <v>453</v>
      </c>
      <c r="B459" s="34">
        <f>INDEX(EchoData!B:B, MATCH(Summary!$A459, EchoData!$A:$A, 0))</f>
        <v>457</v>
      </c>
      <c r="C459" s="35">
        <f>INDEX(EchoData!C:C, MATCH(Summary!$A459, EchoData!$A:$A, 0))</f>
        <v>458</v>
      </c>
      <c r="D459" s="42">
        <f>INDEX(Displacements!B:B, MATCH(Summary!$B459, Displacements!$A:$A, 0))</f>
        <v>768.68499999999995</v>
      </c>
      <c r="E459" s="43">
        <f>INDEX(Displacements!C:C, MATCH(Summary!$B459, Displacements!$A:$A, 0))</f>
        <v>0</v>
      </c>
      <c r="F459" s="44">
        <f>INDEX(Displacements!D:D, MATCH(Summary!$B459, Displacements!$A:$A, 0))</f>
        <v>0</v>
      </c>
      <c r="G459" s="42">
        <f>INDEX(Displacements!B:B, MATCH(Summary!$C459, Displacements!$A:$A, 0))</f>
        <v>770.12800000000004</v>
      </c>
      <c r="H459" s="43">
        <f>INDEX(Displacements!C:C, MATCH(Summary!$C459, Displacements!$A:$A, 0))</f>
        <v>0</v>
      </c>
      <c r="I459" s="44">
        <f>INDEX(Displacements!D:D, MATCH(Summary!$C459, Displacements!$A:$A, 0))</f>
        <v>0</v>
      </c>
      <c r="J459" s="42">
        <f t="shared" si="14"/>
        <v>1.4430000000000973</v>
      </c>
      <c r="K459" s="49">
        <f t="shared" si="15"/>
        <v>0.66620498614964785</v>
      </c>
      <c r="L459" s="54">
        <f>INDEX('Forces+Stresses'!C:C, MATCH(Summary!$A459, 'Forces+Stresses'!$A:$A, 0))</f>
        <v>3306</v>
      </c>
      <c r="M459" s="55">
        <f>INDEX('Forces+Stresses'!D:D, MATCH(Summary!$A459, 'Forces+Stresses'!$A:$A, 0))</f>
        <v>3306</v>
      </c>
      <c r="N459" s="55">
        <f>IFERROR(INDEX('Forces+Stresses'!Q:Q, MATCH(Summary!$A459, 'Forces+Stresses'!$A:$A, 0)), INDEX(Flexjoints!D:D, MATCH(Summary!$A459, Flexjoints!$A:$A, 0)))</f>
        <v>5.4429999999999998E-8</v>
      </c>
      <c r="O459" s="56">
        <f>IFERROR(INDEX('Forces+Stresses'!R:R, MATCH(Summary!$A459, 'Forces+Stresses'!$A:$A, 0)), INDEX(Flexjoints!E:E, MATCH(Summary!$A459, Flexjoints!$A:$A, 0)))</f>
        <v>1.8049999999999999E-6</v>
      </c>
      <c r="P459" s="33" t="str">
        <f>IF(INDEX(Labels!B:B, MATCH(Summary!$A459, Labels!$A:$A, 0)) = 0, "", INDEX(Labels!B:B, MATCH(Summary!$A459, Labels!$A:$A, 0)))</f>
        <v>{Marine Riser String}</v>
      </c>
      <c r="Q459" s="35" t="str">
        <f>IF(INDEX(Labels!C:C, MATCH(Summary!$A459, Labels!$A:$A, 0)) = 0, "", INDEX(Labels!C:C, MATCH(Summary!$A459, Labels!$A:$A, 0)))</f>
        <v>{75ft 2500ft 1in Buoyant}</v>
      </c>
      <c r="R459" s="33" t="str">
        <f>IF(INDEX(Labels!D:D, MATCH(Summary!$A459, Labels!$A:$A, 0)) = 0, "", INDEX(Labels!D:D, MATCH(Summary!$A459, Labels!$A:$A, 0)))</f>
        <v/>
      </c>
      <c r="S459" s="35" t="str">
        <f>IF(INDEX(Labels!E:E, MATCH(Summary!$A459, Labels!$A:$A, 0)) = 0, "", INDEX(Labels!E:E, MATCH(Summary!$A459, Labels!$A:$A, 0)))</f>
        <v/>
      </c>
      <c r="T459" s="33" t="str">
        <f>IF(INDEX(Labels!F:F, MATCH(Summary!$A459, Labels!$A:$A, 0)) = 0, "", INDEX(Labels!F:F, MATCH(Summary!$A459, Labels!$A:$A, 0)))</f>
        <v/>
      </c>
      <c r="U459" s="35" t="str">
        <f>IF(INDEX(Labels!G:G, MATCH(Summary!$A459, Labels!$A:$A, 0)) = 0, "", INDEX(Labels!G:G, MATCH(Summary!$A459, Labels!$A:$A, 0)))</f>
        <v/>
      </c>
      <c r="V459" s="62" t="str">
        <f>IF(INDEX(Labels!H:H, MATCH(Summary!$A459, Labels!$A:$A, 0)) = 0, "", INDEX(Labels!H:H, MATCH(Summary!$A459, Labels!$A:$A, 0)))</f>
        <v/>
      </c>
      <c r="W459" t="str">
        <f>IF(INDEX(Labels!I:I, MATCH(Summary!$A459, Labels!$A:$A, 0)) = 0, "", INDEX(Labels!I:I, MATCH(Summary!$A459, Labels!$A:$A, 0)))</f>
        <v/>
      </c>
      <c r="X459" t="str">
        <f>IF(INDEX(Labels!J:J, MATCH(Summary!$A459, Labels!$A:$A, 0)) = 0, "", INDEX(Labels!J:J, MATCH(Summary!$A459, Labels!$A:$A, 0)))</f>
        <v/>
      </c>
    </row>
    <row r="460" spans="1:24" x14ac:dyDescent="0.2">
      <c r="A460" s="33">
        <f>Labels!A461</f>
        <v>454</v>
      </c>
      <c r="B460" s="34">
        <f>INDEX(EchoData!B:B, MATCH(Summary!$A460, EchoData!$A:$A, 0))</f>
        <v>458</v>
      </c>
      <c r="C460" s="35">
        <f>INDEX(EchoData!C:C, MATCH(Summary!$A460, EchoData!$A:$A, 0))</f>
        <v>459</v>
      </c>
      <c r="D460" s="42">
        <f>INDEX(Displacements!B:B, MATCH(Summary!$B460, Displacements!$A:$A, 0))</f>
        <v>770.12800000000004</v>
      </c>
      <c r="E460" s="43">
        <f>INDEX(Displacements!C:C, MATCH(Summary!$B460, Displacements!$A:$A, 0))</f>
        <v>0</v>
      </c>
      <c r="F460" s="44">
        <f>INDEX(Displacements!D:D, MATCH(Summary!$B460, Displacements!$A:$A, 0))</f>
        <v>0</v>
      </c>
      <c r="G460" s="42">
        <f>INDEX(Displacements!B:B, MATCH(Summary!$C460, Displacements!$A:$A, 0))</f>
        <v>771.09100000000001</v>
      </c>
      <c r="H460" s="43">
        <f>INDEX(Displacements!C:C, MATCH(Summary!$C460, Displacements!$A:$A, 0))</f>
        <v>0</v>
      </c>
      <c r="I460" s="44">
        <f>INDEX(Displacements!D:D, MATCH(Summary!$C460, Displacements!$A:$A, 0))</f>
        <v>0</v>
      </c>
      <c r="J460" s="42">
        <f t="shared" si="14"/>
        <v>0.96299999999996544</v>
      </c>
      <c r="K460" s="49">
        <f t="shared" si="15"/>
        <v>0.6673596673595984</v>
      </c>
      <c r="L460" s="54">
        <f>INDEX('Forces+Stresses'!C:C, MATCH(Summary!$A460, 'Forces+Stresses'!$A:$A, 0))</f>
        <v>3308</v>
      </c>
      <c r="M460" s="55">
        <f>INDEX('Forces+Stresses'!D:D, MATCH(Summary!$A460, 'Forces+Stresses'!$A:$A, 0))</f>
        <v>3308</v>
      </c>
      <c r="N460" s="55">
        <f>IFERROR(INDEX('Forces+Stresses'!Q:Q, MATCH(Summary!$A460, 'Forces+Stresses'!$A:$A, 0)), INDEX(Flexjoints!D:D, MATCH(Summary!$A460, Flexjoints!$A:$A, 0)))</f>
        <v>6.2959999999999989E-8</v>
      </c>
      <c r="O460" s="56">
        <f>IFERROR(INDEX('Forces+Stresses'!R:R, MATCH(Summary!$A460, 'Forces+Stresses'!$A:$A, 0)), INDEX(Flexjoints!E:E, MATCH(Summary!$A460, Flexjoints!$A:$A, 0)))</f>
        <v>1.646E-6</v>
      </c>
      <c r="P460" s="33" t="str">
        <f>IF(INDEX(Labels!B:B, MATCH(Summary!$A460, Labels!$A:$A, 0)) = 0, "", INDEX(Labels!B:B, MATCH(Summary!$A460, Labels!$A:$A, 0)))</f>
        <v>{Marine Riser String}</v>
      </c>
      <c r="Q460" s="35" t="str">
        <f>IF(INDEX(Labels!C:C, MATCH(Summary!$A460, Labels!$A:$A, 0)) = 0, "", INDEX(Labels!C:C, MATCH(Summary!$A460, Labels!$A:$A, 0)))</f>
        <v>{75ft 2500ft 1in Buoyant}</v>
      </c>
      <c r="R460" s="33" t="str">
        <f>IF(INDEX(Labels!D:D, MATCH(Summary!$A460, Labels!$A:$A, 0)) = 0, "", INDEX(Labels!D:D, MATCH(Summary!$A460, Labels!$A:$A, 0)))</f>
        <v/>
      </c>
      <c r="S460" s="35" t="str">
        <f>IF(INDEX(Labels!E:E, MATCH(Summary!$A460, Labels!$A:$A, 0)) = 0, "", INDEX(Labels!E:E, MATCH(Summary!$A460, Labels!$A:$A, 0)))</f>
        <v/>
      </c>
      <c r="T460" s="33" t="str">
        <f>IF(INDEX(Labels!F:F, MATCH(Summary!$A460, Labels!$A:$A, 0)) = 0, "", INDEX(Labels!F:F, MATCH(Summary!$A460, Labels!$A:$A, 0)))</f>
        <v/>
      </c>
      <c r="U460" s="35" t="str">
        <f>IF(INDEX(Labels!G:G, MATCH(Summary!$A460, Labels!$A:$A, 0)) = 0, "", INDEX(Labels!G:G, MATCH(Summary!$A460, Labels!$A:$A, 0)))</f>
        <v>{75ft 2500ft 1in Buoyant_Last}</v>
      </c>
      <c r="V460" s="62" t="str">
        <f>IF(INDEX(Labels!H:H, MATCH(Summary!$A460, Labels!$A:$A, 0)) = 0, "", INDEX(Labels!H:H, MATCH(Summary!$A460, Labels!$A:$A, 0)))</f>
        <v/>
      </c>
      <c r="W460" t="str">
        <f>IF(INDEX(Labels!I:I, MATCH(Summary!$A460, Labels!$A:$A, 0)) = 0, "", INDEX(Labels!I:I, MATCH(Summary!$A460, Labels!$A:$A, 0)))</f>
        <v/>
      </c>
      <c r="X460" t="str">
        <f>IF(INDEX(Labels!J:J, MATCH(Summary!$A460, Labels!$A:$A, 0)) = 0, "", INDEX(Labels!J:J, MATCH(Summary!$A460, Labels!$A:$A, 0)))</f>
        <v/>
      </c>
    </row>
    <row r="461" spans="1:24" x14ac:dyDescent="0.2">
      <c r="A461" s="33">
        <f>Labels!A462</f>
        <v>455</v>
      </c>
      <c r="B461" s="34">
        <f>INDEX(EchoData!B:B, MATCH(Summary!$A461, EchoData!$A:$A, 0))</f>
        <v>459</v>
      </c>
      <c r="C461" s="35">
        <f>INDEX(EchoData!C:C, MATCH(Summary!$A461, EchoData!$A:$A, 0))</f>
        <v>460</v>
      </c>
      <c r="D461" s="42">
        <f>INDEX(Displacements!B:B, MATCH(Summary!$B461, Displacements!$A:$A, 0))</f>
        <v>771.09100000000001</v>
      </c>
      <c r="E461" s="43">
        <f>INDEX(Displacements!C:C, MATCH(Summary!$B461, Displacements!$A:$A, 0))</f>
        <v>0</v>
      </c>
      <c r="F461" s="44">
        <f>INDEX(Displacements!D:D, MATCH(Summary!$B461, Displacements!$A:$A, 0))</f>
        <v>0</v>
      </c>
      <c r="G461" s="42">
        <f>INDEX(Displacements!B:B, MATCH(Summary!$C461, Displacements!$A:$A, 0))</f>
        <v>772.09</v>
      </c>
      <c r="H461" s="43">
        <f>INDEX(Displacements!C:C, MATCH(Summary!$C461, Displacements!$A:$A, 0))</f>
        <v>0</v>
      </c>
      <c r="I461" s="44">
        <f>INDEX(Displacements!D:D, MATCH(Summary!$C461, Displacements!$A:$A, 0))</f>
        <v>0</v>
      </c>
      <c r="J461" s="42">
        <f t="shared" si="14"/>
        <v>0.99900000000002365</v>
      </c>
      <c r="K461" s="49">
        <f t="shared" si="15"/>
        <v>1.0373831775701552</v>
      </c>
      <c r="L461" s="54">
        <f>INDEX('Forces+Stresses'!C:C, MATCH(Summary!$A461, 'Forces+Stresses'!$A:$A, 0))</f>
        <v>3310</v>
      </c>
      <c r="M461" s="55">
        <f>INDEX('Forces+Stresses'!D:D, MATCH(Summary!$A461, 'Forces+Stresses'!$A:$A, 0))</f>
        <v>3310</v>
      </c>
      <c r="N461" s="55">
        <f>IFERROR(INDEX('Forces+Stresses'!Q:Q, MATCH(Summary!$A461, 'Forces+Stresses'!$A:$A, 0)), INDEX(Flexjoints!D:D, MATCH(Summary!$A461, Flexjoints!$A:$A, 0)))</f>
        <v>6.2860000000000008E-8</v>
      </c>
      <c r="O461" s="56">
        <f>IFERROR(INDEX('Forces+Stresses'!R:R, MATCH(Summary!$A461, 'Forces+Stresses'!$A:$A, 0)), INDEX(Flexjoints!E:E, MATCH(Summary!$A461, Flexjoints!$A:$A, 0)))</f>
        <v>1.513E-6</v>
      </c>
      <c r="P461" s="33" t="str">
        <f>IF(INDEX(Labels!B:B, MATCH(Summary!$A461, Labels!$A:$A, 0)) = 0, "", INDEX(Labels!B:B, MATCH(Summary!$A461, Labels!$A:$A, 0)))</f>
        <v>{Marine Riser String}</v>
      </c>
      <c r="Q461" s="35" t="str">
        <f>IF(INDEX(Labels!C:C, MATCH(Summary!$A461, Labels!$A:$A, 0)) = 0, "", INDEX(Labels!C:C, MATCH(Summary!$A461, Labels!$A:$A, 0)))</f>
        <v>{Slick Joint}</v>
      </c>
      <c r="R461" s="33" t="str">
        <f>IF(INDEX(Labels!D:D, MATCH(Summary!$A461, Labels!$A:$A, 0)) = 0, "", INDEX(Labels!D:D, MATCH(Summary!$A461, Labels!$A:$A, 0)))</f>
        <v/>
      </c>
      <c r="S461" s="35" t="str">
        <f>IF(INDEX(Labels!E:E, MATCH(Summary!$A461, Labels!$A:$A, 0)) = 0, "", INDEX(Labels!E:E, MATCH(Summary!$A461, Labels!$A:$A, 0)))</f>
        <v/>
      </c>
      <c r="T461" s="33" t="str">
        <f>IF(INDEX(Labels!F:F, MATCH(Summary!$A461, Labels!$A:$A, 0)) = 0, "", INDEX(Labels!F:F, MATCH(Summary!$A461, Labels!$A:$A, 0)))</f>
        <v>{Slick Joint_First}</v>
      </c>
      <c r="U461" s="35" t="str">
        <f>IF(INDEX(Labels!G:G, MATCH(Summary!$A461, Labels!$A:$A, 0)) = 0, "", INDEX(Labels!G:G, MATCH(Summary!$A461, Labels!$A:$A, 0)))</f>
        <v/>
      </c>
      <c r="V461" s="62" t="str">
        <f>IF(INDEX(Labels!H:H, MATCH(Summary!$A461, Labels!$A:$A, 0)) = 0, "", INDEX(Labels!H:H, MATCH(Summary!$A461, Labels!$A:$A, 0)))</f>
        <v/>
      </c>
      <c r="W461" t="str">
        <f>IF(INDEX(Labels!I:I, MATCH(Summary!$A461, Labels!$A:$A, 0)) = 0, "", INDEX(Labels!I:I, MATCH(Summary!$A461, Labels!$A:$A, 0)))</f>
        <v/>
      </c>
      <c r="X461" t="str">
        <f>IF(INDEX(Labels!J:J, MATCH(Summary!$A461, Labels!$A:$A, 0)) = 0, "", INDEX(Labels!J:J, MATCH(Summary!$A461, Labels!$A:$A, 0)))</f>
        <v/>
      </c>
    </row>
    <row r="462" spans="1:24" x14ac:dyDescent="0.2">
      <c r="A462" s="33">
        <f>Labels!A463</f>
        <v>456</v>
      </c>
      <c r="B462" s="34">
        <f>INDEX(EchoData!B:B, MATCH(Summary!$A462, EchoData!$A:$A, 0))</f>
        <v>460</v>
      </c>
      <c r="C462" s="35">
        <f>INDEX(EchoData!C:C, MATCH(Summary!$A462, EchoData!$A:$A, 0))</f>
        <v>461</v>
      </c>
      <c r="D462" s="42">
        <f>INDEX(Displacements!B:B, MATCH(Summary!$B462, Displacements!$A:$A, 0))</f>
        <v>772.09</v>
      </c>
      <c r="E462" s="43">
        <f>INDEX(Displacements!C:C, MATCH(Summary!$B462, Displacements!$A:$A, 0))</f>
        <v>0</v>
      </c>
      <c r="F462" s="44">
        <f>INDEX(Displacements!D:D, MATCH(Summary!$B462, Displacements!$A:$A, 0))</f>
        <v>0</v>
      </c>
      <c r="G462" s="42">
        <f>INDEX(Displacements!B:B, MATCH(Summary!$C462, Displacements!$A:$A, 0))</f>
        <v>773.58799999999997</v>
      </c>
      <c r="H462" s="43">
        <f>INDEX(Displacements!C:C, MATCH(Summary!$C462, Displacements!$A:$A, 0))</f>
        <v>0</v>
      </c>
      <c r="I462" s="44">
        <f>INDEX(Displacements!D:D, MATCH(Summary!$C462, Displacements!$A:$A, 0))</f>
        <v>0</v>
      </c>
      <c r="J462" s="42">
        <f t="shared" si="14"/>
        <v>1.4979999999999336</v>
      </c>
      <c r="K462" s="49">
        <f t="shared" si="15"/>
        <v>1.4994994994993975</v>
      </c>
      <c r="L462" s="54">
        <f>INDEX('Forces+Stresses'!C:C, MATCH(Summary!$A462, 'Forces+Stresses'!$A:$A, 0))</f>
        <v>3317</v>
      </c>
      <c r="M462" s="55">
        <f>INDEX('Forces+Stresses'!D:D, MATCH(Summary!$A462, 'Forces+Stresses'!$A:$A, 0))</f>
        <v>3317</v>
      </c>
      <c r="N462" s="55">
        <f>IFERROR(INDEX('Forces+Stresses'!Q:Q, MATCH(Summary!$A462, 'Forces+Stresses'!$A:$A, 0)), INDEX(Flexjoints!D:D, MATCH(Summary!$A462, Flexjoints!$A:$A, 0)))</f>
        <v>8.522999999999999E-8</v>
      </c>
      <c r="O462" s="56">
        <f>IFERROR(INDEX('Forces+Stresses'!R:R, MATCH(Summary!$A462, 'Forces+Stresses'!$A:$A, 0)), INDEX(Flexjoints!E:E, MATCH(Summary!$A462, Flexjoints!$A:$A, 0)))</f>
        <v>1.4319999999999998E-6</v>
      </c>
      <c r="P462" s="33" t="str">
        <f>IF(INDEX(Labels!B:B, MATCH(Summary!$A462, Labels!$A:$A, 0)) = 0, "", INDEX(Labels!B:B, MATCH(Summary!$A462, Labels!$A:$A, 0)))</f>
        <v>{Marine Riser String}</v>
      </c>
      <c r="Q462" s="35" t="str">
        <f>IF(INDEX(Labels!C:C, MATCH(Summary!$A462, Labels!$A:$A, 0)) = 0, "", INDEX(Labels!C:C, MATCH(Summary!$A462, Labels!$A:$A, 0)))</f>
        <v>{Slick Joint}</v>
      </c>
      <c r="R462" s="33" t="str">
        <f>IF(INDEX(Labels!D:D, MATCH(Summary!$A462, Labels!$A:$A, 0)) = 0, "", INDEX(Labels!D:D, MATCH(Summary!$A462, Labels!$A:$A, 0)))</f>
        <v/>
      </c>
      <c r="S462" s="35" t="str">
        <f>IF(INDEX(Labels!E:E, MATCH(Summary!$A462, Labels!$A:$A, 0)) = 0, "", INDEX(Labels!E:E, MATCH(Summary!$A462, Labels!$A:$A, 0)))</f>
        <v/>
      </c>
      <c r="T462" s="33" t="str">
        <f>IF(INDEX(Labels!F:F, MATCH(Summary!$A462, Labels!$A:$A, 0)) = 0, "", INDEX(Labels!F:F, MATCH(Summary!$A462, Labels!$A:$A, 0)))</f>
        <v/>
      </c>
      <c r="U462" s="35" t="str">
        <f>IF(INDEX(Labels!G:G, MATCH(Summary!$A462, Labels!$A:$A, 0)) = 0, "", INDEX(Labels!G:G, MATCH(Summary!$A462, Labels!$A:$A, 0)))</f>
        <v/>
      </c>
      <c r="V462" s="62" t="str">
        <f>IF(INDEX(Labels!H:H, MATCH(Summary!$A462, Labels!$A:$A, 0)) = 0, "", INDEX(Labels!H:H, MATCH(Summary!$A462, Labels!$A:$A, 0)))</f>
        <v/>
      </c>
      <c r="W462" t="str">
        <f>IF(INDEX(Labels!I:I, MATCH(Summary!$A462, Labels!$A:$A, 0)) = 0, "", INDEX(Labels!I:I, MATCH(Summary!$A462, Labels!$A:$A, 0)))</f>
        <v/>
      </c>
      <c r="X462" t="str">
        <f>IF(INDEX(Labels!J:J, MATCH(Summary!$A462, Labels!$A:$A, 0)) = 0, "", INDEX(Labels!J:J, MATCH(Summary!$A462, Labels!$A:$A, 0)))</f>
        <v/>
      </c>
    </row>
    <row r="463" spans="1:24" x14ac:dyDescent="0.2">
      <c r="A463" s="33">
        <f>Labels!A464</f>
        <v>457</v>
      </c>
      <c r="B463" s="34">
        <f>INDEX(EchoData!B:B, MATCH(Summary!$A463, EchoData!$A:$A, 0))</f>
        <v>461</v>
      </c>
      <c r="C463" s="35">
        <f>INDEX(EchoData!C:C, MATCH(Summary!$A463, EchoData!$A:$A, 0))</f>
        <v>462</v>
      </c>
      <c r="D463" s="42">
        <f>INDEX(Displacements!B:B, MATCH(Summary!$B463, Displacements!$A:$A, 0))</f>
        <v>773.58799999999997</v>
      </c>
      <c r="E463" s="43">
        <f>INDEX(Displacements!C:C, MATCH(Summary!$B463, Displacements!$A:$A, 0))</f>
        <v>0</v>
      </c>
      <c r="F463" s="44">
        <f>INDEX(Displacements!D:D, MATCH(Summary!$B463, Displacements!$A:$A, 0))</f>
        <v>0</v>
      </c>
      <c r="G463" s="42">
        <f>INDEX(Displacements!B:B, MATCH(Summary!$C463, Displacements!$A:$A, 0))</f>
        <v>775.83500000000004</v>
      </c>
      <c r="H463" s="43">
        <f>INDEX(Displacements!C:C, MATCH(Summary!$C463, Displacements!$A:$A, 0))</f>
        <v>0</v>
      </c>
      <c r="I463" s="44">
        <f>INDEX(Displacements!D:D, MATCH(Summary!$C463, Displacements!$A:$A, 0))</f>
        <v>0</v>
      </c>
      <c r="J463" s="42">
        <f t="shared" si="14"/>
        <v>2.2470000000000709</v>
      </c>
      <c r="K463" s="49">
        <f t="shared" si="15"/>
        <v>1.5000000000001139</v>
      </c>
      <c r="L463" s="54">
        <f>INDEX('Forces+Stresses'!C:C, MATCH(Summary!$A463, 'Forces+Stresses'!$A:$A, 0))</f>
        <v>3328</v>
      </c>
      <c r="M463" s="55">
        <f>INDEX('Forces+Stresses'!D:D, MATCH(Summary!$A463, 'Forces+Stresses'!$A:$A, 0))</f>
        <v>3328</v>
      </c>
      <c r="N463" s="55">
        <f>IFERROR(INDEX('Forces+Stresses'!Q:Q, MATCH(Summary!$A463, 'Forces+Stresses'!$A:$A, 0)), INDEX(Flexjoints!D:D, MATCH(Summary!$A463, Flexjoints!$A:$A, 0)))</f>
        <v>4.8879999999999998E-8</v>
      </c>
      <c r="O463" s="56">
        <f>IFERROR(INDEX('Forces+Stresses'!R:R, MATCH(Summary!$A463, 'Forces+Stresses'!$A:$A, 0)), INDEX(Flexjoints!E:E, MATCH(Summary!$A463, Flexjoints!$A:$A, 0)))</f>
        <v>1.3820000000000001E-6</v>
      </c>
      <c r="P463" s="33" t="str">
        <f>IF(INDEX(Labels!B:B, MATCH(Summary!$A463, Labels!$A:$A, 0)) = 0, "", INDEX(Labels!B:B, MATCH(Summary!$A463, Labels!$A:$A, 0)))</f>
        <v>{Marine Riser String}</v>
      </c>
      <c r="Q463" s="35" t="str">
        <f>IF(INDEX(Labels!C:C, MATCH(Summary!$A463, Labels!$A:$A, 0)) = 0, "", INDEX(Labels!C:C, MATCH(Summary!$A463, Labels!$A:$A, 0)))</f>
        <v>{Slick Joint}</v>
      </c>
      <c r="R463" s="33" t="str">
        <f>IF(INDEX(Labels!D:D, MATCH(Summary!$A463, Labels!$A:$A, 0)) = 0, "", INDEX(Labels!D:D, MATCH(Summary!$A463, Labels!$A:$A, 0)))</f>
        <v/>
      </c>
      <c r="S463" s="35" t="str">
        <f>IF(INDEX(Labels!E:E, MATCH(Summary!$A463, Labels!$A:$A, 0)) = 0, "", INDEX(Labels!E:E, MATCH(Summary!$A463, Labels!$A:$A, 0)))</f>
        <v/>
      </c>
      <c r="T463" s="33" t="str">
        <f>IF(INDEX(Labels!F:F, MATCH(Summary!$A463, Labels!$A:$A, 0)) = 0, "", INDEX(Labels!F:F, MATCH(Summary!$A463, Labels!$A:$A, 0)))</f>
        <v/>
      </c>
      <c r="U463" s="35" t="str">
        <f>IF(INDEX(Labels!G:G, MATCH(Summary!$A463, Labels!$A:$A, 0)) = 0, "", INDEX(Labels!G:G, MATCH(Summary!$A463, Labels!$A:$A, 0)))</f>
        <v/>
      </c>
      <c r="V463" s="62" t="str">
        <f>IF(INDEX(Labels!H:H, MATCH(Summary!$A463, Labels!$A:$A, 0)) = 0, "", INDEX(Labels!H:H, MATCH(Summary!$A463, Labels!$A:$A, 0)))</f>
        <v/>
      </c>
      <c r="W463" t="str">
        <f>IF(INDEX(Labels!I:I, MATCH(Summary!$A463, Labels!$A:$A, 0)) = 0, "", INDEX(Labels!I:I, MATCH(Summary!$A463, Labels!$A:$A, 0)))</f>
        <v/>
      </c>
      <c r="X463" t="str">
        <f>IF(INDEX(Labels!J:J, MATCH(Summary!$A463, Labels!$A:$A, 0)) = 0, "", INDEX(Labels!J:J, MATCH(Summary!$A463, Labels!$A:$A, 0)))</f>
        <v/>
      </c>
    </row>
    <row r="464" spans="1:24" x14ac:dyDescent="0.2">
      <c r="A464" s="33">
        <f>Labels!A465</f>
        <v>458</v>
      </c>
      <c r="B464" s="34">
        <f>INDEX(EchoData!B:B, MATCH(Summary!$A464, EchoData!$A:$A, 0))</f>
        <v>462</v>
      </c>
      <c r="C464" s="35">
        <f>INDEX(EchoData!C:C, MATCH(Summary!$A464, EchoData!$A:$A, 0))</f>
        <v>463</v>
      </c>
      <c r="D464" s="42">
        <f>INDEX(Displacements!B:B, MATCH(Summary!$B464, Displacements!$A:$A, 0))</f>
        <v>775.83500000000004</v>
      </c>
      <c r="E464" s="43">
        <f>INDEX(Displacements!C:C, MATCH(Summary!$B464, Displacements!$A:$A, 0))</f>
        <v>0</v>
      </c>
      <c r="F464" s="44">
        <f>INDEX(Displacements!D:D, MATCH(Summary!$B464, Displacements!$A:$A, 0))</f>
        <v>0</v>
      </c>
      <c r="G464" s="42">
        <f>INDEX(Displacements!B:B, MATCH(Summary!$C464, Displacements!$A:$A, 0))</f>
        <v>778.83199999999999</v>
      </c>
      <c r="H464" s="43">
        <f>INDEX(Displacements!C:C, MATCH(Summary!$C464, Displacements!$A:$A, 0))</f>
        <v>0</v>
      </c>
      <c r="I464" s="44">
        <f>INDEX(Displacements!D:D, MATCH(Summary!$C464, Displacements!$A:$A, 0))</f>
        <v>0</v>
      </c>
      <c r="J464" s="42">
        <f t="shared" si="14"/>
        <v>2.9969999999999573</v>
      </c>
      <c r="K464" s="49">
        <f t="shared" si="15"/>
        <v>1.3337783711614877</v>
      </c>
      <c r="L464" s="54">
        <f>INDEX('Forces+Stresses'!C:C, MATCH(Summary!$A464, 'Forces+Stresses'!$A:$A, 0))</f>
        <v>3344</v>
      </c>
      <c r="M464" s="55">
        <f>INDEX('Forces+Stresses'!D:D, MATCH(Summary!$A464, 'Forces+Stresses'!$A:$A, 0))</f>
        <v>3344</v>
      </c>
      <c r="N464" s="55">
        <f>IFERROR(INDEX('Forces+Stresses'!Q:Q, MATCH(Summary!$A464, 'Forces+Stresses'!$A:$A, 0)), INDEX(Flexjoints!D:D, MATCH(Summary!$A464, Flexjoints!$A:$A, 0)))</f>
        <v>1.269E-7</v>
      </c>
      <c r="O464" s="56">
        <f>IFERROR(INDEX('Forces+Stresses'!R:R, MATCH(Summary!$A464, 'Forces+Stresses'!$A:$A, 0)), INDEX(Flexjoints!E:E, MATCH(Summary!$A464, Flexjoints!$A:$A, 0)))</f>
        <v>1.373E-6</v>
      </c>
      <c r="P464" s="33" t="str">
        <f>IF(INDEX(Labels!B:B, MATCH(Summary!$A464, Labels!$A:$A, 0)) = 0, "", INDEX(Labels!B:B, MATCH(Summary!$A464, Labels!$A:$A, 0)))</f>
        <v>{Marine Riser String}</v>
      </c>
      <c r="Q464" s="35" t="str">
        <f>IF(INDEX(Labels!C:C, MATCH(Summary!$A464, Labels!$A:$A, 0)) = 0, "", INDEX(Labels!C:C, MATCH(Summary!$A464, Labels!$A:$A, 0)))</f>
        <v>{Slick Joint}</v>
      </c>
      <c r="R464" s="33" t="str">
        <f>IF(INDEX(Labels!D:D, MATCH(Summary!$A464, Labels!$A:$A, 0)) = 0, "", INDEX(Labels!D:D, MATCH(Summary!$A464, Labels!$A:$A, 0)))</f>
        <v/>
      </c>
      <c r="S464" s="35" t="str">
        <f>IF(INDEX(Labels!E:E, MATCH(Summary!$A464, Labels!$A:$A, 0)) = 0, "", INDEX(Labels!E:E, MATCH(Summary!$A464, Labels!$A:$A, 0)))</f>
        <v/>
      </c>
      <c r="T464" s="33" t="str">
        <f>IF(INDEX(Labels!F:F, MATCH(Summary!$A464, Labels!$A:$A, 0)) = 0, "", INDEX(Labels!F:F, MATCH(Summary!$A464, Labels!$A:$A, 0)))</f>
        <v/>
      </c>
      <c r="U464" s="35" t="str">
        <f>IF(INDEX(Labels!G:G, MATCH(Summary!$A464, Labels!$A:$A, 0)) = 0, "", INDEX(Labels!G:G, MATCH(Summary!$A464, Labels!$A:$A, 0)))</f>
        <v/>
      </c>
      <c r="V464" s="62" t="str">
        <f>IF(INDEX(Labels!H:H, MATCH(Summary!$A464, Labels!$A:$A, 0)) = 0, "", INDEX(Labels!H:H, MATCH(Summary!$A464, Labels!$A:$A, 0)))</f>
        <v/>
      </c>
      <c r="W464" t="str">
        <f>IF(INDEX(Labels!I:I, MATCH(Summary!$A464, Labels!$A:$A, 0)) = 0, "", INDEX(Labels!I:I, MATCH(Summary!$A464, Labels!$A:$A, 0)))</f>
        <v/>
      </c>
      <c r="X464" t="str">
        <f>IF(INDEX(Labels!J:J, MATCH(Summary!$A464, Labels!$A:$A, 0)) = 0, "", INDEX(Labels!J:J, MATCH(Summary!$A464, Labels!$A:$A, 0)))</f>
        <v/>
      </c>
    </row>
    <row r="465" spans="1:24" x14ac:dyDescent="0.2">
      <c r="A465" s="33">
        <f>Labels!A466</f>
        <v>459</v>
      </c>
      <c r="B465" s="34">
        <f>INDEX(EchoData!B:B, MATCH(Summary!$A465, EchoData!$A:$A, 0))</f>
        <v>463</v>
      </c>
      <c r="C465" s="35">
        <f>INDEX(EchoData!C:C, MATCH(Summary!$A465, EchoData!$A:$A, 0))</f>
        <v>464</v>
      </c>
      <c r="D465" s="42">
        <f>INDEX(Displacements!B:B, MATCH(Summary!$B465, Displacements!$A:$A, 0))</f>
        <v>778.83199999999999</v>
      </c>
      <c r="E465" s="43">
        <f>INDEX(Displacements!C:C, MATCH(Summary!$B465, Displacements!$A:$A, 0))</f>
        <v>0</v>
      </c>
      <c r="F465" s="44">
        <f>INDEX(Displacements!D:D, MATCH(Summary!$B465, Displacements!$A:$A, 0))</f>
        <v>0</v>
      </c>
      <c r="G465" s="42">
        <f>INDEX(Displacements!B:B, MATCH(Summary!$C465, Displacements!$A:$A, 0))</f>
        <v>781.82799999999997</v>
      </c>
      <c r="H465" s="43">
        <f>INDEX(Displacements!C:C, MATCH(Summary!$C465, Displacements!$A:$A, 0))</f>
        <v>0</v>
      </c>
      <c r="I465" s="44">
        <f>INDEX(Displacements!D:D, MATCH(Summary!$C465, Displacements!$A:$A, 0))</f>
        <v>0</v>
      </c>
      <c r="J465" s="42">
        <f t="shared" si="14"/>
        <v>2.9959999999999809</v>
      </c>
      <c r="K465" s="49">
        <f t="shared" si="15"/>
        <v>0.99966633299967422</v>
      </c>
      <c r="L465" s="54">
        <f>INDEX('Forces+Stresses'!C:C, MATCH(Summary!$A465, 'Forces+Stresses'!$A:$A, 0))</f>
        <v>3366</v>
      </c>
      <c r="M465" s="55">
        <f>INDEX('Forces+Stresses'!D:D, MATCH(Summary!$A465, 'Forces+Stresses'!$A:$A, 0))</f>
        <v>3366</v>
      </c>
      <c r="N465" s="55">
        <f>IFERROR(INDEX('Forces+Stresses'!Q:Q, MATCH(Summary!$A465, 'Forces+Stresses'!$A:$A, 0)), INDEX(Flexjoints!D:D, MATCH(Summary!$A465, Flexjoints!$A:$A, 0)))</f>
        <v>7.2410000000000011E-8</v>
      </c>
      <c r="O465" s="56">
        <f>IFERROR(INDEX('Forces+Stresses'!R:R, MATCH(Summary!$A465, 'Forces+Stresses'!$A:$A, 0)), INDEX(Flexjoints!E:E, MATCH(Summary!$A465, Flexjoints!$A:$A, 0)))</f>
        <v>1.4130000000000001E-6</v>
      </c>
      <c r="P465" s="33" t="str">
        <f>IF(INDEX(Labels!B:B, MATCH(Summary!$A465, Labels!$A:$A, 0)) = 0, "", INDEX(Labels!B:B, MATCH(Summary!$A465, Labels!$A:$A, 0)))</f>
        <v>{Marine Riser String}</v>
      </c>
      <c r="Q465" s="35" t="str">
        <f>IF(INDEX(Labels!C:C, MATCH(Summary!$A465, Labels!$A:$A, 0)) = 0, "", INDEX(Labels!C:C, MATCH(Summary!$A465, Labels!$A:$A, 0)))</f>
        <v>{Slick Joint}</v>
      </c>
      <c r="R465" s="33" t="str">
        <f>IF(INDEX(Labels!D:D, MATCH(Summary!$A465, Labels!$A:$A, 0)) = 0, "", INDEX(Labels!D:D, MATCH(Summary!$A465, Labels!$A:$A, 0)))</f>
        <v/>
      </c>
      <c r="S465" s="35" t="str">
        <f>IF(INDEX(Labels!E:E, MATCH(Summary!$A465, Labels!$A:$A, 0)) = 0, "", INDEX(Labels!E:E, MATCH(Summary!$A465, Labels!$A:$A, 0)))</f>
        <v/>
      </c>
      <c r="T465" s="33" t="str">
        <f>IF(INDEX(Labels!F:F, MATCH(Summary!$A465, Labels!$A:$A, 0)) = 0, "", INDEX(Labels!F:F, MATCH(Summary!$A465, Labels!$A:$A, 0)))</f>
        <v/>
      </c>
      <c r="U465" s="35" t="str">
        <f>IF(INDEX(Labels!G:G, MATCH(Summary!$A465, Labels!$A:$A, 0)) = 0, "", INDEX(Labels!G:G, MATCH(Summary!$A465, Labels!$A:$A, 0)))</f>
        <v/>
      </c>
      <c r="V465" s="62" t="str">
        <f>IF(INDEX(Labels!H:H, MATCH(Summary!$A465, Labels!$A:$A, 0)) = 0, "", INDEX(Labels!H:H, MATCH(Summary!$A465, Labels!$A:$A, 0)))</f>
        <v/>
      </c>
      <c r="W465" t="str">
        <f>IF(INDEX(Labels!I:I, MATCH(Summary!$A465, Labels!$A:$A, 0)) = 0, "", INDEX(Labels!I:I, MATCH(Summary!$A465, Labels!$A:$A, 0)))</f>
        <v/>
      </c>
      <c r="X465" t="str">
        <f>IF(INDEX(Labels!J:J, MATCH(Summary!$A465, Labels!$A:$A, 0)) = 0, "", INDEX(Labels!J:J, MATCH(Summary!$A465, Labels!$A:$A, 0)))</f>
        <v/>
      </c>
    </row>
    <row r="466" spans="1:24" x14ac:dyDescent="0.2">
      <c r="A466" s="33">
        <f>Labels!A467</f>
        <v>460</v>
      </c>
      <c r="B466" s="34">
        <f>INDEX(EchoData!B:B, MATCH(Summary!$A466, EchoData!$A:$A, 0))</f>
        <v>464</v>
      </c>
      <c r="C466" s="35">
        <f>INDEX(EchoData!C:C, MATCH(Summary!$A466, EchoData!$A:$A, 0))</f>
        <v>465</v>
      </c>
      <c r="D466" s="42">
        <f>INDEX(Displacements!B:B, MATCH(Summary!$B466, Displacements!$A:$A, 0))</f>
        <v>781.82799999999997</v>
      </c>
      <c r="E466" s="43">
        <f>INDEX(Displacements!C:C, MATCH(Summary!$B466, Displacements!$A:$A, 0))</f>
        <v>0</v>
      </c>
      <c r="F466" s="44">
        <f>INDEX(Displacements!D:D, MATCH(Summary!$B466, Displacements!$A:$A, 0))</f>
        <v>0</v>
      </c>
      <c r="G466" s="42">
        <f>INDEX(Displacements!B:B, MATCH(Summary!$C466, Displacements!$A:$A, 0))</f>
        <v>784.82500000000005</v>
      </c>
      <c r="H466" s="43">
        <f>INDEX(Displacements!C:C, MATCH(Summary!$C466, Displacements!$A:$A, 0))</f>
        <v>0</v>
      </c>
      <c r="I466" s="44">
        <f>INDEX(Displacements!D:D, MATCH(Summary!$C466, Displacements!$A:$A, 0))</f>
        <v>0</v>
      </c>
      <c r="J466" s="42">
        <f t="shared" si="14"/>
        <v>2.9970000000000709</v>
      </c>
      <c r="K466" s="49">
        <f t="shared" si="15"/>
        <v>1.0003337783711916</v>
      </c>
      <c r="L466" s="54">
        <f>INDEX('Forces+Stresses'!C:C, MATCH(Summary!$A466, 'Forces+Stresses'!$A:$A, 0))</f>
        <v>3388</v>
      </c>
      <c r="M466" s="55">
        <f>INDEX('Forces+Stresses'!D:D, MATCH(Summary!$A466, 'Forces+Stresses'!$A:$A, 0))</f>
        <v>3388</v>
      </c>
      <c r="N466" s="55">
        <f>IFERROR(INDEX('Forces+Stresses'!Q:Q, MATCH(Summary!$A466, 'Forces+Stresses'!$A:$A, 0)), INDEX(Flexjoints!D:D, MATCH(Summary!$A466, Flexjoints!$A:$A, 0)))</f>
        <v>1.159E-7</v>
      </c>
      <c r="O466" s="56">
        <f>IFERROR(INDEX('Forces+Stresses'!R:R, MATCH(Summary!$A466, 'Forces+Stresses'!$A:$A, 0)), INDEX(Flexjoints!E:E, MATCH(Summary!$A466, Flexjoints!$A:$A, 0)))</f>
        <v>1.42E-6</v>
      </c>
      <c r="P466" s="33" t="str">
        <f>IF(INDEX(Labels!B:B, MATCH(Summary!$A466, Labels!$A:$A, 0)) = 0, "", INDEX(Labels!B:B, MATCH(Summary!$A466, Labels!$A:$A, 0)))</f>
        <v>{Marine Riser String}</v>
      </c>
      <c r="Q466" s="35" t="str">
        <f>IF(INDEX(Labels!C:C, MATCH(Summary!$A466, Labels!$A:$A, 0)) = 0, "", INDEX(Labels!C:C, MATCH(Summary!$A466, Labels!$A:$A, 0)))</f>
        <v>{Slick Joint}</v>
      </c>
      <c r="R466" s="33" t="str">
        <f>IF(INDEX(Labels!D:D, MATCH(Summary!$A466, Labels!$A:$A, 0)) = 0, "", INDEX(Labels!D:D, MATCH(Summary!$A466, Labels!$A:$A, 0)))</f>
        <v/>
      </c>
      <c r="S466" s="35" t="str">
        <f>IF(INDEX(Labels!E:E, MATCH(Summary!$A466, Labels!$A:$A, 0)) = 0, "", INDEX(Labels!E:E, MATCH(Summary!$A466, Labels!$A:$A, 0)))</f>
        <v/>
      </c>
      <c r="T466" s="33" t="str">
        <f>IF(INDEX(Labels!F:F, MATCH(Summary!$A466, Labels!$A:$A, 0)) = 0, "", INDEX(Labels!F:F, MATCH(Summary!$A466, Labels!$A:$A, 0)))</f>
        <v/>
      </c>
      <c r="U466" s="35" t="str">
        <f>IF(INDEX(Labels!G:G, MATCH(Summary!$A466, Labels!$A:$A, 0)) = 0, "", INDEX(Labels!G:G, MATCH(Summary!$A466, Labels!$A:$A, 0)))</f>
        <v/>
      </c>
      <c r="V466" s="62" t="str">
        <f>IF(INDEX(Labels!H:H, MATCH(Summary!$A466, Labels!$A:$A, 0)) = 0, "", INDEX(Labels!H:H, MATCH(Summary!$A466, Labels!$A:$A, 0)))</f>
        <v/>
      </c>
      <c r="W466" t="str">
        <f>IF(INDEX(Labels!I:I, MATCH(Summary!$A466, Labels!$A:$A, 0)) = 0, "", INDEX(Labels!I:I, MATCH(Summary!$A466, Labels!$A:$A, 0)))</f>
        <v/>
      </c>
      <c r="X466" t="str">
        <f>IF(INDEX(Labels!J:J, MATCH(Summary!$A466, Labels!$A:$A, 0)) = 0, "", INDEX(Labels!J:J, MATCH(Summary!$A466, Labels!$A:$A, 0)))</f>
        <v/>
      </c>
    </row>
    <row r="467" spans="1:24" x14ac:dyDescent="0.2">
      <c r="A467" s="33">
        <f>Labels!A468</f>
        <v>461</v>
      </c>
      <c r="B467" s="34">
        <f>INDEX(EchoData!B:B, MATCH(Summary!$A467, EchoData!$A:$A, 0))</f>
        <v>465</v>
      </c>
      <c r="C467" s="35">
        <f>INDEX(EchoData!C:C, MATCH(Summary!$A467, EchoData!$A:$A, 0))</f>
        <v>466</v>
      </c>
      <c r="D467" s="42">
        <f>INDEX(Displacements!B:B, MATCH(Summary!$B467, Displacements!$A:$A, 0))</f>
        <v>784.82500000000005</v>
      </c>
      <c r="E467" s="43">
        <f>INDEX(Displacements!C:C, MATCH(Summary!$B467, Displacements!$A:$A, 0))</f>
        <v>0</v>
      </c>
      <c r="F467" s="44">
        <f>INDEX(Displacements!D:D, MATCH(Summary!$B467, Displacements!$A:$A, 0))</f>
        <v>0</v>
      </c>
      <c r="G467" s="42">
        <f>INDEX(Displacements!B:B, MATCH(Summary!$C467, Displacements!$A:$A, 0))</f>
        <v>787.82100000000003</v>
      </c>
      <c r="H467" s="43">
        <f>INDEX(Displacements!C:C, MATCH(Summary!$C467, Displacements!$A:$A, 0))</f>
        <v>0</v>
      </c>
      <c r="I467" s="44">
        <f>INDEX(Displacements!D:D, MATCH(Summary!$C467, Displacements!$A:$A, 0))</f>
        <v>0</v>
      </c>
      <c r="J467" s="42">
        <f t="shared" si="14"/>
        <v>2.9959999999999809</v>
      </c>
      <c r="K467" s="49">
        <f t="shared" si="15"/>
        <v>0.99966633299963625</v>
      </c>
      <c r="L467" s="54">
        <f>INDEX('Forces+Stresses'!C:C, MATCH(Summary!$A467, 'Forces+Stresses'!$A:$A, 0))</f>
        <v>3410</v>
      </c>
      <c r="M467" s="55">
        <f>INDEX('Forces+Stresses'!D:D, MATCH(Summary!$A467, 'Forces+Stresses'!$A:$A, 0))</f>
        <v>3410</v>
      </c>
      <c r="N467" s="55">
        <f>IFERROR(INDEX('Forces+Stresses'!Q:Q, MATCH(Summary!$A467, 'Forces+Stresses'!$A:$A, 0)), INDEX(Flexjoints!D:D, MATCH(Summary!$A467, Flexjoints!$A:$A, 0)))</f>
        <v>9.0190000000000002E-8</v>
      </c>
      <c r="O467" s="56">
        <f>IFERROR(INDEX('Forces+Stresses'!R:R, MATCH(Summary!$A467, 'Forces+Stresses'!$A:$A, 0)), INDEX(Flexjoints!E:E, MATCH(Summary!$A467, Flexjoints!$A:$A, 0)))</f>
        <v>1.5410000000000002E-6</v>
      </c>
      <c r="P467" s="33" t="str">
        <f>IF(INDEX(Labels!B:B, MATCH(Summary!$A467, Labels!$A:$A, 0)) = 0, "", INDEX(Labels!B:B, MATCH(Summary!$A467, Labels!$A:$A, 0)))</f>
        <v>{Marine Riser String}</v>
      </c>
      <c r="Q467" s="35" t="str">
        <f>IF(INDEX(Labels!C:C, MATCH(Summary!$A467, Labels!$A:$A, 0)) = 0, "", INDEX(Labels!C:C, MATCH(Summary!$A467, Labels!$A:$A, 0)))</f>
        <v>{Slick Joint}</v>
      </c>
      <c r="R467" s="33" t="str">
        <f>IF(INDEX(Labels!D:D, MATCH(Summary!$A467, Labels!$A:$A, 0)) = 0, "", INDEX(Labels!D:D, MATCH(Summary!$A467, Labels!$A:$A, 0)))</f>
        <v/>
      </c>
      <c r="S467" s="35" t="str">
        <f>IF(INDEX(Labels!E:E, MATCH(Summary!$A467, Labels!$A:$A, 0)) = 0, "", INDEX(Labels!E:E, MATCH(Summary!$A467, Labels!$A:$A, 0)))</f>
        <v/>
      </c>
      <c r="T467" s="33" t="str">
        <f>IF(INDEX(Labels!F:F, MATCH(Summary!$A467, Labels!$A:$A, 0)) = 0, "", INDEX(Labels!F:F, MATCH(Summary!$A467, Labels!$A:$A, 0)))</f>
        <v/>
      </c>
      <c r="U467" s="35" t="str">
        <f>IF(INDEX(Labels!G:G, MATCH(Summary!$A467, Labels!$A:$A, 0)) = 0, "", INDEX(Labels!G:G, MATCH(Summary!$A467, Labels!$A:$A, 0)))</f>
        <v/>
      </c>
      <c r="V467" s="62" t="str">
        <f>IF(INDEX(Labels!H:H, MATCH(Summary!$A467, Labels!$A:$A, 0)) = 0, "", INDEX(Labels!H:H, MATCH(Summary!$A467, Labels!$A:$A, 0)))</f>
        <v/>
      </c>
      <c r="W467" t="str">
        <f>IF(INDEX(Labels!I:I, MATCH(Summary!$A467, Labels!$A:$A, 0)) = 0, "", INDEX(Labels!I:I, MATCH(Summary!$A467, Labels!$A:$A, 0)))</f>
        <v/>
      </c>
      <c r="X467" t="str">
        <f>IF(INDEX(Labels!J:J, MATCH(Summary!$A467, Labels!$A:$A, 0)) = 0, "", INDEX(Labels!J:J, MATCH(Summary!$A467, Labels!$A:$A, 0)))</f>
        <v/>
      </c>
    </row>
    <row r="468" spans="1:24" x14ac:dyDescent="0.2">
      <c r="A468" s="33">
        <f>Labels!A469</f>
        <v>462</v>
      </c>
      <c r="B468" s="34">
        <f>INDEX(EchoData!B:B, MATCH(Summary!$A468, EchoData!$A:$A, 0))</f>
        <v>466</v>
      </c>
      <c r="C468" s="35">
        <f>INDEX(EchoData!C:C, MATCH(Summary!$A468, EchoData!$A:$A, 0))</f>
        <v>467</v>
      </c>
      <c r="D468" s="42">
        <f>INDEX(Displacements!B:B, MATCH(Summary!$B468, Displacements!$A:$A, 0))</f>
        <v>787.82100000000003</v>
      </c>
      <c r="E468" s="43">
        <f>INDEX(Displacements!C:C, MATCH(Summary!$B468, Displacements!$A:$A, 0))</f>
        <v>0</v>
      </c>
      <c r="F468" s="44">
        <f>INDEX(Displacements!D:D, MATCH(Summary!$B468, Displacements!$A:$A, 0))</f>
        <v>0</v>
      </c>
      <c r="G468" s="42">
        <f>INDEX(Displacements!B:B, MATCH(Summary!$C468, Displacements!$A:$A, 0))</f>
        <v>790.81799999999998</v>
      </c>
      <c r="H468" s="43">
        <f>INDEX(Displacements!C:C, MATCH(Summary!$C468, Displacements!$A:$A, 0))</f>
        <v>0</v>
      </c>
      <c r="I468" s="44">
        <f>INDEX(Displacements!D:D, MATCH(Summary!$C468, Displacements!$A:$A, 0))</f>
        <v>0</v>
      </c>
      <c r="J468" s="42">
        <f t="shared" si="14"/>
        <v>2.9969999999999573</v>
      </c>
      <c r="K468" s="49">
        <f t="shared" si="15"/>
        <v>1.0003337783711537</v>
      </c>
      <c r="L468" s="54">
        <f>INDEX('Forces+Stresses'!C:C, MATCH(Summary!$A468, 'Forces+Stresses'!$A:$A, 0))</f>
        <v>3432</v>
      </c>
      <c r="M468" s="55">
        <f>INDEX('Forces+Stresses'!D:D, MATCH(Summary!$A468, 'Forces+Stresses'!$A:$A, 0))</f>
        <v>3432</v>
      </c>
      <c r="N468" s="55">
        <f>IFERROR(INDEX('Forces+Stresses'!Q:Q, MATCH(Summary!$A468, 'Forces+Stresses'!$A:$A, 0)), INDEX(Flexjoints!D:D, MATCH(Summary!$A468, Flexjoints!$A:$A, 0)))</f>
        <v>1.1440000000000001E-7</v>
      </c>
      <c r="O468" s="56">
        <f>IFERROR(INDEX('Forces+Stresses'!R:R, MATCH(Summary!$A468, 'Forces+Stresses'!$A:$A, 0)), INDEX(Flexjoints!E:E, MATCH(Summary!$A468, Flexjoints!$A:$A, 0)))</f>
        <v>1.824E-6</v>
      </c>
      <c r="P468" s="33" t="str">
        <f>IF(INDEX(Labels!B:B, MATCH(Summary!$A468, Labels!$A:$A, 0)) = 0, "", INDEX(Labels!B:B, MATCH(Summary!$A468, Labels!$A:$A, 0)))</f>
        <v>{Marine Riser String}</v>
      </c>
      <c r="Q468" s="35" t="str">
        <f>IF(INDEX(Labels!C:C, MATCH(Summary!$A468, Labels!$A:$A, 0)) = 0, "", INDEX(Labels!C:C, MATCH(Summary!$A468, Labels!$A:$A, 0)))</f>
        <v>{Slick Joint}</v>
      </c>
      <c r="R468" s="33" t="str">
        <f>IF(INDEX(Labels!D:D, MATCH(Summary!$A468, Labels!$A:$A, 0)) = 0, "", INDEX(Labels!D:D, MATCH(Summary!$A468, Labels!$A:$A, 0)))</f>
        <v/>
      </c>
      <c r="S468" s="35" t="str">
        <f>IF(INDEX(Labels!E:E, MATCH(Summary!$A468, Labels!$A:$A, 0)) = 0, "", INDEX(Labels!E:E, MATCH(Summary!$A468, Labels!$A:$A, 0)))</f>
        <v/>
      </c>
      <c r="T468" s="33" t="str">
        <f>IF(INDEX(Labels!F:F, MATCH(Summary!$A468, Labels!$A:$A, 0)) = 0, "", INDEX(Labels!F:F, MATCH(Summary!$A468, Labels!$A:$A, 0)))</f>
        <v/>
      </c>
      <c r="U468" s="35" t="str">
        <f>IF(INDEX(Labels!G:G, MATCH(Summary!$A468, Labels!$A:$A, 0)) = 0, "", INDEX(Labels!G:G, MATCH(Summary!$A468, Labels!$A:$A, 0)))</f>
        <v/>
      </c>
      <c r="V468" s="62" t="str">
        <f>IF(INDEX(Labels!H:H, MATCH(Summary!$A468, Labels!$A:$A, 0)) = 0, "", INDEX(Labels!H:H, MATCH(Summary!$A468, Labels!$A:$A, 0)))</f>
        <v/>
      </c>
      <c r="W468" t="str">
        <f>IF(INDEX(Labels!I:I, MATCH(Summary!$A468, Labels!$A:$A, 0)) = 0, "", INDEX(Labels!I:I, MATCH(Summary!$A468, Labels!$A:$A, 0)))</f>
        <v/>
      </c>
      <c r="X468" t="str">
        <f>IF(INDEX(Labels!J:J, MATCH(Summary!$A468, Labels!$A:$A, 0)) = 0, "", INDEX(Labels!J:J, MATCH(Summary!$A468, Labels!$A:$A, 0)))</f>
        <v/>
      </c>
    </row>
    <row r="469" spans="1:24" x14ac:dyDescent="0.2">
      <c r="A469" s="33">
        <f>Labels!A470</f>
        <v>463</v>
      </c>
      <c r="B469" s="34">
        <f>INDEX(EchoData!B:B, MATCH(Summary!$A469, EchoData!$A:$A, 0))</f>
        <v>467</v>
      </c>
      <c r="C469" s="35">
        <f>INDEX(EchoData!C:C, MATCH(Summary!$A469, EchoData!$A:$A, 0))</f>
        <v>468</v>
      </c>
      <c r="D469" s="42">
        <f>INDEX(Displacements!B:B, MATCH(Summary!$B469, Displacements!$A:$A, 0))</f>
        <v>790.81799999999998</v>
      </c>
      <c r="E469" s="43">
        <f>INDEX(Displacements!C:C, MATCH(Summary!$B469, Displacements!$A:$A, 0))</f>
        <v>0</v>
      </c>
      <c r="F469" s="44">
        <f>INDEX(Displacements!D:D, MATCH(Summary!$B469, Displacements!$A:$A, 0))</f>
        <v>0</v>
      </c>
      <c r="G469" s="42">
        <f>INDEX(Displacements!B:B, MATCH(Summary!$C469, Displacements!$A:$A, 0))</f>
        <v>793.81399999999996</v>
      </c>
      <c r="H469" s="43">
        <f>INDEX(Displacements!C:C, MATCH(Summary!$C469, Displacements!$A:$A, 0))</f>
        <v>0</v>
      </c>
      <c r="I469" s="44">
        <f>INDEX(Displacements!D:D, MATCH(Summary!$C469, Displacements!$A:$A, 0))</f>
        <v>0</v>
      </c>
      <c r="J469" s="42">
        <f t="shared" si="14"/>
        <v>2.9959999999999809</v>
      </c>
      <c r="K469" s="49">
        <f t="shared" si="15"/>
        <v>0.99966633299967422</v>
      </c>
      <c r="L469" s="54">
        <f>INDEX('Forces+Stresses'!C:C, MATCH(Summary!$A469, 'Forces+Stresses'!$A:$A, 0))</f>
        <v>3454</v>
      </c>
      <c r="M469" s="55">
        <f>INDEX('Forces+Stresses'!D:D, MATCH(Summary!$A469, 'Forces+Stresses'!$A:$A, 0))</f>
        <v>3454</v>
      </c>
      <c r="N469" s="55">
        <f>IFERROR(INDEX('Forces+Stresses'!Q:Q, MATCH(Summary!$A469, 'Forces+Stresses'!$A:$A, 0)), INDEX(Flexjoints!D:D, MATCH(Summary!$A469, Flexjoints!$A:$A, 0)))</f>
        <v>8.3019999999999998E-8</v>
      </c>
      <c r="O469" s="56">
        <f>IFERROR(INDEX('Forces+Stresses'!R:R, MATCH(Summary!$A469, 'Forces+Stresses'!$A:$A, 0)), INDEX(Flexjoints!E:E, MATCH(Summary!$A469, Flexjoints!$A:$A, 0)))</f>
        <v>1.9599999999999999E-6</v>
      </c>
      <c r="P469" s="33" t="str">
        <f>IF(INDEX(Labels!B:B, MATCH(Summary!$A469, Labels!$A:$A, 0)) = 0, "", INDEX(Labels!B:B, MATCH(Summary!$A469, Labels!$A:$A, 0)))</f>
        <v>{Marine Riser String}</v>
      </c>
      <c r="Q469" s="35" t="str">
        <f>IF(INDEX(Labels!C:C, MATCH(Summary!$A469, Labels!$A:$A, 0)) = 0, "", INDEX(Labels!C:C, MATCH(Summary!$A469, Labels!$A:$A, 0)))</f>
        <v>{Slick Joint}</v>
      </c>
      <c r="R469" s="33" t="str">
        <f>IF(INDEX(Labels!D:D, MATCH(Summary!$A469, Labels!$A:$A, 0)) = 0, "", INDEX(Labels!D:D, MATCH(Summary!$A469, Labels!$A:$A, 0)))</f>
        <v/>
      </c>
      <c r="S469" s="35" t="str">
        <f>IF(INDEX(Labels!E:E, MATCH(Summary!$A469, Labels!$A:$A, 0)) = 0, "", INDEX(Labels!E:E, MATCH(Summary!$A469, Labels!$A:$A, 0)))</f>
        <v/>
      </c>
      <c r="T469" s="33" t="str">
        <f>IF(INDEX(Labels!F:F, MATCH(Summary!$A469, Labels!$A:$A, 0)) = 0, "", INDEX(Labels!F:F, MATCH(Summary!$A469, Labels!$A:$A, 0)))</f>
        <v/>
      </c>
      <c r="U469" s="35" t="str">
        <f>IF(INDEX(Labels!G:G, MATCH(Summary!$A469, Labels!$A:$A, 0)) = 0, "", INDEX(Labels!G:G, MATCH(Summary!$A469, Labels!$A:$A, 0)))</f>
        <v/>
      </c>
      <c r="V469" s="62" t="str">
        <f>IF(INDEX(Labels!H:H, MATCH(Summary!$A469, Labels!$A:$A, 0)) = 0, "", INDEX(Labels!H:H, MATCH(Summary!$A469, Labels!$A:$A, 0)))</f>
        <v/>
      </c>
      <c r="W469" t="str">
        <f>IF(INDEX(Labels!I:I, MATCH(Summary!$A469, Labels!$A:$A, 0)) = 0, "", INDEX(Labels!I:I, MATCH(Summary!$A469, Labels!$A:$A, 0)))</f>
        <v/>
      </c>
      <c r="X469" t="str">
        <f>IF(INDEX(Labels!J:J, MATCH(Summary!$A469, Labels!$A:$A, 0)) = 0, "", INDEX(Labels!J:J, MATCH(Summary!$A469, Labels!$A:$A, 0)))</f>
        <v/>
      </c>
    </row>
    <row r="470" spans="1:24" x14ac:dyDescent="0.2">
      <c r="A470" s="33">
        <f>Labels!A471</f>
        <v>464</v>
      </c>
      <c r="B470" s="34">
        <f>INDEX(EchoData!B:B, MATCH(Summary!$A470, EchoData!$A:$A, 0))</f>
        <v>468</v>
      </c>
      <c r="C470" s="35">
        <f>INDEX(EchoData!C:C, MATCH(Summary!$A470, EchoData!$A:$A, 0))</f>
        <v>469</v>
      </c>
      <c r="D470" s="42">
        <f>INDEX(Displacements!B:B, MATCH(Summary!$B470, Displacements!$A:$A, 0))</f>
        <v>793.81399999999996</v>
      </c>
      <c r="E470" s="43">
        <f>INDEX(Displacements!C:C, MATCH(Summary!$B470, Displacements!$A:$A, 0))</f>
        <v>0</v>
      </c>
      <c r="F470" s="44">
        <f>INDEX(Displacements!D:D, MATCH(Summary!$B470, Displacements!$A:$A, 0))</f>
        <v>0</v>
      </c>
      <c r="G470" s="42">
        <f>INDEX(Displacements!B:B, MATCH(Summary!$C470, Displacements!$A:$A, 0))</f>
        <v>796.81100000000004</v>
      </c>
      <c r="H470" s="43">
        <f>INDEX(Displacements!C:C, MATCH(Summary!$C470, Displacements!$A:$A, 0))</f>
        <v>0</v>
      </c>
      <c r="I470" s="44">
        <f>INDEX(Displacements!D:D, MATCH(Summary!$C470, Displacements!$A:$A, 0))</f>
        <v>0</v>
      </c>
      <c r="J470" s="42">
        <f t="shared" si="14"/>
        <v>2.9970000000000709</v>
      </c>
      <c r="K470" s="49">
        <f t="shared" si="15"/>
        <v>1.0003337783711916</v>
      </c>
      <c r="L470" s="54">
        <f>INDEX('Forces+Stresses'!C:C, MATCH(Summary!$A470, 'Forces+Stresses'!$A:$A, 0))</f>
        <v>3476</v>
      </c>
      <c r="M470" s="55">
        <f>INDEX('Forces+Stresses'!D:D, MATCH(Summary!$A470, 'Forces+Stresses'!$A:$A, 0))</f>
        <v>3476</v>
      </c>
      <c r="N470" s="55">
        <f>IFERROR(INDEX('Forces+Stresses'!Q:Q, MATCH(Summary!$A470, 'Forces+Stresses'!$A:$A, 0)), INDEX(Flexjoints!D:D, MATCH(Summary!$A470, Flexjoints!$A:$A, 0)))</f>
        <v>6.2760000000000001E-8</v>
      </c>
      <c r="O470" s="56">
        <f>IFERROR(INDEX('Forces+Stresses'!R:R, MATCH(Summary!$A470, 'Forces+Stresses'!$A:$A, 0)), INDEX(Flexjoints!E:E, MATCH(Summary!$A470, Flexjoints!$A:$A, 0)))</f>
        <v>1.9300000000000002E-6</v>
      </c>
      <c r="P470" s="33" t="str">
        <f>IF(INDEX(Labels!B:B, MATCH(Summary!$A470, Labels!$A:$A, 0)) = 0, "", INDEX(Labels!B:B, MATCH(Summary!$A470, Labels!$A:$A, 0)))</f>
        <v>{Marine Riser String}</v>
      </c>
      <c r="Q470" s="35" t="str">
        <f>IF(INDEX(Labels!C:C, MATCH(Summary!$A470, Labels!$A:$A, 0)) = 0, "", INDEX(Labels!C:C, MATCH(Summary!$A470, Labels!$A:$A, 0)))</f>
        <v>{Slick Joint}</v>
      </c>
      <c r="R470" s="33" t="str">
        <f>IF(INDEX(Labels!D:D, MATCH(Summary!$A470, Labels!$A:$A, 0)) = 0, "", INDEX(Labels!D:D, MATCH(Summary!$A470, Labels!$A:$A, 0)))</f>
        <v/>
      </c>
      <c r="S470" s="35" t="str">
        <f>IF(INDEX(Labels!E:E, MATCH(Summary!$A470, Labels!$A:$A, 0)) = 0, "", INDEX(Labels!E:E, MATCH(Summary!$A470, Labels!$A:$A, 0)))</f>
        <v/>
      </c>
      <c r="T470" s="33" t="str">
        <f>IF(INDEX(Labels!F:F, MATCH(Summary!$A470, Labels!$A:$A, 0)) = 0, "", INDEX(Labels!F:F, MATCH(Summary!$A470, Labels!$A:$A, 0)))</f>
        <v/>
      </c>
      <c r="U470" s="35" t="str">
        <f>IF(INDEX(Labels!G:G, MATCH(Summary!$A470, Labels!$A:$A, 0)) = 0, "", INDEX(Labels!G:G, MATCH(Summary!$A470, Labels!$A:$A, 0)))</f>
        <v/>
      </c>
      <c r="V470" s="62" t="str">
        <f>IF(INDEX(Labels!H:H, MATCH(Summary!$A470, Labels!$A:$A, 0)) = 0, "", INDEX(Labels!H:H, MATCH(Summary!$A470, Labels!$A:$A, 0)))</f>
        <v/>
      </c>
      <c r="W470" t="str">
        <f>IF(INDEX(Labels!I:I, MATCH(Summary!$A470, Labels!$A:$A, 0)) = 0, "", INDEX(Labels!I:I, MATCH(Summary!$A470, Labels!$A:$A, 0)))</f>
        <v/>
      </c>
      <c r="X470" t="str">
        <f>IF(INDEX(Labels!J:J, MATCH(Summary!$A470, Labels!$A:$A, 0)) = 0, "", INDEX(Labels!J:J, MATCH(Summary!$A470, Labels!$A:$A, 0)))</f>
        <v/>
      </c>
    </row>
    <row r="471" spans="1:24" x14ac:dyDescent="0.2">
      <c r="A471" s="33">
        <f>Labels!A472</f>
        <v>465</v>
      </c>
      <c r="B471" s="34">
        <f>INDEX(EchoData!B:B, MATCH(Summary!$A471, EchoData!$A:$A, 0))</f>
        <v>469</v>
      </c>
      <c r="C471" s="35">
        <f>INDEX(EchoData!C:C, MATCH(Summary!$A471, EchoData!$A:$A, 0))</f>
        <v>470</v>
      </c>
      <c r="D471" s="42">
        <f>INDEX(Displacements!B:B, MATCH(Summary!$B471, Displacements!$A:$A, 0))</f>
        <v>796.81100000000004</v>
      </c>
      <c r="E471" s="43">
        <f>INDEX(Displacements!C:C, MATCH(Summary!$B471, Displacements!$A:$A, 0))</f>
        <v>0</v>
      </c>
      <c r="F471" s="44">
        <f>INDEX(Displacements!D:D, MATCH(Summary!$B471, Displacements!$A:$A, 0))</f>
        <v>0</v>
      </c>
      <c r="G471" s="42">
        <f>INDEX(Displacements!B:B, MATCH(Summary!$C471, Displacements!$A:$A, 0))</f>
        <v>799.80700000000002</v>
      </c>
      <c r="H471" s="43">
        <f>INDEX(Displacements!C:C, MATCH(Summary!$C471, Displacements!$A:$A, 0))</f>
        <v>0</v>
      </c>
      <c r="I471" s="44">
        <f>INDEX(Displacements!D:D, MATCH(Summary!$C471, Displacements!$A:$A, 0))</f>
        <v>0</v>
      </c>
      <c r="J471" s="42">
        <f t="shared" si="14"/>
        <v>2.9959999999999809</v>
      </c>
      <c r="K471" s="49">
        <f t="shared" si="15"/>
        <v>0.99966633299963625</v>
      </c>
      <c r="L471" s="54">
        <f>INDEX('Forces+Stresses'!C:C, MATCH(Summary!$A471, 'Forces+Stresses'!$A:$A, 0))</f>
        <v>3498</v>
      </c>
      <c r="M471" s="55">
        <f>INDEX('Forces+Stresses'!D:D, MATCH(Summary!$A471, 'Forces+Stresses'!$A:$A, 0))</f>
        <v>3498</v>
      </c>
      <c r="N471" s="55">
        <f>IFERROR(INDEX('Forces+Stresses'!Q:Q, MATCH(Summary!$A471, 'Forces+Stresses'!$A:$A, 0)), INDEX(Flexjoints!D:D, MATCH(Summary!$A471, Flexjoints!$A:$A, 0)))</f>
        <v>6.2550000000000001E-8</v>
      </c>
      <c r="O471" s="56">
        <f>IFERROR(INDEX('Forces+Stresses'!R:R, MATCH(Summary!$A471, 'Forces+Stresses'!$A:$A, 0)), INDEX(Flexjoints!E:E, MATCH(Summary!$A471, Flexjoints!$A:$A, 0)))</f>
        <v>1.759E-6</v>
      </c>
      <c r="P471" s="33" t="str">
        <f>IF(INDEX(Labels!B:B, MATCH(Summary!$A471, Labels!$A:$A, 0)) = 0, "", INDEX(Labels!B:B, MATCH(Summary!$A471, Labels!$A:$A, 0)))</f>
        <v>{Marine Riser String}</v>
      </c>
      <c r="Q471" s="35" t="str">
        <f>IF(INDEX(Labels!C:C, MATCH(Summary!$A471, Labels!$A:$A, 0)) = 0, "", INDEX(Labels!C:C, MATCH(Summary!$A471, Labels!$A:$A, 0)))</f>
        <v>{Slick Joint}</v>
      </c>
      <c r="R471" s="33" t="str">
        <f>IF(INDEX(Labels!D:D, MATCH(Summary!$A471, Labels!$A:$A, 0)) = 0, "", INDEX(Labels!D:D, MATCH(Summary!$A471, Labels!$A:$A, 0)))</f>
        <v/>
      </c>
      <c r="S471" s="35" t="str">
        <f>IF(INDEX(Labels!E:E, MATCH(Summary!$A471, Labels!$A:$A, 0)) = 0, "", INDEX(Labels!E:E, MATCH(Summary!$A471, Labels!$A:$A, 0)))</f>
        <v/>
      </c>
      <c r="T471" s="33" t="str">
        <f>IF(INDEX(Labels!F:F, MATCH(Summary!$A471, Labels!$A:$A, 0)) = 0, "", INDEX(Labels!F:F, MATCH(Summary!$A471, Labels!$A:$A, 0)))</f>
        <v/>
      </c>
      <c r="U471" s="35" t="str">
        <f>IF(INDEX(Labels!G:G, MATCH(Summary!$A471, Labels!$A:$A, 0)) = 0, "", INDEX(Labels!G:G, MATCH(Summary!$A471, Labels!$A:$A, 0)))</f>
        <v/>
      </c>
      <c r="V471" s="62" t="str">
        <f>IF(INDEX(Labels!H:H, MATCH(Summary!$A471, Labels!$A:$A, 0)) = 0, "", INDEX(Labels!H:H, MATCH(Summary!$A471, Labels!$A:$A, 0)))</f>
        <v/>
      </c>
      <c r="W471" t="str">
        <f>IF(INDEX(Labels!I:I, MATCH(Summary!$A471, Labels!$A:$A, 0)) = 0, "", INDEX(Labels!I:I, MATCH(Summary!$A471, Labels!$A:$A, 0)))</f>
        <v/>
      </c>
      <c r="X471" t="str">
        <f>IF(INDEX(Labels!J:J, MATCH(Summary!$A471, Labels!$A:$A, 0)) = 0, "", INDEX(Labels!J:J, MATCH(Summary!$A471, Labels!$A:$A, 0)))</f>
        <v/>
      </c>
    </row>
    <row r="472" spans="1:24" x14ac:dyDescent="0.2">
      <c r="A472" s="33">
        <f>Labels!A473</f>
        <v>466</v>
      </c>
      <c r="B472" s="34">
        <f>INDEX(EchoData!B:B, MATCH(Summary!$A472, EchoData!$A:$A, 0))</f>
        <v>470</v>
      </c>
      <c r="C472" s="35">
        <f>INDEX(EchoData!C:C, MATCH(Summary!$A472, EchoData!$A:$A, 0))</f>
        <v>471</v>
      </c>
      <c r="D472" s="42">
        <f>INDEX(Displacements!B:B, MATCH(Summary!$B472, Displacements!$A:$A, 0))</f>
        <v>799.80700000000002</v>
      </c>
      <c r="E472" s="43">
        <f>INDEX(Displacements!C:C, MATCH(Summary!$B472, Displacements!$A:$A, 0))</f>
        <v>0</v>
      </c>
      <c r="F472" s="44">
        <f>INDEX(Displacements!D:D, MATCH(Summary!$B472, Displacements!$A:$A, 0))</f>
        <v>0</v>
      </c>
      <c r="G472" s="42">
        <f>INDEX(Displacements!B:B, MATCH(Summary!$C472, Displacements!$A:$A, 0))</f>
        <v>802.80399999999997</v>
      </c>
      <c r="H472" s="43">
        <f>INDEX(Displacements!C:C, MATCH(Summary!$C472, Displacements!$A:$A, 0))</f>
        <v>0</v>
      </c>
      <c r="I472" s="44">
        <f>INDEX(Displacements!D:D, MATCH(Summary!$C472, Displacements!$A:$A, 0))</f>
        <v>0</v>
      </c>
      <c r="J472" s="42">
        <f t="shared" si="14"/>
        <v>2.9969999999999573</v>
      </c>
      <c r="K472" s="49">
        <f t="shared" si="15"/>
        <v>1.0003337783711537</v>
      </c>
      <c r="L472" s="54">
        <f>INDEX('Forces+Stresses'!C:C, MATCH(Summary!$A472, 'Forces+Stresses'!$A:$A, 0))</f>
        <v>3520</v>
      </c>
      <c r="M472" s="55">
        <f>INDEX('Forces+Stresses'!D:D, MATCH(Summary!$A472, 'Forces+Stresses'!$A:$A, 0))</f>
        <v>3520</v>
      </c>
      <c r="N472" s="55">
        <f>IFERROR(INDEX('Forces+Stresses'!Q:Q, MATCH(Summary!$A472, 'Forces+Stresses'!$A:$A, 0)), INDEX(Flexjoints!D:D, MATCH(Summary!$A472, Flexjoints!$A:$A, 0)))</f>
        <v>4.1060000000000005E-8</v>
      </c>
      <c r="O472" s="56">
        <f>IFERROR(INDEX('Forces+Stresses'!R:R, MATCH(Summary!$A472, 'Forces+Stresses'!$A:$A, 0)), INDEX(Flexjoints!E:E, MATCH(Summary!$A472, Flexjoints!$A:$A, 0)))</f>
        <v>1.6160000000000001E-6</v>
      </c>
      <c r="P472" s="33" t="str">
        <f>IF(INDEX(Labels!B:B, MATCH(Summary!$A472, Labels!$A:$A, 0)) = 0, "", INDEX(Labels!B:B, MATCH(Summary!$A472, Labels!$A:$A, 0)))</f>
        <v>{Marine Riser String}</v>
      </c>
      <c r="Q472" s="35" t="str">
        <f>IF(INDEX(Labels!C:C, MATCH(Summary!$A472, Labels!$A:$A, 0)) = 0, "", INDEX(Labels!C:C, MATCH(Summary!$A472, Labels!$A:$A, 0)))</f>
        <v>{Slick Joint}</v>
      </c>
      <c r="R472" s="33" t="str">
        <f>IF(INDEX(Labels!D:D, MATCH(Summary!$A472, Labels!$A:$A, 0)) = 0, "", INDEX(Labels!D:D, MATCH(Summary!$A472, Labels!$A:$A, 0)))</f>
        <v/>
      </c>
      <c r="S472" s="35" t="str">
        <f>IF(INDEX(Labels!E:E, MATCH(Summary!$A472, Labels!$A:$A, 0)) = 0, "", INDEX(Labels!E:E, MATCH(Summary!$A472, Labels!$A:$A, 0)))</f>
        <v/>
      </c>
      <c r="T472" s="33" t="str">
        <f>IF(INDEX(Labels!F:F, MATCH(Summary!$A472, Labels!$A:$A, 0)) = 0, "", INDEX(Labels!F:F, MATCH(Summary!$A472, Labels!$A:$A, 0)))</f>
        <v/>
      </c>
      <c r="U472" s="35" t="str">
        <f>IF(INDEX(Labels!G:G, MATCH(Summary!$A472, Labels!$A:$A, 0)) = 0, "", INDEX(Labels!G:G, MATCH(Summary!$A472, Labels!$A:$A, 0)))</f>
        <v/>
      </c>
      <c r="V472" s="62" t="str">
        <f>IF(INDEX(Labels!H:H, MATCH(Summary!$A472, Labels!$A:$A, 0)) = 0, "", INDEX(Labels!H:H, MATCH(Summary!$A472, Labels!$A:$A, 0)))</f>
        <v/>
      </c>
      <c r="W472" t="str">
        <f>IF(INDEX(Labels!I:I, MATCH(Summary!$A472, Labels!$A:$A, 0)) = 0, "", INDEX(Labels!I:I, MATCH(Summary!$A472, Labels!$A:$A, 0)))</f>
        <v/>
      </c>
      <c r="X472" t="str">
        <f>IF(INDEX(Labels!J:J, MATCH(Summary!$A472, Labels!$A:$A, 0)) = 0, "", INDEX(Labels!J:J, MATCH(Summary!$A472, Labels!$A:$A, 0)))</f>
        <v/>
      </c>
    </row>
    <row r="473" spans="1:24" x14ac:dyDescent="0.2">
      <c r="A473" s="33">
        <f>Labels!A474</f>
        <v>467</v>
      </c>
      <c r="B473" s="34">
        <f>INDEX(EchoData!B:B, MATCH(Summary!$A473, EchoData!$A:$A, 0))</f>
        <v>471</v>
      </c>
      <c r="C473" s="35">
        <f>INDEX(EchoData!C:C, MATCH(Summary!$A473, EchoData!$A:$A, 0))</f>
        <v>472</v>
      </c>
      <c r="D473" s="42">
        <f>INDEX(Displacements!B:B, MATCH(Summary!$B473, Displacements!$A:$A, 0))</f>
        <v>802.80399999999997</v>
      </c>
      <c r="E473" s="43">
        <f>INDEX(Displacements!C:C, MATCH(Summary!$B473, Displacements!$A:$A, 0))</f>
        <v>0</v>
      </c>
      <c r="F473" s="44">
        <f>INDEX(Displacements!D:D, MATCH(Summary!$B473, Displacements!$A:$A, 0))</f>
        <v>0</v>
      </c>
      <c r="G473" s="42">
        <f>INDEX(Displacements!B:B, MATCH(Summary!$C473, Displacements!$A:$A, 0))</f>
        <v>805.8</v>
      </c>
      <c r="H473" s="43">
        <f>INDEX(Displacements!C:C, MATCH(Summary!$C473, Displacements!$A:$A, 0))</f>
        <v>0</v>
      </c>
      <c r="I473" s="44">
        <f>INDEX(Displacements!D:D, MATCH(Summary!$C473, Displacements!$A:$A, 0))</f>
        <v>0</v>
      </c>
      <c r="J473" s="42">
        <f t="shared" si="14"/>
        <v>2.9959999999999809</v>
      </c>
      <c r="K473" s="49">
        <f t="shared" si="15"/>
        <v>0.99966633299967422</v>
      </c>
      <c r="L473" s="54">
        <f>INDEX('Forces+Stresses'!C:C, MATCH(Summary!$A473, 'Forces+Stresses'!$A:$A, 0))</f>
        <v>3542</v>
      </c>
      <c r="M473" s="55">
        <f>INDEX('Forces+Stresses'!D:D, MATCH(Summary!$A473, 'Forces+Stresses'!$A:$A, 0))</f>
        <v>3542</v>
      </c>
      <c r="N473" s="55">
        <f>IFERROR(INDEX('Forces+Stresses'!Q:Q, MATCH(Summary!$A473, 'Forces+Stresses'!$A:$A, 0)), INDEX(Flexjoints!D:D, MATCH(Summary!$A473, Flexjoints!$A:$A, 0)))</f>
        <v>5.9349999999999999E-8</v>
      </c>
      <c r="O473" s="56">
        <f>IFERROR(INDEX('Forces+Stresses'!R:R, MATCH(Summary!$A473, 'Forces+Stresses'!$A:$A, 0)), INDEX(Flexjoints!E:E, MATCH(Summary!$A473, Flexjoints!$A:$A, 0)))</f>
        <v>1.381E-6</v>
      </c>
      <c r="P473" s="33" t="str">
        <f>IF(INDEX(Labels!B:B, MATCH(Summary!$A473, Labels!$A:$A, 0)) = 0, "", INDEX(Labels!B:B, MATCH(Summary!$A473, Labels!$A:$A, 0)))</f>
        <v>{Marine Riser String}</v>
      </c>
      <c r="Q473" s="35" t="str">
        <f>IF(INDEX(Labels!C:C, MATCH(Summary!$A473, Labels!$A:$A, 0)) = 0, "", INDEX(Labels!C:C, MATCH(Summary!$A473, Labels!$A:$A, 0)))</f>
        <v>{Slick Joint}</v>
      </c>
      <c r="R473" s="33" t="str">
        <f>IF(INDEX(Labels!D:D, MATCH(Summary!$A473, Labels!$A:$A, 0)) = 0, "", INDEX(Labels!D:D, MATCH(Summary!$A473, Labels!$A:$A, 0)))</f>
        <v/>
      </c>
      <c r="S473" s="35" t="str">
        <f>IF(INDEX(Labels!E:E, MATCH(Summary!$A473, Labels!$A:$A, 0)) = 0, "", INDEX(Labels!E:E, MATCH(Summary!$A473, Labels!$A:$A, 0)))</f>
        <v/>
      </c>
      <c r="T473" s="33" t="str">
        <f>IF(INDEX(Labels!F:F, MATCH(Summary!$A473, Labels!$A:$A, 0)) = 0, "", INDEX(Labels!F:F, MATCH(Summary!$A473, Labels!$A:$A, 0)))</f>
        <v/>
      </c>
      <c r="U473" s="35" t="str">
        <f>IF(INDEX(Labels!G:G, MATCH(Summary!$A473, Labels!$A:$A, 0)) = 0, "", INDEX(Labels!G:G, MATCH(Summary!$A473, Labels!$A:$A, 0)))</f>
        <v/>
      </c>
      <c r="V473" s="62" t="str">
        <f>IF(INDEX(Labels!H:H, MATCH(Summary!$A473, Labels!$A:$A, 0)) = 0, "", INDEX(Labels!H:H, MATCH(Summary!$A473, Labels!$A:$A, 0)))</f>
        <v/>
      </c>
      <c r="W473" t="str">
        <f>IF(INDEX(Labels!I:I, MATCH(Summary!$A473, Labels!$A:$A, 0)) = 0, "", INDEX(Labels!I:I, MATCH(Summary!$A473, Labels!$A:$A, 0)))</f>
        <v/>
      </c>
      <c r="X473" t="str">
        <f>IF(INDEX(Labels!J:J, MATCH(Summary!$A473, Labels!$A:$A, 0)) = 0, "", INDEX(Labels!J:J, MATCH(Summary!$A473, Labels!$A:$A, 0)))</f>
        <v/>
      </c>
    </row>
    <row r="474" spans="1:24" x14ac:dyDescent="0.2">
      <c r="A474" s="33">
        <f>Labels!A475</f>
        <v>468</v>
      </c>
      <c r="B474" s="34">
        <f>INDEX(EchoData!B:B, MATCH(Summary!$A474, EchoData!$A:$A, 0))</f>
        <v>472</v>
      </c>
      <c r="C474" s="35">
        <f>INDEX(EchoData!C:C, MATCH(Summary!$A474, EchoData!$A:$A, 0))</f>
        <v>473</v>
      </c>
      <c r="D474" s="42">
        <f>INDEX(Displacements!B:B, MATCH(Summary!$B474, Displacements!$A:$A, 0))</f>
        <v>805.8</v>
      </c>
      <c r="E474" s="43">
        <f>INDEX(Displacements!C:C, MATCH(Summary!$B474, Displacements!$A:$A, 0))</f>
        <v>0</v>
      </c>
      <c r="F474" s="44">
        <f>INDEX(Displacements!D:D, MATCH(Summary!$B474, Displacements!$A:$A, 0))</f>
        <v>0</v>
      </c>
      <c r="G474" s="42">
        <f>INDEX(Displacements!B:B, MATCH(Summary!$C474, Displacements!$A:$A, 0))</f>
        <v>808.79600000000005</v>
      </c>
      <c r="H474" s="43">
        <f>INDEX(Displacements!C:C, MATCH(Summary!$C474, Displacements!$A:$A, 0))</f>
        <v>0</v>
      </c>
      <c r="I474" s="44">
        <f>INDEX(Displacements!D:D, MATCH(Summary!$C474, Displacements!$A:$A, 0))</f>
        <v>0</v>
      </c>
      <c r="J474" s="42">
        <f t="shared" si="14"/>
        <v>2.9960000000000946</v>
      </c>
      <c r="K474" s="49">
        <f t="shared" si="15"/>
        <v>1.000000000000038</v>
      </c>
      <c r="L474" s="54">
        <f>INDEX('Forces+Stresses'!C:C, MATCH(Summary!$A474, 'Forces+Stresses'!$A:$A, 0))</f>
        <v>3563</v>
      </c>
      <c r="M474" s="55">
        <f>INDEX('Forces+Stresses'!D:D, MATCH(Summary!$A474, 'Forces+Stresses'!$A:$A, 0))</f>
        <v>3563</v>
      </c>
      <c r="N474" s="55">
        <f>IFERROR(INDEX('Forces+Stresses'!Q:Q, MATCH(Summary!$A474, 'Forces+Stresses'!$A:$A, 0)), INDEX(Flexjoints!D:D, MATCH(Summary!$A474, Flexjoints!$A:$A, 0)))</f>
        <v>4.8890000000000003E-8</v>
      </c>
      <c r="O474" s="56">
        <f>IFERROR(INDEX('Forces+Stresses'!R:R, MATCH(Summary!$A474, 'Forces+Stresses'!$A:$A, 0)), INDEX(Flexjoints!E:E, MATCH(Summary!$A474, Flexjoints!$A:$A, 0)))</f>
        <v>1.392E-6</v>
      </c>
      <c r="P474" s="33" t="str">
        <f>IF(INDEX(Labels!B:B, MATCH(Summary!$A474, Labels!$A:$A, 0)) = 0, "", INDEX(Labels!B:B, MATCH(Summary!$A474, Labels!$A:$A, 0)))</f>
        <v>{Marine Riser String}</v>
      </c>
      <c r="Q474" s="35" t="str">
        <f>IF(INDEX(Labels!C:C, MATCH(Summary!$A474, Labels!$A:$A, 0)) = 0, "", INDEX(Labels!C:C, MATCH(Summary!$A474, Labels!$A:$A, 0)))</f>
        <v>{Slick Joint}</v>
      </c>
      <c r="R474" s="33" t="str">
        <f>IF(INDEX(Labels!D:D, MATCH(Summary!$A474, Labels!$A:$A, 0)) = 0, "", INDEX(Labels!D:D, MATCH(Summary!$A474, Labels!$A:$A, 0)))</f>
        <v/>
      </c>
      <c r="S474" s="35" t="str">
        <f>IF(INDEX(Labels!E:E, MATCH(Summary!$A474, Labels!$A:$A, 0)) = 0, "", INDEX(Labels!E:E, MATCH(Summary!$A474, Labels!$A:$A, 0)))</f>
        <v/>
      </c>
      <c r="T474" s="33" t="str">
        <f>IF(INDEX(Labels!F:F, MATCH(Summary!$A474, Labels!$A:$A, 0)) = 0, "", INDEX(Labels!F:F, MATCH(Summary!$A474, Labels!$A:$A, 0)))</f>
        <v/>
      </c>
      <c r="U474" s="35" t="str">
        <f>IF(INDEX(Labels!G:G, MATCH(Summary!$A474, Labels!$A:$A, 0)) = 0, "", INDEX(Labels!G:G, MATCH(Summary!$A474, Labels!$A:$A, 0)))</f>
        <v/>
      </c>
      <c r="V474" s="62" t="str">
        <f>IF(INDEX(Labels!H:H, MATCH(Summary!$A474, Labels!$A:$A, 0)) = 0, "", INDEX(Labels!H:H, MATCH(Summary!$A474, Labels!$A:$A, 0)))</f>
        <v/>
      </c>
      <c r="W474" t="str">
        <f>IF(INDEX(Labels!I:I, MATCH(Summary!$A474, Labels!$A:$A, 0)) = 0, "", INDEX(Labels!I:I, MATCH(Summary!$A474, Labels!$A:$A, 0)))</f>
        <v/>
      </c>
      <c r="X474" t="str">
        <f>IF(INDEX(Labels!J:J, MATCH(Summary!$A474, Labels!$A:$A, 0)) = 0, "", INDEX(Labels!J:J, MATCH(Summary!$A474, Labels!$A:$A, 0)))</f>
        <v/>
      </c>
    </row>
    <row r="475" spans="1:24" x14ac:dyDescent="0.2">
      <c r="A475" s="33">
        <f>Labels!A476</f>
        <v>469</v>
      </c>
      <c r="B475" s="34">
        <f>INDEX(EchoData!B:B, MATCH(Summary!$A475, EchoData!$A:$A, 0))</f>
        <v>473</v>
      </c>
      <c r="C475" s="35">
        <f>INDEX(EchoData!C:C, MATCH(Summary!$A475, EchoData!$A:$A, 0))</f>
        <v>474</v>
      </c>
      <c r="D475" s="42">
        <f>INDEX(Displacements!B:B, MATCH(Summary!$B475, Displacements!$A:$A, 0))</f>
        <v>808.79600000000005</v>
      </c>
      <c r="E475" s="43">
        <f>INDEX(Displacements!C:C, MATCH(Summary!$B475, Displacements!$A:$A, 0))</f>
        <v>0</v>
      </c>
      <c r="F475" s="44">
        <f>INDEX(Displacements!D:D, MATCH(Summary!$B475, Displacements!$A:$A, 0))</f>
        <v>0</v>
      </c>
      <c r="G475" s="42">
        <f>INDEX(Displacements!B:B, MATCH(Summary!$C475, Displacements!$A:$A, 0))</f>
        <v>811.79300000000001</v>
      </c>
      <c r="H475" s="43">
        <f>INDEX(Displacements!C:C, MATCH(Summary!$C475, Displacements!$A:$A, 0))</f>
        <v>0</v>
      </c>
      <c r="I475" s="44">
        <f>INDEX(Displacements!D:D, MATCH(Summary!$C475, Displacements!$A:$A, 0))</f>
        <v>0</v>
      </c>
      <c r="J475" s="42">
        <f t="shared" si="14"/>
        <v>2.9969999999999573</v>
      </c>
      <c r="K475" s="49">
        <f t="shared" si="15"/>
        <v>1.0003337783711157</v>
      </c>
      <c r="L475" s="54">
        <f>INDEX('Forces+Stresses'!C:C, MATCH(Summary!$A475, 'Forces+Stresses'!$A:$A, 0))</f>
        <v>3585</v>
      </c>
      <c r="M475" s="55">
        <f>INDEX('Forces+Stresses'!D:D, MATCH(Summary!$A475, 'Forces+Stresses'!$A:$A, 0))</f>
        <v>3585</v>
      </c>
      <c r="N475" s="55">
        <f>IFERROR(INDEX('Forces+Stresses'!Q:Q, MATCH(Summary!$A475, 'Forces+Stresses'!$A:$A, 0)), INDEX(Flexjoints!D:D, MATCH(Summary!$A475, Flexjoints!$A:$A, 0)))</f>
        <v>7.5250000000000002E-8</v>
      </c>
      <c r="O475" s="56">
        <f>IFERROR(INDEX('Forces+Stresses'!R:R, MATCH(Summary!$A475, 'Forces+Stresses'!$A:$A, 0)), INDEX(Flexjoints!E:E, MATCH(Summary!$A475, Flexjoints!$A:$A, 0)))</f>
        <v>1.4130000000000001E-6</v>
      </c>
      <c r="P475" s="33" t="str">
        <f>IF(INDEX(Labels!B:B, MATCH(Summary!$A475, Labels!$A:$A, 0)) = 0, "", INDEX(Labels!B:B, MATCH(Summary!$A475, Labels!$A:$A, 0)))</f>
        <v>{Marine Riser String}</v>
      </c>
      <c r="Q475" s="35" t="str">
        <f>IF(INDEX(Labels!C:C, MATCH(Summary!$A475, Labels!$A:$A, 0)) = 0, "", INDEX(Labels!C:C, MATCH(Summary!$A475, Labels!$A:$A, 0)))</f>
        <v>{Slick Joint}</v>
      </c>
      <c r="R475" s="33" t="str">
        <f>IF(INDEX(Labels!D:D, MATCH(Summary!$A475, Labels!$A:$A, 0)) = 0, "", INDEX(Labels!D:D, MATCH(Summary!$A475, Labels!$A:$A, 0)))</f>
        <v/>
      </c>
      <c r="S475" s="35" t="str">
        <f>IF(INDEX(Labels!E:E, MATCH(Summary!$A475, Labels!$A:$A, 0)) = 0, "", INDEX(Labels!E:E, MATCH(Summary!$A475, Labels!$A:$A, 0)))</f>
        <v/>
      </c>
      <c r="T475" s="33" t="str">
        <f>IF(INDEX(Labels!F:F, MATCH(Summary!$A475, Labels!$A:$A, 0)) = 0, "", INDEX(Labels!F:F, MATCH(Summary!$A475, Labels!$A:$A, 0)))</f>
        <v/>
      </c>
      <c r="U475" s="35" t="str">
        <f>IF(INDEX(Labels!G:G, MATCH(Summary!$A475, Labels!$A:$A, 0)) = 0, "", INDEX(Labels!G:G, MATCH(Summary!$A475, Labels!$A:$A, 0)))</f>
        <v/>
      </c>
      <c r="V475" s="62" t="str">
        <f>IF(INDEX(Labels!H:H, MATCH(Summary!$A475, Labels!$A:$A, 0)) = 0, "", INDEX(Labels!H:H, MATCH(Summary!$A475, Labels!$A:$A, 0)))</f>
        <v/>
      </c>
      <c r="W475" t="str">
        <f>IF(INDEX(Labels!I:I, MATCH(Summary!$A475, Labels!$A:$A, 0)) = 0, "", INDEX(Labels!I:I, MATCH(Summary!$A475, Labels!$A:$A, 0)))</f>
        <v/>
      </c>
      <c r="X475" t="str">
        <f>IF(INDEX(Labels!J:J, MATCH(Summary!$A475, Labels!$A:$A, 0)) = 0, "", INDEX(Labels!J:J, MATCH(Summary!$A475, Labels!$A:$A, 0)))</f>
        <v/>
      </c>
    </row>
    <row r="476" spans="1:24" x14ac:dyDescent="0.2">
      <c r="A476" s="33">
        <f>Labels!A477</f>
        <v>470</v>
      </c>
      <c r="B476" s="34">
        <f>INDEX(EchoData!B:B, MATCH(Summary!$A476, EchoData!$A:$A, 0))</f>
        <v>474</v>
      </c>
      <c r="C476" s="35">
        <f>INDEX(EchoData!C:C, MATCH(Summary!$A476, EchoData!$A:$A, 0))</f>
        <v>475</v>
      </c>
      <c r="D476" s="42">
        <f>INDEX(Displacements!B:B, MATCH(Summary!$B476, Displacements!$A:$A, 0))</f>
        <v>811.79300000000001</v>
      </c>
      <c r="E476" s="43">
        <f>INDEX(Displacements!C:C, MATCH(Summary!$B476, Displacements!$A:$A, 0))</f>
        <v>0</v>
      </c>
      <c r="F476" s="44">
        <f>INDEX(Displacements!D:D, MATCH(Summary!$B476, Displacements!$A:$A, 0))</f>
        <v>0</v>
      </c>
      <c r="G476" s="42">
        <f>INDEX(Displacements!B:B, MATCH(Summary!$C476, Displacements!$A:$A, 0))</f>
        <v>814.78899999999999</v>
      </c>
      <c r="H476" s="43">
        <f>INDEX(Displacements!C:C, MATCH(Summary!$C476, Displacements!$A:$A, 0))</f>
        <v>0</v>
      </c>
      <c r="I476" s="44">
        <f>INDEX(Displacements!D:D, MATCH(Summary!$C476, Displacements!$A:$A, 0))</f>
        <v>0</v>
      </c>
      <c r="J476" s="42">
        <f t="shared" si="14"/>
        <v>2.9959999999999809</v>
      </c>
      <c r="K476" s="49">
        <f t="shared" si="15"/>
        <v>0.99966633299967422</v>
      </c>
      <c r="L476" s="54">
        <f>INDEX('Forces+Stresses'!C:C, MATCH(Summary!$A476, 'Forces+Stresses'!$A:$A, 0))</f>
        <v>3607</v>
      </c>
      <c r="M476" s="55">
        <f>INDEX('Forces+Stresses'!D:D, MATCH(Summary!$A476, 'Forces+Stresses'!$A:$A, 0))</f>
        <v>3607</v>
      </c>
      <c r="N476" s="55">
        <f>IFERROR(INDEX('Forces+Stresses'!Q:Q, MATCH(Summary!$A476, 'Forces+Stresses'!$A:$A, 0)), INDEX(Flexjoints!D:D, MATCH(Summary!$A476, Flexjoints!$A:$A, 0)))</f>
        <v>6.6250000000000001E-8</v>
      </c>
      <c r="O476" s="56">
        <f>IFERROR(INDEX('Forces+Stresses'!R:R, MATCH(Summary!$A476, 'Forces+Stresses'!$A:$A, 0)), INDEX(Flexjoints!E:E, MATCH(Summary!$A476, Flexjoints!$A:$A, 0)))</f>
        <v>1.485E-6</v>
      </c>
      <c r="P476" s="33" t="str">
        <f>IF(INDEX(Labels!B:B, MATCH(Summary!$A476, Labels!$A:$A, 0)) = 0, "", INDEX(Labels!B:B, MATCH(Summary!$A476, Labels!$A:$A, 0)))</f>
        <v>{Marine Riser String}</v>
      </c>
      <c r="Q476" s="35" t="str">
        <f>IF(INDEX(Labels!C:C, MATCH(Summary!$A476, Labels!$A:$A, 0)) = 0, "", INDEX(Labels!C:C, MATCH(Summary!$A476, Labels!$A:$A, 0)))</f>
        <v>{Slick Joint}</v>
      </c>
      <c r="R476" s="33" t="str">
        <f>IF(INDEX(Labels!D:D, MATCH(Summary!$A476, Labels!$A:$A, 0)) = 0, "", INDEX(Labels!D:D, MATCH(Summary!$A476, Labels!$A:$A, 0)))</f>
        <v/>
      </c>
      <c r="S476" s="35" t="str">
        <f>IF(INDEX(Labels!E:E, MATCH(Summary!$A476, Labels!$A:$A, 0)) = 0, "", INDEX(Labels!E:E, MATCH(Summary!$A476, Labels!$A:$A, 0)))</f>
        <v/>
      </c>
      <c r="T476" s="33" t="str">
        <f>IF(INDEX(Labels!F:F, MATCH(Summary!$A476, Labels!$A:$A, 0)) = 0, "", INDEX(Labels!F:F, MATCH(Summary!$A476, Labels!$A:$A, 0)))</f>
        <v/>
      </c>
      <c r="U476" s="35" t="str">
        <f>IF(INDEX(Labels!G:G, MATCH(Summary!$A476, Labels!$A:$A, 0)) = 0, "", INDEX(Labels!G:G, MATCH(Summary!$A476, Labels!$A:$A, 0)))</f>
        <v/>
      </c>
      <c r="V476" s="62" t="str">
        <f>IF(INDEX(Labels!H:H, MATCH(Summary!$A476, Labels!$A:$A, 0)) = 0, "", INDEX(Labels!H:H, MATCH(Summary!$A476, Labels!$A:$A, 0)))</f>
        <v/>
      </c>
      <c r="W476" t="str">
        <f>IF(INDEX(Labels!I:I, MATCH(Summary!$A476, Labels!$A:$A, 0)) = 0, "", INDEX(Labels!I:I, MATCH(Summary!$A476, Labels!$A:$A, 0)))</f>
        <v/>
      </c>
      <c r="X476" t="str">
        <f>IF(INDEX(Labels!J:J, MATCH(Summary!$A476, Labels!$A:$A, 0)) = 0, "", INDEX(Labels!J:J, MATCH(Summary!$A476, Labels!$A:$A, 0)))</f>
        <v/>
      </c>
    </row>
    <row r="477" spans="1:24" x14ac:dyDescent="0.2">
      <c r="A477" s="33">
        <f>Labels!A478</f>
        <v>471</v>
      </c>
      <c r="B477" s="34">
        <f>INDEX(EchoData!B:B, MATCH(Summary!$A477, EchoData!$A:$A, 0))</f>
        <v>475</v>
      </c>
      <c r="C477" s="35">
        <f>INDEX(EchoData!C:C, MATCH(Summary!$A477, EchoData!$A:$A, 0))</f>
        <v>476</v>
      </c>
      <c r="D477" s="42">
        <f>INDEX(Displacements!B:B, MATCH(Summary!$B477, Displacements!$A:$A, 0))</f>
        <v>814.78899999999999</v>
      </c>
      <c r="E477" s="43">
        <f>INDEX(Displacements!C:C, MATCH(Summary!$B477, Displacements!$A:$A, 0))</f>
        <v>0</v>
      </c>
      <c r="F477" s="44">
        <f>INDEX(Displacements!D:D, MATCH(Summary!$B477, Displacements!$A:$A, 0))</f>
        <v>0</v>
      </c>
      <c r="G477" s="42">
        <f>INDEX(Displacements!B:B, MATCH(Summary!$C477, Displacements!$A:$A, 0))</f>
        <v>817.78599999999994</v>
      </c>
      <c r="H477" s="43">
        <f>INDEX(Displacements!C:C, MATCH(Summary!$C477, Displacements!$A:$A, 0))</f>
        <v>0</v>
      </c>
      <c r="I477" s="44">
        <f>INDEX(Displacements!D:D, MATCH(Summary!$C477, Displacements!$A:$A, 0))</f>
        <v>0</v>
      </c>
      <c r="J477" s="42">
        <f t="shared" si="14"/>
        <v>2.9969999999999573</v>
      </c>
      <c r="K477" s="49">
        <f t="shared" si="15"/>
        <v>1.0003337783711537</v>
      </c>
      <c r="L477" s="54">
        <f>INDEX('Forces+Stresses'!C:C, MATCH(Summary!$A477, 'Forces+Stresses'!$A:$A, 0))</f>
        <v>3629</v>
      </c>
      <c r="M477" s="55">
        <f>INDEX('Forces+Stresses'!D:D, MATCH(Summary!$A477, 'Forces+Stresses'!$A:$A, 0))</f>
        <v>3629</v>
      </c>
      <c r="N477" s="55">
        <f>IFERROR(INDEX('Forces+Stresses'!Q:Q, MATCH(Summary!$A477, 'Forces+Stresses'!$A:$A, 0)), INDEX(Flexjoints!D:D, MATCH(Summary!$A477, Flexjoints!$A:$A, 0)))</f>
        <v>5.0949999999999996E-8</v>
      </c>
      <c r="O477" s="56">
        <f>IFERROR(INDEX('Forces+Stresses'!R:R, MATCH(Summary!$A477, 'Forces+Stresses'!$A:$A, 0)), INDEX(Flexjoints!E:E, MATCH(Summary!$A477, Flexjoints!$A:$A, 0)))</f>
        <v>1.4480000000000002E-6</v>
      </c>
      <c r="P477" s="33" t="str">
        <f>IF(INDEX(Labels!B:B, MATCH(Summary!$A477, Labels!$A:$A, 0)) = 0, "", INDEX(Labels!B:B, MATCH(Summary!$A477, Labels!$A:$A, 0)))</f>
        <v>{Marine Riser String}</v>
      </c>
      <c r="Q477" s="35" t="str">
        <f>IF(INDEX(Labels!C:C, MATCH(Summary!$A477, Labels!$A:$A, 0)) = 0, "", INDEX(Labels!C:C, MATCH(Summary!$A477, Labels!$A:$A, 0)))</f>
        <v>{Slick Joint}</v>
      </c>
      <c r="R477" s="33" t="str">
        <f>IF(INDEX(Labels!D:D, MATCH(Summary!$A477, Labels!$A:$A, 0)) = 0, "", INDEX(Labels!D:D, MATCH(Summary!$A477, Labels!$A:$A, 0)))</f>
        <v/>
      </c>
      <c r="S477" s="35" t="str">
        <f>IF(INDEX(Labels!E:E, MATCH(Summary!$A477, Labels!$A:$A, 0)) = 0, "", INDEX(Labels!E:E, MATCH(Summary!$A477, Labels!$A:$A, 0)))</f>
        <v/>
      </c>
      <c r="T477" s="33" t="str">
        <f>IF(INDEX(Labels!F:F, MATCH(Summary!$A477, Labels!$A:$A, 0)) = 0, "", INDEX(Labels!F:F, MATCH(Summary!$A477, Labels!$A:$A, 0)))</f>
        <v/>
      </c>
      <c r="U477" s="35" t="str">
        <f>IF(INDEX(Labels!G:G, MATCH(Summary!$A477, Labels!$A:$A, 0)) = 0, "", INDEX(Labels!G:G, MATCH(Summary!$A477, Labels!$A:$A, 0)))</f>
        <v/>
      </c>
      <c r="V477" s="62" t="str">
        <f>IF(INDEX(Labels!H:H, MATCH(Summary!$A477, Labels!$A:$A, 0)) = 0, "", INDEX(Labels!H:H, MATCH(Summary!$A477, Labels!$A:$A, 0)))</f>
        <v/>
      </c>
      <c r="W477" t="str">
        <f>IF(INDEX(Labels!I:I, MATCH(Summary!$A477, Labels!$A:$A, 0)) = 0, "", INDEX(Labels!I:I, MATCH(Summary!$A477, Labels!$A:$A, 0)))</f>
        <v/>
      </c>
      <c r="X477" t="str">
        <f>IF(INDEX(Labels!J:J, MATCH(Summary!$A477, Labels!$A:$A, 0)) = 0, "", INDEX(Labels!J:J, MATCH(Summary!$A477, Labels!$A:$A, 0)))</f>
        <v/>
      </c>
    </row>
    <row r="478" spans="1:24" x14ac:dyDescent="0.2">
      <c r="A478" s="33">
        <f>Labels!A479</f>
        <v>472</v>
      </c>
      <c r="B478" s="34">
        <f>INDEX(EchoData!B:B, MATCH(Summary!$A478, EchoData!$A:$A, 0))</f>
        <v>476</v>
      </c>
      <c r="C478" s="35">
        <f>INDEX(EchoData!C:C, MATCH(Summary!$A478, EchoData!$A:$A, 0))</f>
        <v>477</v>
      </c>
      <c r="D478" s="42">
        <f>INDEX(Displacements!B:B, MATCH(Summary!$B478, Displacements!$A:$A, 0))</f>
        <v>817.78599999999994</v>
      </c>
      <c r="E478" s="43">
        <f>INDEX(Displacements!C:C, MATCH(Summary!$B478, Displacements!$A:$A, 0))</f>
        <v>0</v>
      </c>
      <c r="F478" s="44">
        <f>INDEX(Displacements!D:D, MATCH(Summary!$B478, Displacements!$A:$A, 0))</f>
        <v>0</v>
      </c>
      <c r="G478" s="42">
        <f>INDEX(Displacements!B:B, MATCH(Summary!$C478, Displacements!$A:$A, 0))</f>
        <v>820.78200000000004</v>
      </c>
      <c r="H478" s="43">
        <f>INDEX(Displacements!C:C, MATCH(Summary!$C478, Displacements!$A:$A, 0))</f>
        <v>0</v>
      </c>
      <c r="I478" s="44">
        <f>INDEX(Displacements!D:D, MATCH(Summary!$C478, Displacements!$A:$A, 0))</f>
        <v>0</v>
      </c>
      <c r="J478" s="42">
        <f t="shared" si="14"/>
        <v>2.9960000000000946</v>
      </c>
      <c r="K478" s="49">
        <f t="shared" si="15"/>
        <v>0.99966633299971219</v>
      </c>
      <c r="L478" s="54">
        <f>INDEX('Forces+Stresses'!C:C, MATCH(Summary!$A478, 'Forces+Stresses'!$A:$A, 0))</f>
        <v>3651</v>
      </c>
      <c r="M478" s="55">
        <f>INDEX('Forces+Stresses'!D:D, MATCH(Summary!$A478, 'Forces+Stresses'!$A:$A, 0))</f>
        <v>3651</v>
      </c>
      <c r="N478" s="55">
        <f>IFERROR(INDEX('Forces+Stresses'!Q:Q, MATCH(Summary!$A478, 'Forces+Stresses'!$A:$A, 0)), INDEX(Flexjoints!D:D, MATCH(Summary!$A478, Flexjoints!$A:$A, 0)))</f>
        <v>3.7009999999999999E-8</v>
      </c>
      <c r="O478" s="56">
        <f>IFERROR(INDEX('Forces+Stresses'!R:R, MATCH(Summary!$A478, 'Forces+Stresses'!$A:$A, 0)), INDEX(Flexjoints!E:E, MATCH(Summary!$A478, Flexjoints!$A:$A, 0)))</f>
        <v>1.449E-6</v>
      </c>
      <c r="P478" s="33" t="str">
        <f>IF(INDEX(Labels!B:B, MATCH(Summary!$A478, Labels!$A:$A, 0)) = 0, "", INDEX(Labels!B:B, MATCH(Summary!$A478, Labels!$A:$A, 0)))</f>
        <v>{Marine Riser String}</v>
      </c>
      <c r="Q478" s="35" t="str">
        <f>IF(INDEX(Labels!C:C, MATCH(Summary!$A478, Labels!$A:$A, 0)) = 0, "", INDEX(Labels!C:C, MATCH(Summary!$A478, Labels!$A:$A, 0)))</f>
        <v>{Slick Joint}</v>
      </c>
      <c r="R478" s="33" t="str">
        <f>IF(INDEX(Labels!D:D, MATCH(Summary!$A478, Labels!$A:$A, 0)) = 0, "", INDEX(Labels!D:D, MATCH(Summary!$A478, Labels!$A:$A, 0)))</f>
        <v/>
      </c>
      <c r="S478" s="35" t="str">
        <f>IF(INDEX(Labels!E:E, MATCH(Summary!$A478, Labels!$A:$A, 0)) = 0, "", INDEX(Labels!E:E, MATCH(Summary!$A478, Labels!$A:$A, 0)))</f>
        <v/>
      </c>
      <c r="T478" s="33" t="str">
        <f>IF(INDEX(Labels!F:F, MATCH(Summary!$A478, Labels!$A:$A, 0)) = 0, "", INDEX(Labels!F:F, MATCH(Summary!$A478, Labels!$A:$A, 0)))</f>
        <v/>
      </c>
      <c r="U478" s="35" t="str">
        <f>IF(INDEX(Labels!G:G, MATCH(Summary!$A478, Labels!$A:$A, 0)) = 0, "", INDEX(Labels!G:G, MATCH(Summary!$A478, Labels!$A:$A, 0)))</f>
        <v/>
      </c>
      <c r="V478" s="62" t="str">
        <f>IF(INDEX(Labels!H:H, MATCH(Summary!$A478, Labels!$A:$A, 0)) = 0, "", INDEX(Labels!H:H, MATCH(Summary!$A478, Labels!$A:$A, 0)))</f>
        <v/>
      </c>
      <c r="W478" t="str">
        <f>IF(INDEX(Labels!I:I, MATCH(Summary!$A478, Labels!$A:$A, 0)) = 0, "", INDEX(Labels!I:I, MATCH(Summary!$A478, Labels!$A:$A, 0)))</f>
        <v/>
      </c>
      <c r="X478" t="str">
        <f>IF(INDEX(Labels!J:J, MATCH(Summary!$A478, Labels!$A:$A, 0)) = 0, "", INDEX(Labels!J:J, MATCH(Summary!$A478, Labels!$A:$A, 0)))</f>
        <v/>
      </c>
    </row>
    <row r="479" spans="1:24" x14ac:dyDescent="0.2">
      <c r="A479" s="33">
        <f>Labels!A480</f>
        <v>473</v>
      </c>
      <c r="B479" s="34">
        <f>INDEX(EchoData!B:B, MATCH(Summary!$A479, EchoData!$A:$A, 0))</f>
        <v>477</v>
      </c>
      <c r="C479" s="35">
        <f>INDEX(EchoData!C:C, MATCH(Summary!$A479, EchoData!$A:$A, 0))</f>
        <v>478</v>
      </c>
      <c r="D479" s="42">
        <f>INDEX(Displacements!B:B, MATCH(Summary!$B479, Displacements!$A:$A, 0))</f>
        <v>820.78200000000004</v>
      </c>
      <c r="E479" s="43">
        <f>INDEX(Displacements!C:C, MATCH(Summary!$B479, Displacements!$A:$A, 0))</f>
        <v>0</v>
      </c>
      <c r="F479" s="44">
        <f>INDEX(Displacements!D:D, MATCH(Summary!$B479, Displacements!$A:$A, 0))</f>
        <v>0</v>
      </c>
      <c r="G479" s="42">
        <f>INDEX(Displacements!B:B, MATCH(Summary!$C479, Displacements!$A:$A, 0))</f>
        <v>823.779</v>
      </c>
      <c r="H479" s="43">
        <f>INDEX(Displacements!C:C, MATCH(Summary!$C479, Displacements!$A:$A, 0))</f>
        <v>0</v>
      </c>
      <c r="I479" s="44">
        <f>INDEX(Displacements!D:D, MATCH(Summary!$C479, Displacements!$A:$A, 0))</f>
        <v>0</v>
      </c>
      <c r="J479" s="42">
        <f t="shared" si="14"/>
        <v>2.9969999999999573</v>
      </c>
      <c r="K479" s="49">
        <f t="shared" si="15"/>
        <v>1.0003337783711157</v>
      </c>
      <c r="L479" s="54">
        <f>INDEX('Forces+Stresses'!C:C, MATCH(Summary!$A479, 'Forces+Stresses'!$A:$A, 0))</f>
        <v>3673</v>
      </c>
      <c r="M479" s="55">
        <f>INDEX('Forces+Stresses'!D:D, MATCH(Summary!$A479, 'Forces+Stresses'!$A:$A, 0))</f>
        <v>3673</v>
      </c>
      <c r="N479" s="55">
        <f>IFERROR(INDEX('Forces+Stresses'!Q:Q, MATCH(Summary!$A479, 'Forces+Stresses'!$A:$A, 0)), INDEX(Flexjoints!D:D, MATCH(Summary!$A479, Flexjoints!$A:$A, 0)))</f>
        <v>3.2209999999999995E-8</v>
      </c>
      <c r="O479" s="56">
        <f>IFERROR(INDEX('Forces+Stresses'!R:R, MATCH(Summary!$A479, 'Forces+Stresses'!$A:$A, 0)), INDEX(Flexjoints!E:E, MATCH(Summary!$A479, Flexjoints!$A:$A, 0)))</f>
        <v>1.3680000000000001E-6</v>
      </c>
      <c r="P479" s="33" t="str">
        <f>IF(INDEX(Labels!B:B, MATCH(Summary!$A479, Labels!$A:$A, 0)) = 0, "", INDEX(Labels!B:B, MATCH(Summary!$A479, Labels!$A:$A, 0)))</f>
        <v>{Marine Riser String}</v>
      </c>
      <c r="Q479" s="35" t="str">
        <f>IF(INDEX(Labels!C:C, MATCH(Summary!$A479, Labels!$A:$A, 0)) = 0, "", INDEX(Labels!C:C, MATCH(Summary!$A479, Labels!$A:$A, 0)))</f>
        <v>{Slick Joint}</v>
      </c>
      <c r="R479" s="33" t="str">
        <f>IF(INDEX(Labels!D:D, MATCH(Summary!$A479, Labels!$A:$A, 0)) = 0, "", INDEX(Labels!D:D, MATCH(Summary!$A479, Labels!$A:$A, 0)))</f>
        <v/>
      </c>
      <c r="S479" s="35" t="str">
        <f>IF(INDEX(Labels!E:E, MATCH(Summary!$A479, Labels!$A:$A, 0)) = 0, "", INDEX(Labels!E:E, MATCH(Summary!$A479, Labels!$A:$A, 0)))</f>
        <v/>
      </c>
      <c r="T479" s="33" t="str">
        <f>IF(INDEX(Labels!F:F, MATCH(Summary!$A479, Labels!$A:$A, 0)) = 0, "", INDEX(Labels!F:F, MATCH(Summary!$A479, Labels!$A:$A, 0)))</f>
        <v/>
      </c>
      <c r="U479" s="35" t="str">
        <f>IF(INDEX(Labels!G:G, MATCH(Summary!$A479, Labels!$A:$A, 0)) = 0, "", INDEX(Labels!G:G, MATCH(Summary!$A479, Labels!$A:$A, 0)))</f>
        <v/>
      </c>
      <c r="V479" s="62" t="str">
        <f>IF(INDEX(Labels!H:H, MATCH(Summary!$A479, Labels!$A:$A, 0)) = 0, "", INDEX(Labels!H:H, MATCH(Summary!$A479, Labels!$A:$A, 0)))</f>
        <v/>
      </c>
      <c r="W479" t="str">
        <f>IF(INDEX(Labels!I:I, MATCH(Summary!$A479, Labels!$A:$A, 0)) = 0, "", INDEX(Labels!I:I, MATCH(Summary!$A479, Labels!$A:$A, 0)))</f>
        <v/>
      </c>
      <c r="X479" t="str">
        <f>IF(INDEX(Labels!J:J, MATCH(Summary!$A479, Labels!$A:$A, 0)) = 0, "", INDEX(Labels!J:J, MATCH(Summary!$A479, Labels!$A:$A, 0)))</f>
        <v/>
      </c>
    </row>
    <row r="480" spans="1:24" x14ac:dyDescent="0.2">
      <c r="A480" s="33">
        <f>Labels!A481</f>
        <v>474</v>
      </c>
      <c r="B480" s="34">
        <f>INDEX(EchoData!B:B, MATCH(Summary!$A480, EchoData!$A:$A, 0))</f>
        <v>478</v>
      </c>
      <c r="C480" s="35">
        <f>INDEX(EchoData!C:C, MATCH(Summary!$A480, EchoData!$A:$A, 0))</f>
        <v>479</v>
      </c>
      <c r="D480" s="42">
        <f>INDEX(Displacements!B:B, MATCH(Summary!$B480, Displacements!$A:$A, 0))</f>
        <v>823.779</v>
      </c>
      <c r="E480" s="43">
        <f>INDEX(Displacements!C:C, MATCH(Summary!$B480, Displacements!$A:$A, 0))</f>
        <v>0</v>
      </c>
      <c r="F480" s="44">
        <f>INDEX(Displacements!D:D, MATCH(Summary!$B480, Displacements!$A:$A, 0))</f>
        <v>0</v>
      </c>
      <c r="G480" s="42">
        <f>INDEX(Displacements!B:B, MATCH(Summary!$C480, Displacements!$A:$A, 0))</f>
        <v>826.77499999999998</v>
      </c>
      <c r="H480" s="43">
        <f>INDEX(Displacements!C:C, MATCH(Summary!$C480, Displacements!$A:$A, 0))</f>
        <v>0</v>
      </c>
      <c r="I480" s="44">
        <f>INDEX(Displacements!D:D, MATCH(Summary!$C480, Displacements!$A:$A, 0))</f>
        <v>0</v>
      </c>
      <c r="J480" s="42">
        <f t="shared" si="14"/>
        <v>2.9959999999999809</v>
      </c>
      <c r="K480" s="49">
        <f t="shared" si="15"/>
        <v>0.99966633299967422</v>
      </c>
      <c r="L480" s="54">
        <f>INDEX('Forces+Stresses'!C:C, MATCH(Summary!$A480, 'Forces+Stresses'!$A:$A, 0))</f>
        <v>3695</v>
      </c>
      <c r="M480" s="55">
        <f>INDEX('Forces+Stresses'!D:D, MATCH(Summary!$A480, 'Forces+Stresses'!$A:$A, 0))</f>
        <v>3695</v>
      </c>
      <c r="N480" s="55">
        <f>IFERROR(INDEX('Forces+Stresses'!Q:Q, MATCH(Summary!$A480, 'Forces+Stresses'!$A:$A, 0)), INDEX(Flexjoints!D:D, MATCH(Summary!$A480, Flexjoints!$A:$A, 0)))</f>
        <v>8.4709999999999996E-8</v>
      </c>
      <c r="O480" s="56">
        <f>IFERROR(INDEX('Forces+Stresses'!R:R, MATCH(Summary!$A480, 'Forces+Stresses'!$A:$A, 0)), INDEX(Flexjoints!E:E, MATCH(Summary!$A480, Flexjoints!$A:$A, 0)))</f>
        <v>1.423E-6</v>
      </c>
      <c r="P480" s="33" t="str">
        <f>IF(INDEX(Labels!B:B, MATCH(Summary!$A480, Labels!$A:$A, 0)) = 0, "", INDEX(Labels!B:B, MATCH(Summary!$A480, Labels!$A:$A, 0)))</f>
        <v>{Marine Riser String}</v>
      </c>
      <c r="Q480" s="35" t="str">
        <f>IF(INDEX(Labels!C:C, MATCH(Summary!$A480, Labels!$A:$A, 0)) = 0, "", INDEX(Labels!C:C, MATCH(Summary!$A480, Labels!$A:$A, 0)))</f>
        <v>{Slick Joint}</v>
      </c>
      <c r="R480" s="33" t="str">
        <f>IF(INDEX(Labels!D:D, MATCH(Summary!$A480, Labels!$A:$A, 0)) = 0, "", INDEX(Labels!D:D, MATCH(Summary!$A480, Labels!$A:$A, 0)))</f>
        <v/>
      </c>
      <c r="S480" s="35" t="str">
        <f>IF(INDEX(Labels!E:E, MATCH(Summary!$A480, Labels!$A:$A, 0)) = 0, "", INDEX(Labels!E:E, MATCH(Summary!$A480, Labels!$A:$A, 0)))</f>
        <v/>
      </c>
      <c r="T480" s="33" t="str">
        <f>IF(INDEX(Labels!F:F, MATCH(Summary!$A480, Labels!$A:$A, 0)) = 0, "", INDEX(Labels!F:F, MATCH(Summary!$A480, Labels!$A:$A, 0)))</f>
        <v/>
      </c>
      <c r="U480" s="35" t="str">
        <f>IF(INDEX(Labels!G:G, MATCH(Summary!$A480, Labels!$A:$A, 0)) = 0, "", INDEX(Labels!G:G, MATCH(Summary!$A480, Labels!$A:$A, 0)))</f>
        <v/>
      </c>
      <c r="V480" s="62" t="str">
        <f>IF(INDEX(Labels!H:H, MATCH(Summary!$A480, Labels!$A:$A, 0)) = 0, "", INDEX(Labels!H:H, MATCH(Summary!$A480, Labels!$A:$A, 0)))</f>
        <v/>
      </c>
      <c r="W480" t="str">
        <f>IF(INDEX(Labels!I:I, MATCH(Summary!$A480, Labels!$A:$A, 0)) = 0, "", INDEX(Labels!I:I, MATCH(Summary!$A480, Labels!$A:$A, 0)))</f>
        <v/>
      </c>
      <c r="X480" t="str">
        <f>IF(INDEX(Labels!J:J, MATCH(Summary!$A480, Labels!$A:$A, 0)) = 0, "", INDEX(Labels!J:J, MATCH(Summary!$A480, Labels!$A:$A, 0)))</f>
        <v/>
      </c>
    </row>
    <row r="481" spans="1:24" x14ac:dyDescent="0.2">
      <c r="A481" s="33">
        <f>Labels!A482</f>
        <v>475</v>
      </c>
      <c r="B481" s="34">
        <f>INDEX(EchoData!B:B, MATCH(Summary!$A481, EchoData!$A:$A, 0))</f>
        <v>479</v>
      </c>
      <c r="C481" s="35">
        <f>INDEX(EchoData!C:C, MATCH(Summary!$A481, EchoData!$A:$A, 0))</f>
        <v>480</v>
      </c>
      <c r="D481" s="42">
        <f>INDEX(Displacements!B:B, MATCH(Summary!$B481, Displacements!$A:$A, 0))</f>
        <v>826.77499999999998</v>
      </c>
      <c r="E481" s="43">
        <f>INDEX(Displacements!C:C, MATCH(Summary!$B481, Displacements!$A:$A, 0))</f>
        <v>0</v>
      </c>
      <c r="F481" s="44">
        <f>INDEX(Displacements!D:D, MATCH(Summary!$B481, Displacements!$A:$A, 0))</f>
        <v>0</v>
      </c>
      <c r="G481" s="42">
        <f>INDEX(Displacements!B:B, MATCH(Summary!$C481, Displacements!$A:$A, 0))</f>
        <v>829.77200000000005</v>
      </c>
      <c r="H481" s="43">
        <f>INDEX(Displacements!C:C, MATCH(Summary!$C481, Displacements!$A:$A, 0))</f>
        <v>0</v>
      </c>
      <c r="I481" s="44">
        <f>INDEX(Displacements!D:D, MATCH(Summary!$C481, Displacements!$A:$A, 0))</f>
        <v>0</v>
      </c>
      <c r="J481" s="42">
        <f t="shared" si="14"/>
        <v>2.9970000000000709</v>
      </c>
      <c r="K481" s="49">
        <f t="shared" si="15"/>
        <v>1.0003337783711916</v>
      </c>
      <c r="L481" s="54">
        <f>INDEX('Forces+Stresses'!C:C, MATCH(Summary!$A481, 'Forces+Stresses'!$A:$A, 0))</f>
        <v>3717</v>
      </c>
      <c r="M481" s="55">
        <f>INDEX('Forces+Stresses'!D:D, MATCH(Summary!$A481, 'Forces+Stresses'!$A:$A, 0))</f>
        <v>3717</v>
      </c>
      <c r="N481" s="55">
        <f>IFERROR(INDEX('Forces+Stresses'!Q:Q, MATCH(Summary!$A481, 'Forces+Stresses'!$A:$A, 0)), INDEX(Flexjoints!D:D, MATCH(Summary!$A481, Flexjoints!$A:$A, 0)))</f>
        <v>9.3489999999999999E-8</v>
      </c>
      <c r="O481" s="56">
        <f>IFERROR(INDEX('Forces+Stresses'!R:R, MATCH(Summary!$A481, 'Forces+Stresses'!$A:$A, 0)), INDEX(Flexjoints!E:E, MATCH(Summary!$A481, Flexjoints!$A:$A, 0)))</f>
        <v>1.488E-6</v>
      </c>
      <c r="P481" s="33" t="str">
        <f>IF(INDEX(Labels!B:B, MATCH(Summary!$A481, Labels!$A:$A, 0)) = 0, "", INDEX(Labels!B:B, MATCH(Summary!$A481, Labels!$A:$A, 0)))</f>
        <v>{Marine Riser String}</v>
      </c>
      <c r="Q481" s="35" t="str">
        <f>IF(INDEX(Labels!C:C, MATCH(Summary!$A481, Labels!$A:$A, 0)) = 0, "", INDEX(Labels!C:C, MATCH(Summary!$A481, Labels!$A:$A, 0)))</f>
        <v>{Slick Joint}</v>
      </c>
      <c r="R481" s="33" t="str">
        <f>IF(INDEX(Labels!D:D, MATCH(Summary!$A481, Labels!$A:$A, 0)) = 0, "", INDEX(Labels!D:D, MATCH(Summary!$A481, Labels!$A:$A, 0)))</f>
        <v/>
      </c>
      <c r="S481" s="35" t="str">
        <f>IF(INDEX(Labels!E:E, MATCH(Summary!$A481, Labels!$A:$A, 0)) = 0, "", INDEX(Labels!E:E, MATCH(Summary!$A481, Labels!$A:$A, 0)))</f>
        <v/>
      </c>
      <c r="T481" s="33" t="str">
        <f>IF(INDEX(Labels!F:F, MATCH(Summary!$A481, Labels!$A:$A, 0)) = 0, "", INDEX(Labels!F:F, MATCH(Summary!$A481, Labels!$A:$A, 0)))</f>
        <v/>
      </c>
      <c r="U481" s="35" t="str">
        <f>IF(INDEX(Labels!G:G, MATCH(Summary!$A481, Labels!$A:$A, 0)) = 0, "", INDEX(Labels!G:G, MATCH(Summary!$A481, Labels!$A:$A, 0)))</f>
        <v/>
      </c>
      <c r="V481" s="62" t="str">
        <f>IF(INDEX(Labels!H:H, MATCH(Summary!$A481, Labels!$A:$A, 0)) = 0, "", INDEX(Labels!H:H, MATCH(Summary!$A481, Labels!$A:$A, 0)))</f>
        <v/>
      </c>
      <c r="W481" t="str">
        <f>IF(INDEX(Labels!I:I, MATCH(Summary!$A481, Labels!$A:$A, 0)) = 0, "", INDEX(Labels!I:I, MATCH(Summary!$A481, Labels!$A:$A, 0)))</f>
        <v/>
      </c>
      <c r="X481" t="str">
        <f>IF(INDEX(Labels!J:J, MATCH(Summary!$A481, Labels!$A:$A, 0)) = 0, "", INDEX(Labels!J:J, MATCH(Summary!$A481, Labels!$A:$A, 0)))</f>
        <v/>
      </c>
    </row>
    <row r="482" spans="1:24" x14ac:dyDescent="0.2">
      <c r="A482" s="33">
        <f>Labels!A483</f>
        <v>476</v>
      </c>
      <c r="B482" s="34">
        <f>INDEX(EchoData!B:B, MATCH(Summary!$A482, EchoData!$A:$A, 0))</f>
        <v>480</v>
      </c>
      <c r="C482" s="35">
        <f>INDEX(EchoData!C:C, MATCH(Summary!$A482, EchoData!$A:$A, 0))</f>
        <v>481</v>
      </c>
      <c r="D482" s="42">
        <f>INDEX(Displacements!B:B, MATCH(Summary!$B482, Displacements!$A:$A, 0))</f>
        <v>829.77200000000005</v>
      </c>
      <c r="E482" s="43">
        <f>INDEX(Displacements!C:C, MATCH(Summary!$B482, Displacements!$A:$A, 0))</f>
        <v>0</v>
      </c>
      <c r="F482" s="44">
        <f>INDEX(Displacements!D:D, MATCH(Summary!$B482, Displacements!$A:$A, 0))</f>
        <v>0</v>
      </c>
      <c r="G482" s="42">
        <f>INDEX(Displacements!B:B, MATCH(Summary!$C482, Displacements!$A:$A, 0))</f>
        <v>832.76800000000003</v>
      </c>
      <c r="H482" s="43">
        <f>INDEX(Displacements!C:C, MATCH(Summary!$C482, Displacements!$A:$A, 0))</f>
        <v>0</v>
      </c>
      <c r="I482" s="44">
        <f>INDEX(Displacements!D:D, MATCH(Summary!$C482, Displacements!$A:$A, 0))</f>
        <v>0</v>
      </c>
      <c r="J482" s="42">
        <f t="shared" si="14"/>
        <v>2.9959999999999809</v>
      </c>
      <c r="K482" s="49">
        <f t="shared" si="15"/>
        <v>0.99966633299963625</v>
      </c>
      <c r="L482" s="54">
        <f>INDEX('Forces+Stresses'!C:C, MATCH(Summary!$A482, 'Forces+Stresses'!$A:$A, 0))</f>
        <v>3739</v>
      </c>
      <c r="M482" s="55">
        <f>INDEX('Forces+Stresses'!D:D, MATCH(Summary!$A482, 'Forces+Stresses'!$A:$A, 0))</f>
        <v>3739</v>
      </c>
      <c r="N482" s="55">
        <f>IFERROR(INDEX('Forces+Stresses'!Q:Q, MATCH(Summary!$A482, 'Forces+Stresses'!$A:$A, 0)), INDEX(Flexjoints!D:D, MATCH(Summary!$A482, Flexjoints!$A:$A, 0)))</f>
        <v>8.2479999999999995E-8</v>
      </c>
      <c r="O482" s="56">
        <f>IFERROR(INDEX('Forces+Stresses'!R:R, MATCH(Summary!$A482, 'Forces+Stresses'!$A:$A, 0)), INDEX(Flexjoints!E:E, MATCH(Summary!$A482, Flexjoints!$A:$A, 0)))</f>
        <v>1.4619999999999999E-6</v>
      </c>
      <c r="P482" s="33" t="str">
        <f>IF(INDEX(Labels!B:B, MATCH(Summary!$A482, Labels!$A:$A, 0)) = 0, "", INDEX(Labels!B:B, MATCH(Summary!$A482, Labels!$A:$A, 0)))</f>
        <v>{Marine Riser String}</v>
      </c>
      <c r="Q482" s="35" t="str">
        <f>IF(INDEX(Labels!C:C, MATCH(Summary!$A482, Labels!$A:$A, 0)) = 0, "", INDEX(Labels!C:C, MATCH(Summary!$A482, Labels!$A:$A, 0)))</f>
        <v>{Slick Joint}</v>
      </c>
      <c r="R482" s="33" t="str">
        <f>IF(INDEX(Labels!D:D, MATCH(Summary!$A482, Labels!$A:$A, 0)) = 0, "", INDEX(Labels!D:D, MATCH(Summary!$A482, Labels!$A:$A, 0)))</f>
        <v/>
      </c>
      <c r="S482" s="35" t="str">
        <f>IF(INDEX(Labels!E:E, MATCH(Summary!$A482, Labels!$A:$A, 0)) = 0, "", INDEX(Labels!E:E, MATCH(Summary!$A482, Labels!$A:$A, 0)))</f>
        <v/>
      </c>
      <c r="T482" s="33" t="str">
        <f>IF(INDEX(Labels!F:F, MATCH(Summary!$A482, Labels!$A:$A, 0)) = 0, "", INDEX(Labels!F:F, MATCH(Summary!$A482, Labels!$A:$A, 0)))</f>
        <v/>
      </c>
      <c r="U482" s="35" t="str">
        <f>IF(INDEX(Labels!G:G, MATCH(Summary!$A482, Labels!$A:$A, 0)) = 0, "", INDEX(Labels!G:G, MATCH(Summary!$A482, Labels!$A:$A, 0)))</f>
        <v/>
      </c>
      <c r="V482" s="62" t="str">
        <f>IF(INDEX(Labels!H:H, MATCH(Summary!$A482, Labels!$A:$A, 0)) = 0, "", INDEX(Labels!H:H, MATCH(Summary!$A482, Labels!$A:$A, 0)))</f>
        <v/>
      </c>
      <c r="W482" t="str">
        <f>IF(INDEX(Labels!I:I, MATCH(Summary!$A482, Labels!$A:$A, 0)) = 0, "", INDEX(Labels!I:I, MATCH(Summary!$A482, Labels!$A:$A, 0)))</f>
        <v/>
      </c>
      <c r="X482" t="str">
        <f>IF(INDEX(Labels!J:J, MATCH(Summary!$A482, Labels!$A:$A, 0)) = 0, "", INDEX(Labels!J:J, MATCH(Summary!$A482, Labels!$A:$A, 0)))</f>
        <v/>
      </c>
    </row>
    <row r="483" spans="1:24" x14ac:dyDescent="0.2">
      <c r="A483" s="33">
        <f>Labels!A484</f>
        <v>477</v>
      </c>
      <c r="B483" s="34">
        <f>INDEX(EchoData!B:B, MATCH(Summary!$A483, EchoData!$A:$A, 0))</f>
        <v>481</v>
      </c>
      <c r="C483" s="35">
        <f>INDEX(EchoData!C:C, MATCH(Summary!$A483, EchoData!$A:$A, 0))</f>
        <v>482</v>
      </c>
      <c r="D483" s="42">
        <f>INDEX(Displacements!B:B, MATCH(Summary!$B483, Displacements!$A:$A, 0))</f>
        <v>832.76800000000003</v>
      </c>
      <c r="E483" s="43">
        <f>INDEX(Displacements!C:C, MATCH(Summary!$B483, Displacements!$A:$A, 0))</f>
        <v>0</v>
      </c>
      <c r="F483" s="44">
        <f>INDEX(Displacements!D:D, MATCH(Summary!$B483, Displacements!$A:$A, 0))</f>
        <v>0</v>
      </c>
      <c r="G483" s="42">
        <f>INDEX(Displacements!B:B, MATCH(Summary!$C483, Displacements!$A:$A, 0))</f>
        <v>835.76499999999999</v>
      </c>
      <c r="H483" s="43">
        <f>INDEX(Displacements!C:C, MATCH(Summary!$C483, Displacements!$A:$A, 0))</f>
        <v>0</v>
      </c>
      <c r="I483" s="44">
        <f>INDEX(Displacements!D:D, MATCH(Summary!$C483, Displacements!$A:$A, 0))</f>
        <v>0</v>
      </c>
      <c r="J483" s="42">
        <f t="shared" si="14"/>
        <v>2.9969999999999573</v>
      </c>
      <c r="K483" s="49">
        <f t="shared" si="15"/>
        <v>1.0003337783711537</v>
      </c>
      <c r="L483" s="54">
        <f>INDEX('Forces+Stresses'!C:C, MATCH(Summary!$A483, 'Forces+Stresses'!$A:$A, 0))</f>
        <v>3761</v>
      </c>
      <c r="M483" s="55">
        <f>INDEX('Forces+Stresses'!D:D, MATCH(Summary!$A483, 'Forces+Stresses'!$A:$A, 0))</f>
        <v>3761</v>
      </c>
      <c r="N483" s="55">
        <f>IFERROR(INDEX('Forces+Stresses'!Q:Q, MATCH(Summary!$A483, 'Forces+Stresses'!$A:$A, 0)), INDEX(Flexjoints!D:D, MATCH(Summary!$A483, Flexjoints!$A:$A, 0)))</f>
        <v>1.395E-7</v>
      </c>
      <c r="O483" s="56">
        <f>IFERROR(INDEX('Forces+Stresses'!R:R, MATCH(Summary!$A483, 'Forces+Stresses'!$A:$A, 0)), INDEX(Flexjoints!E:E, MATCH(Summary!$A483, Flexjoints!$A:$A, 0)))</f>
        <v>1.3769999999999999E-6</v>
      </c>
      <c r="P483" s="33" t="str">
        <f>IF(INDEX(Labels!B:B, MATCH(Summary!$A483, Labels!$A:$A, 0)) = 0, "", INDEX(Labels!B:B, MATCH(Summary!$A483, Labels!$A:$A, 0)))</f>
        <v>{Marine Riser String}</v>
      </c>
      <c r="Q483" s="35" t="str">
        <f>IF(INDEX(Labels!C:C, MATCH(Summary!$A483, Labels!$A:$A, 0)) = 0, "", INDEX(Labels!C:C, MATCH(Summary!$A483, Labels!$A:$A, 0)))</f>
        <v>{Slick Joint}</v>
      </c>
      <c r="R483" s="33" t="str">
        <f>IF(INDEX(Labels!D:D, MATCH(Summary!$A483, Labels!$A:$A, 0)) = 0, "", INDEX(Labels!D:D, MATCH(Summary!$A483, Labels!$A:$A, 0)))</f>
        <v/>
      </c>
      <c r="S483" s="35" t="str">
        <f>IF(INDEX(Labels!E:E, MATCH(Summary!$A483, Labels!$A:$A, 0)) = 0, "", INDEX(Labels!E:E, MATCH(Summary!$A483, Labels!$A:$A, 0)))</f>
        <v/>
      </c>
      <c r="T483" s="33" t="str">
        <f>IF(INDEX(Labels!F:F, MATCH(Summary!$A483, Labels!$A:$A, 0)) = 0, "", INDEX(Labels!F:F, MATCH(Summary!$A483, Labels!$A:$A, 0)))</f>
        <v/>
      </c>
      <c r="U483" s="35" t="str">
        <f>IF(INDEX(Labels!G:G, MATCH(Summary!$A483, Labels!$A:$A, 0)) = 0, "", INDEX(Labels!G:G, MATCH(Summary!$A483, Labels!$A:$A, 0)))</f>
        <v/>
      </c>
      <c r="V483" s="62" t="str">
        <f>IF(INDEX(Labels!H:H, MATCH(Summary!$A483, Labels!$A:$A, 0)) = 0, "", INDEX(Labels!H:H, MATCH(Summary!$A483, Labels!$A:$A, 0)))</f>
        <v/>
      </c>
      <c r="W483" t="str">
        <f>IF(INDEX(Labels!I:I, MATCH(Summary!$A483, Labels!$A:$A, 0)) = 0, "", INDEX(Labels!I:I, MATCH(Summary!$A483, Labels!$A:$A, 0)))</f>
        <v/>
      </c>
      <c r="X483" t="str">
        <f>IF(INDEX(Labels!J:J, MATCH(Summary!$A483, Labels!$A:$A, 0)) = 0, "", INDEX(Labels!J:J, MATCH(Summary!$A483, Labels!$A:$A, 0)))</f>
        <v/>
      </c>
    </row>
    <row r="484" spans="1:24" x14ac:dyDescent="0.2">
      <c r="A484" s="33">
        <f>Labels!A485</f>
        <v>478</v>
      </c>
      <c r="B484" s="34">
        <f>INDEX(EchoData!B:B, MATCH(Summary!$A484, EchoData!$A:$A, 0))</f>
        <v>482</v>
      </c>
      <c r="C484" s="35">
        <f>INDEX(EchoData!C:C, MATCH(Summary!$A484, EchoData!$A:$A, 0))</f>
        <v>483</v>
      </c>
      <c r="D484" s="42">
        <f>INDEX(Displacements!B:B, MATCH(Summary!$B484, Displacements!$A:$A, 0))</f>
        <v>835.76499999999999</v>
      </c>
      <c r="E484" s="43">
        <f>INDEX(Displacements!C:C, MATCH(Summary!$B484, Displacements!$A:$A, 0))</f>
        <v>0</v>
      </c>
      <c r="F484" s="44">
        <f>INDEX(Displacements!D:D, MATCH(Summary!$B484, Displacements!$A:$A, 0))</f>
        <v>0</v>
      </c>
      <c r="G484" s="42">
        <f>INDEX(Displacements!B:B, MATCH(Summary!$C484, Displacements!$A:$A, 0))</f>
        <v>838.76099999999997</v>
      </c>
      <c r="H484" s="43">
        <f>INDEX(Displacements!C:C, MATCH(Summary!$C484, Displacements!$A:$A, 0))</f>
        <v>0</v>
      </c>
      <c r="I484" s="44">
        <f>INDEX(Displacements!D:D, MATCH(Summary!$C484, Displacements!$A:$A, 0))</f>
        <v>0</v>
      </c>
      <c r="J484" s="42">
        <f t="shared" si="14"/>
        <v>2.9959999999999809</v>
      </c>
      <c r="K484" s="49">
        <f t="shared" si="15"/>
        <v>0.99966633299967422</v>
      </c>
      <c r="L484" s="54">
        <f>INDEX('Forces+Stresses'!C:C, MATCH(Summary!$A484, 'Forces+Stresses'!$A:$A, 0))</f>
        <v>3782</v>
      </c>
      <c r="M484" s="55">
        <f>INDEX('Forces+Stresses'!D:D, MATCH(Summary!$A484, 'Forces+Stresses'!$A:$A, 0))</f>
        <v>3782</v>
      </c>
      <c r="N484" s="55">
        <f>IFERROR(INDEX('Forces+Stresses'!Q:Q, MATCH(Summary!$A484, 'Forces+Stresses'!$A:$A, 0)), INDEX(Flexjoints!D:D, MATCH(Summary!$A484, Flexjoints!$A:$A, 0)))</f>
        <v>2.9280000000000001E-8</v>
      </c>
      <c r="O484" s="56">
        <f>IFERROR(INDEX('Forces+Stresses'!R:R, MATCH(Summary!$A484, 'Forces+Stresses'!$A:$A, 0)), INDEX(Flexjoints!E:E, MATCH(Summary!$A484, Flexjoints!$A:$A, 0)))</f>
        <v>1.33E-6</v>
      </c>
      <c r="P484" s="33" t="str">
        <f>IF(INDEX(Labels!B:B, MATCH(Summary!$A484, Labels!$A:$A, 0)) = 0, "", INDEX(Labels!B:B, MATCH(Summary!$A484, Labels!$A:$A, 0)))</f>
        <v>{Marine Riser String}</v>
      </c>
      <c r="Q484" s="35" t="str">
        <f>IF(INDEX(Labels!C:C, MATCH(Summary!$A484, Labels!$A:$A, 0)) = 0, "", INDEX(Labels!C:C, MATCH(Summary!$A484, Labels!$A:$A, 0)))</f>
        <v>{Slick Joint}</v>
      </c>
      <c r="R484" s="33" t="str">
        <f>IF(INDEX(Labels!D:D, MATCH(Summary!$A484, Labels!$A:$A, 0)) = 0, "", INDEX(Labels!D:D, MATCH(Summary!$A484, Labels!$A:$A, 0)))</f>
        <v/>
      </c>
      <c r="S484" s="35" t="str">
        <f>IF(INDEX(Labels!E:E, MATCH(Summary!$A484, Labels!$A:$A, 0)) = 0, "", INDEX(Labels!E:E, MATCH(Summary!$A484, Labels!$A:$A, 0)))</f>
        <v/>
      </c>
      <c r="T484" s="33" t="str">
        <f>IF(INDEX(Labels!F:F, MATCH(Summary!$A484, Labels!$A:$A, 0)) = 0, "", INDEX(Labels!F:F, MATCH(Summary!$A484, Labels!$A:$A, 0)))</f>
        <v/>
      </c>
      <c r="U484" s="35" t="str">
        <f>IF(INDEX(Labels!G:G, MATCH(Summary!$A484, Labels!$A:$A, 0)) = 0, "", INDEX(Labels!G:G, MATCH(Summary!$A484, Labels!$A:$A, 0)))</f>
        <v/>
      </c>
      <c r="V484" s="62" t="str">
        <f>IF(INDEX(Labels!H:H, MATCH(Summary!$A484, Labels!$A:$A, 0)) = 0, "", INDEX(Labels!H:H, MATCH(Summary!$A484, Labels!$A:$A, 0)))</f>
        <v/>
      </c>
      <c r="W484" t="str">
        <f>IF(INDEX(Labels!I:I, MATCH(Summary!$A484, Labels!$A:$A, 0)) = 0, "", INDEX(Labels!I:I, MATCH(Summary!$A484, Labels!$A:$A, 0)))</f>
        <v/>
      </c>
      <c r="X484" t="str">
        <f>IF(INDEX(Labels!J:J, MATCH(Summary!$A484, Labels!$A:$A, 0)) = 0, "", INDEX(Labels!J:J, MATCH(Summary!$A484, Labels!$A:$A, 0)))</f>
        <v/>
      </c>
    </row>
    <row r="485" spans="1:24" x14ac:dyDescent="0.2">
      <c r="A485" s="33">
        <f>Labels!A486</f>
        <v>479</v>
      </c>
      <c r="B485" s="34">
        <f>INDEX(EchoData!B:B, MATCH(Summary!$A485, EchoData!$A:$A, 0))</f>
        <v>483</v>
      </c>
      <c r="C485" s="35">
        <f>INDEX(EchoData!C:C, MATCH(Summary!$A485, EchoData!$A:$A, 0))</f>
        <v>484</v>
      </c>
      <c r="D485" s="42">
        <f>INDEX(Displacements!B:B, MATCH(Summary!$B485, Displacements!$A:$A, 0))</f>
        <v>838.76099999999997</v>
      </c>
      <c r="E485" s="43">
        <f>INDEX(Displacements!C:C, MATCH(Summary!$B485, Displacements!$A:$A, 0))</f>
        <v>0</v>
      </c>
      <c r="F485" s="44">
        <f>INDEX(Displacements!D:D, MATCH(Summary!$B485, Displacements!$A:$A, 0))</f>
        <v>0</v>
      </c>
      <c r="G485" s="42">
        <f>INDEX(Displacements!B:B, MATCH(Summary!$C485, Displacements!$A:$A, 0))</f>
        <v>841.75800000000004</v>
      </c>
      <c r="H485" s="43">
        <f>INDEX(Displacements!C:C, MATCH(Summary!$C485, Displacements!$A:$A, 0))</f>
        <v>0</v>
      </c>
      <c r="I485" s="44">
        <f>INDEX(Displacements!D:D, MATCH(Summary!$C485, Displacements!$A:$A, 0))</f>
        <v>0</v>
      </c>
      <c r="J485" s="42">
        <f t="shared" si="14"/>
        <v>2.9970000000000709</v>
      </c>
      <c r="K485" s="49">
        <f t="shared" si="15"/>
        <v>1.0003337783711916</v>
      </c>
      <c r="L485" s="54">
        <f>INDEX('Forces+Stresses'!C:C, MATCH(Summary!$A485, 'Forces+Stresses'!$A:$A, 0))</f>
        <v>3804</v>
      </c>
      <c r="M485" s="55">
        <f>INDEX('Forces+Stresses'!D:D, MATCH(Summary!$A485, 'Forces+Stresses'!$A:$A, 0))</f>
        <v>3804</v>
      </c>
      <c r="N485" s="55">
        <f>IFERROR(INDEX('Forces+Stresses'!Q:Q, MATCH(Summary!$A485, 'Forces+Stresses'!$A:$A, 0)), INDEX(Flexjoints!D:D, MATCH(Summary!$A485, Flexjoints!$A:$A, 0)))</f>
        <v>1.3369999999999999E-7</v>
      </c>
      <c r="O485" s="56">
        <f>IFERROR(INDEX('Forces+Stresses'!R:R, MATCH(Summary!$A485, 'Forces+Stresses'!$A:$A, 0)), INDEX(Flexjoints!E:E, MATCH(Summary!$A485, Flexjoints!$A:$A, 0)))</f>
        <v>1.3999999999999999E-6</v>
      </c>
      <c r="P485" s="33" t="str">
        <f>IF(INDEX(Labels!B:B, MATCH(Summary!$A485, Labels!$A:$A, 0)) = 0, "", INDEX(Labels!B:B, MATCH(Summary!$A485, Labels!$A:$A, 0)))</f>
        <v>{Marine Riser String}</v>
      </c>
      <c r="Q485" s="35" t="str">
        <f>IF(INDEX(Labels!C:C, MATCH(Summary!$A485, Labels!$A:$A, 0)) = 0, "", INDEX(Labels!C:C, MATCH(Summary!$A485, Labels!$A:$A, 0)))</f>
        <v>{Slick Joint}</v>
      </c>
      <c r="R485" s="33" t="str">
        <f>IF(INDEX(Labels!D:D, MATCH(Summary!$A485, Labels!$A:$A, 0)) = 0, "", INDEX(Labels!D:D, MATCH(Summary!$A485, Labels!$A:$A, 0)))</f>
        <v/>
      </c>
      <c r="S485" s="35" t="str">
        <f>IF(INDEX(Labels!E:E, MATCH(Summary!$A485, Labels!$A:$A, 0)) = 0, "", INDEX(Labels!E:E, MATCH(Summary!$A485, Labels!$A:$A, 0)))</f>
        <v/>
      </c>
      <c r="T485" s="33" t="str">
        <f>IF(INDEX(Labels!F:F, MATCH(Summary!$A485, Labels!$A:$A, 0)) = 0, "", INDEX(Labels!F:F, MATCH(Summary!$A485, Labels!$A:$A, 0)))</f>
        <v/>
      </c>
      <c r="U485" s="35" t="str">
        <f>IF(INDEX(Labels!G:G, MATCH(Summary!$A485, Labels!$A:$A, 0)) = 0, "", INDEX(Labels!G:G, MATCH(Summary!$A485, Labels!$A:$A, 0)))</f>
        <v/>
      </c>
      <c r="V485" s="62" t="str">
        <f>IF(INDEX(Labels!H:H, MATCH(Summary!$A485, Labels!$A:$A, 0)) = 0, "", INDEX(Labels!H:H, MATCH(Summary!$A485, Labels!$A:$A, 0)))</f>
        <v/>
      </c>
      <c r="W485" t="str">
        <f>IF(INDEX(Labels!I:I, MATCH(Summary!$A485, Labels!$A:$A, 0)) = 0, "", INDEX(Labels!I:I, MATCH(Summary!$A485, Labels!$A:$A, 0)))</f>
        <v/>
      </c>
      <c r="X485" t="str">
        <f>IF(INDEX(Labels!J:J, MATCH(Summary!$A485, Labels!$A:$A, 0)) = 0, "", INDEX(Labels!J:J, MATCH(Summary!$A485, Labels!$A:$A, 0)))</f>
        <v/>
      </c>
    </row>
    <row r="486" spans="1:24" x14ac:dyDescent="0.2">
      <c r="A486" s="33">
        <f>Labels!A487</f>
        <v>480</v>
      </c>
      <c r="B486" s="34">
        <f>INDEX(EchoData!B:B, MATCH(Summary!$A486, EchoData!$A:$A, 0))</f>
        <v>484</v>
      </c>
      <c r="C486" s="35">
        <f>INDEX(EchoData!C:C, MATCH(Summary!$A486, EchoData!$A:$A, 0))</f>
        <v>485</v>
      </c>
      <c r="D486" s="42">
        <f>INDEX(Displacements!B:B, MATCH(Summary!$B486, Displacements!$A:$A, 0))</f>
        <v>841.75800000000004</v>
      </c>
      <c r="E486" s="43">
        <f>INDEX(Displacements!C:C, MATCH(Summary!$B486, Displacements!$A:$A, 0))</f>
        <v>0</v>
      </c>
      <c r="F486" s="44">
        <f>INDEX(Displacements!D:D, MATCH(Summary!$B486, Displacements!$A:$A, 0))</f>
        <v>0</v>
      </c>
      <c r="G486" s="42">
        <f>INDEX(Displacements!B:B, MATCH(Summary!$C486, Displacements!$A:$A, 0))</f>
        <v>844.75400000000002</v>
      </c>
      <c r="H486" s="43">
        <f>INDEX(Displacements!C:C, MATCH(Summary!$C486, Displacements!$A:$A, 0))</f>
        <v>0</v>
      </c>
      <c r="I486" s="44">
        <f>INDEX(Displacements!D:D, MATCH(Summary!$C486, Displacements!$A:$A, 0))</f>
        <v>0</v>
      </c>
      <c r="J486" s="42">
        <f t="shared" si="14"/>
        <v>2.9959999999999809</v>
      </c>
      <c r="K486" s="49">
        <f t="shared" si="15"/>
        <v>0.99966633299963625</v>
      </c>
      <c r="L486" s="54">
        <f>INDEX('Forces+Stresses'!C:C, MATCH(Summary!$A486, 'Forces+Stresses'!$A:$A, 0))</f>
        <v>3826</v>
      </c>
      <c r="M486" s="55">
        <f>INDEX('Forces+Stresses'!D:D, MATCH(Summary!$A486, 'Forces+Stresses'!$A:$A, 0))</f>
        <v>3826</v>
      </c>
      <c r="N486" s="55">
        <f>IFERROR(INDEX('Forces+Stresses'!Q:Q, MATCH(Summary!$A486, 'Forces+Stresses'!$A:$A, 0)), INDEX(Flexjoints!D:D, MATCH(Summary!$A486, Flexjoints!$A:$A, 0)))</f>
        <v>6.3209999999999995E-8</v>
      </c>
      <c r="O486" s="56">
        <f>IFERROR(INDEX('Forces+Stresses'!R:R, MATCH(Summary!$A486, 'Forces+Stresses'!$A:$A, 0)), INDEX(Flexjoints!E:E, MATCH(Summary!$A486, Flexjoints!$A:$A, 0)))</f>
        <v>1.412E-6</v>
      </c>
      <c r="P486" s="33" t="str">
        <f>IF(INDEX(Labels!B:B, MATCH(Summary!$A486, Labels!$A:$A, 0)) = 0, "", INDEX(Labels!B:B, MATCH(Summary!$A486, Labels!$A:$A, 0)))</f>
        <v>{Marine Riser String}</v>
      </c>
      <c r="Q486" s="35" t="str">
        <f>IF(INDEX(Labels!C:C, MATCH(Summary!$A486, Labels!$A:$A, 0)) = 0, "", INDEX(Labels!C:C, MATCH(Summary!$A486, Labels!$A:$A, 0)))</f>
        <v>{Slick Joint}</v>
      </c>
      <c r="R486" s="33" t="str">
        <f>IF(INDEX(Labels!D:D, MATCH(Summary!$A486, Labels!$A:$A, 0)) = 0, "", INDEX(Labels!D:D, MATCH(Summary!$A486, Labels!$A:$A, 0)))</f>
        <v/>
      </c>
      <c r="S486" s="35" t="str">
        <f>IF(INDEX(Labels!E:E, MATCH(Summary!$A486, Labels!$A:$A, 0)) = 0, "", INDEX(Labels!E:E, MATCH(Summary!$A486, Labels!$A:$A, 0)))</f>
        <v/>
      </c>
      <c r="T486" s="33" t="str">
        <f>IF(INDEX(Labels!F:F, MATCH(Summary!$A486, Labels!$A:$A, 0)) = 0, "", INDEX(Labels!F:F, MATCH(Summary!$A486, Labels!$A:$A, 0)))</f>
        <v/>
      </c>
      <c r="U486" s="35" t="str">
        <f>IF(INDEX(Labels!G:G, MATCH(Summary!$A486, Labels!$A:$A, 0)) = 0, "", INDEX(Labels!G:G, MATCH(Summary!$A486, Labels!$A:$A, 0)))</f>
        <v/>
      </c>
      <c r="V486" s="62" t="str">
        <f>IF(INDEX(Labels!H:H, MATCH(Summary!$A486, Labels!$A:$A, 0)) = 0, "", INDEX(Labels!H:H, MATCH(Summary!$A486, Labels!$A:$A, 0)))</f>
        <v/>
      </c>
      <c r="W486" t="str">
        <f>IF(INDEX(Labels!I:I, MATCH(Summary!$A486, Labels!$A:$A, 0)) = 0, "", INDEX(Labels!I:I, MATCH(Summary!$A486, Labels!$A:$A, 0)))</f>
        <v/>
      </c>
      <c r="X486" t="str">
        <f>IF(INDEX(Labels!J:J, MATCH(Summary!$A486, Labels!$A:$A, 0)) = 0, "", INDEX(Labels!J:J, MATCH(Summary!$A486, Labels!$A:$A, 0)))</f>
        <v/>
      </c>
    </row>
    <row r="487" spans="1:24" x14ac:dyDescent="0.2">
      <c r="A487" s="33">
        <f>Labels!A488</f>
        <v>481</v>
      </c>
      <c r="B487" s="34">
        <f>INDEX(EchoData!B:B, MATCH(Summary!$A487, EchoData!$A:$A, 0))</f>
        <v>485</v>
      </c>
      <c r="C487" s="35">
        <f>INDEX(EchoData!C:C, MATCH(Summary!$A487, EchoData!$A:$A, 0))</f>
        <v>486</v>
      </c>
      <c r="D487" s="42">
        <f>INDEX(Displacements!B:B, MATCH(Summary!$B487, Displacements!$A:$A, 0))</f>
        <v>844.75400000000002</v>
      </c>
      <c r="E487" s="43">
        <f>INDEX(Displacements!C:C, MATCH(Summary!$B487, Displacements!$A:$A, 0))</f>
        <v>0</v>
      </c>
      <c r="F487" s="44">
        <f>INDEX(Displacements!D:D, MATCH(Summary!$B487, Displacements!$A:$A, 0))</f>
        <v>0</v>
      </c>
      <c r="G487" s="42">
        <f>INDEX(Displacements!B:B, MATCH(Summary!$C487, Displacements!$A:$A, 0))</f>
        <v>847.75</v>
      </c>
      <c r="H487" s="43">
        <f>INDEX(Displacements!C:C, MATCH(Summary!$C487, Displacements!$A:$A, 0))</f>
        <v>0</v>
      </c>
      <c r="I487" s="44">
        <f>INDEX(Displacements!D:D, MATCH(Summary!$C487, Displacements!$A:$A, 0))</f>
        <v>0</v>
      </c>
      <c r="J487" s="42">
        <f t="shared" si="14"/>
        <v>2.9959999999999809</v>
      </c>
      <c r="K487" s="49">
        <f t="shared" si="15"/>
        <v>1</v>
      </c>
      <c r="L487" s="54">
        <f>INDEX('Forces+Stresses'!C:C, MATCH(Summary!$A487, 'Forces+Stresses'!$A:$A, 0))</f>
        <v>3848</v>
      </c>
      <c r="M487" s="55">
        <f>INDEX('Forces+Stresses'!D:D, MATCH(Summary!$A487, 'Forces+Stresses'!$A:$A, 0))</f>
        <v>3848</v>
      </c>
      <c r="N487" s="55">
        <f>IFERROR(INDEX('Forces+Stresses'!Q:Q, MATCH(Summary!$A487, 'Forces+Stresses'!$A:$A, 0)), INDEX(Flexjoints!D:D, MATCH(Summary!$A487, Flexjoints!$A:$A, 0)))</f>
        <v>8.9120000000000007E-8</v>
      </c>
      <c r="O487" s="56">
        <f>IFERROR(INDEX('Forces+Stresses'!R:R, MATCH(Summary!$A487, 'Forces+Stresses'!$A:$A, 0)), INDEX(Flexjoints!E:E, MATCH(Summary!$A487, Flexjoints!$A:$A, 0)))</f>
        <v>1.4139999999999999E-6</v>
      </c>
      <c r="P487" s="33" t="str">
        <f>IF(INDEX(Labels!B:B, MATCH(Summary!$A487, Labels!$A:$A, 0)) = 0, "", INDEX(Labels!B:B, MATCH(Summary!$A487, Labels!$A:$A, 0)))</f>
        <v>{Marine Riser String}</v>
      </c>
      <c r="Q487" s="35" t="str">
        <f>IF(INDEX(Labels!C:C, MATCH(Summary!$A487, Labels!$A:$A, 0)) = 0, "", INDEX(Labels!C:C, MATCH(Summary!$A487, Labels!$A:$A, 0)))</f>
        <v>{Slick Joint}</v>
      </c>
      <c r="R487" s="33" t="str">
        <f>IF(INDEX(Labels!D:D, MATCH(Summary!$A487, Labels!$A:$A, 0)) = 0, "", INDEX(Labels!D:D, MATCH(Summary!$A487, Labels!$A:$A, 0)))</f>
        <v/>
      </c>
      <c r="S487" s="35" t="str">
        <f>IF(INDEX(Labels!E:E, MATCH(Summary!$A487, Labels!$A:$A, 0)) = 0, "", INDEX(Labels!E:E, MATCH(Summary!$A487, Labels!$A:$A, 0)))</f>
        <v/>
      </c>
      <c r="T487" s="33" t="str">
        <f>IF(INDEX(Labels!F:F, MATCH(Summary!$A487, Labels!$A:$A, 0)) = 0, "", INDEX(Labels!F:F, MATCH(Summary!$A487, Labels!$A:$A, 0)))</f>
        <v/>
      </c>
      <c r="U487" s="35" t="str">
        <f>IF(INDEX(Labels!G:G, MATCH(Summary!$A487, Labels!$A:$A, 0)) = 0, "", INDEX(Labels!G:G, MATCH(Summary!$A487, Labels!$A:$A, 0)))</f>
        <v/>
      </c>
      <c r="V487" s="62" t="str">
        <f>IF(INDEX(Labels!H:H, MATCH(Summary!$A487, Labels!$A:$A, 0)) = 0, "", INDEX(Labels!H:H, MATCH(Summary!$A487, Labels!$A:$A, 0)))</f>
        <v/>
      </c>
      <c r="W487" t="str">
        <f>IF(INDEX(Labels!I:I, MATCH(Summary!$A487, Labels!$A:$A, 0)) = 0, "", INDEX(Labels!I:I, MATCH(Summary!$A487, Labels!$A:$A, 0)))</f>
        <v/>
      </c>
      <c r="X487" t="str">
        <f>IF(INDEX(Labels!J:J, MATCH(Summary!$A487, Labels!$A:$A, 0)) = 0, "", INDEX(Labels!J:J, MATCH(Summary!$A487, Labels!$A:$A, 0)))</f>
        <v/>
      </c>
    </row>
    <row r="488" spans="1:24" x14ac:dyDescent="0.2">
      <c r="A488" s="33">
        <f>Labels!A489</f>
        <v>482</v>
      </c>
      <c r="B488" s="34">
        <f>INDEX(EchoData!B:B, MATCH(Summary!$A488, EchoData!$A:$A, 0))</f>
        <v>486</v>
      </c>
      <c r="C488" s="35">
        <f>INDEX(EchoData!C:C, MATCH(Summary!$A488, EchoData!$A:$A, 0))</f>
        <v>487</v>
      </c>
      <c r="D488" s="42">
        <f>INDEX(Displacements!B:B, MATCH(Summary!$B488, Displacements!$A:$A, 0))</f>
        <v>847.75</v>
      </c>
      <c r="E488" s="43">
        <f>INDEX(Displacements!C:C, MATCH(Summary!$B488, Displacements!$A:$A, 0))</f>
        <v>0</v>
      </c>
      <c r="F488" s="44">
        <f>INDEX(Displacements!D:D, MATCH(Summary!$B488, Displacements!$A:$A, 0))</f>
        <v>0</v>
      </c>
      <c r="G488" s="42">
        <f>INDEX(Displacements!B:B, MATCH(Summary!$C488, Displacements!$A:$A, 0))</f>
        <v>850.74699999999996</v>
      </c>
      <c r="H488" s="43">
        <f>INDEX(Displacements!C:C, MATCH(Summary!$C488, Displacements!$A:$A, 0))</f>
        <v>0</v>
      </c>
      <c r="I488" s="44">
        <f>INDEX(Displacements!D:D, MATCH(Summary!$C488, Displacements!$A:$A, 0))</f>
        <v>0</v>
      </c>
      <c r="J488" s="42">
        <f t="shared" si="14"/>
        <v>2.9969999999999573</v>
      </c>
      <c r="K488" s="49">
        <f t="shared" si="15"/>
        <v>1.0003337783711537</v>
      </c>
      <c r="L488" s="54">
        <f>INDEX('Forces+Stresses'!C:C, MATCH(Summary!$A488, 'Forces+Stresses'!$A:$A, 0))</f>
        <v>3870</v>
      </c>
      <c r="M488" s="55">
        <f>INDEX('Forces+Stresses'!D:D, MATCH(Summary!$A488, 'Forces+Stresses'!$A:$A, 0))</f>
        <v>3870</v>
      </c>
      <c r="N488" s="55">
        <f>IFERROR(INDEX('Forces+Stresses'!Q:Q, MATCH(Summary!$A488, 'Forces+Stresses'!$A:$A, 0)), INDEX(Flexjoints!D:D, MATCH(Summary!$A488, Flexjoints!$A:$A, 0)))</f>
        <v>7.3029999999999999E-8</v>
      </c>
      <c r="O488" s="56">
        <f>IFERROR(INDEX('Forces+Stresses'!R:R, MATCH(Summary!$A488, 'Forces+Stresses'!$A:$A, 0)), INDEX(Flexjoints!E:E, MATCH(Summary!$A488, Flexjoints!$A:$A, 0)))</f>
        <v>1.418E-6</v>
      </c>
      <c r="P488" s="33" t="str">
        <f>IF(INDEX(Labels!B:B, MATCH(Summary!$A488, Labels!$A:$A, 0)) = 0, "", INDEX(Labels!B:B, MATCH(Summary!$A488, Labels!$A:$A, 0)))</f>
        <v>{Marine Riser String}</v>
      </c>
      <c r="Q488" s="35" t="str">
        <f>IF(INDEX(Labels!C:C, MATCH(Summary!$A488, Labels!$A:$A, 0)) = 0, "", INDEX(Labels!C:C, MATCH(Summary!$A488, Labels!$A:$A, 0)))</f>
        <v>{Slick Joint}</v>
      </c>
      <c r="R488" s="33" t="str">
        <f>IF(INDEX(Labels!D:D, MATCH(Summary!$A488, Labels!$A:$A, 0)) = 0, "", INDEX(Labels!D:D, MATCH(Summary!$A488, Labels!$A:$A, 0)))</f>
        <v/>
      </c>
      <c r="S488" s="35" t="str">
        <f>IF(INDEX(Labels!E:E, MATCH(Summary!$A488, Labels!$A:$A, 0)) = 0, "", INDEX(Labels!E:E, MATCH(Summary!$A488, Labels!$A:$A, 0)))</f>
        <v/>
      </c>
      <c r="T488" s="33" t="str">
        <f>IF(INDEX(Labels!F:F, MATCH(Summary!$A488, Labels!$A:$A, 0)) = 0, "", INDEX(Labels!F:F, MATCH(Summary!$A488, Labels!$A:$A, 0)))</f>
        <v/>
      </c>
      <c r="U488" s="35" t="str">
        <f>IF(INDEX(Labels!G:G, MATCH(Summary!$A488, Labels!$A:$A, 0)) = 0, "", INDEX(Labels!G:G, MATCH(Summary!$A488, Labels!$A:$A, 0)))</f>
        <v/>
      </c>
      <c r="V488" s="62" t="str">
        <f>IF(INDEX(Labels!H:H, MATCH(Summary!$A488, Labels!$A:$A, 0)) = 0, "", INDEX(Labels!H:H, MATCH(Summary!$A488, Labels!$A:$A, 0)))</f>
        <v/>
      </c>
      <c r="W488" t="str">
        <f>IF(INDEX(Labels!I:I, MATCH(Summary!$A488, Labels!$A:$A, 0)) = 0, "", INDEX(Labels!I:I, MATCH(Summary!$A488, Labels!$A:$A, 0)))</f>
        <v/>
      </c>
      <c r="X488" t="str">
        <f>IF(INDEX(Labels!J:J, MATCH(Summary!$A488, Labels!$A:$A, 0)) = 0, "", INDEX(Labels!J:J, MATCH(Summary!$A488, Labels!$A:$A, 0)))</f>
        <v/>
      </c>
    </row>
    <row r="489" spans="1:24" x14ac:dyDescent="0.2">
      <c r="A489" s="33">
        <f>Labels!A490</f>
        <v>483</v>
      </c>
      <c r="B489" s="34">
        <f>INDEX(EchoData!B:B, MATCH(Summary!$A489, EchoData!$A:$A, 0))</f>
        <v>487</v>
      </c>
      <c r="C489" s="35">
        <f>INDEX(EchoData!C:C, MATCH(Summary!$A489, EchoData!$A:$A, 0))</f>
        <v>488</v>
      </c>
      <c r="D489" s="42">
        <f>INDEX(Displacements!B:B, MATCH(Summary!$B489, Displacements!$A:$A, 0))</f>
        <v>850.74699999999996</v>
      </c>
      <c r="E489" s="43">
        <f>INDEX(Displacements!C:C, MATCH(Summary!$B489, Displacements!$A:$A, 0))</f>
        <v>0</v>
      </c>
      <c r="F489" s="44">
        <f>INDEX(Displacements!D:D, MATCH(Summary!$B489, Displacements!$A:$A, 0))</f>
        <v>0</v>
      </c>
      <c r="G489" s="42">
        <f>INDEX(Displacements!B:B, MATCH(Summary!$C489, Displacements!$A:$A, 0))</f>
        <v>853.74300000000005</v>
      </c>
      <c r="H489" s="43">
        <f>INDEX(Displacements!C:C, MATCH(Summary!$C489, Displacements!$A:$A, 0))</f>
        <v>0</v>
      </c>
      <c r="I489" s="44">
        <f>INDEX(Displacements!D:D, MATCH(Summary!$C489, Displacements!$A:$A, 0))</f>
        <v>0</v>
      </c>
      <c r="J489" s="42">
        <f t="shared" si="14"/>
        <v>2.9960000000000946</v>
      </c>
      <c r="K489" s="49">
        <f t="shared" si="15"/>
        <v>0.99966633299971219</v>
      </c>
      <c r="L489" s="54">
        <f>INDEX('Forces+Stresses'!C:C, MATCH(Summary!$A489, 'Forces+Stresses'!$A:$A, 0))</f>
        <v>3892</v>
      </c>
      <c r="M489" s="55">
        <f>INDEX('Forces+Stresses'!D:D, MATCH(Summary!$A489, 'Forces+Stresses'!$A:$A, 0))</f>
        <v>3892</v>
      </c>
      <c r="N489" s="55">
        <f>IFERROR(INDEX('Forces+Stresses'!Q:Q, MATCH(Summary!$A489, 'Forces+Stresses'!$A:$A, 0)), INDEX(Flexjoints!D:D, MATCH(Summary!$A489, Flexjoints!$A:$A, 0)))</f>
        <v>6.9090000000000005E-8</v>
      </c>
      <c r="O489" s="56">
        <f>IFERROR(INDEX('Forces+Stresses'!R:R, MATCH(Summary!$A489, 'Forces+Stresses'!$A:$A, 0)), INDEX(Flexjoints!E:E, MATCH(Summary!$A489, Flexjoints!$A:$A, 0)))</f>
        <v>1.4359999999999999E-6</v>
      </c>
      <c r="P489" s="33" t="str">
        <f>IF(INDEX(Labels!B:B, MATCH(Summary!$A489, Labels!$A:$A, 0)) = 0, "", INDEX(Labels!B:B, MATCH(Summary!$A489, Labels!$A:$A, 0)))</f>
        <v>{Marine Riser String}</v>
      </c>
      <c r="Q489" s="35" t="str">
        <f>IF(INDEX(Labels!C:C, MATCH(Summary!$A489, Labels!$A:$A, 0)) = 0, "", INDEX(Labels!C:C, MATCH(Summary!$A489, Labels!$A:$A, 0)))</f>
        <v>{Slick Joint}</v>
      </c>
      <c r="R489" s="33" t="str">
        <f>IF(INDEX(Labels!D:D, MATCH(Summary!$A489, Labels!$A:$A, 0)) = 0, "", INDEX(Labels!D:D, MATCH(Summary!$A489, Labels!$A:$A, 0)))</f>
        <v/>
      </c>
      <c r="S489" s="35" t="str">
        <f>IF(INDEX(Labels!E:E, MATCH(Summary!$A489, Labels!$A:$A, 0)) = 0, "", INDEX(Labels!E:E, MATCH(Summary!$A489, Labels!$A:$A, 0)))</f>
        <v/>
      </c>
      <c r="T489" s="33" t="str">
        <f>IF(INDEX(Labels!F:F, MATCH(Summary!$A489, Labels!$A:$A, 0)) = 0, "", INDEX(Labels!F:F, MATCH(Summary!$A489, Labels!$A:$A, 0)))</f>
        <v/>
      </c>
      <c r="U489" s="35" t="str">
        <f>IF(INDEX(Labels!G:G, MATCH(Summary!$A489, Labels!$A:$A, 0)) = 0, "", INDEX(Labels!G:G, MATCH(Summary!$A489, Labels!$A:$A, 0)))</f>
        <v/>
      </c>
      <c r="V489" s="62" t="str">
        <f>IF(INDEX(Labels!H:H, MATCH(Summary!$A489, Labels!$A:$A, 0)) = 0, "", INDEX(Labels!H:H, MATCH(Summary!$A489, Labels!$A:$A, 0)))</f>
        <v/>
      </c>
      <c r="W489" t="str">
        <f>IF(INDEX(Labels!I:I, MATCH(Summary!$A489, Labels!$A:$A, 0)) = 0, "", INDEX(Labels!I:I, MATCH(Summary!$A489, Labels!$A:$A, 0)))</f>
        <v/>
      </c>
      <c r="X489" t="str">
        <f>IF(INDEX(Labels!J:J, MATCH(Summary!$A489, Labels!$A:$A, 0)) = 0, "", INDEX(Labels!J:J, MATCH(Summary!$A489, Labels!$A:$A, 0)))</f>
        <v/>
      </c>
    </row>
    <row r="490" spans="1:24" x14ac:dyDescent="0.2">
      <c r="A490" s="33">
        <f>Labels!A491</f>
        <v>484</v>
      </c>
      <c r="B490" s="34">
        <f>INDEX(EchoData!B:B, MATCH(Summary!$A490, EchoData!$A:$A, 0))</f>
        <v>488</v>
      </c>
      <c r="C490" s="35">
        <f>INDEX(EchoData!C:C, MATCH(Summary!$A490, EchoData!$A:$A, 0))</f>
        <v>489</v>
      </c>
      <c r="D490" s="42">
        <f>INDEX(Displacements!B:B, MATCH(Summary!$B490, Displacements!$A:$A, 0))</f>
        <v>853.74300000000005</v>
      </c>
      <c r="E490" s="43">
        <f>INDEX(Displacements!C:C, MATCH(Summary!$B490, Displacements!$A:$A, 0))</f>
        <v>0</v>
      </c>
      <c r="F490" s="44">
        <f>INDEX(Displacements!D:D, MATCH(Summary!$B490, Displacements!$A:$A, 0))</f>
        <v>0</v>
      </c>
      <c r="G490" s="42">
        <f>INDEX(Displacements!B:B, MATCH(Summary!$C490, Displacements!$A:$A, 0))</f>
        <v>856.74</v>
      </c>
      <c r="H490" s="43">
        <f>INDEX(Displacements!C:C, MATCH(Summary!$C490, Displacements!$A:$A, 0))</f>
        <v>0</v>
      </c>
      <c r="I490" s="44">
        <f>INDEX(Displacements!D:D, MATCH(Summary!$C490, Displacements!$A:$A, 0))</f>
        <v>0</v>
      </c>
      <c r="J490" s="42">
        <f t="shared" si="14"/>
        <v>2.9969999999999573</v>
      </c>
      <c r="K490" s="49">
        <f t="shared" si="15"/>
        <v>1.0003337783711157</v>
      </c>
      <c r="L490" s="54">
        <f>INDEX('Forces+Stresses'!C:C, MATCH(Summary!$A490, 'Forces+Stresses'!$A:$A, 0))</f>
        <v>3914</v>
      </c>
      <c r="M490" s="55">
        <f>INDEX('Forces+Stresses'!D:D, MATCH(Summary!$A490, 'Forces+Stresses'!$A:$A, 0))</f>
        <v>3914</v>
      </c>
      <c r="N490" s="55">
        <f>IFERROR(INDEX('Forces+Stresses'!Q:Q, MATCH(Summary!$A490, 'Forces+Stresses'!$A:$A, 0)), INDEX(Flexjoints!D:D, MATCH(Summary!$A490, Flexjoints!$A:$A, 0)))</f>
        <v>9.4199999999999996E-8</v>
      </c>
      <c r="O490" s="56">
        <f>IFERROR(INDEX('Forces+Stresses'!R:R, MATCH(Summary!$A490, 'Forces+Stresses'!$A:$A, 0)), INDEX(Flexjoints!E:E, MATCH(Summary!$A490, Flexjoints!$A:$A, 0)))</f>
        <v>1.437E-6</v>
      </c>
      <c r="P490" s="33" t="str">
        <f>IF(INDEX(Labels!B:B, MATCH(Summary!$A490, Labels!$A:$A, 0)) = 0, "", INDEX(Labels!B:B, MATCH(Summary!$A490, Labels!$A:$A, 0)))</f>
        <v>{Marine Riser String}</v>
      </c>
      <c r="Q490" s="35" t="str">
        <f>IF(INDEX(Labels!C:C, MATCH(Summary!$A490, Labels!$A:$A, 0)) = 0, "", INDEX(Labels!C:C, MATCH(Summary!$A490, Labels!$A:$A, 0)))</f>
        <v>{Slick Joint}</v>
      </c>
      <c r="R490" s="33" t="str">
        <f>IF(INDEX(Labels!D:D, MATCH(Summary!$A490, Labels!$A:$A, 0)) = 0, "", INDEX(Labels!D:D, MATCH(Summary!$A490, Labels!$A:$A, 0)))</f>
        <v/>
      </c>
      <c r="S490" s="35" t="str">
        <f>IF(INDEX(Labels!E:E, MATCH(Summary!$A490, Labels!$A:$A, 0)) = 0, "", INDEX(Labels!E:E, MATCH(Summary!$A490, Labels!$A:$A, 0)))</f>
        <v/>
      </c>
      <c r="T490" s="33" t="str">
        <f>IF(INDEX(Labels!F:F, MATCH(Summary!$A490, Labels!$A:$A, 0)) = 0, "", INDEX(Labels!F:F, MATCH(Summary!$A490, Labels!$A:$A, 0)))</f>
        <v/>
      </c>
      <c r="U490" s="35" t="str">
        <f>IF(INDEX(Labels!G:G, MATCH(Summary!$A490, Labels!$A:$A, 0)) = 0, "", INDEX(Labels!G:G, MATCH(Summary!$A490, Labels!$A:$A, 0)))</f>
        <v/>
      </c>
      <c r="V490" s="62" t="str">
        <f>IF(INDEX(Labels!H:H, MATCH(Summary!$A490, Labels!$A:$A, 0)) = 0, "", INDEX(Labels!H:H, MATCH(Summary!$A490, Labels!$A:$A, 0)))</f>
        <v/>
      </c>
      <c r="W490" t="str">
        <f>IF(INDEX(Labels!I:I, MATCH(Summary!$A490, Labels!$A:$A, 0)) = 0, "", INDEX(Labels!I:I, MATCH(Summary!$A490, Labels!$A:$A, 0)))</f>
        <v/>
      </c>
      <c r="X490" t="str">
        <f>IF(INDEX(Labels!J:J, MATCH(Summary!$A490, Labels!$A:$A, 0)) = 0, "", INDEX(Labels!J:J, MATCH(Summary!$A490, Labels!$A:$A, 0)))</f>
        <v/>
      </c>
    </row>
    <row r="491" spans="1:24" x14ac:dyDescent="0.2">
      <c r="A491" s="33">
        <f>Labels!A492</f>
        <v>485</v>
      </c>
      <c r="B491" s="34">
        <f>INDEX(EchoData!B:B, MATCH(Summary!$A491, EchoData!$A:$A, 0))</f>
        <v>489</v>
      </c>
      <c r="C491" s="35">
        <f>INDEX(EchoData!C:C, MATCH(Summary!$A491, EchoData!$A:$A, 0))</f>
        <v>490</v>
      </c>
      <c r="D491" s="42">
        <f>INDEX(Displacements!B:B, MATCH(Summary!$B491, Displacements!$A:$A, 0))</f>
        <v>856.74</v>
      </c>
      <c r="E491" s="43">
        <f>INDEX(Displacements!C:C, MATCH(Summary!$B491, Displacements!$A:$A, 0))</f>
        <v>0</v>
      </c>
      <c r="F491" s="44">
        <f>INDEX(Displacements!D:D, MATCH(Summary!$B491, Displacements!$A:$A, 0))</f>
        <v>0</v>
      </c>
      <c r="G491" s="42">
        <f>INDEX(Displacements!B:B, MATCH(Summary!$C491, Displacements!$A:$A, 0))</f>
        <v>859.73599999999999</v>
      </c>
      <c r="H491" s="43">
        <f>INDEX(Displacements!C:C, MATCH(Summary!$C491, Displacements!$A:$A, 0))</f>
        <v>0</v>
      </c>
      <c r="I491" s="44">
        <f>INDEX(Displacements!D:D, MATCH(Summary!$C491, Displacements!$A:$A, 0))</f>
        <v>0</v>
      </c>
      <c r="J491" s="42">
        <f t="shared" si="14"/>
        <v>2.9959999999999809</v>
      </c>
      <c r="K491" s="49">
        <f t="shared" si="15"/>
        <v>0.99966633299967422</v>
      </c>
      <c r="L491" s="54">
        <f>INDEX('Forces+Stresses'!C:C, MATCH(Summary!$A491, 'Forces+Stresses'!$A:$A, 0))</f>
        <v>3936</v>
      </c>
      <c r="M491" s="55">
        <f>INDEX('Forces+Stresses'!D:D, MATCH(Summary!$A491, 'Forces+Stresses'!$A:$A, 0))</f>
        <v>3936</v>
      </c>
      <c r="N491" s="55">
        <f>IFERROR(INDEX('Forces+Stresses'!Q:Q, MATCH(Summary!$A491, 'Forces+Stresses'!$A:$A, 0)), INDEX(Flexjoints!D:D, MATCH(Summary!$A491, Flexjoints!$A:$A, 0)))</f>
        <v>6.0609999999999998E-8</v>
      </c>
      <c r="O491" s="56">
        <f>IFERROR(INDEX('Forces+Stresses'!R:R, MATCH(Summary!$A491, 'Forces+Stresses'!$A:$A, 0)), INDEX(Flexjoints!E:E, MATCH(Summary!$A491, Flexjoints!$A:$A, 0)))</f>
        <v>1.4109999999999999E-6</v>
      </c>
      <c r="P491" s="33" t="str">
        <f>IF(INDEX(Labels!B:B, MATCH(Summary!$A491, Labels!$A:$A, 0)) = 0, "", INDEX(Labels!B:B, MATCH(Summary!$A491, Labels!$A:$A, 0)))</f>
        <v>{Marine Riser String}</v>
      </c>
      <c r="Q491" s="35" t="str">
        <f>IF(INDEX(Labels!C:C, MATCH(Summary!$A491, Labels!$A:$A, 0)) = 0, "", INDEX(Labels!C:C, MATCH(Summary!$A491, Labels!$A:$A, 0)))</f>
        <v>{Slick Joint}</v>
      </c>
      <c r="R491" s="33" t="str">
        <f>IF(INDEX(Labels!D:D, MATCH(Summary!$A491, Labels!$A:$A, 0)) = 0, "", INDEX(Labels!D:D, MATCH(Summary!$A491, Labels!$A:$A, 0)))</f>
        <v/>
      </c>
      <c r="S491" s="35" t="str">
        <f>IF(INDEX(Labels!E:E, MATCH(Summary!$A491, Labels!$A:$A, 0)) = 0, "", INDEX(Labels!E:E, MATCH(Summary!$A491, Labels!$A:$A, 0)))</f>
        <v/>
      </c>
      <c r="T491" s="33" t="str">
        <f>IF(INDEX(Labels!F:F, MATCH(Summary!$A491, Labels!$A:$A, 0)) = 0, "", INDEX(Labels!F:F, MATCH(Summary!$A491, Labels!$A:$A, 0)))</f>
        <v/>
      </c>
      <c r="U491" s="35" t="str">
        <f>IF(INDEX(Labels!G:G, MATCH(Summary!$A491, Labels!$A:$A, 0)) = 0, "", INDEX(Labels!G:G, MATCH(Summary!$A491, Labels!$A:$A, 0)))</f>
        <v/>
      </c>
      <c r="V491" s="62" t="str">
        <f>IF(INDEX(Labels!H:H, MATCH(Summary!$A491, Labels!$A:$A, 0)) = 0, "", INDEX(Labels!H:H, MATCH(Summary!$A491, Labels!$A:$A, 0)))</f>
        <v/>
      </c>
      <c r="W491" t="str">
        <f>IF(INDEX(Labels!I:I, MATCH(Summary!$A491, Labels!$A:$A, 0)) = 0, "", INDEX(Labels!I:I, MATCH(Summary!$A491, Labels!$A:$A, 0)))</f>
        <v/>
      </c>
      <c r="X491" t="str">
        <f>IF(INDEX(Labels!J:J, MATCH(Summary!$A491, Labels!$A:$A, 0)) = 0, "", INDEX(Labels!J:J, MATCH(Summary!$A491, Labels!$A:$A, 0)))</f>
        <v/>
      </c>
    </row>
    <row r="492" spans="1:24" x14ac:dyDescent="0.2">
      <c r="A492" s="33">
        <f>Labels!A493</f>
        <v>486</v>
      </c>
      <c r="B492" s="34">
        <f>INDEX(EchoData!B:B, MATCH(Summary!$A492, EchoData!$A:$A, 0))</f>
        <v>490</v>
      </c>
      <c r="C492" s="35">
        <f>INDEX(EchoData!C:C, MATCH(Summary!$A492, EchoData!$A:$A, 0))</f>
        <v>491</v>
      </c>
      <c r="D492" s="42">
        <f>INDEX(Displacements!B:B, MATCH(Summary!$B492, Displacements!$A:$A, 0))</f>
        <v>859.73599999999999</v>
      </c>
      <c r="E492" s="43">
        <f>INDEX(Displacements!C:C, MATCH(Summary!$B492, Displacements!$A:$A, 0))</f>
        <v>0</v>
      </c>
      <c r="F492" s="44">
        <f>INDEX(Displacements!D:D, MATCH(Summary!$B492, Displacements!$A:$A, 0))</f>
        <v>0</v>
      </c>
      <c r="G492" s="42">
        <f>INDEX(Displacements!B:B, MATCH(Summary!$C492, Displacements!$A:$A, 0))</f>
        <v>862.73299999999995</v>
      </c>
      <c r="H492" s="43">
        <f>INDEX(Displacements!C:C, MATCH(Summary!$C492, Displacements!$A:$A, 0))</f>
        <v>0</v>
      </c>
      <c r="I492" s="44">
        <f>INDEX(Displacements!D:D, MATCH(Summary!$C492, Displacements!$A:$A, 0))</f>
        <v>0</v>
      </c>
      <c r="J492" s="42">
        <f t="shared" si="14"/>
        <v>2.9969999999999573</v>
      </c>
      <c r="K492" s="49">
        <f t="shared" si="15"/>
        <v>1.0003337783711537</v>
      </c>
      <c r="L492" s="54">
        <f>INDEX('Forces+Stresses'!C:C, MATCH(Summary!$A492, 'Forces+Stresses'!$A:$A, 0))</f>
        <v>3958</v>
      </c>
      <c r="M492" s="55">
        <f>INDEX('Forces+Stresses'!D:D, MATCH(Summary!$A492, 'Forces+Stresses'!$A:$A, 0))</f>
        <v>3958</v>
      </c>
      <c r="N492" s="55">
        <f>IFERROR(INDEX('Forces+Stresses'!Q:Q, MATCH(Summary!$A492, 'Forces+Stresses'!$A:$A, 0)), INDEX(Flexjoints!D:D, MATCH(Summary!$A492, Flexjoints!$A:$A, 0)))</f>
        <v>6.1710000000000001E-8</v>
      </c>
      <c r="O492" s="56">
        <f>IFERROR(INDEX('Forces+Stresses'!R:R, MATCH(Summary!$A492, 'Forces+Stresses'!$A:$A, 0)), INDEX(Flexjoints!E:E, MATCH(Summary!$A492, Flexjoints!$A:$A, 0)))</f>
        <v>1.4469999999999999E-6</v>
      </c>
      <c r="P492" s="33" t="str">
        <f>IF(INDEX(Labels!B:B, MATCH(Summary!$A492, Labels!$A:$A, 0)) = 0, "", INDEX(Labels!B:B, MATCH(Summary!$A492, Labels!$A:$A, 0)))</f>
        <v>{Marine Riser String}</v>
      </c>
      <c r="Q492" s="35" t="str">
        <f>IF(INDEX(Labels!C:C, MATCH(Summary!$A492, Labels!$A:$A, 0)) = 0, "", INDEX(Labels!C:C, MATCH(Summary!$A492, Labels!$A:$A, 0)))</f>
        <v>{Slick Joint}</v>
      </c>
      <c r="R492" s="33" t="str">
        <f>IF(INDEX(Labels!D:D, MATCH(Summary!$A492, Labels!$A:$A, 0)) = 0, "", INDEX(Labels!D:D, MATCH(Summary!$A492, Labels!$A:$A, 0)))</f>
        <v/>
      </c>
      <c r="S492" s="35" t="str">
        <f>IF(INDEX(Labels!E:E, MATCH(Summary!$A492, Labels!$A:$A, 0)) = 0, "", INDEX(Labels!E:E, MATCH(Summary!$A492, Labels!$A:$A, 0)))</f>
        <v/>
      </c>
      <c r="T492" s="33" t="str">
        <f>IF(INDEX(Labels!F:F, MATCH(Summary!$A492, Labels!$A:$A, 0)) = 0, "", INDEX(Labels!F:F, MATCH(Summary!$A492, Labels!$A:$A, 0)))</f>
        <v/>
      </c>
      <c r="U492" s="35" t="str">
        <f>IF(INDEX(Labels!G:G, MATCH(Summary!$A492, Labels!$A:$A, 0)) = 0, "", INDEX(Labels!G:G, MATCH(Summary!$A492, Labels!$A:$A, 0)))</f>
        <v/>
      </c>
      <c r="V492" s="62" t="str">
        <f>IF(INDEX(Labels!H:H, MATCH(Summary!$A492, Labels!$A:$A, 0)) = 0, "", INDEX(Labels!H:H, MATCH(Summary!$A492, Labels!$A:$A, 0)))</f>
        <v/>
      </c>
      <c r="W492" t="str">
        <f>IF(INDEX(Labels!I:I, MATCH(Summary!$A492, Labels!$A:$A, 0)) = 0, "", INDEX(Labels!I:I, MATCH(Summary!$A492, Labels!$A:$A, 0)))</f>
        <v/>
      </c>
      <c r="X492" t="str">
        <f>IF(INDEX(Labels!J:J, MATCH(Summary!$A492, Labels!$A:$A, 0)) = 0, "", INDEX(Labels!J:J, MATCH(Summary!$A492, Labels!$A:$A, 0)))</f>
        <v/>
      </c>
    </row>
    <row r="493" spans="1:24" x14ac:dyDescent="0.2">
      <c r="A493" s="33">
        <f>Labels!A494</f>
        <v>487</v>
      </c>
      <c r="B493" s="34">
        <f>INDEX(EchoData!B:B, MATCH(Summary!$A493, EchoData!$A:$A, 0))</f>
        <v>491</v>
      </c>
      <c r="C493" s="35">
        <f>INDEX(EchoData!C:C, MATCH(Summary!$A493, EchoData!$A:$A, 0))</f>
        <v>492</v>
      </c>
      <c r="D493" s="42">
        <f>INDEX(Displacements!B:B, MATCH(Summary!$B493, Displacements!$A:$A, 0))</f>
        <v>862.73299999999995</v>
      </c>
      <c r="E493" s="43">
        <f>INDEX(Displacements!C:C, MATCH(Summary!$B493, Displacements!$A:$A, 0))</f>
        <v>0</v>
      </c>
      <c r="F493" s="44">
        <f>INDEX(Displacements!D:D, MATCH(Summary!$B493, Displacements!$A:$A, 0))</f>
        <v>0</v>
      </c>
      <c r="G493" s="42">
        <f>INDEX(Displacements!B:B, MATCH(Summary!$C493, Displacements!$A:$A, 0))</f>
        <v>865.72900000000004</v>
      </c>
      <c r="H493" s="43">
        <f>INDEX(Displacements!C:C, MATCH(Summary!$C493, Displacements!$A:$A, 0))</f>
        <v>0</v>
      </c>
      <c r="I493" s="44">
        <f>INDEX(Displacements!D:D, MATCH(Summary!$C493, Displacements!$A:$A, 0))</f>
        <v>0</v>
      </c>
      <c r="J493" s="42">
        <f t="shared" si="14"/>
        <v>2.9960000000000946</v>
      </c>
      <c r="K493" s="49">
        <f t="shared" si="15"/>
        <v>0.99966633299971219</v>
      </c>
      <c r="L493" s="54">
        <f>INDEX('Forces+Stresses'!C:C, MATCH(Summary!$A493, 'Forces+Stresses'!$A:$A, 0))</f>
        <v>3980</v>
      </c>
      <c r="M493" s="55">
        <f>INDEX('Forces+Stresses'!D:D, MATCH(Summary!$A493, 'Forces+Stresses'!$A:$A, 0))</f>
        <v>3980</v>
      </c>
      <c r="N493" s="55">
        <f>IFERROR(INDEX('Forces+Stresses'!Q:Q, MATCH(Summary!$A493, 'Forces+Stresses'!$A:$A, 0)), INDEX(Flexjoints!D:D, MATCH(Summary!$A493, Flexjoints!$A:$A, 0)))</f>
        <v>3.9419999999999998E-8</v>
      </c>
      <c r="O493" s="56">
        <f>IFERROR(INDEX('Forces+Stresses'!R:R, MATCH(Summary!$A493, 'Forces+Stresses'!$A:$A, 0)), INDEX(Flexjoints!E:E, MATCH(Summary!$A493, Flexjoints!$A:$A, 0)))</f>
        <v>1.4809999999999999E-6</v>
      </c>
      <c r="P493" s="33" t="str">
        <f>IF(INDEX(Labels!B:B, MATCH(Summary!$A493, Labels!$A:$A, 0)) = 0, "", INDEX(Labels!B:B, MATCH(Summary!$A493, Labels!$A:$A, 0)))</f>
        <v>{Marine Riser String}</v>
      </c>
      <c r="Q493" s="35" t="str">
        <f>IF(INDEX(Labels!C:C, MATCH(Summary!$A493, Labels!$A:$A, 0)) = 0, "", INDEX(Labels!C:C, MATCH(Summary!$A493, Labels!$A:$A, 0)))</f>
        <v>{Slick Joint}</v>
      </c>
      <c r="R493" s="33" t="str">
        <f>IF(INDEX(Labels!D:D, MATCH(Summary!$A493, Labels!$A:$A, 0)) = 0, "", INDEX(Labels!D:D, MATCH(Summary!$A493, Labels!$A:$A, 0)))</f>
        <v/>
      </c>
      <c r="S493" s="35" t="str">
        <f>IF(INDEX(Labels!E:E, MATCH(Summary!$A493, Labels!$A:$A, 0)) = 0, "", INDEX(Labels!E:E, MATCH(Summary!$A493, Labels!$A:$A, 0)))</f>
        <v/>
      </c>
      <c r="T493" s="33" t="str">
        <f>IF(INDEX(Labels!F:F, MATCH(Summary!$A493, Labels!$A:$A, 0)) = 0, "", INDEX(Labels!F:F, MATCH(Summary!$A493, Labels!$A:$A, 0)))</f>
        <v/>
      </c>
      <c r="U493" s="35" t="str">
        <f>IF(INDEX(Labels!G:G, MATCH(Summary!$A493, Labels!$A:$A, 0)) = 0, "", INDEX(Labels!G:G, MATCH(Summary!$A493, Labels!$A:$A, 0)))</f>
        <v/>
      </c>
      <c r="V493" s="62" t="str">
        <f>IF(INDEX(Labels!H:H, MATCH(Summary!$A493, Labels!$A:$A, 0)) = 0, "", INDEX(Labels!H:H, MATCH(Summary!$A493, Labels!$A:$A, 0)))</f>
        <v/>
      </c>
      <c r="W493" t="str">
        <f>IF(INDEX(Labels!I:I, MATCH(Summary!$A493, Labels!$A:$A, 0)) = 0, "", INDEX(Labels!I:I, MATCH(Summary!$A493, Labels!$A:$A, 0)))</f>
        <v/>
      </c>
      <c r="X493" t="str">
        <f>IF(INDEX(Labels!J:J, MATCH(Summary!$A493, Labels!$A:$A, 0)) = 0, "", INDEX(Labels!J:J, MATCH(Summary!$A493, Labels!$A:$A, 0)))</f>
        <v/>
      </c>
    </row>
    <row r="494" spans="1:24" x14ac:dyDescent="0.2">
      <c r="A494" s="33">
        <f>Labels!A495</f>
        <v>488</v>
      </c>
      <c r="B494" s="34">
        <f>INDEX(EchoData!B:B, MATCH(Summary!$A494, EchoData!$A:$A, 0))</f>
        <v>492</v>
      </c>
      <c r="C494" s="35">
        <f>INDEX(EchoData!C:C, MATCH(Summary!$A494, EchoData!$A:$A, 0))</f>
        <v>493</v>
      </c>
      <c r="D494" s="42">
        <f>INDEX(Displacements!B:B, MATCH(Summary!$B494, Displacements!$A:$A, 0))</f>
        <v>865.72900000000004</v>
      </c>
      <c r="E494" s="43">
        <f>INDEX(Displacements!C:C, MATCH(Summary!$B494, Displacements!$A:$A, 0))</f>
        <v>0</v>
      </c>
      <c r="F494" s="44">
        <f>INDEX(Displacements!D:D, MATCH(Summary!$B494, Displacements!$A:$A, 0))</f>
        <v>0</v>
      </c>
      <c r="G494" s="42">
        <f>INDEX(Displacements!B:B, MATCH(Summary!$C494, Displacements!$A:$A, 0))</f>
        <v>868.726</v>
      </c>
      <c r="H494" s="43">
        <f>INDEX(Displacements!C:C, MATCH(Summary!$C494, Displacements!$A:$A, 0))</f>
        <v>0</v>
      </c>
      <c r="I494" s="44">
        <f>INDEX(Displacements!D:D, MATCH(Summary!$C494, Displacements!$A:$A, 0))</f>
        <v>0</v>
      </c>
      <c r="J494" s="42">
        <f t="shared" si="14"/>
        <v>2.9969999999999573</v>
      </c>
      <c r="K494" s="49">
        <f t="shared" si="15"/>
        <v>1.0003337783711157</v>
      </c>
      <c r="L494" s="54">
        <f>INDEX('Forces+Stresses'!C:C, MATCH(Summary!$A494, 'Forces+Stresses'!$A:$A, 0))</f>
        <v>4002</v>
      </c>
      <c r="M494" s="55">
        <f>INDEX('Forces+Stresses'!D:D, MATCH(Summary!$A494, 'Forces+Stresses'!$A:$A, 0))</f>
        <v>4002</v>
      </c>
      <c r="N494" s="55">
        <f>IFERROR(INDEX('Forces+Stresses'!Q:Q, MATCH(Summary!$A494, 'Forces+Stresses'!$A:$A, 0)), INDEX(Flexjoints!D:D, MATCH(Summary!$A494, Flexjoints!$A:$A, 0)))</f>
        <v>1.386E-8</v>
      </c>
      <c r="O494" s="56">
        <f>IFERROR(INDEX('Forces+Stresses'!R:R, MATCH(Summary!$A494, 'Forces+Stresses'!$A:$A, 0)), INDEX(Flexjoints!E:E, MATCH(Summary!$A494, Flexjoints!$A:$A, 0)))</f>
        <v>1.339E-6</v>
      </c>
      <c r="P494" s="33" t="str">
        <f>IF(INDEX(Labels!B:B, MATCH(Summary!$A494, Labels!$A:$A, 0)) = 0, "", INDEX(Labels!B:B, MATCH(Summary!$A494, Labels!$A:$A, 0)))</f>
        <v>{Marine Riser String}</v>
      </c>
      <c r="Q494" s="35" t="str">
        <f>IF(INDEX(Labels!C:C, MATCH(Summary!$A494, Labels!$A:$A, 0)) = 0, "", INDEX(Labels!C:C, MATCH(Summary!$A494, Labels!$A:$A, 0)))</f>
        <v>{Slick Joint}</v>
      </c>
      <c r="R494" s="33" t="str">
        <f>IF(INDEX(Labels!D:D, MATCH(Summary!$A494, Labels!$A:$A, 0)) = 0, "", INDEX(Labels!D:D, MATCH(Summary!$A494, Labels!$A:$A, 0)))</f>
        <v/>
      </c>
      <c r="S494" s="35" t="str">
        <f>IF(INDEX(Labels!E:E, MATCH(Summary!$A494, Labels!$A:$A, 0)) = 0, "", INDEX(Labels!E:E, MATCH(Summary!$A494, Labels!$A:$A, 0)))</f>
        <v/>
      </c>
      <c r="T494" s="33" t="str">
        <f>IF(INDEX(Labels!F:F, MATCH(Summary!$A494, Labels!$A:$A, 0)) = 0, "", INDEX(Labels!F:F, MATCH(Summary!$A494, Labels!$A:$A, 0)))</f>
        <v/>
      </c>
      <c r="U494" s="35" t="str">
        <f>IF(INDEX(Labels!G:G, MATCH(Summary!$A494, Labels!$A:$A, 0)) = 0, "", INDEX(Labels!G:G, MATCH(Summary!$A494, Labels!$A:$A, 0)))</f>
        <v/>
      </c>
      <c r="V494" s="62" t="str">
        <f>IF(INDEX(Labels!H:H, MATCH(Summary!$A494, Labels!$A:$A, 0)) = 0, "", INDEX(Labels!H:H, MATCH(Summary!$A494, Labels!$A:$A, 0)))</f>
        <v/>
      </c>
      <c r="W494" t="str">
        <f>IF(INDEX(Labels!I:I, MATCH(Summary!$A494, Labels!$A:$A, 0)) = 0, "", INDEX(Labels!I:I, MATCH(Summary!$A494, Labels!$A:$A, 0)))</f>
        <v/>
      </c>
      <c r="X494" t="str">
        <f>IF(INDEX(Labels!J:J, MATCH(Summary!$A494, Labels!$A:$A, 0)) = 0, "", INDEX(Labels!J:J, MATCH(Summary!$A494, Labels!$A:$A, 0)))</f>
        <v/>
      </c>
    </row>
    <row r="495" spans="1:24" x14ac:dyDescent="0.2">
      <c r="A495" s="33">
        <f>Labels!A496</f>
        <v>489</v>
      </c>
      <c r="B495" s="34">
        <f>INDEX(EchoData!B:B, MATCH(Summary!$A495, EchoData!$A:$A, 0))</f>
        <v>493</v>
      </c>
      <c r="C495" s="35">
        <f>INDEX(EchoData!C:C, MATCH(Summary!$A495, EchoData!$A:$A, 0))</f>
        <v>494</v>
      </c>
      <c r="D495" s="42">
        <f>INDEX(Displacements!B:B, MATCH(Summary!$B495, Displacements!$A:$A, 0))</f>
        <v>868.726</v>
      </c>
      <c r="E495" s="43">
        <f>INDEX(Displacements!C:C, MATCH(Summary!$B495, Displacements!$A:$A, 0))</f>
        <v>0</v>
      </c>
      <c r="F495" s="44">
        <f>INDEX(Displacements!D:D, MATCH(Summary!$B495, Displacements!$A:$A, 0))</f>
        <v>0</v>
      </c>
      <c r="G495" s="42">
        <f>INDEX(Displacements!B:B, MATCH(Summary!$C495, Displacements!$A:$A, 0))</f>
        <v>871.72199999999998</v>
      </c>
      <c r="H495" s="43">
        <f>INDEX(Displacements!C:C, MATCH(Summary!$C495, Displacements!$A:$A, 0))</f>
        <v>0</v>
      </c>
      <c r="I495" s="44">
        <f>INDEX(Displacements!D:D, MATCH(Summary!$C495, Displacements!$A:$A, 0))</f>
        <v>0</v>
      </c>
      <c r="J495" s="42">
        <f t="shared" si="14"/>
        <v>2.9959999999999809</v>
      </c>
      <c r="K495" s="49">
        <f t="shared" si="15"/>
        <v>0.99966633299967422</v>
      </c>
      <c r="L495" s="54">
        <f>INDEX('Forces+Stresses'!C:C, MATCH(Summary!$A495, 'Forces+Stresses'!$A:$A, 0))</f>
        <v>4023</v>
      </c>
      <c r="M495" s="55">
        <f>INDEX('Forces+Stresses'!D:D, MATCH(Summary!$A495, 'Forces+Stresses'!$A:$A, 0))</f>
        <v>4023</v>
      </c>
      <c r="N495" s="55">
        <f>IFERROR(INDEX('Forces+Stresses'!Q:Q, MATCH(Summary!$A495, 'Forces+Stresses'!$A:$A, 0)), INDEX(Flexjoints!D:D, MATCH(Summary!$A495, Flexjoints!$A:$A, 0)))</f>
        <v>1.208E-8</v>
      </c>
      <c r="O495" s="56">
        <f>IFERROR(INDEX('Forces+Stresses'!R:R, MATCH(Summary!$A495, 'Forces+Stresses'!$A:$A, 0)), INDEX(Flexjoints!E:E, MATCH(Summary!$A495, Flexjoints!$A:$A, 0)))</f>
        <v>1.3740000000000001E-6</v>
      </c>
      <c r="P495" s="33" t="str">
        <f>IF(INDEX(Labels!B:B, MATCH(Summary!$A495, Labels!$A:$A, 0)) = 0, "", INDEX(Labels!B:B, MATCH(Summary!$A495, Labels!$A:$A, 0)))</f>
        <v>{Marine Riser String}</v>
      </c>
      <c r="Q495" s="35" t="str">
        <f>IF(INDEX(Labels!C:C, MATCH(Summary!$A495, Labels!$A:$A, 0)) = 0, "", INDEX(Labels!C:C, MATCH(Summary!$A495, Labels!$A:$A, 0)))</f>
        <v>{Slick Joint}</v>
      </c>
      <c r="R495" s="33" t="str">
        <f>IF(INDEX(Labels!D:D, MATCH(Summary!$A495, Labels!$A:$A, 0)) = 0, "", INDEX(Labels!D:D, MATCH(Summary!$A495, Labels!$A:$A, 0)))</f>
        <v/>
      </c>
      <c r="S495" s="35" t="str">
        <f>IF(INDEX(Labels!E:E, MATCH(Summary!$A495, Labels!$A:$A, 0)) = 0, "", INDEX(Labels!E:E, MATCH(Summary!$A495, Labels!$A:$A, 0)))</f>
        <v/>
      </c>
      <c r="T495" s="33" t="str">
        <f>IF(INDEX(Labels!F:F, MATCH(Summary!$A495, Labels!$A:$A, 0)) = 0, "", INDEX(Labels!F:F, MATCH(Summary!$A495, Labels!$A:$A, 0)))</f>
        <v/>
      </c>
      <c r="U495" s="35" t="str">
        <f>IF(INDEX(Labels!G:G, MATCH(Summary!$A495, Labels!$A:$A, 0)) = 0, "", INDEX(Labels!G:G, MATCH(Summary!$A495, Labels!$A:$A, 0)))</f>
        <v/>
      </c>
      <c r="V495" s="62" t="str">
        <f>IF(INDEX(Labels!H:H, MATCH(Summary!$A495, Labels!$A:$A, 0)) = 0, "", INDEX(Labels!H:H, MATCH(Summary!$A495, Labels!$A:$A, 0)))</f>
        <v/>
      </c>
      <c r="W495" t="str">
        <f>IF(INDEX(Labels!I:I, MATCH(Summary!$A495, Labels!$A:$A, 0)) = 0, "", INDEX(Labels!I:I, MATCH(Summary!$A495, Labels!$A:$A, 0)))</f>
        <v/>
      </c>
      <c r="X495" t="str">
        <f>IF(INDEX(Labels!J:J, MATCH(Summary!$A495, Labels!$A:$A, 0)) = 0, "", INDEX(Labels!J:J, MATCH(Summary!$A495, Labels!$A:$A, 0)))</f>
        <v/>
      </c>
    </row>
    <row r="496" spans="1:24" x14ac:dyDescent="0.2">
      <c r="A496" s="33">
        <f>Labels!A497</f>
        <v>490</v>
      </c>
      <c r="B496" s="34">
        <f>INDEX(EchoData!B:B, MATCH(Summary!$A496, EchoData!$A:$A, 0))</f>
        <v>494</v>
      </c>
      <c r="C496" s="35">
        <f>INDEX(EchoData!C:C, MATCH(Summary!$A496, EchoData!$A:$A, 0))</f>
        <v>495</v>
      </c>
      <c r="D496" s="42">
        <f>INDEX(Displacements!B:B, MATCH(Summary!$B496, Displacements!$A:$A, 0))</f>
        <v>871.72199999999998</v>
      </c>
      <c r="E496" s="43">
        <f>INDEX(Displacements!C:C, MATCH(Summary!$B496, Displacements!$A:$A, 0))</f>
        <v>0</v>
      </c>
      <c r="F496" s="44">
        <f>INDEX(Displacements!D:D, MATCH(Summary!$B496, Displacements!$A:$A, 0))</f>
        <v>0</v>
      </c>
      <c r="G496" s="42">
        <f>INDEX(Displacements!B:B, MATCH(Summary!$C496, Displacements!$A:$A, 0))</f>
        <v>874.71900000000005</v>
      </c>
      <c r="H496" s="43">
        <f>INDEX(Displacements!C:C, MATCH(Summary!$C496, Displacements!$A:$A, 0))</f>
        <v>0</v>
      </c>
      <c r="I496" s="44">
        <f>INDEX(Displacements!D:D, MATCH(Summary!$C496, Displacements!$A:$A, 0))</f>
        <v>0</v>
      </c>
      <c r="J496" s="42">
        <f t="shared" si="14"/>
        <v>2.9970000000000709</v>
      </c>
      <c r="K496" s="49">
        <f t="shared" si="15"/>
        <v>1.0003337783711916</v>
      </c>
      <c r="L496" s="54">
        <f>INDEX('Forces+Stresses'!C:C, MATCH(Summary!$A496, 'Forces+Stresses'!$A:$A, 0))</f>
        <v>4045</v>
      </c>
      <c r="M496" s="55">
        <f>INDEX('Forces+Stresses'!D:D, MATCH(Summary!$A496, 'Forces+Stresses'!$A:$A, 0))</f>
        <v>4045</v>
      </c>
      <c r="N496" s="55">
        <f>IFERROR(INDEX('Forces+Stresses'!Q:Q, MATCH(Summary!$A496, 'Forces+Stresses'!$A:$A, 0)), INDEX(Flexjoints!D:D, MATCH(Summary!$A496, Flexjoints!$A:$A, 0)))</f>
        <v>5.6169999999999999E-8</v>
      </c>
      <c r="O496" s="56">
        <f>IFERROR(INDEX('Forces+Stresses'!R:R, MATCH(Summary!$A496, 'Forces+Stresses'!$A:$A, 0)), INDEX(Flexjoints!E:E, MATCH(Summary!$A496, Flexjoints!$A:$A, 0)))</f>
        <v>1.279E-6</v>
      </c>
      <c r="P496" s="33" t="str">
        <f>IF(INDEX(Labels!B:B, MATCH(Summary!$A496, Labels!$A:$A, 0)) = 0, "", INDEX(Labels!B:B, MATCH(Summary!$A496, Labels!$A:$A, 0)))</f>
        <v>{Marine Riser String}</v>
      </c>
      <c r="Q496" s="35" t="str">
        <f>IF(INDEX(Labels!C:C, MATCH(Summary!$A496, Labels!$A:$A, 0)) = 0, "", INDEX(Labels!C:C, MATCH(Summary!$A496, Labels!$A:$A, 0)))</f>
        <v>{Slick Joint}</v>
      </c>
      <c r="R496" s="33" t="str">
        <f>IF(INDEX(Labels!D:D, MATCH(Summary!$A496, Labels!$A:$A, 0)) = 0, "", INDEX(Labels!D:D, MATCH(Summary!$A496, Labels!$A:$A, 0)))</f>
        <v/>
      </c>
      <c r="S496" s="35" t="str">
        <f>IF(INDEX(Labels!E:E, MATCH(Summary!$A496, Labels!$A:$A, 0)) = 0, "", INDEX(Labels!E:E, MATCH(Summary!$A496, Labels!$A:$A, 0)))</f>
        <v/>
      </c>
      <c r="T496" s="33" t="str">
        <f>IF(INDEX(Labels!F:F, MATCH(Summary!$A496, Labels!$A:$A, 0)) = 0, "", INDEX(Labels!F:F, MATCH(Summary!$A496, Labels!$A:$A, 0)))</f>
        <v/>
      </c>
      <c r="U496" s="35" t="str">
        <f>IF(INDEX(Labels!G:G, MATCH(Summary!$A496, Labels!$A:$A, 0)) = 0, "", INDEX(Labels!G:G, MATCH(Summary!$A496, Labels!$A:$A, 0)))</f>
        <v/>
      </c>
      <c r="V496" s="62" t="str">
        <f>IF(INDEX(Labels!H:H, MATCH(Summary!$A496, Labels!$A:$A, 0)) = 0, "", INDEX(Labels!H:H, MATCH(Summary!$A496, Labels!$A:$A, 0)))</f>
        <v/>
      </c>
      <c r="W496" t="str">
        <f>IF(INDEX(Labels!I:I, MATCH(Summary!$A496, Labels!$A:$A, 0)) = 0, "", INDEX(Labels!I:I, MATCH(Summary!$A496, Labels!$A:$A, 0)))</f>
        <v/>
      </c>
      <c r="X496" t="str">
        <f>IF(INDEX(Labels!J:J, MATCH(Summary!$A496, Labels!$A:$A, 0)) = 0, "", INDEX(Labels!J:J, MATCH(Summary!$A496, Labels!$A:$A, 0)))</f>
        <v/>
      </c>
    </row>
    <row r="497" spans="1:24" x14ac:dyDescent="0.2">
      <c r="A497" s="33">
        <f>Labels!A498</f>
        <v>491</v>
      </c>
      <c r="B497" s="34">
        <f>INDEX(EchoData!B:B, MATCH(Summary!$A497, EchoData!$A:$A, 0))</f>
        <v>495</v>
      </c>
      <c r="C497" s="35">
        <f>INDEX(EchoData!C:C, MATCH(Summary!$A497, EchoData!$A:$A, 0))</f>
        <v>496</v>
      </c>
      <c r="D497" s="42">
        <f>INDEX(Displacements!B:B, MATCH(Summary!$B497, Displacements!$A:$A, 0))</f>
        <v>874.71900000000005</v>
      </c>
      <c r="E497" s="43">
        <f>INDEX(Displacements!C:C, MATCH(Summary!$B497, Displacements!$A:$A, 0))</f>
        <v>0</v>
      </c>
      <c r="F497" s="44">
        <f>INDEX(Displacements!D:D, MATCH(Summary!$B497, Displacements!$A:$A, 0))</f>
        <v>0</v>
      </c>
      <c r="G497" s="42">
        <f>INDEX(Displacements!B:B, MATCH(Summary!$C497, Displacements!$A:$A, 0))</f>
        <v>877.71500000000003</v>
      </c>
      <c r="H497" s="43">
        <f>INDEX(Displacements!C:C, MATCH(Summary!$C497, Displacements!$A:$A, 0))</f>
        <v>0</v>
      </c>
      <c r="I497" s="44">
        <f>INDEX(Displacements!D:D, MATCH(Summary!$C497, Displacements!$A:$A, 0))</f>
        <v>0</v>
      </c>
      <c r="J497" s="42">
        <f t="shared" si="14"/>
        <v>2.9959999999999809</v>
      </c>
      <c r="K497" s="49">
        <f t="shared" si="15"/>
        <v>0.99966633299963625</v>
      </c>
      <c r="L497" s="54">
        <f>INDEX('Forces+Stresses'!C:C, MATCH(Summary!$A497, 'Forces+Stresses'!$A:$A, 0))</f>
        <v>4067</v>
      </c>
      <c r="M497" s="55">
        <f>INDEX('Forces+Stresses'!D:D, MATCH(Summary!$A497, 'Forces+Stresses'!$A:$A, 0))</f>
        <v>4067</v>
      </c>
      <c r="N497" s="55">
        <f>IFERROR(INDEX('Forces+Stresses'!Q:Q, MATCH(Summary!$A497, 'Forces+Stresses'!$A:$A, 0)), INDEX(Flexjoints!D:D, MATCH(Summary!$A497, Flexjoints!$A:$A, 0)))</f>
        <v>9.1020000000000004E-8</v>
      </c>
      <c r="O497" s="56">
        <f>IFERROR(INDEX('Forces+Stresses'!R:R, MATCH(Summary!$A497, 'Forces+Stresses'!$A:$A, 0)), INDEX(Flexjoints!E:E, MATCH(Summary!$A497, Flexjoints!$A:$A, 0)))</f>
        <v>1.516E-6</v>
      </c>
      <c r="P497" s="33" t="str">
        <f>IF(INDEX(Labels!B:B, MATCH(Summary!$A497, Labels!$A:$A, 0)) = 0, "", INDEX(Labels!B:B, MATCH(Summary!$A497, Labels!$A:$A, 0)))</f>
        <v>{Marine Riser String}</v>
      </c>
      <c r="Q497" s="35" t="str">
        <f>IF(INDEX(Labels!C:C, MATCH(Summary!$A497, Labels!$A:$A, 0)) = 0, "", INDEX(Labels!C:C, MATCH(Summary!$A497, Labels!$A:$A, 0)))</f>
        <v>{Slick Joint}</v>
      </c>
      <c r="R497" s="33" t="str">
        <f>IF(INDEX(Labels!D:D, MATCH(Summary!$A497, Labels!$A:$A, 0)) = 0, "", INDEX(Labels!D:D, MATCH(Summary!$A497, Labels!$A:$A, 0)))</f>
        <v/>
      </c>
      <c r="S497" s="35" t="str">
        <f>IF(INDEX(Labels!E:E, MATCH(Summary!$A497, Labels!$A:$A, 0)) = 0, "", INDEX(Labels!E:E, MATCH(Summary!$A497, Labels!$A:$A, 0)))</f>
        <v/>
      </c>
      <c r="T497" s="33" t="str">
        <f>IF(INDEX(Labels!F:F, MATCH(Summary!$A497, Labels!$A:$A, 0)) = 0, "", INDEX(Labels!F:F, MATCH(Summary!$A497, Labels!$A:$A, 0)))</f>
        <v/>
      </c>
      <c r="U497" s="35" t="str">
        <f>IF(INDEX(Labels!G:G, MATCH(Summary!$A497, Labels!$A:$A, 0)) = 0, "", INDEX(Labels!G:G, MATCH(Summary!$A497, Labels!$A:$A, 0)))</f>
        <v/>
      </c>
      <c r="V497" s="62" t="str">
        <f>IF(INDEX(Labels!H:H, MATCH(Summary!$A497, Labels!$A:$A, 0)) = 0, "", INDEX(Labels!H:H, MATCH(Summary!$A497, Labels!$A:$A, 0)))</f>
        <v/>
      </c>
      <c r="W497" t="str">
        <f>IF(INDEX(Labels!I:I, MATCH(Summary!$A497, Labels!$A:$A, 0)) = 0, "", INDEX(Labels!I:I, MATCH(Summary!$A497, Labels!$A:$A, 0)))</f>
        <v/>
      </c>
      <c r="X497" t="str">
        <f>IF(INDEX(Labels!J:J, MATCH(Summary!$A497, Labels!$A:$A, 0)) = 0, "", INDEX(Labels!J:J, MATCH(Summary!$A497, Labels!$A:$A, 0)))</f>
        <v/>
      </c>
    </row>
    <row r="498" spans="1:24" x14ac:dyDescent="0.2">
      <c r="A498" s="33">
        <f>Labels!A499</f>
        <v>492</v>
      </c>
      <c r="B498" s="34">
        <f>INDEX(EchoData!B:B, MATCH(Summary!$A498, EchoData!$A:$A, 0))</f>
        <v>496</v>
      </c>
      <c r="C498" s="35">
        <f>INDEX(EchoData!C:C, MATCH(Summary!$A498, EchoData!$A:$A, 0))</f>
        <v>497</v>
      </c>
      <c r="D498" s="42">
        <f>INDEX(Displacements!B:B, MATCH(Summary!$B498, Displacements!$A:$A, 0))</f>
        <v>877.71500000000003</v>
      </c>
      <c r="E498" s="43">
        <f>INDEX(Displacements!C:C, MATCH(Summary!$B498, Displacements!$A:$A, 0))</f>
        <v>0</v>
      </c>
      <c r="F498" s="44">
        <f>INDEX(Displacements!D:D, MATCH(Summary!$B498, Displacements!$A:$A, 0))</f>
        <v>0</v>
      </c>
      <c r="G498" s="42">
        <f>INDEX(Displacements!B:B, MATCH(Summary!$C498, Displacements!$A:$A, 0))</f>
        <v>880.71100000000001</v>
      </c>
      <c r="H498" s="43">
        <f>INDEX(Displacements!C:C, MATCH(Summary!$C498, Displacements!$A:$A, 0))</f>
        <v>0</v>
      </c>
      <c r="I498" s="44">
        <f>INDEX(Displacements!D:D, MATCH(Summary!$C498, Displacements!$A:$A, 0))</f>
        <v>0</v>
      </c>
      <c r="J498" s="42">
        <f t="shared" si="14"/>
        <v>2.9959999999999809</v>
      </c>
      <c r="K498" s="49">
        <f t="shared" si="15"/>
        <v>1</v>
      </c>
      <c r="L498" s="54">
        <f>INDEX('Forces+Stresses'!C:C, MATCH(Summary!$A498, 'Forces+Stresses'!$A:$A, 0))</f>
        <v>4089</v>
      </c>
      <c r="M498" s="55">
        <f>INDEX('Forces+Stresses'!D:D, MATCH(Summary!$A498, 'Forces+Stresses'!$A:$A, 0))</f>
        <v>4089</v>
      </c>
      <c r="N498" s="55">
        <f>IFERROR(INDEX('Forces+Stresses'!Q:Q, MATCH(Summary!$A498, 'Forces+Stresses'!$A:$A, 0)), INDEX(Flexjoints!D:D, MATCH(Summary!$A498, Flexjoints!$A:$A, 0)))</f>
        <v>5.222E-8</v>
      </c>
      <c r="O498" s="56">
        <f>IFERROR(INDEX('Forces+Stresses'!R:R, MATCH(Summary!$A498, 'Forces+Stresses'!$A:$A, 0)), INDEX(Flexjoints!E:E, MATCH(Summary!$A498, Flexjoints!$A:$A, 0)))</f>
        <v>1.5369999999999999E-6</v>
      </c>
      <c r="P498" s="33" t="str">
        <f>IF(INDEX(Labels!B:B, MATCH(Summary!$A498, Labels!$A:$A, 0)) = 0, "", INDEX(Labels!B:B, MATCH(Summary!$A498, Labels!$A:$A, 0)))</f>
        <v>{Marine Riser String}</v>
      </c>
      <c r="Q498" s="35" t="str">
        <f>IF(INDEX(Labels!C:C, MATCH(Summary!$A498, Labels!$A:$A, 0)) = 0, "", INDEX(Labels!C:C, MATCH(Summary!$A498, Labels!$A:$A, 0)))</f>
        <v>{Slick Joint}</v>
      </c>
      <c r="R498" s="33" t="str">
        <f>IF(INDEX(Labels!D:D, MATCH(Summary!$A498, Labels!$A:$A, 0)) = 0, "", INDEX(Labels!D:D, MATCH(Summary!$A498, Labels!$A:$A, 0)))</f>
        <v/>
      </c>
      <c r="S498" s="35" t="str">
        <f>IF(INDEX(Labels!E:E, MATCH(Summary!$A498, Labels!$A:$A, 0)) = 0, "", INDEX(Labels!E:E, MATCH(Summary!$A498, Labels!$A:$A, 0)))</f>
        <v/>
      </c>
      <c r="T498" s="33" t="str">
        <f>IF(INDEX(Labels!F:F, MATCH(Summary!$A498, Labels!$A:$A, 0)) = 0, "", INDEX(Labels!F:F, MATCH(Summary!$A498, Labels!$A:$A, 0)))</f>
        <v/>
      </c>
      <c r="U498" s="35" t="str">
        <f>IF(INDEX(Labels!G:G, MATCH(Summary!$A498, Labels!$A:$A, 0)) = 0, "", INDEX(Labels!G:G, MATCH(Summary!$A498, Labels!$A:$A, 0)))</f>
        <v/>
      </c>
      <c r="V498" s="62" t="str">
        <f>IF(INDEX(Labels!H:H, MATCH(Summary!$A498, Labels!$A:$A, 0)) = 0, "", INDEX(Labels!H:H, MATCH(Summary!$A498, Labels!$A:$A, 0)))</f>
        <v/>
      </c>
      <c r="W498" t="str">
        <f>IF(INDEX(Labels!I:I, MATCH(Summary!$A498, Labels!$A:$A, 0)) = 0, "", INDEX(Labels!I:I, MATCH(Summary!$A498, Labels!$A:$A, 0)))</f>
        <v/>
      </c>
      <c r="X498" t="str">
        <f>IF(INDEX(Labels!J:J, MATCH(Summary!$A498, Labels!$A:$A, 0)) = 0, "", INDEX(Labels!J:J, MATCH(Summary!$A498, Labels!$A:$A, 0)))</f>
        <v/>
      </c>
    </row>
    <row r="499" spans="1:24" x14ac:dyDescent="0.2">
      <c r="A499" s="33">
        <f>Labels!A500</f>
        <v>493</v>
      </c>
      <c r="B499" s="34">
        <f>INDEX(EchoData!B:B, MATCH(Summary!$A499, EchoData!$A:$A, 0))</f>
        <v>497</v>
      </c>
      <c r="C499" s="35">
        <f>INDEX(EchoData!C:C, MATCH(Summary!$A499, EchoData!$A:$A, 0))</f>
        <v>498</v>
      </c>
      <c r="D499" s="42">
        <f>INDEX(Displacements!B:B, MATCH(Summary!$B499, Displacements!$A:$A, 0))</f>
        <v>880.71100000000001</v>
      </c>
      <c r="E499" s="43">
        <f>INDEX(Displacements!C:C, MATCH(Summary!$B499, Displacements!$A:$A, 0))</f>
        <v>0</v>
      </c>
      <c r="F499" s="44">
        <f>INDEX(Displacements!D:D, MATCH(Summary!$B499, Displacements!$A:$A, 0))</f>
        <v>0</v>
      </c>
      <c r="G499" s="42">
        <f>INDEX(Displacements!B:B, MATCH(Summary!$C499, Displacements!$A:$A, 0))</f>
        <v>883.70799999999997</v>
      </c>
      <c r="H499" s="43">
        <f>INDEX(Displacements!C:C, MATCH(Summary!$C499, Displacements!$A:$A, 0))</f>
        <v>0</v>
      </c>
      <c r="I499" s="44">
        <f>INDEX(Displacements!D:D, MATCH(Summary!$C499, Displacements!$A:$A, 0))</f>
        <v>0</v>
      </c>
      <c r="J499" s="42">
        <f t="shared" si="14"/>
        <v>2.9969999999999573</v>
      </c>
      <c r="K499" s="49">
        <f t="shared" si="15"/>
        <v>1.0003337783711537</v>
      </c>
      <c r="L499" s="54">
        <f>INDEX('Forces+Stresses'!C:C, MATCH(Summary!$A499, 'Forces+Stresses'!$A:$A, 0))</f>
        <v>4111</v>
      </c>
      <c r="M499" s="55">
        <f>INDEX('Forces+Stresses'!D:D, MATCH(Summary!$A499, 'Forces+Stresses'!$A:$A, 0))</f>
        <v>4111</v>
      </c>
      <c r="N499" s="55">
        <f>IFERROR(INDEX('Forces+Stresses'!Q:Q, MATCH(Summary!$A499, 'Forces+Stresses'!$A:$A, 0)), INDEX(Flexjoints!D:D, MATCH(Summary!$A499, Flexjoints!$A:$A, 0)))</f>
        <v>8.4680000000000001E-8</v>
      </c>
      <c r="O499" s="56">
        <f>IFERROR(INDEX('Forces+Stresses'!R:R, MATCH(Summary!$A499, 'Forces+Stresses'!$A:$A, 0)), INDEX(Flexjoints!E:E, MATCH(Summary!$A499, Flexjoints!$A:$A, 0)))</f>
        <v>1.525E-6</v>
      </c>
      <c r="P499" s="33" t="str">
        <f>IF(INDEX(Labels!B:B, MATCH(Summary!$A499, Labels!$A:$A, 0)) = 0, "", INDEX(Labels!B:B, MATCH(Summary!$A499, Labels!$A:$A, 0)))</f>
        <v>{Marine Riser String}</v>
      </c>
      <c r="Q499" s="35" t="str">
        <f>IF(INDEX(Labels!C:C, MATCH(Summary!$A499, Labels!$A:$A, 0)) = 0, "", INDEX(Labels!C:C, MATCH(Summary!$A499, Labels!$A:$A, 0)))</f>
        <v>{Slick Joint}</v>
      </c>
      <c r="R499" s="33" t="str">
        <f>IF(INDEX(Labels!D:D, MATCH(Summary!$A499, Labels!$A:$A, 0)) = 0, "", INDEX(Labels!D:D, MATCH(Summary!$A499, Labels!$A:$A, 0)))</f>
        <v/>
      </c>
      <c r="S499" s="35" t="str">
        <f>IF(INDEX(Labels!E:E, MATCH(Summary!$A499, Labels!$A:$A, 0)) = 0, "", INDEX(Labels!E:E, MATCH(Summary!$A499, Labels!$A:$A, 0)))</f>
        <v/>
      </c>
      <c r="T499" s="33" t="str">
        <f>IF(INDEX(Labels!F:F, MATCH(Summary!$A499, Labels!$A:$A, 0)) = 0, "", INDEX(Labels!F:F, MATCH(Summary!$A499, Labels!$A:$A, 0)))</f>
        <v/>
      </c>
      <c r="U499" s="35" t="str">
        <f>IF(INDEX(Labels!G:G, MATCH(Summary!$A499, Labels!$A:$A, 0)) = 0, "", INDEX(Labels!G:G, MATCH(Summary!$A499, Labels!$A:$A, 0)))</f>
        <v/>
      </c>
      <c r="V499" s="62" t="str">
        <f>IF(INDEX(Labels!H:H, MATCH(Summary!$A499, Labels!$A:$A, 0)) = 0, "", INDEX(Labels!H:H, MATCH(Summary!$A499, Labels!$A:$A, 0)))</f>
        <v/>
      </c>
      <c r="W499" t="str">
        <f>IF(INDEX(Labels!I:I, MATCH(Summary!$A499, Labels!$A:$A, 0)) = 0, "", INDEX(Labels!I:I, MATCH(Summary!$A499, Labels!$A:$A, 0)))</f>
        <v/>
      </c>
      <c r="X499" t="str">
        <f>IF(INDEX(Labels!J:J, MATCH(Summary!$A499, Labels!$A:$A, 0)) = 0, "", INDEX(Labels!J:J, MATCH(Summary!$A499, Labels!$A:$A, 0)))</f>
        <v/>
      </c>
    </row>
    <row r="500" spans="1:24" x14ac:dyDescent="0.2">
      <c r="A500" s="33">
        <f>Labels!A501</f>
        <v>494</v>
      </c>
      <c r="B500" s="34">
        <f>INDEX(EchoData!B:B, MATCH(Summary!$A500, EchoData!$A:$A, 0))</f>
        <v>498</v>
      </c>
      <c r="C500" s="35">
        <f>INDEX(EchoData!C:C, MATCH(Summary!$A500, EchoData!$A:$A, 0))</f>
        <v>499</v>
      </c>
      <c r="D500" s="42">
        <f>INDEX(Displacements!B:B, MATCH(Summary!$B500, Displacements!$A:$A, 0))</f>
        <v>883.70799999999997</v>
      </c>
      <c r="E500" s="43">
        <f>INDEX(Displacements!C:C, MATCH(Summary!$B500, Displacements!$A:$A, 0))</f>
        <v>0</v>
      </c>
      <c r="F500" s="44">
        <f>INDEX(Displacements!D:D, MATCH(Summary!$B500, Displacements!$A:$A, 0))</f>
        <v>0</v>
      </c>
      <c r="G500" s="42">
        <f>INDEX(Displacements!B:B, MATCH(Summary!$C500, Displacements!$A:$A, 0))</f>
        <v>886.70399999999995</v>
      </c>
      <c r="H500" s="43">
        <f>INDEX(Displacements!C:C, MATCH(Summary!$C500, Displacements!$A:$A, 0))</f>
        <v>0</v>
      </c>
      <c r="I500" s="44">
        <f>INDEX(Displacements!D:D, MATCH(Summary!$C500, Displacements!$A:$A, 0))</f>
        <v>0</v>
      </c>
      <c r="J500" s="42">
        <f t="shared" si="14"/>
        <v>2.9959999999999809</v>
      </c>
      <c r="K500" s="49">
        <f t="shared" si="15"/>
        <v>0.99966633299967422</v>
      </c>
      <c r="L500" s="54">
        <f>INDEX('Forces+Stresses'!C:C, MATCH(Summary!$A500, 'Forces+Stresses'!$A:$A, 0))</f>
        <v>4133</v>
      </c>
      <c r="M500" s="55">
        <f>INDEX('Forces+Stresses'!D:D, MATCH(Summary!$A500, 'Forces+Stresses'!$A:$A, 0))</f>
        <v>4133</v>
      </c>
      <c r="N500" s="55">
        <f>IFERROR(INDEX('Forces+Stresses'!Q:Q, MATCH(Summary!$A500, 'Forces+Stresses'!$A:$A, 0)), INDEX(Flexjoints!D:D, MATCH(Summary!$A500, Flexjoints!$A:$A, 0)))</f>
        <v>3.8110000000000002E-8</v>
      </c>
      <c r="O500" s="56">
        <f>IFERROR(INDEX('Forces+Stresses'!R:R, MATCH(Summary!$A500, 'Forces+Stresses'!$A:$A, 0)), INDEX(Flexjoints!E:E, MATCH(Summary!$A500, Flexjoints!$A:$A, 0)))</f>
        <v>1.5650000000000001E-6</v>
      </c>
      <c r="P500" s="33" t="str">
        <f>IF(INDEX(Labels!B:B, MATCH(Summary!$A500, Labels!$A:$A, 0)) = 0, "", INDEX(Labels!B:B, MATCH(Summary!$A500, Labels!$A:$A, 0)))</f>
        <v>{Marine Riser String}</v>
      </c>
      <c r="Q500" s="35" t="str">
        <f>IF(INDEX(Labels!C:C, MATCH(Summary!$A500, Labels!$A:$A, 0)) = 0, "", INDEX(Labels!C:C, MATCH(Summary!$A500, Labels!$A:$A, 0)))</f>
        <v>{Slick Joint}</v>
      </c>
      <c r="R500" s="33" t="str">
        <f>IF(INDEX(Labels!D:D, MATCH(Summary!$A500, Labels!$A:$A, 0)) = 0, "", INDEX(Labels!D:D, MATCH(Summary!$A500, Labels!$A:$A, 0)))</f>
        <v/>
      </c>
      <c r="S500" s="35" t="str">
        <f>IF(INDEX(Labels!E:E, MATCH(Summary!$A500, Labels!$A:$A, 0)) = 0, "", INDEX(Labels!E:E, MATCH(Summary!$A500, Labels!$A:$A, 0)))</f>
        <v/>
      </c>
      <c r="T500" s="33" t="str">
        <f>IF(INDEX(Labels!F:F, MATCH(Summary!$A500, Labels!$A:$A, 0)) = 0, "", INDEX(Labels!F:F, MATCH(Summary!$A500, Labels!$A:$A, 0)))</f>
        <v/>
      </c>
      <c r="U500" s="35" t="str">
        <f>IF(INDEX(Labels!G:G, MATCH(Summary!$A500, Labels!$A:$A, 0)) = 0, "", INDEX(Labels!G:G, MATCH(Summary!$A500, Labels!$A:$A, 0)))</f>
        <v/>
      </c>
      <c r="V500" s="62" t="str">
        <f>IF(INDEX(Labels!H:H, MATCH(Summary!$A500, Labels!$A:$A, 0)) = 0, "", INDEX(Labels!H:H, MATCH(Summary!$A500, Labels!$A:$A, 0)))</f>
        <v/>
      </c>
      <c r="W500" t="str">
        <f>IF(INDEX(Labels!I:I, MATCH(Summary!$A500, Labels!$A:$A, 0)) = 0, "", INDEX(Labels!I:I, MATCH(Summary!$A500, Labels!$A:$A, 0)))</f>
        <v/>
      </c>
      <c r="X500" t="str">
        <f>IF(INDEX(Labels!J:J, MATCH(Summary!$A500, Labels!$A:$A, 0)) = 0, "", INDEX(Labels!J:J, MATCH(Summary!$A500, Labels!$A:$A, 0)))</f>
        <v/>
      </c>
    </row>
    <row r="501" spans="1:24" x14ac:dyDescent="0.2">
      <c r="A501" s="33">
        <f>Labels!A502</f>
        <v>495</v>
      </c>
      <c r="B501" s="34">
        <f>INDEX(EchoData!B:B, MATCH(Summary!$A501, EchoData!$A:$A, 0))</f>
        <v>499</v>
      </c>
      <c r="C501" s="35">
        <f>INDEX(EchoData!C:C, MATCH(Summary!$A501, EchoData!$A:$A, 0))</f>
        <v>500</v>
      </c>
      <c r="D501" s="42">
        <f>INDEX(Displacements!B:B, MATCH(Summary!$B501, Displacements!$A:$A, 0))</f>
        <v>886.70399999999995</v>
      </c>
      <c r="E501" s="43">
        <f>INDEX(Displacements!C:C, MATCH(Summary!$B501, Displacements!$A:$A, 0))</f>
        <v>0</v>
      </c>
      <c r="F501" s="44">
        <f>INDEX(Displacements!D:D, MATCH(Summary!$B501, Displacements!$A:$A, 0))</f>
        <v>0</v>
      </c>
      <c r="G501" s="42">
        <f>INDEX(Displacements!B:B, MATCH(Summary!$C501, Displacements!$A:$A, 0))</f>
        <v>889.70100000000002</v>
      </c>
      <c r="H501" s="43">
        <f>INDEX(Displacements!C:C, MATCH(Summary!$C501, Displacements!$A:$A, 0))</f>
        <v>0</v>
      </c>
      <c r="I501" s="44">
        <f>INDEX(Displacements!D:D, MATCH(Summary!$C501, Displacements!$A:$A, 0))</f>
        <v>0</v>
      </c>
      <c r="J501" s="42">
        <f t="shared" si="14"/>
        <v>2.9970000000000709</v>
      </c>
      <c r="K501" s="49">
        <f t="shared" si="15"/>
        <v>1.0003337783711916</v>
      </c>
      <c r="L501" s="54">
        <f>INDEX('Forces+Stresses'!C:C, MATCH(Summary!$A501, 'Forces+Stresses'!$A:$A, 0))</f>
        <v>4155</v>
      </c>
      <c r="M501" s="55">
        <f>INDEX('Forces+Stresses'!D:D, MATCH(Summary!$A501, 'Forces+Stresses'!$A:$A, 0))</f>
        <v>4155</v>
      </c>
      <c r="N501" s="55">
        <f>IFERROR(INDEX('Forces+Stresses'!Q:Q, MATCH(Summary!$A501, 'Forces+Stresses'!$A:$A, 0)), INDEX(Flexjoints!D:D, MATCH(Summary!$A501, Flexjoints!$A:$A, 0)))</f>
        <v>6.211999999999999E-8</v>
      </c>
      <c r="O501" s="56">
        <f>IFERROR(INDEX('Forces+Stresses'!R:R, MATCH(Summary!$A501, 'Forces+Stresses'!$A:$A, 0)), INDEX(Flexjoints!E:E, MATCH(Summary!$A501, Flexjoints!$A:$A, 0)))</f>
        <v>1.437E-6</v>
      </c>
      <c r="P501" s="33" t="str">
        <f>IF(INDEX(Labels!B:B, MATCH(Summary!$A501, Labels!$A:$A, 0)) = 0, "", INDEX(Labels!B:B, MATCH(Summary!$A501, Labels!$A:$A, 0)))</f>
        <v>{Marine Riser String}</v>
      </c>
      <c r="Q501" s="35" t="str">
        <f>IF(INDEX(Labels!C:C, MATCH(Summary!$A501, Labels!$A:$A, 0)) = 0, "", INDEX(Labels!C:C, MATCH(Summary!$A501, Labels!$A:$A, 0)))</f>
        <v>{Slick Joint}</v>
      </c>
      <c r="R501" s="33" t="str">
        <f>IF(INDEX(Labels!D:D, MATCH(Summary!$A501, Labels!$A:$A, 0)) = 0, "", INDEX(Labels!D:D, MATCH(Summary!$A501, Labels!$A:$A, 0)))</f>
        <v/>
      </c>
      <c r="S501" s="35" t="str">
        <f>IF(INDEX(Labels!E:E, MATCH(Summary!$A501, Labels!$A:$A, 0)) = 0, "", INDEX(Labels!E:E, MATCH(Summary!$A501, Labels!$A:$A, 0)))</f>
        <v/>
      </c>
      <c r="T501" s="33" t="str">
        <f>IF(INDEX(Labels!F:F, MATCH(Summary!$A501, Labels!$A:$A, 0)) = 0, "", INDEX(Labels!F:F, MATCH(Summary!$A501, Labels!$A:$A, 0)))</f>
        <v/>
      </c>
      <c r="U501" s="35" t="str">
        <f>IF(INDEX(Labels!G:G, MATCH(Summary!$A501, Labels!$A:$A, 0)) = 0, "", INDEX(Labels!G:G, MATCH(Summary!$A501, Labels!$A:$A, 0)))</f>
        <v/>
      </c>
      <c r="V501" s="62" t="str">
        <f>IF(INDEX(Labels!H:H, MATCH(Summary!$A501, Labels!$A:$A, 0)) = 0, "", INDEX(Labels!H:H, MATCH(Summary!$A501, Labels!$A:$A, 0)))</f>
        <v/>
      </c>
      <c r="W501" t="str">
        <f>IF(INDEX(Labels!I:I, MATCH(Summary!$A501, Labels!$A:$A, 0)) = 0, "", INDEX(Labels!I:I, MATCH(Summary!$A501, Labels!$A:$A, 0)))</f>
        <v/>
      </c>
      <c r="X501" t="str">
        <f>IF(INDEX(Labels!J:J, MATCH(Summary!$A501, Labels!$A:$A, 0)) = 0, "", INDEX(Labels!J:J, MATCH(Summary!$A501, Labels!$A:$A, 0)))</f>
        <v/>
      </c>
    </row>
    <row r="502" spans="1:24" x14ac:dyDescent="0.2">
      <c r="A502" s="33">
        <f>Labels!A503</f>
        <v>496</v>
      </c>
      <c r="B502" s="34">
        <f>INDEX(EchoData!B:B, MATCH(Summary!$A502, EchoData!$A:$A, 0))</f>
        <v>500</v>
      </c>
      <c r="C502" s="35">
        <f>INDEX(EchoData!C:C, MATCH(Summary!$A502, EchoData!$A:$A, 0))</f>
        <v>501</v>
      </c>
      <c r="D502" s="42">
        <f>INDEX(Displacements!B:B, MATCH(Summary!$B502, Displacements!$A:$A, 0))</f>
        <v>889.70100000000002</v>
      </c>
      <c r="E502" s="43">
        <f>INDEX(Displacements!C:C, MATCH(Summary!$B502, Displacements!$A:$A, 0))</f>
        <v>0</v>
      </c>
      <c r="F502" s="44">
        <f>INDEX(Displacements!D:D, MATCH(Summary!$B502, Displacements!$A:$A, 0))</f>
        <v>0</v>
      </c>
      <c r="G502" s="42">
        <f>INDEX(Displacements!B:B, MATCH(Summary!$C502, Displacements!$A:$A, 0))</f>
        <v>892.697</v>
      </c>
      <c r="H502" s="43">
        <f>INDEX(Displacements!C:C, MATCH(Summary!$C502, Displacements!$A:$A, 0))</f>
        <v>0</v>
      </c>
      <c r="I502" s="44">
        <f>INDEX(Displacements!D:D, MATCH(Summary!$C502, Displacements!$A:$A, 0))</f>
        <v>0</v>
      </c>
      <c r="J502" s="42">
        <f t="shared" si="14"/>
        <v>2.9959999999999809</v>
      </c>
      <c r="K502" s="49">
        <f t="shared" si="15"/>
        <v>0.99966633299963625</v>
      </c>
      <c r="L502" s="54">
        <f>INDEX('Forces+Stresses'!C:C, MATCH(Summary!$A502, 'Forces+Stresses'!$A:$A, 0))</f>
        <v>4177</v>
      </c>
      <c r="M502" s="55">
        <f>INDEX('Forces+Stresses'!D:D, MATCH(Summary!$A502, 'Forces+Stresses'!$A:$A, 0))</f>
        <v>4177</v>
      </c>
      <c r="N502" s="55">
        <f>IFERROR(INDEX('Forces+Stresses'!Q:Q, MATCH(Summary!$A502, 'Forces+Stresses'!$A:$A, 0)), INDEX(Flexjoints!D:D, MATCH(Summary!$A502, Flexjoints!$A:$A, 0)))</f>
        <v>5.8210000000000003E-8</v>
      </c>
      <c r="O502" s="56">
        <f>IFERROR(INDEX('Forces+Stresses'!R:R, MATCH(Summary!$A502, 'Forces+Stresses'!$A:$A, 0)), INDEX(Flexjoints!E:E, MATCH(Summary!$A502, Flexjoints!$A:$A, 0)))</f>
        <v>1.4330000000000001E-6</v>
      </c>
      <c r="P502" s="33" t="str">
        <f>IF(INDEX(Labels!B:B, MATCH(Summary!$A502, Labels!$A:$A, 0)) = 0, "", INDEX(Labels!B:B, MATCH(Summary!$A502, Labels!$A:$A, 0)))</f>
        <v>{Marine Riser String}</v>
      </c>
      <c r="Q502" s="35" t="str">
        <f>IF(INDEX(Labels!C:C, MATCH(Summary!$A502, Labels!$A:$A, 0)) = 0, "", INDEX(Labels!C:C, MATCH(Summary!$A502, Labels!$A:$A, 0)))</f>
        <v>{Slick Joint}</v>
      </c>
      <c r="R502" s="33" t="str">
        <f>IF(INDEX(Labels!D:D, MATCH(Summary!$A502, Labels!$A:$A, 0)) = 0, "", INDEX(Labels!D:D, MATCH(Summary!$A502, Labels!$A:$A, 0)))</f>
        <v/>
      </c>
      <c r="S502" s="35" t="str">
        <f>IF(INDEX(Labels!E:E, MATCH(Summary!$A502, Labels!$A:$A, 0)) = 0, "", INDEX(Labels!E:E, MATCH(Summary!$A502, Labels!$A:$A, 0)))</f>
        <v/>
      </c>
      <c r="T502" s="33" t="str">
        <f>IF(INDEX(Labels!F:F, MATCH(Summary!$A502, Labels!$A:$A, 0)) = 0, "", INDEX(Labels!F:F, MATCH(Summary!$A502, Labels!$A:$A, 0)))</f>
        <v/>
      </c>
      <c r="U502" s="35" t="str">
        <f>IF(INDEX(Labels!G:G, MATCH(Summary!$A502, Labels!$A:$A, 0)) = 0, "", INDEX(Labels!G:G, MATCH(Summary!$A502, Labels!$A:$A, 0)))</f>
        <v/>
      </c>
      <c r="V502" s="62" t="str">
        <f>IF(INDEX(Labels!H:H, MATCH(Summary!$A502, Labels!$A:$A, 0)) = 0, "", INDEX(Labels!H:H, MATCH(Summary!$A502, Labels!$A:$A, 0)))</f>
        <v/>
      </c>
      <c r="W502" t="str">
        <f>IF(INDEX(Labels!I:I, MATCH(Summary!$A502, Labels!$A:$A, 0)) = 0, "", INDEX(Labels!I:I, MATCH(Summary!$A502, Labels!$A:$A, 0)))</f>
        <v/>
      </c>
      <c r="X502" t="str">
        <f>IF(INDEX(Labels!J:J, MATCH(Summary!$A502, Labels!$A:$A, 0)) = 0, "", INDEX(Labels!J:J, MATCH(Summary!$A502, Labels!$A:$A, 0)))</f>
        <v/>
      </c>
    </row>
    <row r="503" spans="1:24" x14ac:dyDescent="0.2">
      <c r="A503" s="33">
        <f>Labels!A504</f>
        <v>497</v>
      </c>
      <c r="B503" s="34">
        <f>INDEX(EchoData!B:B, MATCH(Summary!$A503, EchoData!$A:$A, 0))</f>
        <v>501</v>
      </c>
      <c r="C503" s="35">
        <f>INDEX(EchoData!C:C, MATCH(Summary!$A503, EchoData!$A:$A, 0))</f>
        <v>502</v>
      </c>
      <c r="D503" s="42">
        <f>INDEX(Displacements!B:B, MATCH(Summary!$B503, Displacements!$A:$A, 0))</f>
        <v>892.697</v>
      </c>
      <c r="E503" s="43">
        <f>INDEX(Displacements!C:C, MATCH(Summary!$B503, Displacements!$A:$A, 0))</f>
        <v>0</v>
      </c>
      <c r="F503" s="44">
        <f>INDEX(Displacements!D:D, MATCH(Summary!$B503, Displacements!$A:$A, 0))</f>
        <v>0</v>
      </c>
      <c r="G503" s="42">
        <f>INDEX(Displacements!B:B, MATCH(Summary!$C503, Displacements!$A:$A, 0))</f>
        <v>895.69399999999996</v>
      </c>
      <c r="H503" s="43">
        <f>INDEX(Displacements!C:C, MATCH(Summary!$C503, Displacements!$A:$A, 0))</f>
        <v>0</v>
      </c>
      <c r="I503" s="44">
        <f>INDEX(Displacements!D:D, MATCH(Summary!$C503, Displacements!$A:$A, 0))</f>
        <v>0</v>
      </c>
      <c r="J503" s="42">
        <f t="shared" si="14"/>
        <v>2.9969999999999573</v>
      </c>
      <c r="K503" s="49">
        <f t="shared" si="15"/>
        <v>1.0003337783711537</v>
      </c>
      <c r="L503" s="54">
        <f>INDEX('Forces+Stresses'!C:C, MATCH(Summary!$A503, 'Forces+Stresses'!$A:$A, 0))</f>
        <v>4199</v>
      </c>
      <c r="M503" s="55">
        <f>INDEX('Forces+Stresses'!D:D, MATCH(Summary!$A503, 'Forces+Stresses'!$A:$A, 0))</f>
        <v>4199</v>
      </c>
      <c r="N503" s="55">
        <f>IFERROR(INDEX('Forces+Stresses'!Q:Q, MATCH(Summary!$A503, 'Forces+Stresses'!$A:$A, 0)), INDEX(Flexjoints!D:D, MATCH(Summary!$A503, Flexjoints!$A:$A, 0)))</f>
        <v>2.1149999999999997E-8</v>
      </c>
      <c r="O503" s="56">
        <f>IFERROR(INDEX('Forces+Stresses'!R:R, MATCH(Summary!$A503, 'Forces+Stresses'!$A:$A, 0)), INDEX(Flexjoints!E:E, MATCH(Summary!$A503, Flexjoints!$A:$A, 0)))</f>
        <v>1.437E-6</v>
      </c>
      <c r="P503" s="33" t="str">
        <f>IF(INDEX(Labels!B:B, MATCH(Summary!$A503, Labels!$A:$A, 0)) = 0, "", INDEX(Labels!B:B, MATCH(Summary!$A503, Labels!$A:$A, 0)))</f>
        <v>{Marine Riser String}</v>
      </c>
      <c r="Q503" s="35" t="str">
        <f>IF(INDEX(Labels!C:C, MATCH(Summary!$A503, Labels!$A:$A, 0)) = 0, "", INDEX(Labels!C:C, MATCH(Summary!$A503, Labels!$A:$A, 0)))</f>
        <v>{Slick Joint}</v>
      </c>
      <c r="R503" s="33" t="str">
        <f>IF(INDEX(Labels!D:D, MATCH(Summary!$A503, Labels!$A:$A, 0)) = 0, "", INDEX(Labels!D:D, MATCH(Summary!$A503, Labels!$A:$A, 0)))</f>
        <v/>
      </c>
      <c r="S503" s="35" t="str">
        <f>IF(INDEX(Labels!E:E, MATCH(Summary!$A503, Labels!$A:$A, 0)) = 0, "", INDEX(Labels!E:E, MATCH(Summary!$A503, Labels!$A:$A, 0)))</f>
        <v/>
      </c>
      <c r="T503" s="33" t="str">
        <f>IF(INDEX(Labels!F:F, MATCH(Summary!$A503, Labels!$A:$A, 0)) = 0, "", INDEX(Labels!F:F, MATCH(Summary!$A503, Labels!$A:$A, 0)))</f>
        <v/>
      </c>
      <c r="U503" s="35" t="str">
        <f>IF(INDEX(Labels!G:G, MATCH(Summary!$A503, Labels!$A:$A, 0)) = 0, "", INDEX(Labels!G:G, MATCH(Summary!$A503, Labels!$A:$A, 0)))</f>
        <v/>
      </c>
      <c r="V503" s="62" t="str">
        <f>IF(INDEX(Labels!H:H, MATCH(Summary!$A503, Labels!$A:$A, 0)) = 0, "", INDEX(Labels!H:H, MATCH(Summary!$A503, Labels!$A:$A, 0)))</f>
        <v/>
      </c>
      <c r="W503" t="str">
        <f>IF(INDEX(Labels!I:I, MATCH(Summary!$A503, Labels!$A:$A, 0)) = 0, "", INDEX(Labels!I:I, MATCH(Summary!$A503, Labels!$A:$A, 0)))</f>
        <v/>
      </c>
      <c r="X503" t="str">
        <f>IF(INDEX(Labels!J:J, MATCH(Summary!$A503, Labels!$A:$A, 0)) = 0, "", INDEX(Labels!J:J, MATCH(Summary!$A503, Labels!$A:$A, 0)))</f>
        <v/>
      </c>
    </row>
    <row r="504" spans="1:24" x14ac:dyDescent="0.2">
      <c r="A504" s="33">
        <f>Labels!A505</f>
        <v>498</v>
      </c>
      <c r="B504" s="34">
        <f>INDEX(EchoData!B:B, MATCH(Summary!$A504, EchoData!$A:$A, 0))</f>
        <v>502</v>
      </c>
      <c r="C504" s="35">
        <f>INDEX(EchoData!C:C, MATCH(Summary!$A504, EchoData!$A:$A, 0))</f>
        <v>503</v>
      </c>
      <c r="D504" s="42">
        <f>INDEX(Displacements!B:B, MATCH(Summary!$B504, Displacements!$A:$A, 0))</f>
        <v>895.69399999999996</v>
      </c>
      <c r="E504" s="43">
        <f>INDEX(Displacements!C:C, MATCH(Summary!$B504, Displacements!$A:$A, 0))</f>
        <v>0</v>
      </c>
      <c r="F504" s="44">
        <f>INDEX(Displacements!D:D, MATCH(Summary!$B504, Displacements!$A:$A, 0))</f>
        <v>0</v>
      </c>
      <c r="G504" s="42">
        <f>INDEX(Displacements!B:B, MATCH(Summary!$C504, Displacements!$A:$A, 0))</f>
        <v>898.69</v>
      </c>
      <c r="H504" s="43">
        <f>INDEX(Displacements!C:C, MATCH(Summary!$C504, Displacements!$A:$A, 0))</f>
        <v>0</v>
      </c>
      <c r="I504" s="44">
        <f>INDEX(Displacements!D:D, MATCH(Summary!$C504, Displacements!$A:$A, 0))</f>
        <v>0</v>
      </c>
      <c r="J504" s="42">
        <f t="shared" si="14"/>
        <v>2.9960000000000946</v>
      </c>
      <c r="K504" s="49">
        <f t="shared" si="15"/>
        <v>0.99966633299971219</v>
      </c>
      <c r="L504" s="54">
        <f>INDEX('Forces+Stresses'!C:C, MATCH(Summary!$A504, 'Forces+Stresses'!$A:$A, 0))</f>
        <v>4221</v>
      </c>
      <c r="M504" s="55">
        <f>INDEX('Forces+Stresses'!D:D, MATCH(Summary!$A504, 'Forces+Stresses'!$A:$A, 0))</f>
        <v>4221</v>
      </c>
      <c r="N504" s="55">
        <f>IFERROR(INDEX('Forces+Stresses'!Q:Q, MATCH(Summary!$A504, 'Forces+Stresses'!$A:$A, 0)), INDEX(Flexjoints!D:D, MATCH(Summary!$A504, Flexjoints!$A:$A, 0)))</f>
        <v>8.3510000000000011E-8</v>
      </c>
      <c r="O504" s="56">
        <f>IFERROR(INDEX('Forces+Stresses'!R:R, MATCH(Summary!$A504, 'Forces+Stresses'!$A:$A, 0)), INDEX(Flexjoints!E:E, MATCH(Summary!$A504, Flexjoints!$A:$A, 0)))</f>
        <v>1.5369999999999999E-6</v>
      </c>
      <c r="P504" s="33" t="str">
        <f>IF(INDEX(Labels!B:B, MATCH(Summary!$A504, Labels!$A:$A, 0)) = 0, "", INDEX(Labels!B:B, MATCH(Summary!$A504, Labels!$A:$A, 0)))</f>
        <v>{Marine Riser String}</v>
      </c>
      <c r="Q504" s="35" t="str">
        <f>IF(INDEX(Labels!C:C, MATCH(Summary!$A504, Labels!$A:$A, 0)) = 0, "", INDEX(Labels!C:C, MATCH(Summary!$A504, Labels!$A:$A, 0)))</f>
        <v>{Slick Joint}</v>
      </c>
      <c r="R504" s="33" t="str">
        <f>IF(INDEX(Labels!D:D, MATCH(Summary!$A504, Labels!$A:$A, 0)) = 0, "", INDEX(Labels!D:D, MATCH(Summary!$A504, Labels!$A:$A, 0)))</f>
        <v/>
      </c>
      <c r="S504" s="35" t="str">
        <f>IF(INDEX(Labels!E:E, MATCH(Summary!$A504, Labels!$A:$A, 0)) = 0, "", INDEX(Labels!E:E, MATCH(Summary!$A504, Labels!$A:$A, 0)))</f>
        <v/>
      </c>
      <c r="T504" s="33" t="str">
        <f>IF(INDEX(Labels!F:F, MATCH(Summary!$A504, Labels!$A:$A, 0)) = 0, "", INDEX(Labels!F:F, MATCH(Summary!$A504, Labels!$A:$A, 0)))</f>
        <v/>
      </c>
      <c r="U504" s="35" t="str">
        <f>IF(INDEX(Labels!G:G, MATCH(Summary!$A504, Labels!$A:$A, 0)) = 0, "", INDEX(Labels!G:G, MATCH(Summary!$A504, Labels!$A:$A, 0)))</f>
        <v/>
      </c>
      <c r="V504" s="62" t="str">
        <f>IF(INDEX(Labels!H:H, MATCH(Summary!$A504, Labels!$A:$A, 0)) = 0, "", INDEX(Labels!H:H, MATCH(Summary!$A504, Labels!$A:$A, 0)))</f>
        <v/>
      </c>
      <c r="W504" t="str">
        <f>IF(INDEX(Labels!I:I, MATCH(Summary!$A504, Labels!$A:$A, 0)) = 0, "", INDEX(Labels!I:I, MATCH(Summary!$A504, Labels!$A:$A, 0)))</f>
        <v/>
      </c>
      <c r="X504" t="str">
        <f>IF(INDEX(Labels!J:J, MATCH(Summary!$A504, Labels!$A:$A, 0)) = 0, "", INDEX(Labels!J:J, MATCH(Summary!$A504, Labels!$A:$A, 0)))</f>
        <v/>
      </c>
    </row>
    <row r="505" spans="1:24" x14ac:dyDescent="0.2">
      <c r="A505" s="33">
        <f>Labels!A506</f>
        <v>499</v>
      </c>
      <c r="B505" s="34">
        <f>INDEX(EchoData!B:B, MATCH(Summary!$A505, EchoData!$A:$A, 0))</f>
        <v>503</v>
      </c>
      <c r="C505" s="35">
        <f>INDEX(EchoData!C:C, MATCH(Summary!$A505, EchoData!$A:$A, 0))</f>
        <v>504</v>
      </c>
      <c r="D505" s="42">
        <f>INDEX(Displacements!B:B, MATCH(Summary!$B505, Displacements!$A:$A, 0))</f>
        <v>898.69</v>
      </c>
      <c r="E505" s="43">
        <f>INDEX(Displacements!C:C, MATCH(Summary!$B505, Displacements!$A:$A, 0))</f>
        <v>0</v>
      </c>
      <c r="F505" s="44">
        <f>INDEX(Displacements!D:D, MATCH(Summary!$B505, Displacements!$A:$A, 0))</f>
        <v>0</v>
      </c>
      <c r="G505" s="42">
        <f>INDEX(Displacements!B:B, MATCH(Summary!$C505, Displacements!$A:$A, 0))</f>
        <v>901.68700000000001</v>
      </c>
      <c r="H505" s="43">
        <f>INDEX(Displacements!C:C, MATCH(Summary!$C505, Displacements!$A:$A, 0))</f>
        <v>0</v>
      </c>
      <c r="I505" s="44">
        <f>INDEX(Displacements!D:D, MATCH(Summary!$C505, Displacements!$A:$A, 0))</f>
        <v>0</v>
      </c>
      <c r="J505" s="42">
        <f t="shared" si="14"/>
        <v>2.9969999999999573</v>
      </c>
      <c r="K505" s="49">
        <f t="shared" si="15"/>
        <v>1.0003337783711157</v>
      </c>
      <c r="L505" s="54">
        <f>INDEX('Forces+Stresses'!C:C, MATCH(Summary!$A505, 'Forces+Stresses'!$A:$A, 0))</f>
        <v>4243</v>
      </c>
      <c r="M505" s="55">
        <f>INDEX('Forces+Stresses'!D:D, MATCH(Summary!$A505, 'Forces+Stresses'!$A:$A, 0))</f>
        <v>4243</v>
      </c>
      <c r="N505" s="55">
        <f>IFERROR(INDEX('Forces+Stresses'!Q:Q, MATCH(Summary!$A505, 'Forces+Stresses'!$A:$A, 0)), INDEX(Flexjoints!D:D, MATCH(Summary!$A505, Flexjoints!$A:$A, 0)))</f>
        <v>4.807E-8</v>
      </c>
      <c r="O505" s="56">
        <f>IFERROR(INDEX('Forces+Stresses'!R:R, MATCH(Summary!$A505, 'Forces+Stresses'!$A:$A, 0)), INDEX(Flexjoints!E:E, MATCH(Summary!$A505, Flexjoints!$A:$A, 0)))</f>
        <v>1.4480000000000002E-6</v>
      </c>
      <c r="P505" s="33" t="str">
        <f>IF(INDEX(Labels!B:B, MATCH(Summary!$A505, Labels!$A:$A, 0)) = 0, "", INDEX(Labels!B:B, MATCH(Summary!$A505, Labels!$A:$A, 0)))</f>
        <v>{Marine Riser String}</v>
      </c>
      <c r="Q505" s="35" t="str">
        <f>IF(INDEX(Labels!C:C, MATCH(Summary!$A505, Labels!$A:$A, 0)) = 0, "", INDEX(Labels!C:C, MATCH(Summary!$A505, Labels!$A:$A, 0)))</f>
        <v>{Slick Joint}</v>
      </c>
      <c r="R505" s="33" t="str">
        <f>IF(INDEX(Labels!D:D, MATCH(Summary!$A505, Labels!$A:$A, 0)) = 0, "", INDEX(Labels!D:D, MATCH(Summary!$A505, Labels!$A:$A, 0)))</f>
        <v/>
      </c>
      <c r="S505" s="35" t="str">
        <f>IF(INDEX(Labels!E:E, MATCH(Summary!$A505, Labels!$A:$A, 0)) = 0, "", INDEX(Labels!E:E, MATCH(Summary!$A505, Labels!$A:$A, 0)))</f>
        <v/>
      </c>
      <c r="T505" s="33" t="str">
        <f>IF(INDEX(Labels!F:F, MATCH(Summary!$A505, Labels!$A:$A, 0)) = 0, "", INDEX(Labels!F:F, MATCH(Summary!$A505, Labels!$A:$A, 0)))</f>
        <v/>
      </c>
      <c r="U505" s="35" t="str">
        <f>IF(INDEX(Labels!G:G, MATCH(Summary!$A505, Labels!$A:$A, 0)) = 0, "", INDEX(Labels!G:G, MATCH(Summary!$A505, Labels!$A:$A, 0)))</f>
        <v/>
      </c>
      <c r="V505" s="62" t="str">
        <f>IF(INDEX(Labels!H:H, MATCH(Summary!$A505, Labels!$A:$A, 0)) = 0, "", INDEX(Labels!H:H, MATCH(Summary!$A505, Labels!$A:$A, 0)))</f>
        <v/>
      </c>
      <c r="W505" t="str">
        <f>IF(INDEX(Labels!I:I, MATCH(Summary!$A505, Labels!$A:$A, 0)) = 0, "", INDEX(Labels!I:I, MATCH(Summary!$A505, Labels!$A:$A, 0)))</f>
        <v/>
      </c>
      <c r="X505" t="str">
        <f>IF(INDEX(Labels!J:J, MATCH(Summary!$A505, Labels!$A:$A, 0)) = 0, "", INDEX(Labels!J:J, MATCH(Summary!$A505, Labels!$A:$A, 0)))</f>
        <v/>
      </c>
    </row>
    <row r="506" spans="1:24" x14ac:dyDescent="0.2">
      <c r="A506" s="33">
        <f>Labels!A507</f>
        <v>500</v>
      </c>
      <c r="B506" s="34">
        <f>INDEX(EchoData!B:B, MATCH(Summary!$A506, EchoData!$A:$A, 0))</f>
        <v>504</v>
      </c>
      <c r="C506" s="35">
        <f>INDEX(EchoData!C:C, MATCH(Summary!$A506, EchoData!$A:$A, 0))</f>
        <v>505</v>
      </c>
      <c r="D506" s="42">
        <f>INDEX(Displacements!B:B, MATCH(Summary!$B506, Displacements!$A:$A, 0))</f>
        <v>901.68700000000001</v>
      </c>
      <c r="E506" s="43">
        <f>INDEX(Displacements!C:C, MATCH(Summary!$B506, Displacements!$A:$A, 0))</f>
        <v>0</v>
      </c>
      <c r="F506" s="44">
        <f>INDEX(Displacements!D:D, MATCH(Summary!$B506, Displacements!$A:$A, 0))</f>
        <v>0</v>
      </c>
      <c r="G506" s="42">
        <f>INDEX(Displacements!B:B, MATCH(Summary!$C506, Displacements!$A:$A, 0))</f>
        <v>904.68299999999999</v>
      </c>
      <c r="H506" s="43">
        <f>INDEX(Displacements!C:C, MATCH(Summary!$C506, Displacements!$A:$A, 0))</f>
        <v>0</v>
      </c>
      <c r="I506" s="44">
        <f>INDEX(Displacements!D:D, MATCH(Summary!$C506, Displacements!$A:$A, 0))</f>
        <v>0</v>
      </c>
      <c r="J506" s="42">
        <f t="shared" si="14"/>
        <v>2.9959999999999809</v>
      </c>
      <c r="K506" s="49">
        <f t="shared" si="15"/>
        <v>0.99966633299967422</v>
      </c>
      <c r="L506" s="54">
        <f>INDEX('Forces+Stresses'!C:C, MATCH(Summary!$A506, 'Forces+Stresses'!$A:$A, 0))</f>
        <v>4264</v>
      </c>
      <c r="M506" s="55">
        <f>INDEX('Forces+Stresses'!D:D, MATCH(Summary!$A506, 'Forces+Stresses'!$A:$A, 0))</f>
        <v>4264</v>
      </c>
      <c r="N506" s="55">
        <f>IFERROR(INDEX('Forces+Stresses'!Q:Q, MATCH(Summary!$A506, 'Forces+Stresses'!$A:$A, 0)), INDEX(Flexjoints!D:D, MATCH(Summary!$A506, Flexjoints!$A:$A, 0)))</f>
        <v>6.6720000000000005E-8</v>
      </c>
      <c r="O506" s="56">
        <f>IFERROR(INDEX('Forces+Stresses'!R:R, MATCH(Summary!$A506, 'Forces+Stresses'!$A:$A, 0)), INDEX(Flexjoints!E:E, MATCH(Summary!$A506, Flexjoints!$A:$A, 0)))</f>
        <v>1.508E-6</v>
      </c>
      <c r="P506" s="33" t="str">
        <f>IF(INDEX(Labels!B:B, MATCH(Summary!$A506, Labels!$A:$A, 0)) = 0, "", INDEX(Labels!B:B, MATCH(Summary!$A506, Labels!$A:$A, 0)))</f>
        <v>{Marine Riser String}</v>
      </c>
      <c r="Q506" s="35" t="str">
        <f>IF(INDEX(Labels!C:C, MATCH(Summary!$A506, Labels!$A:$A, 0)) = 0, "", INDEX(Labels!C:C, MATCH(Summary!$A506, Labels!$A:$A, 0)))</f>
        <v>{Slick Joint}</v>
      </c>
      <c r="R506" s="33" t="str">
        <f>IF(INDEX(Labels!D:D, MATCH(Summary!$A506, Labels!$A:$A, 0)) = 0, "", INDEX(Labels!D:D, MATCH(Summary!$A506, Labels!$A:$A, 0)))</f>
        <v/>
      </c>
      <c r="S506" s="35" t="str">
        <f>IF(INDEX(Labels!E:E, MATCH(Summary!$A506, Labels!$A:$A, 0)) = 0, "", INDEX(Labels!E:E, MATCH(Summary!$A506, Labels!$A:$A, 0)))</f>
        <v/>
      </c>
      <c r="T506" s="33" t="str">
        <f>IF(INDEX(Labels!F:F, MATCH(Summary!$A506, Labels!$A:$A, 0)) = 0, "", INDEX(Labels!F:F, MATCH(Summary!$A506, Labels!$A:$A, 0)))</f>
        <v/>
      </c>
      <c r="U506" s="35" t="str">
        <f>IF(INDEX(Labels!G:G, MATCH(Summary!$A506, Labels!$A:$A, 0)) = 0, "", INDEX(Labels!G:G, MATCH(Summary!$A506, Labels!$A:$A, 0)))</f>
        <v/>
      </c>
      <c r="V506" s="62" t="str">
        <f>IF(INDEX(Labels!H:H, MATCH(Summary!$A506, Labels!$A:$A, 0)) = 0, "", INDEX(Labels!H:H, MATCH(Summary!$A506, Labels!$A:$A, 0)))</f>
        <v/>
      </c>
      <c r="W506" t="str">
        <f>IF(INDEX(Labels!I:I, MATCH(Summary!$A506, Labels!$A:$A, 0)) = 0, "", INDEX(Labels!I:I, MATCH(Summary!$A506, Labels!$A:$A, 0)))</f>
        <v/>
      </c>
      <c r="X506" t="str">
        <f>IF(INDEX(Labels!J:J, MATCH(Summary!$A506, Labels!$A:$A, 0)) = 0, "", INDEX(Labels!J:J, MATCH(Summary!$A506, Labels!$A:$A, 0)))</f>
        <v/>
      </c>
    </row>
    <row r="507" spans="1:24" x14ac:dyDescent="0.2">
      <c r="A507" s="33">
        <f>Labels!A508</f>
        <v>501</v>
      </c>
      <c r="B507" s="34">
        <f>INDEX(EchoData!B:B, MATCH(Summary!$A507, EchoData!$A:$A, 0))</f>
        <v>505</v>
      </c>
      <c r="C507" s="35">
        <f>INDEX(EchoData!C:C, MATCH(Summary!$A507, EchoData!$A:$A, 0))</f>
        <v>506</v>
      </c>
      <c r="D507" s="42">
        <f>INDEX(Displacements!B:B, MATCH(Summary!$B507, Displacements!$A:$A, 0))</f>
        <v>904.68299999999999</v>
      </c>
      <c r="E507" s="43">
        <f>INDEX(Displacements!C:C, MATCH(Summary!$B507, Displacements!$A:$A, 0))</f>
        <v>0</v>
      </c>
      <c r="F507" s="44">
        <f>INDEX(Displacements!D:D, MATCH(Summary!$B507, Displacements!$A:$A, 0))</f>
        <v>0</v>
      </c>
      <c r="G507" s="42">
        <f>INDEX(Displacements!B:B, MATCH(Summary!$C507, Displacements!$A:$A, 0))</f>
        <v>907.68</v>
      </c>
      <c r="H507" s="43">
        <f>INDEX(Displacements!C:C, MATCH(Summary!$C507, Displacements!$A:$A, 0))</f>
        <v>0</v>
      </c>
      <c r="I507" s="44">
        <f>INDEX(Displacements!D:D, MATCH(Summary!$C507, Displacements!$A:$A, 0))</f>
        <v>0</v>
      </c>
      <c r="J507" s="42">
        <f t="shared" si="14"/>
        <v>2.9969999999999573</v>
      </c>
      <c r="K507" s="49">
        <f t="shared" si="15"/>
        <v>1.0003337783711537</v>
      </c>
      <c r="L507" s="54">
        <f>INDEX('Forces+Stresses'!C:C, MATCH(Summary!$A507, 'Forces+Stresses'!$A:$A, 0))</f>
        <v>4286</v>
      </c>
      <c r="M507" s="55">
        <f>INDEX('Forces+Stresses'!D:D, MATCH(Summary!$A507, 'Forces+Stresses'!$A:$A, 0))</f>
        <v>4286</v>
      </c>
      <c r="N507" s="55">
        <f>IFERROR(INDEX('Forces+Stresses'!Q:Q, MATCH(Summary!$A507, 'Forces+Stresses'!$A:$A, 0)), INDEX(Flexjoints!D:D, MATCH(Summary!$A507, Flexjoints!$A:$A, 0)))</f>
        <v>8.001E-8</v>
      </c>
      <c r="O507" s="56">
        <f>IFERROR(INDEX('Forces+Stresses'!R:R, MATCH(Summary!$A507, 'Forces+Stresses'!$A:$A, 0)), INDEX(Flexjoints!E:E, MATCH(Summary!$A507, Flexjoints!$A:$A, 0)))</f>
        <v>1.4699999999999999E-6</v>
      </c>
      <c r="P507" s="33" t="str">
        <f>IF(INDEX(Labels!B:B, MATCH(Summary!$A507, Labels!$A:$A, 0)) = 0, "", INDEX(Labels!B:B, MATCH(Summary!$A507, Labels!$A:$A, 0)))</f>
        <v>{Marine Riser String}</v>
      </c>
      <c r="Q507" s="35" t="str">
        <f>IF(INDEX(Labels!C:C, MATCH(Summary!$A507, Labels!$A:$A, 0)) = 0, "", INDEX(Labels!C:C, MATCH(Summary!$A507, Labels!$A:$A, 0)))</f>
        <v>{Slick Joint}</v>
      </c>
      <c r="R507" s="33" t="str">
        <f>IF(INDEX(Labels!D:D, MATCH(Summary!$A507, Labels!$A:$A, 0)) = 0, "", INDEX(Labels!D:D, MATCH(Summary!$A507, Labels!$A:$A, 0)))</f>
        <v/>
      </c>
      <c r="S507" s="35" t="str">
        <f>IF(INDEX(Labels!E:E, MATCH(Summary!$A507, Labels!$A:$A, 0)) = 0, "", INDEX(Labels!E:E, MATCH(Summary!$A507, Labels!$A:$A, 0)))</f>
        <v/>
      </c>
      <c r="T507" s="33" t="str">
        <f>IF(INDEX(Labels!F:F, MATCH(Summary!$A507, Labels!$A:$A, 0)) = 0, "", INDEX(Labels!F:F, MATCH(Summary!$A507, Labels!$A:$A, 0)))</f>
        <v/>
      </c>
      <c r="U507" s="35" t="str">
        <f>IF(INDEX(Labels!G:G, MATCH(Summary!$A507, Labels!$A:$A, 0)) = 0, "", INDEX(Labels!G:G, MATCH(Summary!$A507, Labels!$A:$A, 0)))</f>
        <v/>
      </c>
      <c r="V507" s="62" t="str">
        <f>IF(INDEX(Labels!H:H, MATCH(Summary!$A507, Labels!$A:$A, 0)) = 0, "", INDEX(Labels!H:H, MATCH(Summary!$A507, Labels!$A:$A, 0)))</f>
        <v/>
      </c>
      <c r="W507" t="str">
        <f>IF(INDEX(Labels!I:I, MATCH(Summary!$A507, Labels!$A:$A, 0)) = 0, "", INDEX(Labels!I:I, MATCH(Summary!$A507, Labels!$A:$A, 0)))</f>
        <v/>
      </c>
      <c r="X507" t="str">
        <f>IF(INDEX(Labels!J:J, MATCH(Summary!$A507, Labels!$A:$A, 0)) = 0, "", INDEX(Labels!J:J, MATCH(Summary!$A507, Labels!$A:$A, 0)))</f>
        <v/>
      </c>
    </row>
    <row r="508" spans="1:24" x14ac:dyDescent="0.2">
      <c r="A508" s="33">
        <f>Labels!A509</f>
        <v>502</v>
      </c>
      <c r="B508" s="34">
        <f>INDEX(EchoData!B:B, MATCH(Summary!$A508, EchoData!$A:$A, 0))</f>
        <v>506</v>
      </c>
      <c r="C508" s="35">
        <f>INDEX(EchoData!C:C, MATCH(Summary!$A508, EchoData!$A:$A, 0))</f>
        <v>507</v>
      </c>
      <c r="D508" s="42">
        <f>INDEX(Displacements!B:B, MATCH(Summary!$B508, Displacements!$A:$A, 0))</f>
        <v>907.68</v>
      </c>
      <c r="E508" s="43">
        <f>INDEX(Displacements!C:C, MATCH(Summary!$B508, Displacements!$A:$A, 0))</f>
        <v>0</v>
      </c>
      <c r="F508" s="44">
        <f>INDEX(Displacements!D:D, MATCH(Summary!$B508, Displacements!$A:$A, 0))</f>
        <v>0</v>
      </c>
      <c r="G508" s="42">
        <f>INDEX(Displacements!B:B, MATCH(Summary!$C508, Displacements!$A:$A, 0))</f>
        <v>910.67600000000004</v>
      </c>
      <c r="H508" s="43">
        <f>INDEX(Displacements!C:C, MATCH(Summary!$C508, Displacements!$A:$A, 0))</f>
        <v>0</v>
      </c>
      <c r="I508" s="44">
        <f>INDEX(Displacements!D:D, MATCH(Summary!$C508, Displacements!$A:$A, 0))</f>
        <v>0</v>
      </c>
      <c r="J508" s="42">
        <f t="shared" si="14"/>
        <v>2.9960000000000946</v>
      </c>
      <c r="K508" s="49">
        <f t="shared" si="15"/>
        <v>0.99966633299971219</v>
      </c>
      <c r="L508" s="54">
        <f>INDEX('Forces+Stresses'!C:C, MATCH(Summary!$A508, 'Forces+Stresses'!$A:$A, 0))</f>
        <v>4308</v>
      </c>
      <c r="M508" s="55">
        <f>INDEX('Forces+Stresses'!D:D, MATCH(Summary!$A508, 'Forces+Stresses'!$A:$A, 0))</f>
        <v>4308</v>
      </c>
      <c r="N508" s="55">
        <f>IFERROR(INDEX('Forces+Stresses'!Q:Q, MATCH(Summary!$A508, 'Forces+Stresses'!$A:$A, 0)), INDEX(Flexjoints!D:D, MATCH(Summary!$A508, Flexjoints!$A:$A, 0)))</f>
        <v>2.4909999999999999E-8</v>
      </c>
      <c r="O508" s="56">
        <f>IFERROR(INDEX('Forces+Stresses'!R:R, MATCH(Summary!$A508, 'Forces+Stresses'!$A:$A, 0)), INDEX(Flexjoints!E:E, MATCH(Summary!$A508, Flexjoints!$A:$A, 0)))</f>
        <v>1.3860000000000002E-6</v>
      </c>
      <c r="P508" s="33" t="str">
        <f>IF(INDEX(Labels!B:B, MATCH(Summary!$A508, Labels!$A:$A, 0)) = 0, "", INDEX(Labels!B:B, MATCH(Summary!$A508, Labels!$A:$A, 0)))</f>
        <v>{Marine Riser String}</v>
      </c>
      <c r="Q508" s="35" t="str">
        <f>IF(INDEX(Labels!C:C, MATCH(Summary!$A508, Labels!$A:$A, 0)) = 0, "", INDEX(Labels!C:C, MATCH(Summary!$A508, Labels!$A:$A, 0)))</f>
        <v>{Slick Joint}</v>
      </c>
      <c r="R508" s="33" t="str">
        <f>IF(INDEX(Labels!D:D, MATCH(Summary!$A508, Labels!$A:$A, 0)) = 0, "", INDEX(Labels!D:D, MATCH(Summary!$A508, Labels!$A:$A, 0)))</f>
        <v/>
      </c>
      <c r="S508" s="35" t="str">
        <f>IF(INDEX(Labels!E:E, MATCH(Summary!$A508, Labels!$A:$A, 0)) = 0, "", INDEX(Labels!E:E, MATCH(Summary!$A508, Labels!$A:$A, 0)))</f>
        <v/>
      </c>
      <c r="T508" s="33" t="str">
        <f>IF(INDEX(Labels!F:F, MATCH(Summary!$A508, Labels!$A:$A, 0)) = 0, "", INDEX(Labels!F:F, MATCH(Summary!$A508, Labels!$A:$A, 0)))</f>
        <v/>
      </c>
      <c r="U508" s="35" t="str">
        <f>IF(INDEX(Labels!G:G, MATCH(Summary!$A508, Labels!$A:$A, 0)) = 0, "", INDEX(Labels!G:G, MATCH(Summary!$A508, Labels!$A:$A, 0)))</f>
        <v/>
      </c>
      <c r="V508" s="62" t="str">
        <f>IF(INDEX(Labels!H:H, MATCH(Summary!$A508, Labels!$A:$A, 0)) = 0, "", INDEX(Labels!H:H, MATCH(Summary!$A508, Labels!$A:$A, 0)))</f>
        <v/>
      </c>
      <c r="W508" t="str">
        <f>IF(INDEX(Labels!I:I, MATCH(Summary!$A508, Labels!$A:$A, 0)) = 0, "", INDEX(Labels!I:I, MATCH(Summary!$A508, Labels!$A:$A, 0)))</f>
        <v/>
      </c>
      <c r="X508" t="str">
        <f>IF(INDEX(Labels!J:J, MATCH(Summary!$A508, Labels!$A:$A, 0)) = 0, "", INDEX(Labels!J:J, MATCH(Summary!$A508, Labels!$A:$A, 0)))</f>
        <v/>
      </c>
    </row>
    <row r="509" spans="1:24" x14ac:dyDescent="0.2">
      <c r="A509" s="33">
        <f>Labels!A510</f>
        <v>503</v>
      </c>
      <c r="B509" s="34">
        <f>INDEX(EchoData!B:B, MATCH(Summary!$A509, EchoData!$A:$A, 0))</f>
        <v>507</v>
      </c>
      <c r="C509" s="35">
        <f>INDEX(EchoData!C:C, MATCH(Summary!$A509, EchoData!$A:$A, 0))</f>
        <v>508</v>
      </c>
      <c r="D509" s="42">
        <f>INDEX(Displacements!B:B, MATCH(Summary!$B509, Displacements!$A:$A, 0))</f>
        <v>910.67600000000004</v>
      </c>
      <c r="E509" s="43">
        <f>INDEX(Displacements!C:C, MATCH(Summary!$B509, Displacements!$A:$A, 0))</f>
        <v>0</v>
      </c>
      <c r="F509" s="44">
        <f>INDEX(Displacements!D:D, MATCH(Summary!$B509, Displacements!$A:$A, 0))</f>
        <v>0</v>
      </c>
      <c r="G509" s="42">
        <f>INDEX(Displacements!B:B, MATCH(Summary!$C509, Displacements!$A:$A, 0))</f>
        <v>913.673</v>
      </c>
      <c r="H509" s="43">
        <f>INDEX(Displacements!C:C, MATCH(Summary!$C509, Displacements!$A:$A, 0))</f>
        <v>0</v>
      </c>
      <c r="I509" s="44">
        <f>INDEX(Displacements!D:D, MATCH(Summary!$C509, Displacements!$A:$A, 0))</f>
        <v>0</v>
      </c>
      <c r="J509" s="42">
        <f t="shared" si="14"/>
        <v>2.9969999999999573</v>
      </c>
      <c r="K509" s="49">
        <f t="shared" si="15"/>
        <v>1.0003337783711157</v>
      </c>
      <c r="L509" s="54">
        <f>INDEX('Forces+Stresses'!C:C, MATCH(Summary!$A509, 'Forces+Stresses'!$A:$A, 0))</f>
        <v>4330</v>
      </c>
      <c r="M509" s="55">
        <f>INDEX('Forces+Stresses'!D:D, MATCH(Summary!$A509, 'Forces+Stresses'!$A:$A, 0))</f>
        <v>4330</v>
      </c>
      <c r="N509" s="55">
        <f>IFERROR(INDEX('Forces+Stresses'!Q:Q, MATCH(Summary!$A509, 'Forces+Stresses'!$A:$A, 0)), INDEX(Flexjoints!D:D, MATCH(Summary!$A509, Flexjoints!$A:$A, 0)))</f>
        <v>5.0150000000000002E-8</v>
      </c>
      <c r="O509" s="56">
        <f>IFERROR(INDEX('Forces+Stresses'!R:R, MATCH(Summary!$A509, 'Forces+Stresses'!$A:$A, 0)), INDEX(Flexjoints!E:E, MATCH(Summary!$A509, Flexjoints!$A:$A, 0)))</f>
        <v>1.412E-6</v>
      </c>
      <c r="P509" s="33" t="str">
        <f>IF(INDEX(Labels!B:B, MATCH(Summary!$A509, Labels!$A:$A, 0)) = 0, "", INDEX(Labels!B:B, MATCH(Summary!$A509, Labels!$A:$A, 0)))</f>
        <v>{Marine Riser String}</v>
      </c>
      <c r="Q509" s="35" t="str">
        <f>IF(INDEX(Labels!C:C, MATCH(Summary!$A509, Labels!$A:$A, 0)) = 0, "", INDEX(Labels!C:C, MATCH(Summary!$A509, Labels!$A:$A, 0)))</f>
        <v>{Slick Joint}</v>
      </c>
      <c r="R509" s="33" t="str">
        <f>IF(INDEX(Labels!D:D, MATCH(Summary!$A509, Labels!$A:$A, 0)) = 0, "", INDEX(Labels!D:D, MATCH(Summary!$A509, Labels!$A:$A, 0)))</f>
        <v/>
      </c>
      <c r="S509" s="35" t="str">
        <f>IF(INDEX(Labels!E:E, MATCH(Summary!$A509, Labels!$A:$A, 0)) = 0, "", INDEX(Labels!E:E, MATCH(Summary!$A509, Labels!$A:$A, 0)))</f>
        <v/>
      </c>
      <c r="T509" s="33" t="str">
        <f>IF(INDEX(Labels!F:F, MATCH(Summary!$A509, Labels!$A:$A, 0)) = 0, "", INDEX(Labels!F:F, MATCH(Summary!$A509, Labels!$A:$A, 0)))</f>
        <v/>
      </c>
      <c r="U509" s="35" t="str">
        <f>IF(INDEX(Labels!G:G, MATCH(Summary!$A509, Labels!$A:$A, 0)) = 0, "", INDEX(Labels!G:G, MATCH(Summary!$A509, Labels!$A:$A, 0)))</f>
        <v/>
      </c>
      <c r="V509" s="62" t="str">
        <f>IF(INDEX(Labels!H:H, MATCH(Summary!$A509, Labels!$A:$A, 0)) = 0, "", INDEX(Labels!H:H, MATCH(Summary!$A509, Labels!$A:$A, 0)))</f>
        <v/>
      </c>
      <c r="W509" t="str">
        <f>IF(INDEX(Labels!I:I, MATCH(Summary!$A509, Labels!$A:$A, 0)) = 0, "", INDEX(Labels!I:I, MATCH(Summary!$A509, Labels!$A:$A, 0)))</f>
        <v/>
      </c>
      <c r="X509" t="str">
        <f>IF(INDEX(Labels!J:J, MATCH(Summary!$A509, Labels!$A:$A, 0)) = 0, "", INDEX(Labels!J:J, MATCH(Summary!$A509, Labels!$A:$A, 0)))</f>
        <v/>
      </c>
    </row>
    <row r="510" spans="1:24" x14ac:dyDescent="0.2">
      <c r="A510" s="33">
        <f>Labels!A511</f>
        <v>504</v>
      </c>
      <c r="B510" s="34">
        <f>INDEX(EchoData!B:B, MATCH(Summary!$A510, EchoData!$A:$A, 0))</f>
        <v>508</v>
      </c>
      <c r="C510" s="35">
        <f>INDEX(EchoData!C:C, MATCH(Summary!$A510, EchoData!$A:$A, 0))</f>
        <v>509</v>
      </c>
      <c r="D510" s="42">
        <f>INDEX(Displacements!B:B, MATCH(Summary!$B510, Displacements!$A:$A, 0))</f>
        <v>913.673</v>
      </c>
      <c r="E510" s="43">
        <f>INDEX(Displacements!C:C, MATCH(Summary!$B510, Displacements!$A:$A, 0))</f>
        <v>0</v>
      </c>
      <c r="F510" s="44">
        <f>INDEX(Displacements!D:D, MATCH(Summary!$B510, Displacements!$A:$A, 0))</f>
        <v>0</v>
      </c>
      <c r="G510" s="42">
        <f>INDEX(Displacements!B:B, MATCH(Summary!$C510, Displacements!$A:$A, 0))</f>
        <v>916.66899999999998</v>
      </c>
      <c r="H510" s="43">
        <f>INDEX(Displacements!C:C, MATCH(Summary!$C510, Displacements!$A:$A, 0))</f>
        <v>0</v>
      </c>
      <c r="I510" s="44">
        <f>INDEX(Displacements!D:D, MATCH(Summary!$C510, Displacements!$A:$A, 0))</f>
        <v>0</v>
      </c>
      <c r="J510" s="42">
        <f t="shared" si="14"/>
        <v>2.9959999999999809</v>
      </c>
      <c r="K510" s="49">
        <f t="shared" si="15"/>
        <v>0.99966633299967422</v>
      </c>
      <c r="L510" s="54">
        <f>INDEX('Forces+Stresses'!C:C, MATCH(Summary!$A510, 'Forces+Stresses'!$A:$A, 0))</f>
        <v>4352</v>
      </c>
      <c r="M510" s="55">
        <f>INDEX('Forces+Stresses'!D:D, MATCH(Summary!$A510, 'Forces+Stresses'!$A:$A, 0))</f>
        <v>4352</v>
      </c>
      <c r="N510" s="55">
        <f>IFERROR(INDEX('Forces+Stresses'!Q:Q, MATCH(Summary!$A510, 'Forces+Stresses'!$A:$A, 0)), INDEX(Flexjoints!D:D, MATCH(Summary!$A510, Flexjoints!$A:$A, 0)))</f>
        <v>5.0290000000000002E-8</v>
      </c>
      <c r="O510" s="56">
        <f>IFERROR(INDEX('Forces+Stresses'!R:R, MATCH(Summary!$A510, 'Forces+Stresses'!$A:$A, 0)), INDEX(Flexjoints!E:E, MATCH(Summary!$A510, Flexjoints!$A:$A, 0)))</f>
        <v>1.4610000000000001E-6</v>
      </c>
      <c r="P510" s="33" t="str">
        <f>IF(INDEX(Labels!B:B, MATCH(Summary!$A510, Labels!$A:$A, 0)) = 0, "", INDEX(Labels!B:B, MATCH(Summary!$A510, Labels!$A:$A, 0)))</f>
        <v>{Marine Riser String}</v>
      </c>
      <c r="Q510" s="35" t="str">
        <f>IF(INDEX(Labels!C:C, MATCH(Summary!$A510, Labels!$A:$A, 0)) = 0, "", INDEX(Labels!C:C, MATCH(Summary!$A510, Labels!$A:$A, 0)))</f>
        <v>{Slick Joint}</v>
      </c>
      <c r="R510" s="33" t="str">
        <f>IF(INDEX(Labels!D:D, MATCH(Summary!$A510, Labels!$A:$A, 0)) = 0, "", INDEX(Labels!D:D, MATCH(Summary!$A510, Labels!$A:$A, 0)))</f>
        <v/>
      </c>
      <c r="S510" s="35" t="str">
        <f>IF(INDEX(Labels!E:E, MATCH(Summary!$A510, Labels!$A:$A, 0)) = 0, "", INDEX(Labels!E:E, MATCH(Summary!$A510, Labels!$A:$A, 0)))</f>
        <v/>
      </c>
      <c r="T510" s="33" t="str">
        <f>IF(INDEX(Labels!F:F, MATCH(Summary!$A510, Labels!$A:$A, 0)) = 0, "", INDEX(Labels!F:F, MATCH(Summary!$A510, Labels!$A:$A, 0)))</f>
        <v/>
      </c>
      <c r="U510" s="35" t="str">
        <f>IF(INDEX(Labels!G:G, MATCH(Summary!$A510, Labels!$A:$A, 0)) = 0, "", INDEX(Labels!G:G, MATCH(Summary!$A510, Labels!$A:$A, 0)))</f>
        <v/>
      </c>
      <c r="V510" s="62" t="str">
        <f>IF(INDEX(Labels!H:H, MATCH(Summary!$A510, Labels!$A:$A, 0)) = 0, "", INDEX(Labels!H:H, MATCH(Summary!$A510, Labels!$A:$A, 0)))</f>
        <v/>
      </c>
      <c r="W510" t="str">
        <f>IF(INDEX(Labels!I:I, MATCH(Summary!$A510, Labels!$A:$A, 0)) = 0, "", INDEX(Labels!I:I, MATCH(Summary!$A510, Labels!$A:$A, 0)))</f>
        <v/>
      </c>
      <c r="X510" t="str">
        <f>IF(INDEX(Labels!J:J, MATCH(Summary!$A510, Labels!$A:$A, 0)) = 0, "", INDEX(Labels!J:J, MATCH(Summary!$A510, Labels!$A:$A, 0)))</f>
        <v/>
      </c>
    </row>
    <row r="511" spans="1:24" x14ac:dyDescent="0.2">
      <c r="A511" s="33">
        <f>Labels!A512</f>
        <v>505</v>
      </c>
      <c r="B511" s="34">
        <f>INDEX(EchoData!B:B, MATCH(Summary!$A511, EchoData!$A:$A, 0))</f>
        <v>509</v>
      </c>
      <c r="C511" s="35">
        <f>INDEX(EchoData!C:C, MATCH(Summary!$A511, EchoData!$A:$A, 0))</f>
        <v>510</v>
      </c>
      <c r="D511" s="42">
        <f>INDEX(Displacements!B:B, MATCH(Summary!$B511, Displacements!$A:$A, 0))</f>
        <v>916.66899999999998</v>
      </c>
      <c r="E511" s="43">
        <f>INDEX(Displacements!C:C, MATCH(Summary!$B511, Displacements!$A:$A, 0))</f>
        <v>0</v>
      </c>
      <c r="F511" s="44">
        <f>INDEX(Displacements!D:D, MATCH(Summary!$B511, Displacements!$A:$A, 0))</f>
        <v>0</v>
      </c>
      <c r="G511" s="42">
        <f>INDEX(Displacements!B:B, MATCH(Summary!$C511, Displacements!$A:$A, 0))</f>
        <v>919.66499999999996</v>
      </c>
      <c r="H511" s="43">
        <f>INDEX(Displacements!C:C, MATCH(Summary!$C511, Displacements!$A:$A, 0))</f>
        <v>0</v>
      </c>
      <c r="I511" s="44">
        <f>INDEX(Displacements!D:D, MATCH(Summary!$C511, Displacements!$A:$A, 0))</f>
        <v>0</v>
      </c>
      <c r="J511" s="42">
        <f t="shared" si="14"/>
        <v>2.9959999999999809</v>
      </c>
      <c r="K511" s="49">
        <f t="shared" si="15"/>
        <v>1</v>
      </c>
      <c r="L511" s="54">
        <f>INDEX('Forces+Stresses'!C:C, MATCH(Summary!$A511, 'Forces+Stresses'!$A:$A, 0))</f>
        <v>4374</v>
      </c>
      <c r="M511" s="55">
        <f>INDEX('Forces+Stresses'!D:D, MATCH(Summary!$A511, 'Forces+Stresses'!$A:$A, 0))</f>
        <v>4374</v>
      </c>
      <c r="N511" s="55">
        <f>IFERROR(INDEX('Forces+Stresses'!Q:Q, MATCH(Summary!$A511, 'Forces+Stresses'!$A:$A, 0)), INDEX(Flexjoints!D:D, MATCH(Summary!$A511, Flexjoints!$A:$A, 0)))</f>
        <v>4.2489999999999999E-8</v>
      </c>
      <c r="O511" s="56">
        <f>IFERROR(INDEX('Forces+Stresses'!R:R, MATCH(Summary!$A511, 'Forces+Stresses'!$A:$A, 0)), INDEX(Flexjoints!E:E, MATCH(Summary!$A511, Flexjoints!$A:$A, 0)))</f>
        <v>1.4450000000000001E-6</v>
      </c>
      <c r="P511" s="33" t="str">
        <f>IF(INDEX(Labels!B:B, MATCH(Summary!$A511, Labels!$A:$A, 0)) = 0, "", INDEX(Labels!B:B, MATCH(Summary!$A511, Labels!$A:$A, 0)))</f>
        <v>{Marine Riser String}</v>
      </c>
      <c r="Q511" s="35" t="str">
        <f>IF(INDEX(Labels!C:C, MATCH(Summary!$A511, Labels!$A:$A, 0)) = 0, "", INDEX(Labels!C:C, MATCH(Summary!$A511, Labels!$A:$A, 0)))</f>
        <v>{Slick Joint}</v>
      </c>
      <c r="R511" s="33" t="str">
        <f>IF(INDEX(Labels!D:D, MATCH(Summary!$A511, Labels!$A:$A, 0)) = 0, "", INDEX(Labels!D:D, MATCH(Summary!$A511, Labels!$A:$A, 0)))</f>
        <v/>
      </c>
      <c r="S511" s="35" t="str">
        <f>IF(INDEX(Labels!E:E, MATCH(Summary!$A511, Labels!$A:$A, 0)) = 0, "", INDEX(Labels!E:E, MATCH(Summary!$A511, Labels!$A:$A, 0)))</f>
        <v/>
      </c>
      <c r="T511" s="33" t="str">
        <f>IF(INDEX(Labels!F:F, MATCH(Summary!$A511, Labels!$A:$A, 0)) = 0, "", INDEX(Labels!F:F, MATCH(Summary!$A511, Labels!$A:$A, 0)))</f>
        <v/>
      </c>
      <c r="U511" s="35" t="str">
        <f>IF(INDEX(Labels!G:G, MATCH(Summary!$A511, Labels!$A:$A, 0)) = 0, "", INDEX(Labels!G:G, MATCH(Summary!$A511, Labels!$A:$A, 0)))</f>
        <v/>
      </c>
      <c r="V511" s="62" t="str">
        <f>IF(INDEX(Labels!H:H, MATCH(Summary!$A511, Labels!$A:$A, 0)) = 0, "", INDEX(Labels!H:H, MATCH(Summary!$A511, Labels!$A:$A, 0)))</f>
        <v/>
      </c>
      <c r="W511" t="str">
        <f>IF(INDEX(Labels!I:I, MATCH(Summary!$A511, Labels!$A:$A, 0)) = 0, "", INDEX(Labels!I:I, MATCH(Summary!$A511, Labels!$A:$A, 0)))</f>
        <v/>
      </c>
      <c r="X511" t="str">
        <f>IF(INDEX(Labels!J:J, MATCH(Summary!$A511, Labels!$A:$A, 0)) = 0, "", INDEX(Labels!J:J, MATCH(Summary!$A511, Labels!$A:$A, 0)))</f>
        <v/>
      </c>
    </row>
    <row r="512" spans="1:24" x14ac:dyDescent="0.2">
      <c r="A512" s="33">
        <f>Labels!A513</f>
        <v>506</v>
      </c>
      <c r="B512" s="34">
        <f>INDEX(EchoData!B:B, MATCH(Summary!$A512, EchoData!$A:$A, 0))</f>
        <v>510</v>
      </c>
      <c r="C512" s="35">
        <f>INDEX(EchoData!C:C, MATCH(Summary!$A512, EchoData!$A:$A, 0))</f>
        <v>511</v>
      </c>
      <c r="D512" s="42">
        <f>INDEX(Displacements!B:B, MATCH(Summary!$B512, Displacements!$A:$A, 0))</f>
        <v>919.66499999999996</v>
      </c>
      <c r="E512" s="43">
        <f>INDEX(Displacements!C:C, MATCH(Summary!$B512, Displacements!$A:$A, 0))</f>
        <v>0</v>
      </c>
      <c r="F512" s="44">
        <f>INDEX(Displacements!D:D, MATCH(Summary!$B512, Displacements!$A:$A, 0))</f>
        <v>0</v>
      </c>
      <c r="G512" s="42">
        <f>INDEX(Displacements!B:B, MATCH(Summary!$C512, Displacements!$A:$A, 0))</f>
        <v>922.66200000000003</v>
      </c>
      <c r="H512" s="43">
        <f>INDEX(Displacements!C:C, MATCH(Summary!$C512, Displacements!$A:$A, 0))</f>
        <v>0</v>
      </c>
      <c r="I512" s="44">
        <f>INDEX(Displacements!D:D, MATCH(Summary!$C512, Displacements!$A:$A, 0))</f>
        <v>0</v>
      </c>
      <c r="J512" s="42">
        <f t="shared" si="14"/>
        <v>2.9970000000000709</v>
      </c>
      <c r="K512" s="49">
        <f t="shared" si="15"/>
        <v>1.0003337783711916</v>
      </c>
      <c r="L512" s="54">
        <f>INDEX('Forces+Stresses'!C:C, MATCH(Summary!$A512, 'Forces+Stresses'!$A:$A, 0))</f>
        <v>4396</v>
      </c>
      <c r="M512" s="55">
        <f>INDEX('Forces+Stresses'!D:D, MATCH(Summary!$A512, 'Forces+Stresses'!$A:$A, 0))</f>
        <v>4396</v>
      </c>
      <c r="N512" s="55">
        <f>IFERROR(INDEX('Forces+Stresses'!Q:Q, MATCH(Summary!$A512, 'Forces+Stresses'!$A:$A, 0)), INDEX(Flexjoints!D:D, MATCH(Summary!$A512, Flexjoints!$A:$A, 0)))</f>
        <v>3.1329999999999997E-8</v>
      </c>
      <c r="O512" s="56">
        <f>IFERROR(INDEX('Forces+Stresses'!R:R, MATCH(Summary!$A512, 'Forces+Stresses'!$A:$A, 0)), INDEX(Flexjoints!E:E, MATCH(Summary!$A512, Flexjoints!$A:$A, 0)))</f>
        <v>1.48E-6</v>
      </c>
      <c r="P512" s="33" t="str">
        <f>IF(INDEX(Labels!B:B, MATCH(Summary!$A512, Labels!$A:$A, 0)) = 0, "", INDEX(Labels!B:B, MATCH(Summary!$A512, Labels!$A:$A, 0)))</f>
        <v>{Marine Riser String}</v>
      </c>
      <c r="Q512" s="35" t="str">
        <f>IF(INDEX(Labels!C:C, MATCH(Summary!$A512, Labels!$A:$A, 0)) = 0, "", INDEX(Labels!C:C, MATCH(Summary!$A512, Labels!$A:$A, 0)))</f>
        <v>{Slick Joint}</v>
      </c>
      <c r="R512" s="33" t="str">
        <f>IF(INDEX(Labels!D:D, MATCH(Summary!$A512, Labels!$A:$A, 0)) = 0, "", INDEX(Labels!D:D, MATCH(Summary!$A512, Labels!$A:$A, 0)))</f>
        <v/>
      </c>
      <c r="S512" s="35" t="str">
        <f>IF(INDEX(Labels!E:E, MATCH(Summary!$A512, Labels!$A:$A, 0)) = 0, "", INDEX(Labels!E:E, MATCH(Summary!$A512, Labels!$A:$A, 0)))</f>
        <v/>
      </c>
      <c r="T512" s="33" t="str">
        <f>IF(INDEX(Labels!F:F, MATCH(Summary!$A512, Labels!$A:$A, 0)) = 0, "", INDEX(Labels!F:F, MATCH(Summary!$A512, Labels!$A:$A, 0)))</f>
        <v/>
      </c>
      <c r="U512" s="35" t="str">
        <f>IF(INDEX(Labels!G:G, MATCH(Summary!$A512, Labels!$A:$A, 0)) = 0, "", INDEX(Labels!G:G, MATCH(Summary!$A512, Labels!$A:$A, 0)))</f>
        <v/>
      </c>
      <c r="V512" s="62" t="str">
        <f>IF(INDEX(Labels!H:H, MATCH(Summary!$A512, Labels!$A:$A, 0)) = 0, "", INDEX(Labels!H:H, MATCH(Summary!$A512, Labels!$A:$A, 0)))</f>
        <v/>
      </c>
      <c r="W512" t="str">
        <f>IF(INDEX(Labels!I:I, MATCH(Summary!$A512, Labels!$A:$A, 0)) = 0, "", INDEX(Labels!I:I, MATCH(Summary!$A512, Labels!$A:$A, 0)))</f>
        <v/>
      </c>
      <c r="X512" t="str">
        <f>IF(INDEX(Labels!J:J, MATCH(Summary!$A512, Labels!$A:$A, 0)) = 0, "", INDEX(Labels!J:J, MATCH(Summary!$A512, Labels!$A:$A, 0)))</f>
        <v/>
      </c>
    </row>
    <row r="513" spans="1:24" x14ac:dyDescent="0.2">
      <c r="A513" s="33">
        <f>Labels!A514</f>
        <v>507</v>
      </c>
      <c r="B513" s="34">
        <f>INDEX(EchoData!B:B, MATCH(Summary!$A513, EchoData!$A:$A, 0))</f>
        <v>511</v>
      </c>
      <c r="C513" s="35">
        <f>INDEX(EchoData!C:C, MATCH(Summary!$A513, EchoData!$A:$A, 0))</f>
        <v>512</v>
      </c>
      <c r="D513" s="42">
        <f>INDEX(Displacements!B:B, MATCH(Summary!$B513, Displacements!$A:$A, 0))</f>
        <v>922.66200000000003</v>
      </c>
      <c r="E513" s="43">
        <f>INDEX(Displacements!C:C, MATCH(Summary!$B513, Displacements!$A:$A, 0))</f>
        <v>0</v>
      </c>
      <c r="F513" s="44">
        <f>INDEX(Displacements!D:D, MATCH(Summary!$B513, Displacements!$A:$A, 0))</f>
        <v>0</v>
      </c>
      <c r="G513" s="42">
        <f>INDEX(Displacements!B:B, MATCH(Summary!$C513, Displacements!$A:$A, 0))</f>
        <v>925.65800000000002</v>
      </c>
      <c r="H513" s="43">
        <f>INDEX(Displacements!C:C, MATCH(Summary!$C513, Displacements!$A:$A, 0))</f>
        <v>0</v>
      </c>
      <c r="I513" s="44">
        <f>INDEX(Displacements!D:D, MATCH(Summary!$C513, Displacements!$A:$A, 0))</f>
        <v>0</v>
      </c>
      <c r="J513" s="42">
        <f t="shared" si="14"/>
        <v>2.9959999999999809</v>
      </c>
      <c r="K513" s="49">
        <f t="shared" si="15"/>
        <v>0.99966633299963625</v>
      </c>
      <c r="L513" s="54">
        <f>INDEX('Forces+Stresses'!C:C, MATCH(Summary!$A513, 'Forces+Stresses'!$A:$A, 0))</f>
        <v>4418</v>
      </c>
      <c r="M513" s="55">
        <f>INDEX('Forces+Stresses'!D:D, MATCH(Summary!$A513, 'Forces+Stresses'!$A:$A, 0))</f>
        <v>4418</v>
      </c>
      <c r="N513" s="55">
        <f>IFERROR(INDEX('Forces+Stresses'!Q:Q, MATCH(Summary!$A513, 'Forces+Stresses'!$A:$A, 0)), INDEX(Flexjoints!D:D, MATCH(Summary!$A513, Flexjoints!$A:$A, 0)))</f>
        <v>9.3629999999999999E-8</v>
      </c>
      <c r="O513" s="56">
        <f>IFERROR(INDEX('Forces+Stresses'!R:R, MATCH(Summary!$A513, 'Forces+Stresses'!$A:$A, 0)), INDEX(Flexjoints!E:E, MATCH(Summary!$A513, Flexjoints!$A:$A, 0)))</f>
        <v>1.536E-6</v>
      </c>
      <c r="P513" s="33" t="str">
        <f>IF(INDEX(Labels!B:B, MATCH(Summary!$A513, Labels!$A:$A, 0)) = 0, "", INDEX(Labels!B:B, MATCH(Summary!$A513, Labels!$A:$A, 0)))</f>
        <v>{Marine Riser String}</v>
      </c>
      <c r="Q513" s="35" t="str">
        <f>IF(INDEX(Labels!C:C, MATCH(Summary!$A513, Labels!$A:$A, 0)) = 0, "", INDEX(Labels!C:C, MATCH(Summary!$A513, Labels!$A:$A, 0)))</f>
        <v>{Slick Joint}</v>
      </c>
      <c r="R513" s="33" t="str">
        <f>IF(INDEX(Labels!D:D, MATCH(Summary!$A513, Labels!$A:$A, 0)) = 0, "", INDEX(Labels!D:D, MATCH(Summary!$A513, Labels!$A:$A, 0)))</f>
        <v/>
      </c>
      <c r="S513" s="35" t="str">
        <f>IF(INDEX(Labels!E:E, MATCH(Summary!$A513, Labels!$A:$A, 0)) = 0, "", INDEX(Labels!E:E, MATCH(Summary!$A513, Labels!$A:$A, 0)))</f>
        <v/>
      </c>
      <c r="T513" s="33" t="str">
        <f>IF(INDEX(Labels!F:F, MATCH(Summary!$A513, Labels!$A:$A, 0)) = 0, "", INDEX(Labels!F:F, MATCH(Summary!$A513, Labels!$A:$A, 0)))</f>
        <v/>
      </c>
      <c r="U513" s="35" t="str">
        <f>IF(INDEX(Labels!G:G, MATCH(Summary!$A513, Labels!$A:$A, 0)) = 0, "", INDEX(Labels!G:G, MATCH(Summary!$A513, Labels!$A:$A, 0)))</f>
        <v/>
      </c>
      <c r="V513" s="62" t="str">
        <f>IF(INDEX(Labels!H:H, MATCH(Summary!$A513, Labels!$A:$A, 0)) = 0, "", INDEX(Labels!H:H, MATCH(Summary!$A513, Labels!$A:$A, 0)))</f>
        <v/>
      </c>
      <c r="W513" t="str">
        <f>IF(INDEX(Labels!I:I, MATCH(Summary!$A513, Labels!$A:$A, 0)) = 0, "", INDEX(Labels!I:I, MATCH(Summary!$A513, Labels!$A:$A, 0)))</f>
        <v/>
      </c>
      <c r="X513" t="str">
        <f>IF(INDEX(Labels!J:J, MATCH(Summary!$A513, Labels!$A:$A, 0)) = 0, "", INDEX(Labels!J:J, MATCH(Summary!$A513, Labels!$A:$A, 0)))</f>
        <v/>
      </c>
    </row>
    <row r="514" spans="1:24" x14ac:dyDescent="0.2">
      <c r="A514" s="33">
        <f>Labels!A515</f>
        <v>508</v>
      </c>
      <c r="B514" s="34">
        <f>INDEX(EchoData!B:B, MATCH(Summary!$A514, EchoData!$A:$A, 0))</f>
        <v>512</v>
      </c>
      <c r="C514" s="35">
        <f>INDEX(EchoData!C:C, MATCH(Summary!$A514, EchoData!$A:$A, 0))</f>
        <v>513</v>
      </c>
      <c r="D514" s="42">
        <f>INDEX(Displacements!B:B, MATCH(Summary!$B514, Displacements!$A:$A, 0))</f>
        <v>925.65800000000002</v>
      </c>
      <c r="E514" s="43">
        <f>INDEX(Displacements!C:C, MATCH(Summary!$B514, Displacements!$A:$A, 0))</f>
        <v>0</v>
      </c>
      <c r="F514" s="44">
        <f>INDEX(Displacements!D:D, MATCH(Summary!$B514, Displacements!$A:$A, 0))</f>
        <v>0</v>
      </c>
      <c r="G514" s="42">
        <f>INDEX(Displacements!B:B, MATCH(Summary!$C514, Displacements!$A:$A, 0))</f>
        <v>928.65499999999997</v>
      </c>
      <c r="H514" s="43">
        <f>INDEX(Displacements!C:C, MATCH(Summary!$C514, Displacements!$A:$A, 0))</f>
        <v>0</v>
      </c>
      <c r="I514" s="44">
        <f>INDEX(Displacements!D:D, MATCH(Summary!$C514, Displacements!$A:$A, 0))</f>
        <v>0</v>
      </c>
      <c r="J514" s="42">
        <f t="shared" si="14"/>
        <v>2.9969999999999573</v>
      </c>
      <c r="K514" s="49">
        <f t="shared" si="15"/>
        <v>1.0003337783711537</v>
      </c>
      <c r="L514" s="54">
        <f>INDEX('Forces+Stresses'!C:C, MATCH(Summary!$A514, 'Forces+Stresses'!$A:$A, 0))</f>
        <v>4440</v>
      </c>
      <c r="M514" s="55">
        <f>INDEX('Forces+Stresses'!D:D, MATCH(Summary!$A514, 'Forces+Stresses'!$A:$A, 0))</f>
        <v>4440</v>
      </c>
      <c r="N514" s="55">
        <f>IFERROR(INDEX('Forces+Stresses'!Q:Q, MATCH(Summary!$A514, 'Forces+Stresses'!$A:$A, 0)), INDEX(Flexjoints!D:D, MATCH(Summary!$A514, Flexjoints!$A:$A, 0)))</f>
        <v>3.9709999999999996E-8</v>
      </c>
      <c r="O514" s="56">
        <f>IFERROR(INDEX('Forces+Stresses'!R:R, MATCH(Summary!$A514, 'Forces+Stresses'!$A:$A, 0)), INDEX(Flexjoints!E:E, MATCH(Summary!$A514, Flexjoints!$A:$A, 0)))</f>
        <v>1.5269999999999999E-6</v>
      </c>
      <c r="P514" s="33" t="str">
        <f>IF(INDEX(Labels!B:B, MATCH(Summary!$A514, Labels!$A:$A, 0)) = 0, "", INDEX(Labels!B:B, MATCH(Summary!$A514, Labels!$A:$A, 0)))</f>
        <v>{Marine Riser String}</v>
      </c>
      <c r="Q514" s="35" t="str">
        <f>IF(INDEX(Labels!C:C, MATCH(Summary!$A514, Labels!$A:$A, 0)) = 0, "", INDEX(Labels!C:C, MATCH(Summary!$A514, Labels!$A:$A, 0)))</f>
        <v>{Slick Joint}</v>
      </c>
      <c r="R514" s="33" t="str">
        <f>IF(INDEX(Labels!D:D, MATCH(Summary!$A514, Labels!$A:$A, 0)) = 0, "", INDEX(Labels!D:D, MATCH(Summary!$A514, Labels!$A:$A, 0)))</f>
        <v/>
      </c>
      <c r="S514" s="35" t="str">
        <f>IF(INDEX(Labels!E:E, MATCH(Summary!$A514, Labels!$A:$A, 0)) = 0, "", INDEX(Labels!E:E, MATCH(Summary!$A514, Labels!$A:$A, 0)))</f>
        <v/>
      </c>
      <c r="T514" s="33" t="str">
        <f>IF(INDEX(Labels!F:F, MATCH(Summary!$A514, Labels!$A:$A, 0)) = 0, "", INDEX(Labels!F:F, MATCH(Summary!$A514, Labels!$A:$A, 0)))</f>
        <v/>
      </c>
      <c r="U514" s="35" t="str">
        <f>IF(INDEX(Labels!G:G, MATCH(Summary!$A514, Labels!$A:$A, 0)) = 0, "", INDEX(Labels!G:G, MATCH(Summary!$A514, Labels!$A:$A, 0)))</f>
        <v/>
      </c>
      <c r="V514" s="62" t="str">
        <f>IF(INDEX(Labels!H:H, MATCH(Summary!$A514, Labels!$A:$A, 0)) = 0, "", INDEX(Labels!H:H, MATCH(Summary!$A514, Labels!$A:$A, 0)))</f>
        <v/>
      </c>
      <c r="W514" t="str">
        <f>IF(INDEX(Labels!I:I, MATCH(Summary!$A514, Labels!$A:$A, 0)) = 0, "", INDEX(Labels!I:I, MATCH(Summary!$A514, Labels!$A:$A, 0)))</f>
        <v/>
      </c>
      <c r="X514" t="str">
        <f>IF(INDEX(Labels!J:J, MATCH(Summary!$A514, Labels!$A:$A, 0)) = 0, "", INDEX(Labels!J:J, MATCH(Summary!$A514, Labels!$A:$A, 0)))</f>
        <v/>
      </c>
    </row>
    <row r="515" spans="1:24" x14ac:dyDescent="0.2">
      <c r="A515" s="33">
        <f>Labels!A516</f>
        <v>509</v>
      </c>
      <c r="B515" s="34">
        <f>INDEX(EchoData!B:B, MATCH(Summary!$A515, EchoData!$A:$A, 0))</f>
        <v>513</v>
      </c>
      <c r="C515" s="35">
        <f>INDEX(EchoData!C:C, MATCH(Summary!$A515, EchoData!$A:$A, 0))</f>
        <v>514</v>
      </c>
      <c r="D515" s="42">
        <f>INDEX(Displacements!B:B, MATCH(Summary!$B515, Displacements!$A:$A, 0))</f>
        <v>928.65499999999997</v>
      </c>
      <c r="E515" s="43">
        <f>INDEX(Displacements!C:C, MATCH(Summary!$B515, Displacements!$A:$A, 0))</f>
        <v>0</v>
      </c>
      <c r="F515" s="44">
        <f>INDEX(Displacements!D:D, MATCH(Summary!$B515, Displacements!$A:$A, 0))</f>
        <v>0</v>
      </c>
      <c r="G515" s="42">
        <f>INDEX(Displacements!B:B, MATCH(Summary!$C515, Displacements!$A:$A, 0))</f>
        <v>931.65099999999995</v>
      </c>
      <c r="H515" s="43">
        <f>INDEX(Displacements!C:C, MATCH(Summary!$C515, Displacements!$A:$A, 0))</f>
        <v>0</v>
      </c>
      <c r="I515" s="44">
        <f>INDEX(Displacements!D:D, MATCH(Summary!$C515, Displacements!$A:$A, 0))</f>
        <v>0</v>
      </c>
      <c r="J515" s="42">
        <f t="shared" si="14"/>
        <v>2.9959999999999809</v>
      </c>
      <c r="K515" s="49">
        <f t="shared" si="15"/>
        <v>0.99966633299967422</v>
      </c>
      <c r="L515" s="54">
        <f>INDEX('Forces+Stresses'!C:C, MATCH(Summary!$A515, 'Forces+Stresses'!$A:$A, 0))</f>
        <v>4462</v>
      </c>
      <c r="M515" s="55">
        <f>INDEX('Forces+Stresses'!D:D, MATCH(Summary!$A515, 'Forces+Stresses'!$A:$A, 0))</f>
        <v>4462</v>
      </c>
      <c r="N515" s="55">
        <f>IFERROR(INDEX('Forces+Stresses'!Q:Q, MATCH(Summary!$A515, 'Forces+Stresses'!$A:$A, 0)), INDEX(Flexjoints!D:D, MATCH(Summary!$A515, Flexjoints!$A:$A, 0)))</f>
        <v>8.3059999999999991E-8</v>
      </c>
      <c r="O515" s="56">
        <f>IFERROR(INDEX('Forces+Stresses'!R:R, MATCH(Summary!$A515, 'Forces+Stresses'!$A:$A, 0)), INDEX(Flexjoints!E:E, MATCH(Summary!$A515, Flexjoints!$A:$A, 0)))</f>
        <v>1.6390000000000001E-6</v>
      </c>
      <c r="P515" s="33" t="str">
        <f>IF(INDEX(Labels!B:B, MATCH(Summary!$A515, Labels!$A:$A, 0)) = 0, "", INDEX(Labels!B:B, MATCH(Summary!$A515, Labels!$A:$A, 0)))</f>
        <v>{Marine Riser String}</v>
      </c>
      <c r="Q515" s="35" t="str">
        <f>IF(INDEX(Labels!C:C, MATCH(Summary!$A515, Labels!$A:$A, 0)) = 0, "", INDEX(Labels!C:C, MATCH(Summary!$A515, Labels!$A:$A, 0)))</f>
        <v>{Slick Joint}</v>
      </c>
      <c r="R515" s="33" t="str">
        <f>IF(INDEX(Labels!D:D, MATCH(Summary!$A515, Labels!$A:$A, 0)) = 0, "", INDEX(Labels!D:D, MATCH(Summary!$A515, Labels!$A:$A, 0)))</f>
        <v/>
      </c>
      <c r="S515" s="35" t="str">
        <f>IF(INDEX(Labels!E:E, MATCH(Summary!$A515, Labels!$A:$A, 0)) = 0, "", INDEX(Labels!E:E, MATCH(Summary!$A515, Labels!$A:$A, 0)))</f>
        <v/>
      </c>
      <c r="T515" s="33" t="str">
        <f>IF(INDEX(Labels!F:F, MATCH(Summary!$A515, Labels!$A:$A, 0)) = 0, "", INDEX(Labels!F:F, MATCH(Summary!$A515, Labels!$A:$A, 0)))</f>
        <v/>
      </c>
      <c r="U515" s="35" t="str">
        <f>IF(INDEX(Labels!G:G, MATCH(Summary!$A515, Labels!$A:$A, 0)) = 0, "", INDEX(Labels!G:G, MATCH(Summary!$A515, Labels!$A:$A, 0)))</f>
        <v/>
      </c>
      <c r="V515" s="62" t="str">
        <f>IF(INDEX(Labels!H:H, MATCH(Summary!$A515, Labels!$A:$A, 0)) = 0, "", INDEX(Labels!H:H, MATCH(Summary!$A515, Labels!$A:$A, 0)))</f>
        <v/>
      </c>
      <c r="W515" t="str">
        <f>IF(INDEX(Labels!I:I, MATCH(Summary!$A515, Labels!$A:$A, 0)) = 0, "", INDEX(Labels!I:I, MATCH(Summary!$A515, Labels!$A:$A, 0)))</f>
        <v/>
      </c>
      <c r="X515" t="str">
        <f>IF(INDEX(Labels!J:J, MATCH(Summary!$A515, Labels!$A:$A, 0)) = 0, "", INDEX(Labels!J:J, MATCH(Summary!$A515, Labels!$A:$A, 0)))</f>
        <v/>
      </c>
    </row>
    <row r="516" spans="1:24" x14ac:dyDescent="0.2">
      <c r="A516" s="33">
        <f>Labels!A517</f>
        <v>510</v>
      </c>
      <c r="B516" s="34">
        <f>INDEX(EchoData!B:B, MATCH(Summary!$A516, EchoData!$A:$A, 0))</f>
        <v>514</v>
      </c>
      <c r="C516" s="35">
        <f>INDEX(EchoData!C:C, MATCH(Summary!$A516, EchoData!$A:$A, 0))</f>
        <v>515</v>
      </c>
      <c r="D516" s="42">
        <f>INDEX(Displacements!B:B, MATCH(Summary!$B516, Displacements!$A:$A, 0))</f>
        <v>931.65099999999995</v>
      </c>
      <c r="E516" s="43">
        <f>INDEX(Displacements!C:C, MATCH(Summary!$B516, Displacements!$A:$A, 0))</f>
        <v>0</v>
      </c>
      <c r="F516" s="44">
        <f>INDEX(Displacements!D:D, MATCH(Summary!$B516, Displacements!$A:$A, 0))</f>
        <v>0</v>
      </c>
      <c r="G516" s="42">
        <f>INDEX(Displacements!B:B, MATCH(Summary!$C516, Displacements!$A:$A, 0))</f>
        <v>934.64800000000002</v>
      </c>
      <c r="H516" s="43">
        <f>INDEX(Displacements!C:C, MATCH(Summary!$C516, Displacements!$A:$A, 0))</f>
        <v>0</v>
      </c>
      <c r="I516" s="44">
        <f>INDEX(Displacements!D:D, MATCH(Summary!$C516, Displacements!$A:$A, 0))</f>
        <v>0</v>
      </c>
      <c r="J516" s="42">
        <f t="shared" si="14"/>
        <v>2.9970000000000709</v>
      </c>
      <c r="K516" s="49">
        <f t="shared" si="15"/>
        <v>1.0003337783711916</v>
      </c>
      <c r="L516" s="54">
        <f>INDEX('Forces+Stresses'!C:C, MATCH(Summary!$A516, 'Forces+Stresses'!$A:$A, 0))</f>
        <v>4483</v>
      </c>
      <c r="M516" s="55">
        <f>INDEX('Forces+Stresses'!D:D, MATCH(Summary!$A516, 'Forces+Stresses'!$A:$A, 0))</f>
        <v>4483</v>
      </c>
      <c r="N516" s="55">
        <f>IFERROR(INDEX('Forces+Stresses'!Q:Q, MATCH(Summary!$A516, 'Forces+Stresses'!$A:$A, 0)), INDEX(Flexjoints!D:D, MATCH(Summary!$A516, Flexjoints!$A:$A, 0)))</f>
        <v>4.5649999999999995E-8</v>
      </c>
      <c r="O516" s="56">
        <f>IFERROR(INDEX('Forces+Stresses'!R:R, MATCH(Summary!$A516, 'Forces+Stresses'!$A:$A, 0)), INDEX(Flexjoints!E:E, MATCH(Summary!$A516, Flexjoints!$A:$A, 0)))</f>
        <v>1.533E-6</v>
      </c>
      <c r="P516" s="33" t="str">
        <f>IF(INDEX(Labels!B:B, MATCH(Summary!$A516, Labels!$A:$A, 0)) = 0, "", INDEX(Labels!B:B, MATCH(Summary!$A516, Labels!$A:$A, 0)))</f>
        <v>{Marine Riser String}</v>
      </c>
      <c r="Q516" s="35" t="str">
        <f>IF(INDEX(Labels!C:C, MATCH(Summary!$A516, Labels!$A:$A, 0)) = 0, "", INDEX(Labels!C:C, MATCH(Summary!$A516, Labels!$A:$A, 0)))</f>
        <v>{Slick Joint}</v>
      </c>
      <c r="R516" s="33" t="str">
        <f>IF(INDEX(Labels!D:D, MATCH(Summary!$A516, Labels!$A:$A, 0)) = 0, "", INDEX(Labels!D:D, MATCH(Summary!$A516, Labels!$A:$A, 0)))</f>
        <v/>
      </c>
      <c r="S516" s="35" t="str">
        <f>IF(INDEX(Labels!E:E, MATCH(Summary!$A516, Labels!$A:$A, 0)) = 0, "", INDEX(Labels!E:E, MATCH(Summary!$A516, Labels!$A:$A, 0)))</f>
        <v/>
      </c>
      <c r="T516" s="33" t="str">
        <f>IF(INDEX(Labels!F:F, MATCH(Summary!$A516, Labels!$A:$A, 0)) = 0, "", INDEX(Labels!F:F, MATCH(Summary!$A516, Labels!$A:$A, 0)))</f>
        <v/>
      </c>
      <c r="U516" s="35" t="str">
        <f>IF(INDEX(Labels!G:G, MATCH(Summary!$A516, Labels!$A:$A, 0)) = 0, "", INDEX(Labels!G:G, MATCH(Summary!$A516, Labels!$A:$A, 0)))</f>
        <v/>
      </c>
      <c r="V516" s="62" t="str">
        <f>IF(INDEX(Labels!H:H, MATCH(Summary!$A516, Labels!$A:$A, 0)) = 0, "", INDEX(Labels!H:H, MATCH(Summary!$A516, Labels!$A:$A, 0)))</f>
        <v/>
      </c>
      <c r="W516" t="str">
        <f>IF(INDEX(Labels!I:I, MATCH(Summary!$A516, Labels!$A:$A, 0)) = 0, "", INDEX(Labels!I:I, MATCH(Summary!$A516, Labels!$A:$A, 0)))</f>
        <v/>
      </c>
      <c r="X516" t="str">
        <f>IF(INDEX(Labels!J:J, MATCH(Summary!$A516, Labels!$A:$A, 0)) = 0, "", INDEX(Labels!J:J, MATCH(Summary!$A516, Labels!$A:$A, 0)))</f>
        <v/>
      </c>
    </row>
    <row r="517" spans="1:24" x14ac:dyDescent="0.2">
      <c r="A517" s="33">
        <f>Labels!A518</f>
        <v>511</v>
      </c>
      <c r="B517" s="34">
        <f>INDEX(EchoData!B:B, MATCH(Summary!$A517, EchoData!$A:$A, 0))</f>
        <v>515</v>
      </c>
      <c r="C517" s="35">
        <f>INDEX(EchoData!C:C, MATCH(Summary!$A517, EchoData!$A:$A, 0))</f>
        <v>516</v>
      </c>
      <c r="D517" s="42">
        <f>INDEX(Displacements!B:B, MATCH(Summary!$B517, Displacements!$A:$A, 0))</f>
        <v>934.64800000000002</v>
      </c>
      <c r="E517" s="43">
        <f>INDEX(Displacements!C:C, MATCH(Summary!$B517, Displacements!$A:$A, 0))</f>
        <v>0</v>
      </c>
      <c r="F517" s="44">
        <f>INDEX(Displacements!D:D, MATCH(Summary!$B517, Displacements!$A:$A, 0))</f>
        <v>0</v>
      </c>
      <c r="G517" s="42">
        <f>INDEX(Displacements!B:B, MATCH(Summary!$C517, Displacements!$A:$A, 0))</f>
        <v>937.64400000000001</v>
      </c>
      <c r="H517" s="43">
        <f>INDEX(Displacements!C:C, MATCH(Summary!$C517, Displacements!$A:$A, 0))</f>
        <v>0</v>
      </c>
      <c r="I517" s="44">
        <f>INDEX(Displacements!D:D, MATCH(Summary!$C517, Displacements!$A:$A, 0))</f>
        <v>0</v>
      </c>
      <c r="J517" s="42">
        <f t="shared" si="14"/>
        <v>2.9959999999999809</v>
      </c>
      <c r="K517" s="49">
        <f t="shared" si="15"/>
        <v>0.99966633299963625</v>
      </c>
      <c r="L517" s="54">
        <f>INDEX('Forces+Stresses'!C:C, MATCH(Summary!$A517, 'Forces+Stresses'!$A:$A, 0))</f>
        <v>4505</v>
      </c>
      <c r="M517" s="55">
        <f>INDEX('Forces+Stresses'!D:D, MATCH(Summary!$A517, 'Forces+Stresses'!$A:$A, 0))</f>
        <v>4505</v>
      </c>
      <c r="N517" s="55">
        <f>IFERROR(INDEX('Forces+Stresses'!Q:Q, MATCH(Summary!$A517, 'Forces+Stresses'!$A:$A, 0)), INDEX(Flexjoints!D:D, MATCH(Summary!$A517, Flexjoints!$A:$A, 0)))</f>
        <v>6.3769999999999995E-8</v>
      </c>
      <c r="O517" s="56">
        <f>IFERROR(INDEX('Forces+Stresses'!R:R, MATCH(Summary!$A517, 'Forces+Stresses'!$A:$A, 0)), INDEX(Flexjoints!E:E, MATCH(Summary!$A517, Flexjoints!$A:$A, 0)))</f>
        <v>1.739E-6</v>
      </c>
      <c r="P517" s="33" t="str">
        <f>IF(INDEX(Labels!B:B, MATCH(Summary!$A517, Labels!$A:$A, 0)) = 0, "", INDEX(Labels!B:B, MATCH(Summary!$A517, Labels!$A:$A, 0)))</f>
        <v>{Marine Riser String}</v>
      </c>
      <c r="Q517" s="35" t="str">
        <f>IF(INDEX(Labels!C:C, MATCH(Summary!$A517, Labels!$A:$A, 0)) = 0, "", INDEX(Labels!C:C, MATCH(Summary!$A517, Labels!$A:$A, 0)))</f>
        <v>{Slick Joint}</v>
      </c>
      <c r="R517" s="33" t="str">
        <f>IF(INDEX(Labels!D:D, MATCH(Summary!$A517, Labels!$A:$A, 0)) = 0, "", INDEX(Labels!D:D, MATCH(Summary!$A517, Labels!$A:$A, 0)))</f>
        <v/>
      </c>
      <c r="S517" s="35" t="str">
        <f>IF(INDEX(Labels!E:E, MATCH(Summary!$A517, Labels!$A:$A, 0)) = 0, "", INDEX(Labels!E:E, MATCH(Summary!$A517, Labels!$A:$A, 0)))</f>
        <v/>
      </c>
      <c r="T517" s="33" t="str">
        <f>IF(INDEX(Labels!F:F, MATCH(Summary!$A517, Labels!$A:$A, 0)) = 0, "", INDEX(Labels!F:F, MATCH(Summary!$A517, Labels!$A:$A, 0)))</f>
        <v/>
      </c>
      <c r="U517" s="35" t="str">
        <f>IF(INDEX(Labels!G:G, MATCH(Summary!$A517, Labels!$A:$A, 0)) = 0, "", INDEX(Labels!G:G, MATCH(Summary!$A517, Labels!$A:$A, 0)))</f>
        <v/>
      </c>
      <c r="V517" s="62" t="str">
        <f>IF(INDEX(Labels!H:H, MATCH(Summary!$A517, Labels!$A:$A, 0)) = 0, "", INDEX(Labels!H:H, MATCH(Summary!$A517, Labels!$A:$A, 0)))</f>
        <v/>
      </c>
      <c r="W517" t="str">
        <f>IF(INDEX(Labels!I:I, MATCH(Summary!$A517, Labels!$A:$A, 0)) = 0, "", INDEX(Labels!I:I, MATCH(Summary!$A517, Labels!$A:$A, 0)))</f>
        <v/>
      </c>
      <c r="X517" t="str">
        <f>IF(INDEX(Labels!J:J, MATCH(Summary!$A517, Labels!$A:$A, 0)) = 0, "", INDEX(Labels!J:J, MATCH(Summary!$A517, Labels!$A:$A, 0)))</f>
        <v/>
      </c>
    </row>
    <row r="518" spans="1:24" x14ac:dyDescent="0.2">
      <c r="A518" s="33">
        <f>Labels!A519</f>
        <v>512</v>
      </c>
      <c r="B518" s="34">
        <f>INDEX(EchoData!B:B, MATCH(Summary!$A518, EchoData!$A:$A, 0))</f>
        <v>516</v>
      </c>
      <c r="C518" s="35">
        <f>INDEX(EchoData!C:C, MATCH(Summary!$A518, EchoData!$A:$A, 0))</f>
        <v>517</v>
      </c>
      <c r="D518" s="42">
        <f>INDEX(Displacements!B:B, MATCH(Summary!$B518, Displacements!$A:$A, 0))</f>
        <v>937.64400000000001</v>
      </c>
      <c r="E518" s="43">
        <f>INDEX(Displacements!C:C, MATCH(Summary!$B518, Displacements!$A:$A, 0))</f>
        <v>0</v>
      </c>
      <c r="F518" s="44">
        <f>INDEX(Displacements!D:D, MATCH(Summary!$B518, Displacements!$A:$A, 0))</f>
        <v>0</v>
      </c>
      <c r="G518" s="42">
        <f>INDEX(Displacements!B:B, MATCH(Summary!$C518, Displacements!$A:$A, 0))</f>
        <v>940.64099999999996</v>
      </c>
      <c r="H518" s="43">
        <f>INDEX(Displacements!C:C, MATCH(Summary!$C518, Displacements!$A:$A, 0))</f>
        <v>0</v>
      </c>
      <c r="I518" s="44">
        <f>INDEX(Displacements!D:D, MATCH(Summary!$C518, Displacements!$A:$A, 0))</f>
        <v>0</v>
      </c>
      <c r="J518" s="42">
        <f t="shared" si="14"/>
        <v>2.9969999999999573</v>
      </c>
      <c r="K518" s="49">
        <f t="shared" si="15"/>
        <v>1.0003337783711537</v>
      </c>
      <c r="L518" s="54">
        <f>INDEX('Forces+Stresses'!C:C, MATCH(Summary!$A518, 'Forces+Stresses'!$A:$A, 0))</f>
        <v>4527</v>
      </c>
      <c r="M518" s="55">
        <f>INDEX('Forces+Stresses'!D:D, MATCH(Summary!$A518, 'Forces+Stresses'!$A:$A, 0))</f>
        <v>4527</v>
      </c>
      <c r="N518" s="55">
        <f>IFERROR(INDEX('Forces+Stresses'!Q:Q, MATCH(Summary!$A518, 'Forces+Stresses'!$A:$A, 0)), INDEX(Flexjoints!D:D, MATCH(Summary!$A518, Flexjoints!$A:$A, 0)))</f>
        <v>9.4430000000000006E-8</v>
      </c>
      <c r="O518" s="56">
        <f>IFERROR(INDEX('Forces+Stresses'!R:R, MATCH(Summary!$A518, 'Forces+Stresses'!$A:$A, 0)), INDEX(Flexjoints!E:E, MATCH(Summary!$A518, Flexjoints!$A:$A, 0)))</f>
        <v>1.6750000000000001E-6</v>
      </c>
      <c r="P518" s="33" t="str">
        <f>IF(INDEX(Labels!B:B, MATCH(Summary!$A518, Labels!$A:$A, 0)) = 0, "", INDEX(Labels!B:B, MATCH(Summary!$A518, Labels!$A:$A, 0)))</f>
        <v>{Marine Riser String}</v>
      </c>
      <c r="Q518" s="35" t="str">
        <f>IF(INDEX(Labels!C:C, MATCH(Summary!$A518, Labels!$A:$A, 0)) = 0, "", INDEX(Labels!C:C, MATCH(Summary!$A518, Labels!$A:$A, 0)))</f>
        <v>{Slick Joint}</v>
      </c>
      <c r="R518" s="33" t="str">
        <f>IF(INDEX(Labels!D:D, MATCH(Summary!$A518, Labels!$A:$A, 0)) = 0, "", INDEX(Labels!D:D, MATCH(Summary!$A518, Labels!$A:$A, 0)))</f>
        <v/>
      </c>
      <c r="S518" s="35" t="str">
        <f>IF(INDEX(Labels!E:E, MATCH(Summary!$A518, Labels!$A:$A, 0)) = 0, "", INDEX(Labels!E:E, MATCH(Summary!$A518, Labels!$A:$A, 0)))</f>
        <v/>
      </c>
      <c r="T518" s="33" t="str">
        <f>IF(INDEX(Labels!F:F, MATCH(Summary!$A518, Labels!$A:$A, 0)) = 0, "", INDEX(Labels!F:F, MATCH(Summary!$A518, Labels!$A:$A, 0)))</f>
        <v/>
      </c>
      <c r="U518" s="35" t="str">
        <f>IF(INDEX(Labels!G:G, MATCH(Summary!$A518, Labels!$A:$A, 0)) = 0, "", INDEX(Labels!G:G, MATCH(Summary!$A518, Labels!$A:$A, 0)))</f>
        <v/>
      </c>
      <c r="V518" s="62" t="str">
        <f>IF(INDEX(Labels!H:H, MATCH(Summary!$A518, Labels!$A:$A, 0)) = 0, "", INDEX(Labels!H:H, MATCH(Summary!$A518, Labels!$A:$A, 0)))</f>
        <v/>
      </c>
      <c r="W518" t="str">
        <f>IF(INDEX(Labels!I:I, MATCH(Summary!$A518, Labels!$A:$A, 0)) = 0, "", INDEX(Labels!I:I, MATCH(Summary!$A518, Labels!$A:$A, 0)))</f>
        <v/>
      </c>
      <c r="X518" t="str">
        <f>IF(INDEX(Labels!J:J, MATCH(Summary!$A518, Labels!$A:$A, 0)) = 0, "", INDEX(Labels!J:J, MATCH(Summary!$A518, Labels!$A:$A, 0)))</f>
        <v/>
      </c>
    </row>
    <row r="519" spans="1:24" x14ac:dyDescent="0.2">
      <c r="A519" s="33">
        <f>Labels!A520</f>
        <v>513</v>
      </c>
      <c r="B519" s="34">
        <f>INDEX(EchoData!B:B, MATCH(Summary!$A519, EchoData!$A:$A, 0))</f>
        <v>517</v>
      </c>
      <c r="C519" s="35">
        <f>INDEX(EchoData!C:C, MATCH(Summary!$A519, EchoData!$A:$A, 0))</f>
        <v>518</v>
      </c>
      <c r="D519" s="42">
        <f>INDEX(Displacements!B:B, MATCH(Summary!$B519, Displacements!$A:$A, 0))</f>
        <v>940.64099999999996</v>
      </c>
      <c r="E519" s="43">
        <f>INDEX(Displacements!C:C, MATCH(Summary!$B519, Displacements!$A:$A, 0))</f>
        <v>0</v>
      </c>
      <c r="F519" s="44">
        <f>INDEX(Displacements!D:D, MATCH(Summary!$B519, Displacements!$A:$A, 0))</f>
        <v>0</v>
      </c>
      <c r="G519" s="42">
        <f>INDEX(Displacements!B:B, MATCH(Summary!$C519, Displacements!$A:$A, 0))</f>
        <v>943.63699999999994</v>
      </c>
      <c r="H519" s="43">
        <f>INDEX(Displacements!C:C, MATCH(Summary!$C519, Displacements!$A:$A, 0))</f>
        <v>0</v>
      </c>
      <c r="I519" s="44">
        <f>INDEX(Displacements!D:D, MATCH(Summary!$C519, Displacements!$A:$A, 0))</f>
        <v>0</v>
      </c>
      <c r="J519" s="42">
        <f t="shared" ref="J519:J582" si="16">SQRT((G519 - D519)^2 + (H519 - E519)^2 + (I519 - F519)^2)</f>
        <v>2.9959999999999809</v>
      </c>
      <c r="K519" s="49">
        <f t="shared" ref="K519:K582" si="17">IF(P519 = P518, J519/J518, "N/A")</f>
        <v>0.99966633299967422</v>
      </c>
      <c r="L519" s="54">
        <f>INDEX('Forces+Stresses'!C:C, MATCH(Summary!$A519, 'Forces+Stresses'!$A:$A, 0))</f>
        <v>4549</v>
      </c>
      <c r="M519" s="55">
        <f>INDEX('Forces+Stresses'!D:D, MATCH(Summary!$A519, 'Forces+Stresses'!$A:$A, 0))</f>
        <v>4549</v>
      </c>
      <c r="N519" s="55">
        <f>IFERROR(INDEX('Forces+Stresses'!Q:Q, MATCH(Summary!$A519, 'Forces+Stresses'!$A:$A, 0)), INDEX(Flexjoints!D:D, MATCH(Summary!$A519, Flexjoints!$A:$A, 0)))</f>
        <v>8.1470000000000001E-8</v>
      </c>
      <c r="O519" s="56">
        <f>IFERROR(INDEX('Forces+Stresses'!R:R, MATCH(Summary!$A519, 'Forces+Stresses'!$A:$A, 0)), INDEX(Flexjoints!E:E, MATCH(Summary!$A519, Flexjoints!$A:$A, 0)))</f>
        <v>1.784E-6</v>
      </c>
      <c r="P519" s="33" t="str">
        <f>IF(INDEX(Labels!B:B, MATCH(Summary!$A519, Labels!$A:$A, 0)) = 0, "", INDEX(Labels!B:B, MATCH(Summary!$A519, Labels!$A:$A, 0)))</f>
        <v>{Marine Riser String}</v>
      </c>
      <c r="Q519" s="35" t="str">
        <f>IF(INDEX(Labels!C:C, MATCH(Summary!$A519, Labels!$A:$A, 0)) = 0, "", INDEX(Labels!C:C, MATCH(Summary!$A519, Labels!$A:$A, 0)))</f>
        <v>{Slick Joint}</v>
      </c>
      <c r="R519" s="33" t="str">
        <f>IF(INDEX(Labels!D:D, MATCH(Summary!$A519, Labels!$A:$A, 0)) = 0, "", INDEX(Labels!D:D, MATCH(Summary!$A519, Labels!$A:$A, 0)))</f>
        <v/>
      </c>
      <c r="S519" s="35" t="str">
        <f>IF(INDEX(Labels!E:E, MATCH(Summary!$A519, Labels!$A:$A, 0)) = 0, "", INDEX(Labels!E:E, MATCH(Summary!$A519, Labels!$A:$A, 0)))</f>
        <v/>
      </c>
      <c r="T519" s="33" t="str">
        <f>IF(INDEX(Labels!F:F, MATCH(Summary!$A519, Labels!$A:$A, 0)) = 0, "", INDEX(Labels!F:F, MATCH(Summary!$A519, Labels!$A:$A, 0)))</f>
        <v/>
      </c>
      <c r="U519" s="35" t="str">
        <f>IF(INDEX(Labels!G:G, MATCH(Summary!$A519, Labels!$A:$A, 0)) = 0, "", INDEX(Labels!G:G, MATCH(Summary!$A519, Labels!$A:$A, 0)))</f>
        <v/>
      </c>
      <c r="V519" s="62" t="str">
        <f>IF(INDEX(Labels!H:H, MATCH(Summary!$A519, Labels!$A:$A, 0)) = 0, "", INDEX(Labels!H:H, MATCH(Summary!$A519, Labels!$A:$A, 0)))</f>
        <v/>
      </c>
      <c r="W519" t="str">
        <f>IF(INDEX(Labels!I:I, MATCH(Summary!$A519, Labels!$A:$A, 0)) = 0, "", INDEX(Labels!I:I, MATCH(Summary!$A519, Labels!$A:$A, 0)))</f>
        <v/>
      </c>
      <c r="X519" t="str">
        <f>IF(INDEX(Labels!J:J, MATCH(Summary!$A519, Labels!$A:$A, 0)) = 0, "", INDEX(Labels!J:J, MATCH(Summary!$A519, Labels!$A:$A, 0)))</f>
        <v/>
      </c>
    </row>
    <row r="520" spans="1:24" x14ac:dyDescent="0.2">
      <c r="A520" s="33">
        <f>Labels!A521</f>
        <v>514</v>
      </c>
      <c r="B520" s="34">
        <f>INDEX(EchoData!B:B, MATCH(Summary!$A520, EchoData!$A:$A, 0))</f>
        <v>518</v>
      </c>
      <c r="C520" s="35">
        <f>INDEX(EchoData!C:C, MATCH(Summary!$A520, EchoData!$A:$A, 0))</f>
        <v>519</v>
      </c>
      <c r="D520" s="42">
        <f>INDEX(Displacements!B:B, MATCH(Summary!$B520, Displacements!$A:$A, 0))</f>
        <v>943.63699999999994</v>
      </c>
      <c r="E520" s="43">
        <f>INDEX(Displacements!C:C, MATCH(Summary!$B520, Displacements!$A:$A, 0))</f>
        <v>0</v>
      </c>
      <c r="F520" s="44">
        <f>INDEX(Displacements!D:D, MATCH(Summary!$B520, Displacements!$A:$A, 0))</f>
        <v>0</v>
      </c>
      <c r="G520" s="42">
        <f>INDEX(Displacements!B:B, MATCH(Summary!$C520, Displacements!$A:$A, 0))</f>
        <v>946.63400000000001</v>
      </c>
      <c r="H520" s="43">
        <f>INDEX(Displacements!C:C, MATCH(Summary!$C520, Displacements!$A:$A, 0))</f>
        <v>0</v>
      </c>
      <c r="I520" s="44">
        <f>INDEX(Displacements!D:D, MATCH(Summary!$C520, Displacements!$A:$A, 0))</f>
        <v>0</v>
      </c>
      <c r="J520" s="42">
        <f t="shared" si="16"/>
        <v>2.9970000000000709</v>
      </c>
      <c r="K520" s="49">
        <f t="shared" si="17"/>
        <v>1.0003337783711916</v>
      </c>
      <c r="L520" s="54">
        <f>INDEX('Forces+Stresses'!C:C, MATCH(Summary!$A520, 'Forces+Stresses'!$A:$A, 0))</f>
        <v>4571</v>
      </c>
      <c r="M520" s="55">
        <f>INDEX('Forces+Stresses'!D:D, MATCH(Summary!$A520, 'Forces+Stresses'!$A:$A, 0))</f>
        <v>4571</v>
      </c>
      <c r="N520" s="55">
        <f>IFERROR(INDEX('Forces+Stresses'!Q:Q, MATCH(Summary!$A520, 'Forces+Stresses'!$A:$A, 0)), INDEX(Flexjoints!D:D, MATCH(Summary!$A520, Flexjoints!$A:$A, 0)))</f>
        <v>1.346E-7</v>
      </c>
      <c r="O520" s="56">
        <f>IFERROR(INDEX('Forces+Stresses'!R:R, MATCH(Summary!$A520, 'Forces+Stresses'!$A:$A, 0)), INDEX(Flexjoints!E:E, MATCH(Summary!$A520, Flexjoints!$A:$A, 0)))</f>
        <v>1.8500000000000001E-6</v>
      </c>
      <c r="P520" s="33" t="str">
        <f>IF(INDEX(Labels!B:B, MATCH(Summary!$A520, Labels!$A:$A, 0)) = 0, "", INDEX(Labels!B:B, MATCH(Summary!$A520, Labels!$A:$A, 0)))</f>
        <v>{Marine Riser String}</v>
      </c>
      <c r="Q520" s="35" t="str">
        <f>IF(INDEX(Labels!C:C, MATCH(Summary!$A520, Labels!$A:$A, 0)) = 0, "", INDEX(Labels!C:C, MATCH(Summary!$A520, Labels!$A:$A, 0)))</f>
        <v>{Slick Joint}</v>
      </c>
      <c r="R520" s="33" t="str">
        <f>IF(INDEX(Labels!D:D, MATCH(Summary!$A520, Labels!$A:$A, 0)) = 0, "", INDEX(Labels!D:D, MATCH(Summary!$A520, Labels!$A:$A, 0)))</f>
        <v/>
      </c>
      <c r="S520" s="35" t="str">
        <f>IF(INDEX(Labels!E:E, MATCH(Summary!$A520, Labels!$A:$A, 0)) = 0, "", INDEX(Labels!E:E, MATCH(Summary!$A520, Labels!$A:$A, 0)))</f>
        <v/>
      </c>
      <c r="T520" s="33" t="str">
        <f>IF(INDEX(Labels!F:F, MATCH(Summary!$A520, Labels!$A:$A, 0)) = 0, "", INDEX(Labels!F:F, MATCH(Summary!$A520, Labels!$A:$A, 0)))</f>
        <v/>
      </c>
      <c r="U520" s="35" t="str">
        <f>IF(INDEX(Labels!G:G, MATCH(Summary!$A520, Labels!$A:$A, 0)) = 0, "", INDEX(Labels!G:G, MATCH(Summary!$A520, Labels!$A:$A, 0)))</f>
        <v/>
      </c>
      <c r="V520" s="62" t="str">
        <f>IF(INDEX(Labels!H:H, MATCH(Summary!$A520, Labels!$A:$A, 0)) = 0, "", INDEX(Labels!H:H, MATCH(Summary!$A520, Labels!$A:$A, 0)))</f>
        <v/>
      </c>
      <c r="W520" t="str">
        <f>IF(INDEX(Labels!I:I, MATCH(Summary!$A520, Labels!$A:$A, 0)) = 0, "", INDEX(Labels!I:I, MATCH(Summary!$A520, Labels!$A:$A, 0)))</f>
        <v/>
      </c>
      <c r="X520" t="str">
        <f>IF(INDEX(Labels!J:J, MATCH(Summary!$A520, Labels!$A:$A, 0)) = 0, "", INDEX(Labels!J:J, MATCH(Summary!$A520, Labels!$A:$A, 0)))</f>
        <v/>
      </c>
    </row>
    <row r="521" spans="1:24" x14ac:dyDescent="0.2">
      <c r="A521" s="33">
        <f>Labels!A522</f>
        <v>515</v>
      </c>
      <c r="B521" s="34">
        <f>INDEX(EchoData!B:B, MATCH(Summary!$A521, EchoData!$A:$A, 0))</f>
        <v>519</v>
      </c>
      <c r="C521" s="35">
        <f>INDEX(EchoData!C:C, MATCH(Summary!$A521, EchoData!$A:$A, 0))</f>
        <v>520</v>
      </c>
      <c r="D521" s="42">
        <f>INDEX(Displacements!B:B, MATCH(Summary!$B521, Displacements!$A:$A, 0))</f>
        <v>946.63400000000001</v>
      </c>
      <c r="E521" s="43">
        <f>INDEX(Displacements!C:C, MATCH(Summary!$B521, Displacements!$A:$A, 0))</f>
        <v>0</v>
      </c>
      <c r="F521" s="44">
        <f>INDEX(Displacements!D:D, MATCH(Summary!$B521, Displacements!$A:$A, 0))</f>
        <v>0</v>
      </c>
      <c r="G521" s="42">
        <f>INDEX(Displacements!B:B, MATCH(Summary!$C521, Displacements!$A:$A, 0))</f>
        <v>949.63</v>
      </c>
      <c r="H521" s="43">
        <f>INDEX(Displacements!C:C, MATCH(Summary!$C521, Displacements!$A:$A, 0))</f>
        <v>0</v>
      </c>
      <c r="I521" s="44">
        <f>INDEX(Displacements!D:D, MATCH(Summary!$C521, Displacements!$A:$A, 0))</f>
        <v>0</v>
      </c>
      <c r="J521" s="42">
        <f t="shared" si="16"/>
        <v>2.9959999999999809</v>
      </c>
      <c r="K521" s="49">
        <f t="shared" si="17"/>
        <v>0.99966633299963625</v>
      </c>
      <c r="L521" s="54">
        <f>INDEX('Forces+Stresses'!C:C, MATCH(Summary!$A521, 'Forces+Stresses'!$A:$A, 0))</f>
        <v>4593</v>
      </c>
      <c r="M521" s="55">
        <f>INDEX('Forces+Stresses'!D:D, MATCH(Summary!$A521, 'Forces+Stresses'!$A:$A, 0))</f>
        <v>4593</v>
      </c>
      <c r="N521" s="55">
        <f>IFERROR(INDEX('Forces+Stresses'!Q:Q, MATCH(Summary!$A521, 'Forces+Stresses'!$A:$A, 0)), INDEX(Flexjoints!D:D, MATCH(Summary!$A521, Flexjoints!$A:$A, 0)))</f>
        <v>8.1589999999999991E-8</v>
      </c>
      <c r="O521" s="56">
        <f>IFERROR(INDEX('Forces+Stresses'!R:R, MATCH(Summary!$A521, 'Forces+Stresses'!$A:$A, 0)), INDEX(Flexjoints!E:E, MATCH(Summary!$A521, Flexjoints!$A:$A, 0)))</f>
        <v>1.7440000000000002E-6</v>
      </c>
      <c r="P521" s="33" t="str">
        <f>IF(INDEX(Labels!B:B, MATCH(Summary!$A521, Labels!$A:$A, 0)) = 0, "", INDEX(Labels!B:B, MATCH(Summary!$A521, Labels!$A:$A, 0)))</f>
        <v>{Marine Riser String}</v>
      </c>
      <c r="Q521" s="35" t="str">
        <f>IF(INDEX(Labels!C:C, MATCH(Summary!$A521, Labels!$A:$A, 0)) = 0, "", INDEX(Labels!C:C, MATCH(Summary!$A521, Labels!$A:$A, 0)))</f>
        <v>{Slick Joint}</v>
      </c>
      <c r="R521" s="33" t="str">
        <f>IF(INDEX(Labels!D:D, MATCH(Summary!$A521, Labels!$A:$A, 0)) = 0, "", INDEX(Labels!D:D, MATCH(Summary!$A521, Labels!$A:$A, 0)))</f>
        <v/>
      </c>
      <c r="S521" s="35" t="str">
        <f>IF(INDEX(Labels!E:E, MATCH(Summary!$A521, Labels!$A:$A, 0)) = 0, "", INDEX(Labels!E:E, MATCH(Summary!$A521, Labels!$A:$A, 0)))</f>
        <v/>
      </c>
      <c r="T521" s="33" t="str">
        <f>IF(INDEX(Labels!F:F, MATCH(Summary!$A521, Labels!$A:$A, 0)) = 0, "", INDEX(Labels!F:F, MATCH(Summary!$A521, Labels!$A:$A, 0)))</f>
        <v/>
      </c>
      <c r="U521" s="35" t="str">
        <f>IF(INDEX(Labels!G:G, MATCH(Summary!$A521, Labels!$A:$A, 0)) = 0, "", INDEX(Labels!G:G, MATCH(Summary!$A521, Labels!$A:$A, 0)))</f>
        <v/>
      </c>
      <c r="V521" s="62" t="str">
        <f>IF(INDEX(Labels!H:H, MATCH(Summary!$A521, Labels!$A:$A, 0)) = 0, "", INDEX(Labels!H:H, MATCH(Summary!$A521, Labels!$A:$A, 0)))</f>
        <v/>
      </c>
      <c r="W521" t="str">
        <f>IF(INDEX(Labels!I:I, MATCH(Summary!$A521, Labels!$A:$A, 0)) = 0, "", INDEX(Labels!I:I, MATCH(Summary!$A521, Labels!$A:$A, 0)))</f>
        <v/>
      </c>
      <c r="X521" t="str">
        <f>IF(INDEX(Labels!J:J, MATCH(Summary!$A521, Labels!$A:$A, 0)) = 0, "", INDEX(Labels!J:J, MATCH(Summary!$A521, Labels!$A:$A, 0)))</f>
        <v/>
      </c>
    </row>
    <row r="522" spans="1:24" x14ac:dyDescent="0.2">
      <c r="A522" s="33">
        <f>Labels!A523</f>
        <v>516</v>
      </c>
      <c r="B522" s="34">
        <f>INDEX(EchoData!B:B, MATCH(Summary!$A522, EchoData!$A:$A, 0))</f>
        <v>520</v>
      </c>
      <c r="C522" s="35">
        <f>INDEX(EchoData!C:C, MATCH(Summary!$A522, EchoData!$A:$A, 0))</f>
        <v>521</v>
      </c>
      <c r="D522" s="42">
        <f>INDEX(Displacements!B:B, MATCH(Summary!$B522, Displacements!$A:$A, 0))</f>
        <v>949.63</v>
      </c>
      <c r="E522" s="43">
        <f>INDEX(Displacements!C:C, MATCH(Summary!$B522, Displacements!$A:$A, 0))</f>
        <v>0</v>
      </c>
      <c r="F522" s="44">
        <f>INDEX(Displacements!D:D, MATCH(Summary!$B522, Displacements!$A:$A, 0))</f>
        <v>0</v>
      </c>
      <c r="G522" s="42">
        <f>INDEX(Displacements!B:B, MATCH(Summary!$C522, Displacements!$A:$A, 0))</f>
        <v>952.62699999999995</v>
      </c>
      <c r="H522" s="43">
        <f>INDEX(Displacements!C:C, MATCH(Summary!$C522, Displacements!$A:$A, 0))</f>
        <v>0</v>
      </c>
      <c r="I522" s="44">
        <f>INDEX(Displacements!D:D, MATCH(Summary!$C522, Displacements!$A:$A, 0))</f>
        <v>0</v>
      </c>
      <c r="J522" s="42">
        <f t="shared" si="16"/>
        <v>2.9969999999999573</v>
      </c>
      <c r="K522" s="49">
        <f t="shared" si="17"/>
        <v>1.0003337783711537</v>
      </c>
      <c r="L522" s="54">
        <f>INDEX('Forces+Stresses'!C:C, MATCH(Summary!$A522, 'Forces+Stresses'!$A:$A, 0))</f>
        <v>4615</v>
      </c>
      <c r="M522" s="55">
        <f>INDEX('Forces+Stresses'!D:D, MATCH(Summary!$A522, 'Forces+Stresses'!$A:$A, 0))</f>
        <v>4615</v>
      </c>
      <c r="N522" s="55">
        <f>IFERROR(INDEX('Forces+Stresses'!Q:Q, MATCH(Summary!$A522, 'Forces+Stresses'!$A:$A, 0)), INDEX(Flexjoints!D:D, MATCH(Summary!$A522, Flexjoints!$A:$A, 0)))</f>
        <v>2.9280000000000001E-8</v>
      </c>
      <c r="O522" s="56">
        <f>IFERROR(INDEX('Forces+Stresses'!R:R, MATCH(Summary!$A522, 'Forces+Stresses'!$A:$A, 0)), INDEX(Flexjoints!E:E, MATCH(Summary!$A522, Flexjoints!$A:$A, 0)))</f>
        <v>1.9740000000000001E-6</v>
      </c>
      <c r="P522" s="33" t="str">
        <f>IF(INDEX(Labels!B:B, MATCH(Summary!$A522, Labels!$A:$A, 0)) = 0, "", INDEX(Labels!B:B, MATCH(Summary!$A522, Labels!$A:$A, 0)))</f>
        <v>{Marine Riser String}</v>
      </c>
      <c r="Q522" s="35" t="str">
        <f>IF(INDEX(Labels!C:C, MATCH(Summary!$A522, Labels!$A:$A, 0)) = 0, "", INDEX(Labels!C:C, MATCH(Summary!$A522, Labels!$A:$A, 0)))</f>
        <v>{Slick Joint}</v>
      </c>
      <c r="R522" s="33" t="str">
        <f>IF(INDEX(Labels!D:D, MATCH(Summary!$A522, Labels!$A:$A, 0)) = 0, "", INDEX(Labels!D:D, MATCH(Summary!$A522, Labels!$A:$A, 0)))</f>
        <v/>
      </c>
      <c r="S522" s="35" t="str">
        <f>IF(INDEX(Labels!E:E, MATCH(Summary!$A522, Labels!$A:$A, 0)) = 0, "", INDEX(Labels!E:E, MATCH(Summary!$A522, Labels!$A:$A, 0)))</f>
        <v/>
      </c>
      <c r="T522" s="33" t="str">
        <f>IF(INDEX(Labels!F:F, MATCH(Summary!$A522, Labels!$A:$A, 0)) = 0, "", INDEX(Labels!F:F, MATCH(Summary!$A522, Labels!$A:$A, 0)))</f>
        <v/>
      </c>
      <c r="U522" s="35" t="str">
        <f>IF(INDEX(Labels!G:G, MATCH(Summary!$A522, Labels!$A:$A, 0)) = 0, "", INDEX(Labels!G:G, MATCH(Summary!$A522, Labels!$A:$A, 0)))</f>
        <v/>
      </c>
      <c r="V522" s="62" t="str">
        <f>IF(INDEX(Labels!H:H, MATCH(Summary!$A522, Labels!$A:$A, 0)) = 0, "", INDEX(Labels!H:H, MATCH(Summary!$A522, Labels!$A:$A, 0)))</f>
        <v/>
      </c>
      <c r="W522" t="str">
        <f>IF(INDEX(Labels!I:I, MATCH(Summary!$A522, Labels!$A:$A, 0)) = 0, "", INDEX(Labels!I:I, MATCH(Summary!$A522, Labels!$A:$A, 0)))</f>
        <v/>
      </c>
      <c r="X522" t="str">
        <f>IF(INDEX(Labels!J:J, MATCH(Summary!$A522, Labels!$A:$A, 0)) = 0, "", INDEX(Labels!J:J, MATCH(Summary!$A522, Labels!$A:$A, 0)))</f>
        <v/>
      </c>
    </row>
    <row r="523" spans="1:24" x14ac:dyDescent="0.2">
      <c r="A523" s="33">
        <f>Labels!A524</f>
        <v>517</v>
      </c>
      <c r="B523" s="34">
        <f>INDEX(EchoData!B:B, MATCH(Summary!$A523, EchoData!$A:$A, 0))</f>
        <v>521</v>
      </c>
      <c r="C523" s="35">
        <f>INDEX(EchoData!C:C, MATCH(Summary!$A523, EchoData!$A:$A, 0))</f>
        <v>522</v>
      </c>
      <c r="D523" s="42">
        <f>INDEX(Displacements!B:B, MATCH(Summary!$B523, Displacements!$A:$A, 0))</f>
        <v>952.62699999999995</v>
      </c>
      <c r="E523" s="43">
        <f>INDEX(Displacements!C:C, MATCH(Summary!$B523, Displacements!$A:$A, 0))</f>
        <v>0</v>
      </c>
      <c r="F523" s="44">
        <f>INDEX(Displacements!D:D, MATCH(Summary!$B523, Displacements!$A:$A, 0))</f>
        <v>0</v>
      </c>
      <c r="G523" s="42">
        <f>INDEX(Displacements!B:B, MATCH(Summary!$C523, Displacements!$A:$A, 0))</f>
        <v>955.62300000000005</v>
      </c>
      <c r="H523" s="43">
        <f>INDEX(Displacements!C:C, MATCH(Summary!$C523, Displacements!$A:$A, 0))</f>
        <v>0</v>
      </c>
      <c r="I523" s="44">
        <f>INDEX(Displacements!D:D, MATCH(Summary!$C523, Displacements!$A:$A, 0))</f>
        <v>0</v>
      </c>
      <c r="J523" s="42">
        <f t="shared" si="16"/>
        <v>2.9960000000000946</v>
      </c>
      <c r="K523" s="49">
        <f t="shared" si="17"/>
        <v>0.99966633299971219</v>
      </c>
      <c r="L523" s="54">
        <f>INDEX('Forces+Stresses'!C:C, MATCH(Summary!$A523, 'Forces+Stresses'!$A:$A, 0))</f>
        <v>4637</v>
      </c>
      <c r="M523" s="55">
        <f>INDEX('Forces+Stresses'!D:D, MATCH(Summary!$A523, 'Forces+Stresses'!$A:$A, 0))</f>
        <v>4637</v>
      </c>
      <c r="N523" s="55">
        <f>IFERROR(INDEX('Forces+Stresses'!Q:Q, MATCH(Summary!$A523, 'Forces+Stresses'!$A:$A, 0)), INDEX(Flexjoints!D:D, MATCH(Summary!$A523, Flexjoints!$A:$A, 0)))</f>
        <v>4.3149999999999999E-8</v>
      </c>
      <c r="O523" s="56">
        <f>IFERROR(INDEX('Forces+Stresses'!R:R, MATCH(Summary!$A523, 'Forces+Stresses'!$A:$A, 0)), INDEX(Flexjoints!E:E, MATCH(Summary!$A523, Flexjoints!$A:$A, 0)))</f>
        <v>1.77E-6</v>
      </c>
      <c r="P523" s="33" t="str">
        <f>IF(INDEX(Labels!B:B, MATCH(Summary!$A523, Labels!$A:$A, 0)) = 0, "", INDEX(Labels!B:B, MATCH(Summary!$A523, Labels!$A:$A, 0)))</f>
        <v>{Marine Riser String}</v>
      </c>
      <c r="Q523" s="35" t="str">
        <f>IF(INDEX(Labels!C:C, MATCH(Summary!$A523, Labels!$A:$A, 0)) = 0, "", INDEX(Labels!C:C, MATCH(Summary!$A523, Labels!$A:$A, 0)))</f>
        <v>{Slick Joint}</v>
      </c>
      <c r="R523" s="33" t="str">
        <f>IF(INDEX(Labels!D:D, MATCH(Summary!$A523, Labels!$A:$A, 0)) = 0, "", INDEX(Labels!D:D, MATCH(Summary!$A523, Labels!$A:$A, 0)))</f>
        <v/>
      </c>
      <c r="S523" s="35" t="str">
        <f>IF(INDEX(Labels!E:E, MATCH(Summary!$A523, Labels!$A:$A, 0)) = 0, "", INDEX(Labels!E:E, MATCH(Summary!$A523, Labels!$A:$A, 0)))</f>
        <v/>
      </c>
      <c r="T523" s="33" t="str">
        <f>IF(INDEX(Labels!F:F, MATCH(Summary!$A523, Labels!$A:$A, 0)) = 0, "", INDEX(Labels!F:F, MATCH(Summary!$A523, Labels!$A:$A, 0)))</f>
        <v/>
      </c>
      <c r="U523" s="35" t="str">
        <f>IF(INDEX(Labels!G:G, MATCH(Summary!$A523, Labels!$A:$A, 0)) = 0, "", INDEX(Labels!G:G, MATCH(Summary!$A523, Labels!$A:$A, 0)))</f>
        <v/>
      </c>
      <c r="V523" s="62" t="str">
        <f>IF(INDEX(Labels!H:H, MATCH(Summary!$A523, Labels!$A:$A, 0)) = 0, "", INDEX(Labels!H:H, MATCH(Summary!$A523, Labels!$A:$A, 0)))</f>
        <v/>
      </c>
      <c r="W523" t="str">
        <f>IF(INDEX(Labels!I:I, MATCH(Summary!$A523, Labels!$A:$A, 0)) = 0, "", INDEX(Labels!I:I, MATCH(Summary!$A523, Labels!$A:$A, 0)))</f>
        <v/>
      </c>
      <c r="X523" t="str">
        <f>IF(INDEX(Labels!J:J, MATCH(Summary!$A523, Labels!$A:$A, 0)) = 0, "", INDEX(Labels!J:J, MATCH(Summary!$A523, Labels!$A:$A, 0)))</f>
        <v/>
      </c>
    </row>
    <row r="524" spans="1:24" x14ac:dyDescent="0.2">
      <c r="A524" s="33">
        <f>Labels!A525</f>
        <v>518</v>
      </c>
      <c r="B524" s="34">
        <f>INDEX(EchoData!B:B, MATCH(Summary!$A524, EchoData!$A:$A, 0))</f>
        <v>522</v>
      </c>
      <c r="C524" s="35">
        <f>INDEX(EchoData!C:C, MATCH(Summary!$A524, EchoData!$A:$A, 0))</f>
        <v>523</v>
      </c>
      <c r="D524" s="42">
        <f>INDEX(Displacements!B:B, MATCH(Summary!$B524, Displacements!$A:$A, 0))</f>
        <v>955.62300000000005</v>
      </c>
      <c r="E524" s="43">
        <f>INDEX(Displacements!C:C, MATCH(Summary!$B524, Displacements!$A:$A, 0))</f>
        <v>0</v>
      </c>
      <c r="F524" s="44">
        <f>INDEX(Displacements!D:D, MATCH(Summary!$B524, Displacements!$A:$A, 0))</f>
        <v>0</v>
      </c>
      <c r="G524" s="42">
        <f>INDEX(Displacements!B:B, MATCH(Summary!$C524, Displacements!$A:$A, 0))</f>
        <v>958.61900000000003</v>
      </c>
      <c r="H524" s="43">
        <f>INDEX(Displacements!C:C, MATCH(Summary!$C524, Displacements!$A:$A, 0))</f>
        <v>0</v>
      </c>
      <c r="I524" s="44">
        <f>INDEX(Displacements!D:D, MATCH(Summary!$C524, Displacements!$A:$A, 0))</f>
        <v>0</v>
      </c>
      <c r="J524" s="42">
        <f t="shared" si="16"/>
        <v>2.9959999999999809</v>
      </c>
      <c r="K524" s="49">
        <f t="shared" si="17"/>
        <v>0.99999999999996203</v>
      </c>
      <c r="L524" s="54">
        <f>INDEX('Forces+Stresses'!C:C, MATCH(Summary!$A524, 'Forces+Stresses'!$A:$A, 0))</f>
        <v>4659</v>
      </c>
      <c r="M524" s="55">
        <f>INDEX('Forces+Stresses'!D:D, MATCH(Summary!$A524, 'Forces+Stresses'!$A:$A, 0))</f>
        <v>4659</v>
      </c>
      <c r="N524" s="55">
        <f>IFERROR(INDEX('Forces+Stresses'!Q:Q, MATCH(Summary!$A524, 'Forces+Stresses'!$A:$A, 0)), INDEX(Flexjoints!D:D, MATCH(Summary!$A524, Flexjoints!$A:$A, 0)))</f>
        <v>1.2709999999999999E-7</v>
      </c>
      <c r="O524" s="56">
        <f>IFERROR(INDEX('Forces+Stresses'!R:R, MATCH(Summary!$A524, 'Forces+Stresses'!$A:$A, 0)), INDEX(Flexjoints!E:E, MATCH(Summary!$A524, Flexjoints!$A:$A, 0)))</f>
        <v>2.0379999999999998E-6</v>
      </c>
      <c r="P524" s="33" t="str">
        <f>IF(INDEX(Labels!B:B, MATCH(Summary!$A524, Labels!$A:$A, 0)) = 0, "", INDEX(Labels!B:B, MATCH(Summary!$A524, Labels!$A:$A, 0)))</f>
        <v>{Marine Riser String}</v>
      </c>
      <c r="Q524" s="35" t="str">
        <f>IF(INDEX(Labels!C:C, MATCH(Summary!$A524, Labels!$A:$A, 0)) = 0, "", INDEX(Labels!C:C, MATCH(Summary!$A524, Labels!$A:$A, 0)))</f>
        <v>{Slick Joint}</v>
      </c>
      <c r="R524" s="33" t="str">
        <f>IF(INDEX(Labels!D:D, MATCH(Summary!$A524, Labels!$A:$A, 0)) = 0, "", INDEX(Labels!D:D, MATCH(Summary!$A524, Labels!$A:$A, 0)))</f>
        <v/>
      </c>
      <c r="S524" s="35" t="str">
        <f>IF(INDEX(Labels!E:E, MATCH(Summary!$A524, Labels!$A:$A, 0)) = 0, "", INDEX(Labels!E:E, MATCH(Summary!$A524, Labels!$A:$A, 0)))</f>
        <v/>
      </c>
      <c r="T524" s="33" t="str">
        <f>IF(INDEX(Labels!F:F, MATCH(Summary!$A524, Labels!$A:$A, 0)) = 0, "", INDEX(Labels!F:F, MATCH(Summary!$A524, Labels!$A:$A, 0)))</f>
        <v/>
      </c>
      <c r="U524" s="35" t="str">
        <f>IF(INDEX(Labels!G:G, MATCH(Summary!$A524, Labels!$A:$A, 0)) = 0, "", INDEX(Labels!G:G, MATCH(Summary!$A524, Labels!$A:$A, 0)))</f>
        <v/>
      </c>
      <c r="V524" s="62" t="str">
        <f>IF(INDEX(Labels!H:H, MATCH(Summary!$A524, Labels!$A:$A, 0)) = 0, "", INDEX(Labels!H:H, MATCH(Summary!$A524, Labels!$A:$A, 0)))</f>
        <v/>
      </c>
      <c r="W524" t="str">
        <f>IF(INDEX(Labels!I:I, MATCH(Summary!$A524, Labels!$A:$A, 0)) = 0, "", INDEX(Labels!I:I, MATCH(Summary!$A524, Labels!$A:$A, 0)))</f>
        <v/>
      </c>
      <c r="X524" t="str">
        <f>IF(INDEX(Labels!J:J, MATCH(Summary!$A524, Labels!$A:$A, 0)) = 0, "", INDEX(Labels!J:J, MATCH(Summary!$A524, Labels!$A:$A, 0)))</f>
        <v/>
      </c>
    </row>
    <row r="525" spans="1:24" x14ac:dyDescent="0.2">
      <c r="A525" s="33">
        <f>Labels!A526</f>
        <v>519</v>
      </c>
      <c r="B525" s="34">
        <f>INDEX(EchoData!B:B, MATCH(Summary!$A525, EchoData!$A:$A, 0))</f>
        <v>523</v>
      </c>
      <c r="C525" s="35">
        <f>INDEX(EchoData!C:C, MATCH(Summary!$A525, EchoData!$A:$A, 0))</f>
        <v>524</v>
      </c>
      <c r="D525" s="42">
        <f>INDEX(Displacements!B:B, MATCH(Summary!$B525, Displacements!$A:$A, 0))</f>
        <v>958.61900000000003</v>
      </c>
      <c r="E525" s="43">
        <f>INDEX(Displacements!C:C, MATCH(Summary!$B525, Displacements!$A:$A, 0))</f>
        <v>0</v>
      </c>
      <c r="F525" s="44">
        <f>INDEX(Displacements!D:D, MATCH(Summary!$B525, Displacements!$A:$A, 0))</f>
        <v>0</v>
      </c>
      <c r="G525" s="42">
        <f>INDEX(Displacements!B:B, MATCH(Summary!$C525, Displacements!$A:$A, 0))</f>
        <v>961.61599999999999</v>
      </c>
      <c r="H525" s="43">
        <f>INDEX(Displacements!C:C, MATCH(Summary!$C525, Displacements!$A:$A, 0))</f>
        <v>0</v>
      </c>
      <c r="I525" s="44">
        <f>INDEX(Displacements!D:D, MATCH(Summary!$C525, Displacements!$A:$A, 0))</f>
        <v>0</v>
      </c>
      <c r="J525" s="42">
        <f t="shared" si="16"/>
        <v>2.9969999999999573</v>
      </c>
      <c r="K525" s="49">
        <f t="shared" si="17"/>
        <v>1.0003337783711537</v>
      </c>
      <c r="L525" s="54">
        <f>INDEX('Forces+Stresses'!C:C, MATCH(Summary!$A525, 'Forces+Stresses'!$A:$A, 0))</f>
        <v>4681</v>
      </c>
      <c r="M525" s="55">
        <f>INDEX('Forces+Stresses'!D:D, MATCH(Summary!$A525, 'Forces+Stresses'!$A:$A, 0))</f>
        <v>4681</v>
      </c>
      <c r="N525" s="55">
        <f>IFERROR(INDEX('Forces+Stresses'!Q:Q, MATCH(Summary!$A525, 'Forces+Stresses'!$A:$A, 0)), INDEX(Flexjoints!D:D, MATCH(Summary!$A525, Flexjoints!$A:$A, 0)))</f>
        <v>1.543E-7</v>
      </c>
      <c r="O525" s="56">
        <f>IFERROR(INDEX('Forces+Stresses'!R:R, MATCH(Summary!$A525, 'Forces+Stresses'!$A:$A, 0)), INDEX(Flexjoints!E:E, MATCH(Summary!$A525, Flexjoints!$A:$A, 0)))</f>
        <v>2.0539999999999997E-6</v>
      </c>
      <c r="P525" s="33" t="str">
        <f>IF(INDEX(Labels!B:B, MATCH(Summary!$A525, Labels!$A:$A, 0)) = 0, "", INDEX(Labels!B:B, MATCH(Summary!$A525, Labels!$A:$A, 0)))</f>
        <v>{Marine Riser String}</v>
      </c>
      <c r="Q525" s="35" t="str">
        <f>IF(INDEX(Labels!C:C, MATCH(Summary!$A525, Labels!$A:$A, 0)) = 0, "", INDEX(Labels!C:C, MATCH(Summary!$A525, Labels!$A:$A, 0)))</f>
        <v>{Slick Joint}</v>
      </c>
      <c r="R525" s="33" t="str">
        <f>IF(INDEX(Labels!D:D, MATCH(Summary!$A525, Labels!$A:$A, 0)) = 0, "", INDEX(Labels!D:D, MATCH(Summary!$A525, Labels!$A:$A, 0)))</f>
        <v/>
      </c>
      <c r="S525" s="35" t="str">
        <f>IF(INDEX(Labels!E:E, MATCH(Summary!$A525, Labels!$A:$A, 0)) = 0, "", INDEX(Labels!E:E, MATCH(Summary!$A525, Labels!$A:$A, 0)))</f>
        <v/>
      </c>
      <c r="T525" s="33" t="str">
        <f>IF(INDEX(Labels!F:F, MATCH(Summary!$A525, Labels!$A:$A, 0)) = 0, "", INDEX(Labels!F:F, MATCH(Summary!$A525, Labels!$A:$A, 0)))</f>
        <v/>
      </c>
      <c r="U525" s="35" t="str">
        <f>IF(INDEX(Labels!G:G, MATCH(Summary!$A525, Labels!$A:$A, 0)) = 0, "", INDEX(Labels!G:G, MATCH(Summary!$A525, Labels!$A:$A, 0)))</f>
        <v/>
      </c>
      <c r="V525" s="62" t="str">
        <f>IF(INDEX(Labels!H:H, MATCH(Summary!$A525, Labels!$A:$A, 0)) = 0, "", INDEX(Labels!H:H, MATCH(Summary!$A525, Labels!$A:$A, 0)))</f>
        <v/>
      </c>
      <c r="W525" t="str">
        <f>IF(INDEX(Labels!I:I, MATCH(Summary!$A525, Labels!$A:$A, 0)) = 0, "", INDEX(Labels!I:I, MATCH(Summary!$A525, Labels!$A:$A, 0)))</f>
        <v/>
      </c>
      <c r="X525" t="str">
        <f>IF(INDEX(Labels!J:J, MATCH(Summary!$A525, Labels!$A:$A, 0)) = 0, "", INDEX(Labels!J:J, MATCH(Summary!$A525, Labels!$A:$A, 0)))</f>
        <v/>
      </c>
    </row>
    <row r="526" spans="1:24" x14ac:dyDescent="0.2">
      <c r="A526" s="33">
        <f>Labels!A527</f>
        <v>520</v>
      </c>
      <c r="B526" s="34">
        <f>INDEX(EchoData!B:B, MATCH(Summary!$A526, EchoData!$A:$A, 0))</f>
        <v>524</v>
      </c>
      <c r="C526" s="35">
        <f>INDEX(EchoData!C:C, MATCH(Summary!$A526, EchoData!$A:$A, 0))</f>
        <v>525</v>
      </c>
      <c r="D526" s="42">
        <f>INDEX(Displacements!B:B, MATCH(Summary!$B526, Displacements!$A:$A, 0))</f>
        <v>961.61599999999999</v>
      </c>
      <c r="E526" s="43">
        <f>INDEX(Displacements!C:C, MATCH(Summary!$B526, Displacements!$A:$A, 0))</f>
        <v>0</v>
      </c>
      <c r="F526" s="44">
        <f>INDEX(Displacements!D:D, MATCH(Summary!$B526, Displacements!$A:$A, 0))</f>
        <v>0</v>
      </c>
      <c r="G526" s="42">
        <f>INDEX(Displacements!B:B, MATCH(Summary!$C526, Displacements!$A:$A, 0))</f>
        <v>964.61199999999997</v>
      </c>
      <c r="H526" s="43">
        <f>INDEX(Displacements!C:C, MATCH(Summary!$C526, Displacements!$A:$A, 0))</f>
        <v>0</v>
      </c>
      <c r="I526" s="44">
        <f>INDEX(Displacements!D:D, MATCH(Summary!$C526, Displacements!$A:$A, 0))</f>
        <v>0</v>
      </c>
      <c r="J526" s="42">
        <f t="shared" si="16"/>
        <v>2.9959999999999809</v>
      </c>
      <c r="K526" s="49">
        <f t="shared" si="17"/>
        <v>0.99966633299967422</v>
      </c>
      <c r="L526" s="54">
        <f>INDEX('Forces+Stresses'!C:C, MATCH(Summary!$A526, 'Forces+Stresses'!$A:$A, 0))</f>
        <v>4703</v>
      </c>
      <c r="M526" s="55">
        <f>INDEX('Forces+Stresses'!D:D, MATCH(Summary!$A526, 'Forces+Stresses'!$A:$A, 0))</f>
        <v>4703</v>
      </c>
      <c r="N526" s="55">
        <f>IFERROR(INDEX('Forces+Stresses'!Q:Q, MATCH(Summary!$A526, 'Forces+Stresses'!$A:$A, 0)), INDEX(Flexjoints!D:D, MATCH(Summary!$A526, Flexjoints!$A:$A, 0)))</f>
        <v>8.8560000000000007E-8</v>
      </c>
      <c r="O526" s="56">
        <f>IFERROR(INDEX('Forces+Stresses'!R:R, MATCH(Summary!$A526, 'Forces+Stresses'!$A:$A, 0)), INDEX(Flexjoints!E:E, MATCH(Summary!$A526, Flexjoints!$A:$A, 0)))</f>
        <v>2.058E-6</v>
      </c>
      <c r="P526" s="33" t="str">
        <f>IF(INDEX(Labels!B:B, MATCH(Summary!$A526, Labels!$A:$A, 0)) = 0, "", INDEX(Labels!B:B, MATCH(Summary!$A526, Labels!$A:$A, 0)))</f>
        <v>{Marine Riser String}</v>
      </c>
      <c r="Q526" s="35" t="str">
        <f>IF(INDEX(Labels!C:C, MATCH(Summary!$A526, Labels!$A:$A, 0)) = 0, "", INDEX(Labels!C:C, MATCH(Summary!$A526, Labels!$A:$A, 0)))</f>
        <v>{Slick Joint}</v>
      </c>
      <c r="R526" s="33" t="str">
        <f>IF(INDEX(Labels!D:D, MATCH(Summary!$A526, Labels!$A:$A, 0)) = 0, "", INDEX(Labels!D:D, MATCH(Summary!$A526, Labels!$A:$A, 0)))</f>
        <v/>
      </c>
      <c r="S526" s="35" t="str">
        <f>IF(INDEX(Labels!E:E, MATCH(Summary!$A526, Labels!$A:$A, 0)) = 0, "", INDEX(Labels!E:E, MATCH(Summary!$A526, Labels!$A:$A, 0)))</f>
        <v/>
      </c>
      <c r="T526" s="33" t="str">
        <f>IF(INDEX(Labels!F:F, MATCH(Summary!$A526, Labels!$A:$A, 0)) = 0, "", INDEX(Labels!F:F, MATCH(Summary!$A526, Labels!$A:$A, 0)))</f>
        <v/>
      </c>
      <c r="U526" s="35" t="str">
        <f>IF(INDEX(Labels!G:G, MATCH(Summary!$A526, Labels!$A:$A, 0)) = 0, "", INDEX(Labels!G:G, MATCH(Summary!$A526, Labels!$A:$A, 0)))</f>
        <v/>
      </c>
      <c r="V526" s="62" t="str">
        <f>IF(INDEX(Labels!H:H, MATCH(Summary!$A526, Labels!$A:$A, 0)) = 0, "", INDEX(Labels!H:H, MATCH(Summary!$A526, Labels!$A:$A, 0)))</f>
        <v/>
      </c>
      <c r="W526" t="str">
        <f>IF(INDEX(Labels!I:I, MATCH(Summary!$A526, Labels!$A:$A, 0)) = 0, "", INDEX(Labels!I:I, MATCH(Summary!$A526, Labels!$A:$A, 0)))</f>
        <v/>
      </c>
      <c r="X526" t="str">
        <f>IF(INDEX(Labels!J:J, MATCH(Summary!$A526, Labels!$A:$A, 0)) = 0, "", INDEX(Labels!J:J, MATCH(Summary!$A526, Labels!$A:$A, 0)))</f>
        <v/>
      </c>
    </row>
    <row r="527" spans="1:24" x14ac:dyDescent="0.2">
      <c r="A527" s="33">
        <f>Labels!A528</f>
        <v>521</v>
      </c>
      <c r="B527" s="34">
        <f>INDEX(EchoData!B:B, MATCH(Summary!$A527, EchoData!$A:$A, 0))</f>
        <v>525</v>
      </c>
      <c r="C527" s="35">
        <f>INDEX(EchoData!C:C, MATCH(Summary!$A527, EchoData!$A:$A, 0))</f>
        <v>526</v>
      </c>
      <c r="D527" s="42">
        <f>INDEX(Displacements!B:B, MATCH(Summary!$B527, Displacements!$A:$A, 0))</f>
        <v>964.61199999999997</v>
      </c>
      <c r="E527" s="43">
        <f>INDEX(Displacements!C:C, MATCH(Summary!$B527, Displacements!$A:$A, 0))</f>
        <v>0</v>
      </c>
      <c r="F527" s="44">
        <f>INDEX(Displacements!D:D, MATCH(Summary!$B527, Displacements!$A:$A, 0))</f>
        <v>0</v>
      </c>
      <c r="G527" s="42">
        <f>INDEX(Displacements!B:B, MATCH(Summary!$C527, Displacements!$A:$A, 0))</f>
        <v>967.60900000000004</v>
      </c>
      <c r="H527" s="43">
        <f>INDEX(Displacements!C:C, MATCH(Summary!$C527, Displacements!$A:$A, 0))</f>
        <v>0</v>
      </c>
      <c r="I527" s="44">
        <f>INDEX(Displacements!D:D, MATCH(Summary!$C527, Displacements!$A:$A, 0))</f>
        <v>0</v>
      </c>
      <c r="J527" s="42">
        <f t="shared" si="16"/>
        <v>2.9970000000000709</v>
      </c>
      <c r="K527" s="49">
        <f t="shared" si="17"/>
        <v>1.0003337783711916</v>
      </c>
      <c r="L527" s="54">
        <f>INDEX('Forces+Stresses'!C:C, MATCH(Summary!$A527, 'Forces+Stresses'!$A:$A, 0))</f>
        <v>4724</v>
      </c>
      <c r="M527" s="55">
        <f>INDEX('Forces+Stresses'!D:D, MATCH(Summary!$A527, 'Forces+Stresses'!$A:$A, 0))</f>
        <v>4724</v>
      </c>
      <c r="N527" s="55">
        <f>IFERROR(INDEX('Forces+Stresses'!Q:Q, MATCH(Summary!$A527, 'Forces+Stresses'!$A:$A, 0)), INDEX(Flexjoints!D:D, MATCH(Summary!$A527, Flexjoints!$A:$A, 0)))</f>
        <v>3.8710000000000001E-8</v>
      </c>
      <c r="O527" s="56">
        <f>IFERROR(INDEX('Forces+Stresses'!R:R, MATCH(Summary!$A527, 'Forces+Stresses'!$A:$A, 0)), INDEX(Flexjoints!E:E, MATCH(Summary!$A527, Flexjoints!$A:$A, 0)))</f>
        <v>2.3990000000000002E-6</v>
      </c>
      <c r="P527" s="33" t="str">
        <f>IF(INDEX(Labels!B:B, MATCH(Summary!$A527, Labels!$A:$A, 0)) = 0, "", INDEX(Labels!B:B, MATCH(Summary!$A527, Labels!$A:$A, 0)))</f>
        <v>{Marine Riser String}</v>
      </c>
      <c r="Q527" s="35" t="str">
        <f>IF(INDEX(Labels!C:C, MATCH(Summary!$A527, Labels!$A:$A, 0)) = 0, "", INDEX(Labels!C:C, MATCH(Summary!$A527, Labels!$A:$A, 0)))</f>
        <v>{Slick Joint}</v>
      </c>
      <c r="R527" s="33" t="str">
        <f>IF(INDEX(Labels!D:D, MATCH(Summary!$A527, Labels!$A:$A, 0)) = 0, "", INDEX(Labels!D:D, MATCH(Summary!$A527, Labels!$A:$A, 0)))</f>
        <v/>
      </c>
      <c r="S527" s="35" t="str">
        <f>IF(INDEX(Labels!E:E, MATCH(Summary!$A527, Labels!$A:$A, 0)) = 0, "", INDEX(Labels!E:E, MATCH(Summary!$A527, Labels!$A:$A, 0)))</f>
        <v/>
      </c>
      <c r="T527" s="33" t="str">
        <f>IF(INDEX(Labels!F:F, MATCH(Summary!$A527, Labels!$A:$A, 0)) = 0, "", INDEX(Labels!F:F, MATCH(Summary!$A527, Labels!$A:$A, 0)))</f>
        <v/>
      </c>
      <c r="U527" s="35" t="str">
        <f>IF(INDEX(Labels!G:G, MATCH(Summary!$A527, Labels!$A:$A, 0)) = 0, "", INDEX(Labels!G:G, MATCH(Summary!$A527, Labels!$A:$A, 0)))</f>
        <v/>
      </c>
      <c r="V527" s="62" t="str">
        <f>IF(INDEX(Labels!H:H, MATCH(Summary!$A527, Labels!$A:$A, 0)) = 0, "", INDEX(Labels!H:H, MATCH(Summary!$A527, Labels!$A:$A, 0)))</f>
        <v/>
      </c>
      <c r="W527" t="str">
        <f>IF(INDEX(Labels!I:I, MATCH(Summary!$A527, Labels!$A:$A, 0)) = 0, "", INDEX(Labels!I:I, MATCH(Summary!$A527, Labels!$A:$A, 0)))</f>
        <v/>
      </c>
      <c r="X527" t="str">
        <f>IF(INDEX(Labels!J:J, MATCH(Summary!$A527, Labels!$A:$A, 0)) = 0, "", INDEX(Labels!J:J, MATCH(Summary!$A527, Labels!$A:$A, 0)))</f>
        <v/>
      </c>
    </row>
    <row r="528" spans="1:24" x14ac:dyDescent="0.2">
      <c r="A528" s="33">
        <f>Labels!A529</f>
        <v>522</v>
      </c>
      <c r="B528" s="34">
        <f>INDEX(EchoData!B:B, MATCH(Summary!$A528, EchoData!$A:$A, 0))</f>
        <v>526</v>
      </c>
      <c r="C528" s="35">
        <f>INDEX(EchoData!C:C, MATCH(Summary!$A528, EchoData!$A:$A, 0))</f>
        <v>527</v>
      </c>
      <c r="D528" s="42">
        <f>INDEX(Displacements!B:B, MATCH(Summary!$B528, Displacements!$A:$A, 0))</f>
        <v>967.60900000000004</v>
      </c>
      <c r="E528" s="43">
        <f>INDEX(Displacements!C:C, MATCH(Summary!$B528, Displacements!$A:$A, 0))</f>
        <v>0</v>
      </c>
      <c r="F528" s="44">
        <f>INDEX(Displacements!D:D, MATCH(Summary!$B528, Displacements!$A:$A, 0))</f>
        <v>0</v>
      </c>
      <c r="G528" s="42">
        <f>INDEX(Displacements!B:B, MATCH(Summary!$C528, Displacements!$A:$A, 0))</f>
        <v>970.60400000000004</v>
      </c>
      <c r="H528" s="43">
        <f>INDEX(Displacements!C:C, MATCH(Summary!$C528, Displacements!$A:$A, 0))</f>
        <v>0</v>
      </c>
      <c r="I528" s="44">
        <f>INDEX(Displacements!D:D, MATCH(Summary!$C528, Displacements!$A:$A, 0))</f>
        <v>0</v>
      </c>
      <c r="J528" s="42">
        <f t="shared" si="16"/>
        <v>2.9950000000000045</v>
      </c>
      <c r="K528" s="49">
        <f t="shared" si="17"/>
        <v>0.99933266599931048</v>
      </c>
      <c r="L528" s="54">
        <f>INDEX('Forces+Stresses'!C:C, MATCH(Summary!$A528, 'Forces+Stresses'!$A:$A, 0))</f>
        <v>4746</v>
      </c>
      <c r="M528" s="55">
        <f>INDEX('Forces+Stresses'!D:D, MATCH(Summary!$A528, 'Forces+Stresses'!$A:$A, 0))</f>
        <v>4746</v>
      </c>
      <c r="N528" s="55">
        <f>IFERROR(INDEX('Forces+Stresses'!Q:Q, MATCH(Summary!$A528, 'Forces+Stresses'!$A:$A, 0)), INDEX(Flexjoints!D:D, MATCH(Summary!$A528, Flexjoints!$A:$A, 0)))</f>
        <v>1.6300000000000002E-7</v>
      </c>
      <c r="O528" s="56">
        <f>IFERROR(INDEX('Forces+Stresses'!R:R, MATCH(Summary!$A528, 'Forces+Stresses'!$A:$A, 0)), INDEX(Flexjoints!E:E, MATCH(Summary!$A528, Flexjoints!$A:$A, 0)))</f>
        <v>2.2560000000000001E-6</v>
      </c>
      <c r="P528" s="33" t="str">
        <f>IF(INDEX(Labels!B:B, MATCH(Summary!$A528, Labels!$A:$A, 0)) = 0, "", INDEX(Labels!B:B, MATCH(Summary!$A528, Labels!$A:$A, 0)))</f>
        <v>{Marine Riser String}</v>
      </c>
      <c r="Q528" s="35" t="str">
        <f>IF(INDEX(Labels!C:C, MATCH(Summary!$A528, Labels!$A:$A, 0)) = 0, "", INDEX(Labels!C:C, MATCH(Summary!$A528, Labels!$A:$A, 0)))</f>
        <v>{Slick Joint}</v>
      </c>
      <c r="R528" s="33" t="str">
        <f>IF(INDEX(Labels!D:D, MATCH(Summary!$A528, Labels!$A:$A, 0)) = 0, "", INDEX(Labels!D:D, MATCH(Summary!$A528, Labels!$A:$A, 0)))</f>
        <v/>
      </c>
      <c r="S528" s="35" t="str">
        <f>IF(INDEX(Labels!E:E, MATCH(Summary!$A528, Labels!$A:$A, 0)) = 0, "", INDEX(Labels!E:E, MATCH(Summary!$A528, Labels!$A:$A, 0)))</f>
        <v/>
      </c>
      <c r="T528" s="33" t="str">
        <f>IF(INDEX(Labels!F:F, MATCH(Summary!$A528, Labels!$A:$A, 0)) = 0, "", INDEX(Labels!F:F, MATCH(Summary!$A528, Labels!$A:$A, 0)))</f>
        <v/>
      </c>
      <c r="U528" s="35" t="str">
        <f>IF(INDEX(Labels!G:G, MATCH(Summary!$A528, Labels!$A:$A, 0)) = 0, "", INDEX(Labels!G:G, MATCH(Summary!$A528, Labels!$A:$A, 0)))</f>
        <v/>
      </c>
      <c r="V528" s="62" t="str">
        <f>IF(INDEX(Labels!H:H, MATCH(Summary!$A528, Labels!$A:$A, 0)) = 0, "", INDEX(Labels!H:H, MATCH(Summary!$A528, Labels!$A:$A, 0)))</f>
        <v/>
      </c>
      <c r="W528" t="str">
        <f>IF(INDEX(Labels!I:I, MATCH(Summary!$A528, Labels!$A:$A, 0)) = 0, "", INDEX(Labels!I:I, MATCH(Summary!$A528, Labels!$A:$A, 0)))</f>
        <v/>
      </c>
      <c r="X528" t="str">
        <f>IF(INDEX(Labels!J:J, MATCH(Summary!$A528, Labels!$A:$A, 0)) = 0, "", INDEX(Labels!J:J, MATCH(Summary!$A528, Labels!$A:$A, 0)))</f>
        <v/>
      </c>
    </row>
    <row r="529" spans="1:24" x14ac:dyDescent="0.2">
      <c r="A529" s="33">
        <f>Labels!A530</f>
        <v>523</v>
      </c>
      <c r="B529" s="34">
        <f>INDEX(EchoData!B:B, MATCH(Summary!$A529, EchoData!$A:$A, 0))</f>
        <v>527</v>
      </c>
      <c r="C529" s="35">
        <f>INDEX(EchoData!C:C, MATCH(Summary!$A529, EchoData!$A:$A, 0))</f>
        <v>528</v>
      </c>
      <c r="D529" s="42">
        <f>INDEX(Displacements!B:B, MATCH(Summary!$B529, Displacements!$A:$A, 0))</f>
        <v>970.60400000000004</v>
      </c>
      <c r="E529" s="43">
        <f>INDEX(Displacements!C:C, MATCH(Summary!$B529, Displacements!$A:$A, 0))</f>
        <v>0</v>
      </c>
      <c r="F529" s="44">
        <f>INDEX(Displacements!D:D, MATCH(Summary!$B529, Displacements!$A:$A, 0))</f>
        <v>0</v>
      </c>
      <c r="G529" s="42">
        <f>INDEX(Displacements!B:B, MATCH(Summary!$C529, Displacements!$A:$A, 0))</f>
        <v>972.87900000000002</v>
      </c>
      <c r="H529" s="43">
        <f>INDEX(Displacements!C:C, MATCH(Summary!$C529, Displacements!$A:$A, 0))</f>
        <v>0</v>
      </c>
      <c r="I529" s="44">
        <f>INDEX(Displacements!D:D, MATCH(Summary!$C529, Displacements!$A:$A, 0))</f>
        <v>0</v>
      </c>
      <c r="J529" s="42">
        <f t="shared" si="16"/>
        <v>2.2749999999999773</v>
      </c>
      <c r="K529" s="49">
        <f t="shared" si="17"/>
        <v>0.75959933222035858</v>
      </c>
      <c r="L529" s="54">
        <f>INDEX('Forces+Stresses'!C:C, MATCH(Summary!$A529, 'Forces+Stresses'!$A:$A, 0))</f>
        <v>4768</v>
      </c>
      <c r="M529" s="55">
        <f>INDEX('Forces+Stresses'!D:D, MATCH(Summary!$A529, 'Forces+Stresses'!$A:$A, 0))</f>
        <v>4768</v>
      </c>
      <c r="N529" s="55">
        <f>IFERROR(INDEX('Forces+Stresses'!Q:Q, MATCH(Summary!$A529, 'Forces+Stresses'!$A:$A, 0)), INDEX(Flexjoints!D:D, MATCH(Summary!$A529, Flexjoints!$A:$A, 0)))</f>
        <v>1.4880000000000001E-7</v>
      </c>
      <c r="O529" s="56">
        <f>IFERROR(INDEX('Forces+Stresses'!R:R, MATCH(Summary!$A529, 'Forces+Stresses'!$A:$A, 0)), INDEX(Flexjoints!E:E, MATCH(Summary!$A529, Flexjoints!$A:$A, 0)))</f>
        <v>2.7369999999999998E-6</v>
      </c>
      <c r="P529" s="33" t="str">
        <f>IF(INDEX(Labels!B:B, MATCH(Summary!$A529, Labels!$A:$A, 0)) = 0, "", INDEX(Labels!B:B, MATCH(Summary!$A529, Labels!$A:$A, 0)))</f>
        <v>{Marine Riser String}</v>
      </c>
      <c r="Q529" s="35" t="str">
        <f>IF(INDEX(Labels!C:C, MATCH(Summary!$A529, Labels!$A:$A, 0)) = 0, "", INDEX(Labels!C:C, MATCH(Summary!$A529, Labels!$A:$A, 0)))</f>
        <v>{Slick Joint}</v>
      </c>
      <c r="R529" s="33" t="str">
        <f>IF(INDEX(Labels!D:D, MATCH(Summary!$A529, Labels!$A:$A, 0)) = 0, "", INDEX(Labels!D:D, MATCH(Summary!$A529, Labels!$A:$A, 0)))</f>
        <v/>
      </c>
      <c r="S529" s="35" t="str">
        <f>IF(INDEX(Labels!E:E, MATCH(Summary!$A529, Labels!$A:$A, 0)) = 0, "", INDEX(Labels!E:E, MATCH(Summary!$A529, Labels!$A:$A, 0)))</f>
        <v/>
      </c>
      <c r="T529" s="33" t="str">
        <f>IF(INDEX(Labels!F:F, MATCH(Summary!$A529, Labels!$A:$A, 0)) = 0, "", INDEX(Labels!F:F, MATCH(Summary!$A529, Labels!$A:$A, 0)))</f>
        <v/>
      </c>
      <c r="U529" s="35" t="str">
        <f>IF(INDEX(Labels!G:G, MATCH(Summary!$A529, Labels!$A:$A, 0)) = 0, "", INDEX(Labels!G:G, MATCH(Summary!$A529, Labels!$A:$A, 0)))</f>
        <v/>
      </c>
      <c r="V529" s="62" t="str">
        <f>IF(INDEX(Labels!H:H, MATCH(Summary!$A529, Labels!$A:$A, 0)) = 0, "", INDEX(Labels!H:H, MATCH(Summary!$A529, Labels!$A:$A, 0)))</f>
        <v/>
      </c>
      <c r="W529" t="str">
        <f>IF(INDEX(Labels!I:I, MATCH(Summary!$A529, Labels!$A:$A, 0)) = 0, "", INDEX(Labels!I:I, MATCH(Summary!$A529, Labels!$A:$A, 0)))</f>
        <v/>
      </c>
      <c r="X529" t="str">
        <f>IF(INDEX(Labels!J:J, MATCH(Summary!$A529, Labels!$A:$A, 0)) = 0, "", INDEX(Labels!J:J, MATCH(Summary!$A529, Labels!$A:$A, 0)))</f>
        <v/>
      </c>
    </row>
    <row r="530" spans="1:24" x14ac:dyDescent="0.2">
      <c r="A530" s="33">
        <f>Labels!A531</f>
        <v>524</v>
      </c>
      <c r="B530" s="34">
        <f>INDEX(EchoData!B:B, MATCH(Summary!$A530, EchoData!$A:$A, 0))</f>
        <v>528</v>
      </c>
      <c r="C530" s="35">
        <f>INDEX(EchoData!C:C, MATCH(Summary!$A530, EchoData!$A:$A, 0))</f>
        <v>529</v>
      </c>
      <c r="D530" s="42">
        <f>INDEX(Displacements!B:B, MATCH(Summary!$B530, Displacements!$A:$A, 0))</f>
        <v>972.87900000000002</v>
      </c>
      <c r="E530" s="43">
        <f>INDEX(Displacements!C:C, MATCH(Summary!$B530, Displacements!$A:$A, 0))</f>
        <v>0</v>
      </c>
      <c r="F530" s="44">
        <f>INDEX(Displacements!D:D, MATCH(Summary!$B530, Displacements!$A:$A, 0))</f>
        <v>0</v>
      </c>
      <c r="G530" s="42">
        <f>INDEX(Displacements!B:B, MATCH(Summary!$C530, Displacements!$A:$A, 0))</f>
        <v>974.39599999999996</v>
      </c>
      <c r="H530" s="43">
        <f>INDEX(Displacements!C:C, MATCH(Summary!$C530, Displacements!$A:$A, 0))</f>
        <v>0</v>
      </c>
      <c r="I530" s="44">
        <f>INDEX(Displacements!D:D, MATCH(Summary!$C530, Displacements!$A:$A, 0))</f>
        <v>0</v>
      </c>
      <c r="J530" s="42">
        <f t="shared" si="16"/>
        <v>1.5169999999999391</v>
      </c>
      <c r="K530" s="49">
        <f t="shared" si="17"/>
        <v>0.6668131868131667</v>
      </c>
      <c r="L530" s="54">
        <f>INDEX('Forces+Stresses'!C:C, MATCH(Summary!$A530, 'Forces+Stresses'!$A:$A, 0))</f>
        <v>4785</v>
      </c>
      <c r="M530" s="55">
        <f>INDEX('Forces+Stresses'!D:D, MATCH(Summary!$A530, 'Forces+Stresses'!$A:$A, 0))</f>
        <v>4785</v>
      </c>
      <c r="N530" s="55">
        <f>IFERROR(INDEX('Forces+Stresses'!Q:Q, MATCH(Summary!$A530, 'Forces+Stresses'!$A:$A, 0)), INDEX(Flexjoints!D:D, MATCH(Summary!$A530, Flexjoints!$A:$A, 0)))</f>
        <v>1.807E-7</v>
      </c>
      <c r="O530" s="56">
        <f>IFERROR(INDEX('Forces+Stresses'!R:R, MATCH(Summary!$A530, 'Forces+Stresses'!$A:$A, 0)), INDEX(Flexjoints!E:E, MATCH(Summary!$A530, Flexjoints!$A:$A, 0)))</f>
        <v>2.7889999999999999E-6</v>
      </c>
      <c r="P530" s="33" t="str">
        <f>IF(INDEX(Labels!B:B, MATCH(Summary!$A530, Labels!$A:$A, 0)) = 0, "", INDEX(Labels!B:B, MATCH(Summary!$A530, Labels!$A:$A, 0)))</f>
        <v>{Marine Riser String}</v>
      </c>
      <c r="Q530" s="35" t="str">
        <f>IF(INDEX(Labels!C:C, MATCH(Summary!$A530, Labels!$A:$A, 0)) = 0, "", INDEX(Labels!C:C, MATCH(Summary!$A530, Labels!$A:$A, 0)))</f>
        <v>{Slick Joint}</v>
      </c>
      <c r="R530" s="33" t="str">
        <f>IF(INDEX(Labels!D:D, MATCH(Summary!$A530, Labels!$A:$A, 0)) = 0, "", INDEX(Labels!D:D, MATCH(Summary!$A530, Labels!$A:$A, 0)))</f>
        <v/>
      </c>
      <c r="S530" s="35" t="str">
        <f>IF(INDEX(Labels!E:E, MATCH(Summary!$A530, Labels!$A:$A, 0)) = 0, "", INDEX(Labels!E:E, MATCH(Summary!$A530, Labels!$A:$A, 0)))</f>
        <v/>
      </c>
      <c r="T530" s="33" t="str">
        <f>IF(INDEX(Labels!F:F, MATCH(Summary!$A530, Labels!$A:$A, 0)) = 0, "", INDEX(Labels!F:F, MATCH(Summary!$A530, Labels!$A:$A, 0)))</f>
        <v/>
      </c>
      <c r="U530" s="35" t="str">
        <f>IF(INDEX(Labels!G:G, MATCH(Summary!$A530, Labels!$A:$A, 0)) = 0, "", INDEX(Labels!G:G, MATCH(Summary!$A530, Labels!$A:$A, 0)))</f>
        <v/>
      </c>
      <c r="V530" s="62" t="str">
        <f>IF(INDEX(Labels!H:H, MATCH(Summary!$A530, Labels!$A:$A, 0)) = 0, "", INDEX(Labels!H:H, MATCH(Summary!$A530, Labels!$A:$A, 0)))</f>
        <v/>
      </c>
      <c r="W530" t="str">
        <f>IF(INDEX(Labels!I:I, MATCH(Summary!$A530, Labels!$A:$A, 0)) = 0, "", INDEX(Labels!I:I, MATCH(Summary!$A530, Labels!$A:$A, 0)))</f>
        <v/>
      </c>
      <c r="X530" t="str">
        <f>IF(INDEX(Labels!J:J, MATCH(Summary!$A530, Labels!$A:$A, 0)) = 0, "", INDEX(Labels!J:J, MATCH(Summary!$A530, Labels!$A:$A, 0)))</f>
        <v/>
      </c>
    </row>
    <row r="531" spans="1:24" x14ac:dyDescent="0.2">
      <c r="A531" s="33">
        <f>Labels!A532</f>
        <v>525</v>
      </c>
      <c r="B531" s="34">
        <f>INDEX(EchoData!B:B, MATCH(Summary!$A531, EchoData!$A:$A, 0))</f>
        <v>529</v>
      </c>
      <c r="C531" s="35">
        <f>INDEX(EchoData!C:C, MATCH(Summary!$A531, EchoData!$A:$A, 0))</f>
        <v>530</v>
      </c>
      <c r="D531" s="42">
        <f>INDEX(Displacements!B:B, MATCH(Summary!$B531, Displacements!$A:$A, 0))</f>
        <v>974.39599999999996</v>
      </c>
      <c r="E531" s="43">
        <f>INDEX(Displacements!C:C, MATCH(Summary!$B531, Displacements!$A:$A, 0))</f>
        <v>0</v>
      </c>
      <c r="F531" s="44">
        <f>INDEX(Displacements!D:D, MATCH(Summary!$B531, Displacements!$A:$A, 0))</f>
        <v>0</v>
      </c>
      <c r="G531" s="42">
        <f>INDEX(Displacements!B:B, MATCH(Summary!$C531, Displacements!$A:$A, 0))</f>
        <v>975.40800000000002</v>
      </c>
      <c r="H531" s="43">
        <f>INDEX(Displacements!C:C, MATCH(Summary!$C531, Displacements!$A:$A, 0))</f>
        <v>0</v>
      </c>
      <c r="I531" s="44">
        <f>INDEX(Displacements!D:D, MATCH(Summary!$C531, Displacements!$A:$A, 0))</f>
        <v>0</v>
      </c>
      <c r="J531" s="42">
        <f t="shared" si="16"/>
        <v>1.0120000000000573</v>
      </c>
      <c r="K531" s="49">
        <f t="shared" si="17"/>
        <v>0.66710613052082923</v>
      </c>
      <c r="L531" s="54">
        <f>INDEX('Forces+Stresses'!C:C, MATCH(Summary!$A531, 'Forces+Stresses'!$A:$A, 0))</f>
        <v>4796</v>
      </c>
      <c r="M531" s="55">
        <f>INDEX('Forces+Stresses'!D:D, MATCH(Summary!$A531, 'Forces+Stresses'!$A:$A, 0))</f>
        <v>4796</v>
      </c>
      <c r="N531" s="55">
        <f>IFERROR(INDEX('Forces+Stresses'!Q:Q, MATCH(Summary!$A531, 'Forces+Stresses'!$A:$A, 0)), INDEX(Flexjoints!D:D, MATCH(Summary!$A531, Flexjoints!$A:$A, 0)))</f>
        <v>3.2709999999999996E-7</v>
      </c>
      <c r="O531" s="56">
        <f>IFERROR(INDEX('Forces+Stresses'!R:R, MATCH(Summary!$A531, 'Forces+Stresses'!$A:$A, 0)), INDEX(Flexjoints!E:E, MATCH(Summary!$A531, Flexjoints!$A:$A, 0)))</f>
        <v>2.6189999999999998E-6</v>
      </c>
      <c r="P531" s="33" t="str">
        <f>IF(INDEX(Labels!B:B, MATCH(Summary!$A531, Labels!$A:$A, 0)) = 0, "", INDEX(Labels!B:B, MATCH(Summary!$A531, Labels!$A:$A, 0)))</f>
        <v>{Marine Riser String}</v>
      </c>
      <c r="Q531" s="35" t="str">
        <f>IF(INDEX(Labels!C:C, MATCH(Summary!$A531, Labels!$A:$A, 0)) = 0, "", INDEX(Labels!C:C, MATCH(Summary!$A531, Labels!$A:$A, 0)))</f>
        <v>{Slick Joint}</v>
      </c>
      <c r="R531" s="33" t="str">
        <f>IF(INDEX(Labels!D:D, MATCH(Summary!$A531, Labels!$A:$A, 0)) = 0, "", INDEX(Labels!D:D, MATCH(Summary!$A531, Labels!$A:$A, 0)))</f>
        <v/>
      </c>
      <c r="S531" s="35" t="str">
        <f>IF(INDEX(Labels!E:E, MATCH(Summary!$A531, Labels!$A:$A, 0)) = 0, "", INDEX(Labels!E:E, MATCH(Summary!$A531, Labels!$A:$A, 0)))</f>
        <v/>
      </c>
      <c r="T531" s="33" t="str">
        <f>IF(INDEX(Labels!F:F, MATCH(Summary!$A531, Labels!$A:$A, 0)) = 0, "", INDEX(Labels!F:F, MATCH(Summary!$A531, Labels!$A:$A, 0)))</f>
        <v/>
      </c>
      <c r="U531" s="35" t="str">
        <f>IF(INDEX(Labels!G:G, MATCH(Summary!$A531, Labels!$A:$A, 0)) = 0, "", INDEX(Labels!G:G, MATCH(Summary!$A531, Labels!$A:$A, 0)))</f>
        <v/>
      </c>
      <c r="V531" s="62" t="str">
        <f>IF(INDEX(Labels!H:H, MATCH(Summary!$A531, Labels!$A:$A, 0)) = 0, "", INDEX(Labels!H:H, MATCH(Summary!$A531, Labels!$A:$A, 0)))</f>
        <v/>
      </c>
      <c r="W531" t="str">
        <f>IF(INDEX(Labels!I:I, MATCH(Summary!$A531, Labels!$A:$A, 0)) = 0, "", INDEX(Labels!I:I, MATCH(Summary!$A531, Labels!$A:$A, 0)))</f>
        <v/>
      </c>
      <c r="X531" t="str">
        <f>IF(INDEX(Labels!J:J, MATCH(Summary!$A531, Labels!$A:$A, 0)) = 0, "", INDEX(Labels!J:J, MATCH(Summary!$A531, Labels!$A:$A, 0)))</f>
        <v/>
      </c>
    </row>
    <row r="532" spans="1:24" x14ac:dyDescent="0.2">
      <c r="A532" s="33">
        <f>Labels!A533</f>
        <v>526</v>
      </c>
      <c r="B532" s="34">
        <f>INDEX(EchoData!B:B, MATCH(Summary!$A532, EchoData!$A:$A, 0))</f>
        <v>530</v>
      </c>
      <c r="C532" s="35">
        <f>INDEX(EchoData!C:C, MATCH(Summary!$A532, EchoData!$A:$A, 0))</f>
        <v>531</v>
      </c>
      <c r="D532" s="42">
        <f>INDEX(Displacements!B:B, MATCH(Summary!$B532, Displacements!$A:$A, 0))</f>
        <v>975.40800000000002</v>
      </c>
      <c r="E532" s="43">
        <f>INDEX(Displacements!C:C, MATCH(Summary!$B532, Displacements!$A:$A, 0))</f>
        <v>0</v>
      </c>
      <c r="F532" s="44">
        <f>INDEX(Displacements!D:D, MATCH(Summary!$B532, Displacements!$A:$A, 0))</f>
        <v>0</v>
      </c>
      <c r="G532" s="42">
        <f>INDEX(Displacements!B:B, MATCH(Summary!$C532, Displacements!$A:$A, 0))</f>
        <v>976.08199999999999</v>
      </c>
      <c r="H532" s="43">
        <f>INDEX(Displacements!C:C, MATCH(Summary!$C532, Displacements!$A:$A, 0))</f>
        <v>0</v>
      </c>
      <c r="I532" s="44">
        <f>INDEX(Displacements!D:D, MATCH(Summary!$C532, Displacements!$A:$A, 0))</f>
        <v>0</v>
      </c>
      <c r="J532" s="42">
        <f t="shared" si="16"/>
        <v>0.67399999999997817</v>
      </c>
      <c r="K532" s="49">
        <f t="shared" si="17"/>
        <v>0.66600790513828068</v>
      </c>
      <c r="L532" s="54">
        <f>INDEX('Forces+Stresses'!C:C, MATCH(Summary!$A532, 'Forces+Stresses'!$A:$A, 0))</f>
        <v>4803</v>
      </c>
      <c r="M532" s="55">
        <f>INDEX('Forces+Stresses'!D:D, MATCH(Summary!$A532, 'Forces+Stresses'!$A:$A, 0))</f>
        <v>4803</v>
      </c>
      <c r="N532" s="55">
        <f>IFERROR(INDEX('Forces+Stresses'!Q:Q, MATCH(Summary!$A532, 'Forces+Stresses'!$A:$A, 0)), INDEX(Flexjoints!D:D, MATCH(Summary!$A532, Flexjoints!$A:$A, 0)))</f>
        <v>3.0269999999999998E-7</v>
      </c>
      <c r="O532" s="56">
        <f>IFERROR(INDEX('Forces+Stresses'!R:R, MATCH(Summary!$A532, 'Forces+Stresses'!$A:$A, 0)), INDEX(Flexjoints!E:E, MATCH(Summary!$A532, Flexjoints!$A:$A, 0)))</f>
        <v>3.0109999999999996E-6</v>
      </c>
      <c r="P532" s="33" t="str">
        <f>IF(INDEX(Labels!B:B, MATCH(Summary!$A532, Labels!$A:$A, 0)) = 0, "", INDEX(Labels!B:B, MATCH(Summary!$A532, Labels!$A:$A, 0)))</f>
        <v>{Marine Riser String}</v>
      </c>
      <c r="Q532" s="35" t="str">
        <f>IF(INDEX(Labels!C:C, MATCH(Summary!$A532, Labels!$A:$A, 0)) = 0, "", INDEX(Labels!C:C, MATCH(Summary!$A532, Labels!$A:$A, 0)))</f>
        <v>{Slick Joint}</v>
      </c>
      <c r="R532" s="33" t="str">
        <f>IF(INDEX(Labels!D:D, MATCH(Summary!$A532, Labels!$A:$A, 0)) = 0, "", INDEX(Labels!D:D, MATCH(Summary!$A532, Labels!$A:$A, 0)))</f>
        <v/>
      </c>
      <c r="S532" s="35" t="str">
        <f>IF(INDEX(Labels!E:E, MATCH(Summary!$A532, Labels!$A:$A, 0)) = 0, "", INDEX(Labels!E:E, MATCH(Summary!$A532, Labels!$A:$A, 0)))</f>
        <v/>
      </c>
      <c r="T532" s="33" t="str">
        <f>IF(INDEX(Labels!F:F, MATCH(Summary!$A532, Labels!$A:$A, 0)) = 0, "", INDEX(Labels!F:F, MATCH(Summary!$A532, Labels!$A:$A, 0)))</f>
        <v/>
      </c>
      <c r="U532" s="35" t="str">
        <f>IF(INDEX(Labels!G:G, MATCH(Summary!$A532, Labels!$A:$A, 0)) = 0, "", INDEX(Labels!G:G, MATCH(Summary!$A532, Labels!$A:$A, 0)))</f>
        <v/>
      </c>
      <c r="V532" s="62" t="str">
        <f>IF(INDEX(Labels!H:H, MATCH(Summary!$A532, Labels!$A:$A, 0)) = 0, "", INDEX(Labels!H:H, MATCH(Summary!$A532, Labels!$A:$A, 0)))</f>
        <v/>
      </c>
      <c r="W532" t="str">
        <f>IF(INDEX(Labels!I:I, MATCH(Summary!$A532, Labels!$A:$A, 0)) = 0, "", INDEX(Labels!I:I, MATCH(Summary!$A532, Labels!$A:$A, 0)))</f>
        <v/>
      </c>
      <c r="X532" t="str">
        <f>IF(INDEX(Labels!J:J, MATCH(Summary!$A532, Labels!$A:$A, 0)) = 0, "", INDEX(Labels!J:J, MATCH(Summary!$A532, Labels!$A:$A, 0)))</f>
        <v/>
      </c>
    </row>
    <row r="533" spans="1:24" x14ac:dyDescent="0.2">
      <c r="A533" s="33">
        <f>Labels!A534</f>
        <v>527</v>
      </c>
      <c r="B533" s="34">
        <f>INDEX(EchoData!B:B, MATCH(Summary!$A533, EchoData!$A:$A, 0))</f>
        <v>531</v>
      </c>
      <c r="C533" s="35">
        <f>INDEX(EchoData!C:C, MATCH(Summary!$A533, EchoData!$A:$A, 0))</f>
        <v>532</v>
      </c>
      <c r="D533" s="42">
        <f>INDEX(Displacements!B:B, MATCH(Summary!$B533, Displacements!$A:$A, 0))</f>
        <v>976.08199999999999</v>
      </c>
      <c r="E533" s="43">
        <f>INDEX(Displacements!C:C, MATCH(Summary!$B533, Displacements!$A:$A, 0))</f>
        <v>0</v>
      </c>
      <c r="F533" s="44">
        <f>INDEX(Displacements!D:D, MATCH(Summary!$B533, Displacements!$A:$A, 0))</f>
        <v>0</v>
      </c>
      <c r="G533" s="42">
        <f>INDEX(Displacements!B:B, MATCH(Summary!$C533, Displacements!$A:$A, 0))</f>
        <v>976.53099999999995</v>
      </c>
      <c r="H533" s="43">
        <f>INDEX(Displacements!C:C, MATCH(Summary!$C533, Displacements!$A:$A, 0))</f>
        <v>0</v>
      </c>
      <c r="I533" s="44">
        <f>INDEX(Displacements!D:D, MATCH(Summary!$C533, Displacements!$A:$A, 0))</f>
        <v>0</v>
      </c>
      <c r="J533" s="42">
        <f t="shared" si="16"/>
        <v>0.44899999999995543</v>
      </c>
      <c r="K533" s="49">
        <f t="shared" si="17"/>
        <v>0.66617210682488126</v>
      </c>
      <c r="L533" s="54">
        <f>INDEX('Forces+Stresses'!C:C, MATCH(Summary!$A533, 'Forces+Stresses'!$A:$A, 0))</f>
        <v>4808</v>
      </c>
      <c r="M533" s="55">
        <f>INDEX('Forces+Stresses'!D:D, MATCH(Summary!$A533, 'Forces+Stresses'!$A:$A, 0))</f>
        <v>4808</v>
      </c>
      <c r="N533" s="55">
        <f>IFERROR(INDEX('Forces+Stresses'!Q:Q, MATCH(Summary!$A533, 'Forces+Stresses'!$A:$A, 0)), INDEX(Flexjoints!D:D, MATCH(Summary!$A533, Flexjoints!$A:$A, 0)))</f>
        <v>1.165E-7</v>
      </c>
      <c r="O533" s="56">
        <f>IFERROR(INDEX('Forces+Stresses'!R:R, MATCH(Summary!$A533, 'Forces+Stresses'!$A:$A, 0)), INDEX(Flexjoints!E:E, MATCH(Summary!$A533, Flexjoints!$A:$A, 0)))</f>
        <v>3.3000000000000002E-6</v>
      </c>
      <c r="P533" s="33" t="str">
        <f>IF(INDEX(Labels!B:B, MATCH(Summary!$A533, Labels!$A:$A, 0)) = 0, "", INDEX(Labels!B:B, MATCH(Summary!$A533, Labels!$A:$A, 0)))</f>
        <v>{Marine Riser String}</v>
      </c>
      <c r="Q533" s="35" t="str">
        <f>IF(INDEX(Labels!C:C, MATCH(Summary!$A533, Labels!$A:$A, 0)) = 0, "", INDEX(Labels!C:C, MATCH(Summary!$A533, Labels!$A:$A, 0)))</f>
        <v>{Slick Joint}</v>
      </c>
      <c r="R533" s="33" t="str">
        <f>IF(INDEX(Labels!D:D, MATCH(Summary!$A533, Labels!$A:$A, 0)) = 0, "", INDEX(Labels!D:D, MATCH(Summary!$A533, Labels!$A:$A, 0)))</f>
        <v/>
      </c>
      <c r="S533" s="35" t="str">
        <f>IF(INDEX(Labels!E:E, MATCH(Summary!$A533, Labels!$A:$A, 0)) = 0, "", INDEX(Labels!E:E, MATCH(Summary!$A533, Labels!$A:$A, 0)))</f>
        <v/>
      </c>
      <c r="T533" s="33" t="str">
        <f>IF(INDEX(Labels!F:F, MATCH(Summary!$A533, Labels!$A:$A, 0)) = 0, "", INDEX(Labels!F:F, MATCH(Summary!$A533, Labels!$A:$A, 0)))</f>
        <v/>
      </c>
      <c r="U533" s="35" t="str">
        <f>IF(INDEX(Labels!G:G, MATCH(Summary!$A533, Labels!$A:$A, 0)) = 0, "", INDEX(Labels!G:G, MATCH(Summary!$A533, Labels!$A:$A, 0)))</f>
        <v/>
      </c>
      <c r="V533" s="62" t="str">
        <f>IF(INDEX(Labels!H:H, MATCH(Summary!$A533, Labels!$A:$A, 0)) = 0, "", INDEX(Labels!H:H, MATCH(Summary!$A533, Labels!$A:$A, 0)))</f>
        <v/>
      </c>
      <c r="W533" t="str">
        <f>IF(INDEX(Labels!I:I, MATCH(Summary!$A533, Labels!$A:$A, 0)) = 0, "", INDEX(Labels!I:I, MATCH(Summary!$A533, Labels!$A:$A, 0)))</f>
        <v/>
      </c>
      <c r="X533" t="str">
        <f>IF(INDEX(Labels!J:J, MATCH(Summary!$A533, Labels!$A:$A, 0)) = 0, "", INDEX(Labels!J:J, MATCH(Summary!$A533, Labels!$A:$A, 0)))</f>
        <v/>
      </c>
    </row>
    <row r="534" spans="1:24" x14ac:dyDescent="0.2">
      <c r="A534" s="33">
        <f>Labels!A535</f>
        <v>528</v>
      </c>
      <c r="B534" s="34">
        <f>INDEX(EchoData!B:B, MATCH(Summary!$A534, EchoData!$A:$A, 0))</f>
        <v>532</v>
      </c>
      <c r="C534" s="35">
        <f>INDEX(EchoData!C:C, MATCH(Summary!$A534, EchoData!$A:$A, 0))</f>
        <v>533</v>
      </c>
      <c r="D534" s="42">
        <f>INDEX(Displacements!B:B, MATCH(Summary!$B534, Displacements!$A:$A, 0))</f>
        <v>976.53099999999995</v>
      </c>
      <c r="E534" s="43">
        <f>INDEX(Displacements!C:C, MATCH(Summary!$B534, Displacements!$A:$A, 0))</f>
        <v>0</v>
      </c>
      <c r="F534" s="44">
        <f>INDEX(Displacements!D:D, MATCH(Summary!$B534, Displacements!$A:$A, 0))</f>
        <v>0</v>
      </c>
      <c r="G534" s="42">
        <f>INDEX(Displacements!B:B, MATCH(Summary!$C534, Displacements!$A:$A, 0))</f>
        <v>976.83100000000002</v>
      </c>
      <c r="H534" s="43">
        <f>INDEX(Displacements!C:C, MATCH(Summary!$C534, Displacements!$A:$A, 0))</f>
        <v>0</v>
      </c>
      <c r="I534" s="44">
        <f>INDEX(Displacements!D:D, MATCH(Summary!$C534, Displacements!$A:$A, 0))</f>
        <v>0</v>
      </c>
      <c r="J534" s="42">
        <f t="shared" si="16"/>
        <v>0.30000000000006821</v>
      </c>
      <c r="K534" s="49">
        <f t="shared" si="17"/>
        <v>0.66815144766168821</v>
      </c>
      <c r="L534" s="54">
        <f>INDEX('Forces+Stresses'!C:C, MATCH(Summary!$A534, 'Forces+Stresses'!$A:$A, 0))</f>
        <v>4812</v>
      </c>
      <c r="M534" s="55">
        <f>INDEX('Forces+Stresses'!D:D, MATCH(Summary!$A534, 'Forces+Stresses'!$A:$A, 0))</f>
        <v>4812</v>
      </c>
      <c r="N534" s="55">
        <f>IFERROR(INDEX('Forces+Stresses'!Q:Q, MATCH(Summary!$A534, 'Forces+Stresses'!$A:$A, 0)), INDEX(Flexjoints!D:D, MATCH(Summary!$A534, Flexjoints!$A:$A, 0)))</f>
        <v>7.8540000000000001E-8</v>
      </c>
      <c r="O534" s="56">
        <f>IFERROR(INDEX('Forces+Stresses'!R:R, MATCH(Summary!$A534, 'Forces+Stresses'!$A:$A, 0)), INDEX(Flexjoints!E:E, MATCH(Summary!$A534, Flexjoints!$A:$A, 0)))</f>
        <v>3.4999999999999999E-6</v>
      </c>
      <c r="P534" s="33" t="str">
        <f>IF(INDEX(Labels!B:B, MATCH(Summary!$A534, Labels!$A:$A, 0)) = 0, "", INDEX(Labels!B:B, MATCH(Summary!$A534, Labels!$A:$A, 0)))</f>
        <v>{Marine Riser String}</v>
      </c>
      <c r="Q534" s="35" t="str">
        <f>IF(INDEX(Labels!C:C, MATCH(Summary!$A534, Labels!$A:$A, 0)) = 0, "", INDEX(Labels!C:C, MATCH(Summary!$A534, Labels!$A:$A, 0)))</f>
        <v>{Slick Joint}</v>
      </c>
      <c r="R534" s="33" t="str">
        <f>IF(INDEX(Labels!D:D, MATCH(Summary!$A534, Labels!$A:$A, 0)) = 0, "", INDEX(Labels!D:D, MATCH(Summary!$A534, Labels!$A:$A, 0)))</f>
        <v/>
      </c>
      <c r="S534" s="35" t="str">
        <f>IF(INDEX(Labels!E:E, MATCH(Summary!$A534, Labels!$A:$A, 0)) = 0, "", INDEX(Labels!E:E, MATCH(Summary!$A534, Labels!$A:$A, 0)))</f>
        <v/>
      </c>
      <c r="T534" s="33" t="str">
        <f>IF(INDEX(Labels!F:F, MATCH(Summary!$A534, Labels!$A:$A, 0)) = 0, "", INDEX(Labels!F:F, MATCH(Summary!$A534, Labels!$A:$A, 0)))</f>
        <v/>
      </c>
      <c r="U534" s="35" t="str">
        <f>IF(INDEX(Labels!G:G, MATCH(Summary!$A534, Labels!$A:$A, 0)) = 0, "", INDEX(Labels!G:G, MATCH(Summary!$A534, Labels!$A:$A, 0)))</f>
        <v>{Slick Joint_Last}</v>
      </c>
      <c r="V534" s="62" t="str">
        <f>IF(INDEX(Labels!H:H, MATCH(Summary!$A534, Labels!$A:$A, 0)) = 0, "", INDEX(Labels!H:H, MATCH(Summary!$A534, Labels!$A:$A, 0)))</f>
        <v>{Outer_Barrel_Base_Before}</v>
      </c>
      <c r="W534" t="str">
        <f>IF(INDEX(Labels!I:I, MATCH(Summary!$A534, Labels!$A:$A, 0)) = 0, "", INDEX(Labels!I:I, MATCH(Summary!$A534, Labels!$A:$A, 0)))</f>
        <v/>
      </c>
      <c r="X534" t="str">
        <f>IF(INDEX(Labels!J:J, MATCH(Summary!$A534, Labels!$A:$A, 0)) = 0, "", INDEX(Labels!J:J, MATCH(Summary!$A534, Labels!$A:$A, 0)))</f>
        <v/>
      </c>
    </row>
    <row r="535" spans="1:24" x14ac:dyDescent="0.2">
      <c r="A535" s="33">
        <f>Labels!A536</f>
        <v>529</v>
      </c>
      <c r="B535" s="34">
        <f>INDEX(EchoData!B:B, MATCH(Summary!$A535, EchoData!$A:$A, 0))</f>
        <v>533</v>
      </c>
      <c r="C535" s="35">
        <f>INDEX(EchoData!C:C, MATCH(Summary!$A535, EchoData!$A:$A, 0))</f>
        <v>534</v>
      </c>
      <c r="D535" s="42">
        <f>INDEX(Displacements!B:B, MATCH(Summary!$B535, Displacements!$A:$A, 0))</f>
        <v>976.83100000000002</v>
      </c>
      <c r="E535" s="43">
        <f>INDEX(Displacements!C:C, MATCH(Summary!$B535, Displacements!$A:$A, 0))</f>
        <v>0</v>
      </c>
      <c r="F535" s="44">
        <f>INDEX(Displacements!D:D, MATCH(Summary!$B535, Displacements!$A:$A, 0))</f>
        <v>0</v>
      </c>
      <c r="G535" s="42">
        <f>INDEX(Displacements!B:B, MATCH(Summary!$C535, Displacements!$A:$A, 0))</f>
        <v>977.10199999999998</v>
      </c>
      <c r="H535" s="43">
        <f>INDEX(Displacements!C:C, MATCH(Summary!$C535, Displacements!$A:$A, 0))</f>
        <v>0</v>
      </c>
      <c r="I535" s="44">
        <f>INDEX(Displacements!D:D, MATCH(Summary!$C535, Displacements!$A:$A, 0))</f>
        <v>0</v>
      </c>
      <c r="J535" s="42">
        <f t="shared" si="16"/>
        <v>0.27099999999995816</v>
      </c>
      <c r="K535" s="49">
        <f t="shared" si="17"/>
        <v>0.90333333333298849</v>
      </c>
      <c r="L535" s="54">
        <f>INDEX('Forces+Stresses'!C:C, MATCH(Summary!$A535, 'Forces+Stresses'!$A:$A, 0))</f>
        <v>4814</v>
      </c>
      <c r="M535" s="55">
        <f>INDEX('Forces+Stresses'!D:D, MATCH(Summary!$A535, 'Forces+Stresses'!$A:$A, 0))</f>
        <v>4814</v>
      </c>
      <c r="N535" s="55">
        <f>IFERROR(INDEX('Forces+Stresses'!Q:Q, MATCH(Summary!$A535, 'Forces+Stresses'!$A:$A, 0)), INDEX(Flexjoints!D:D, MATCH(Summary!$A535, Flexjoints!$A:$A, 0)))</f>
        <v>1.339E-7</v>
      </c>
      <c r="O535" s="56">
        <f>IFERROR(INDEX('Forces+Stresses'!R:R, MATCH(Summary!$A535, 'Forces+Stresses'!$A:$A, 0)), INDEX(Flexjoints!E:E, MATCH(Summary!$A535, Flexjoints!$A:$A, 0)))</f>
        <v>3.6340000000000003E-6</v>
      </c>
      <c r="P535" s="33" t="str">
        <f>IF(INDEX(Labels!B:B, MATCH(Summary!$A535, Labels!$A:$A, 0)) = 0, "", INDEX(Labels!B:B, MATCH(Summary!$A535, Labels!$A:$A, 0)))</f>
        <v>{Marine Riser String}</v>
      </c>
      <c r="Q535" s="35" t="str">
        <f>IF(INDEX(Labels!C:C, MATCH(Summary!$A535, Labels!$A:$A, 0)) = 0, "", INDEX(Labels!C:C, MATCH(Summary!$A535, Labels!$A:$A, 0)))</f>
        <v>{Outer Barrel Lower}</v>
      </c>
      <c r="R535" s="33" t="str">
        <f>IF(INDEX(Labels!D:D, MATCH(Summary!$A535, Labels!$A:$A, 0)) = 0, "", INDEX(Labels!D:D, MATCH(Summary!$A535, Labels!$A:$A, 0)))</f>
        <v/>
      </c>
      <c r="S535" s="35" t="str">
        <f>IF(INDEX(Labels!E:E, MATCH(Summary!$A535, Labels!$A:$A, 0)) = 0, "", INDEX(Labels!E:E, MATCH(Summary!$A535, Labels!$A:$A, 0)))</f>
        <v/>
      </c>
      <c r="T535" s="33" t="str">
        <f>IF(INDEX(Labels!F:F, MATCH(Summary!$A535, Labels!$A:$A, 0)) = 0, "", INDEX(Labels!F:F, MATCH(Summary!$A535, Labels!$A:$A, 0)))</f>
        <v>{Outer Barrel Lower_First}</v>
      </c>
      <c r="U535" s="35" t="str">
        <f>IF(INDEX(Labels!G:G, MATCH(Summary!$A535, Labels!$A:$A, 0)) = 0, "", INDEX(Labels!G:G, MATCH(Summary!$A535, Labels!$A:$A, 0)))</f>
        <v/>
      </c>
      <c r="V535" s="62" t="str">
        <f>IF(INDEX(Labels!H:H, MATCH(Summary!$A535, Labels!$A:$A, 0)) = 0, "", INDEX(Labels!H:H, MATCH(Summary!$A535, Labels!$A:$A, 0)))</f>
        <v>{Outer_Barrel_Base_After}</v>
      </c>
      <c r="W535" t="str">
        <f>IF(INDEX(Labels!I:I, MATCH(Summary!$A535, Labels!$A:$A, 0)) = 0, "", INDEX(Labels!I:I, MATCH(Summary!$A535, Labels!$A:$A, 0)))</f>
        <v/>
      </c>
      <c r="X535" t="str">
        <f>IF(INDEX(Labels!J:J, MATCH(Summary!$A535, Labels!$A:$A, 0)) = 0, "", INDEX(Labels!J:J, MATCH(Summary!$A535, Labels!$A:$A, 0)))</f>
        <v/>
      </c>
    </row>
    <row r="536" spans="1:24" x14ac:dyDescent="0.2">
      <c r="A536" s="33">
        <f>Labels!A537</f>
        <v>530</v>
      </c>
      <c r="B536" s="34">
        <f>INDEX(EchoData!B:B, MATCH(Summary!$A536, EchoData!$A:$A, 0))</f>
        <v>534</v>
      </c>
      <c r="C536" s="35">
        <f>INDEX(EchoData!C:C, MATCH(Summary!$A536, EchoData!$A:$A, 0))</f>
        <v>535</v>
      </c>
      <c r="D536" s="42">
        <f>INDEX(Displacements!B:B, MATCH(Summary!$B536, Displacements!$A:$A, 0))</f>
        <v>977.10199999999998</v>
      </c>
      <c r="E536" s="43">
        <f>INDEX(Displacements!C:C, MATCH(Summary!$B536, Displacements!$A:$A, 0))</f>
        <v>0</v>
      </c>
      <c r="F536" s="44">
        <f>INDEX(Displacements!D:D, MATCH(Summary!$B536, Displacements!$A:$A, 0))</f>
        <v>0</v>
      </c>
      <c r="G536" s="42">
        <f>INDEX(Displacements!B:B, MATCH(Summary!$C536, Displacements!$A:$A, 0))</f>
        <v>977.50900000000001</v>
      </c>
      <c r="H536" s="43">
        <f>INDEX(Displacements!C:C, MATCH(Summary!$C536, Displacements!$A:$A, 0))</f>
        <v>0</v>
      </c>
      <c r="I536" s="44">
        <f>INDEX(Displacements!D:D, MATCH(Summary!$C536, Displacements!$A:$A, 0))</f>
        <v>0</v>
      </c>
      <c r="J536" s="42">
        <f t="shared" si="16"/>
        <v>0.40700000000003911</v>
      </c>
      <c r="K536" s="49">
        <f t="shared" si="17"/>
        <v>1.5018450184505607</v>
      </c>
      <c r="L536" s="54">
        <f>INDEX('Forces+Stresses'!C:C, MATCH(Summary!$A536, 'Forces+Stresses'!$A:$A, 0))</f>
        <v>4817</v>
      </c>
      <c r="M536" s="55">
        <f>INDEX('Forces+Stresses'!D:D, MATCH(Summary!$A536, 'Forces+Stresses'!$A:$A, 0))</f>
        <v>4817</v>
      </c>
      <c r="N536" s="55">
        <f>IFERROR(INDEX('Forces+Stresses'!Q:Q, MATCH(Summary!$A536, 'Forces+Stresses'!$A:$A, 0)), INDEX(Flexjoints!D:D, MATCH(Summary!$A536, Flexjoints!$A:$A, 0)))</f>
        <v>1.818E-7</v>
      </c>
      <c r="O536" s="56">
        <f>IFERROR(INDEX('Forces+Stresses'!R:R, MATCH(Summary!$A536, 'Forces+Stresses'!$A:$A, 0)), INDEX(Flexjoints!E:E, MATCH(Summary!$A536, Flexjoints!$A:$A, 0)))</f>
        <v>3.755E-6</v>
      </c>
      <c r="P536" s="33" t="str">
        <f>IF(INDEX(Labels!B:B, MATCH(Summary!$A536, Labels!$A:$A, 0)) = 0, "", INDEX(Labels!B:B, MATCH(Summary!$A536, Labels!$A:$A, 0)))</f>
        <v>{Marine Riser String}</v>
      </c>
      <c r="Q536" s="35" t="str">
        <f>IF(INDEX(Labels!C:C, MATCH(Summary!$A536, Labels!$A:$A, 0)) = 0, "", INDEX(Labels!C:C, MATCH(Summary!$A536, Labels!$A:$A, 0)))</f>
        <v>{Outer Barrel Lower}</v>
      </c>
      <c r="R536" s="33" t="str">
        <f>IF(INDEX(Labels!D:D, MATCH(Summary!$A536, Labels!$A:$A, 0)) = 0, "", INDEX(Labels!D:D, MATCH(Summary!$A536, Labels!$A:$A, 0)))</f>
        <v/>
      </c>
      <c r="S536" s="35" t="str">
        <f>IF(INDEX(Labels!E:E, MATCH(Summary!$A536, Labels!$A:$A, 0)) = 0, "", INDEX(Labels!E:E, MATCH(Summary!$A536, Labels!$A:$A, 0)))</f>
        <v/>
      </c>
      <c r="T536" s="33" t="str">
        <f>IF(INDEX(Labels!F:F, MATCH(Summary!$A536, Labels!$A:$A, 0)) = 0, "", INDEX(Labels!F:F, MATCH(Summary!$A536, Labels!$A:$A, 0)))</f>
        <v/>
      </c>
      <c r="U536" s="35" t="str">
        <f>IF(INDEX(Labels!G:G, MATCH(Summary!$A536, Labels!$A:$A, 0)) = 0, "", INDEX(Labels!G:G, MATCH(Summary!$A536, Labels!$A:$A, 0)))</f>
        <v/>
      </c>
      <c r="V536" s="62" t="str">
        <f>IF(INDEX(Labels!H:H, MATCH(Summary!$A536, Labels!$A:$A, 0)) = 0, "", INDEX(Labels!H:H, MATCH(Summary!$A536, Labels!$A:$A, 0)))</f>
        <v/>
      </c>
      <c r="W536" t="str">
        <f>IF(INDEX(Labels!I:I, MATCH(Summary!$A536, Labels!$A:$A, 0)) = 0, "", INDEX(Labels!I:I, MATCH(Summary!$A536, Labels!$A:$A, 0)))</f>
        <v/>
      </c>
      <c r="X536" t="str">
        <f>IF(INDEX(Labels!J:J, MATCH(Summary!$A536, Labels!$A:$A, 0)) = 0, "", INDEX(Labels!J:J, MATCH(Summary!$A536, Labels!$A:$A, 0)))</f>
        <v/>
      </c>
    </row>
    <row r="537" spans="1:24" x14ac:dyDescent="0.2">
      <c r="A537" s="33">
        <f>Labels!A538</f>
        <v>531</v>
      </c>
      <c r="B537" s="34">
        <f>INDEX(EchoData!B:B, MATCH(Summary!$A537, EchoData!$A:$A, 0))</f>
        <v>535</v>
      </c>
      <c r="C537" s="35">
        <f>INDEX(EchoData!C:C, MATCH(Summary!$A537, EchoData!$A:$A, 0))</f>
        <v>536</v>
      </c>
      <c r="D537" s="42">
        <f>INDEX(Displacements!B:B, MATCH(Summary!$B537, Displacements!$A:$A, 0))</f>
        <v>977.50900000000001</v>
      </c>
      <c r="E537" s="43">
        <f>INDEX(Displacements!C:C, MATCH(Summary!$B537, Displacements!$A:$A, 0))</f>
        <v>0</v>
      </c>
      <c r="F537" s="44">
        <f>INDEX(Displacements!D:D, MATCH(Summary!$B537, Displacements!$A:$A, 0))</f>
        <v>0</v>
      </c>
      <c r="G537" s="42">
        <f>INDEX(Displacements!B:B, MATCH(Summary!$C537, Displacements!$A:$A, 0))</f>
        <v>978.12</v>
      </c>
      <c r="H537" s="43">
        <f>INDEX(Displacements!C:C, MATCH(Summary!$C537, Displacements!$A:$A, 0))</f>
        <v>0</v>
      </c>
      <c r="I537" s="44">
        <f>INDEX(Displacements!D:D, MATCH(Summary!$C537, Displacements!$A:$A, 0))</f>
        <v>0</v>
      </c>
      <c r="J537" s="42">
        <f t="shared" si="16"/>
        <v>0.61099999999999</v>
      </c>
      <c r="K537" s="49">
        <f t="shared" si="17"/>
        <v>1.5012285012283324</v>
      </c>
      <c r="L537" s="54">
        <f>INDEX('Forces+Stresses'!C:C, MATCH(Summary!$A537, 'Forces+Stresses'!$A:$A, 0))</f>
        <v>4821</v>
      </c>
      <c r="M537" s="55">
        <f>INDEX('Forces+Stresses'!D:D, MATCH(Summary!$A537, 'Forces+Stresses'!$A:$A, 0))</f>
        <v>4821</v>
      </c>
      <c r="N537" s="55">
        <f>IFERROR(INDEX('Forces+Stresses'!Q:Q, MATCH(Summary!$A537, 'Forces+Stresses'!$A:$A, 0)), INDEX(Flexjoints!D:D, MATCH(Summary!$A537, Flexjoints!$A:$A, 0)))</f>
        <v>4.0070000000000001E-8</v>
      </c>
      <c r="O537" s="56">
        <f>IFERROR(INDEX('Forces+Stresses'!R:R, MATCH(Summary!$A537, 'Forces+Stresses'!$A:$A, 0)), INDEX(Flexjoints!E:E, MATCH(Summary!$A537, Flexjoints!$A:$A, 0)))</f>
        <v>3.9280000000000003E-6</v>
      </c>
      <c r="P537" s="33" t="str">
        <f>IF(INDEX(Labels!B:B, MATCH(Summary!$A537, Labels!$A:$A, 0)) = 0, "", INDEX(Labels!B:B, MATCH(Summary!$A537, Labels!$A:$A, 0)))</f>
        <v>{Marine Riser String}</v>
      </c>
      <c r="Q537" s="35" t="str">
        <f>IF(INDEX(Labels!C:C, MATCH(Summary!$A537, Labels!$A:$A, 0)) = 0, "", INDEX(Labels!C:C, MATCH(Summary!$A537, Labels!$A:$A, 0)))</f>
        <v>{Outer Barrel Lower}</v>
      </c>
      <c r="R537" s="33" t="str">
        <f>IF(INDEX(Labels!D:D, MATCH(Summary!$A537, Labels!$A:$A, 0)) = 0, "", INDEX(Labels!D:D, MATCH(Summary!$A537, Labels!$A:$A, 0)))</f>
        <v/>
      </c>
      <c r="S537" s="35" t="str">
        <f>IF(INDEX(Labels!E:E, MATCH(Summary!$A537, Labels!$A:$A, 0)) = 0, "", INDEX(Labels!E:E, MATCH(Summary!$A537, Labels!$A:$A, 0)))</f>
        <v/>
      </c>
      <c r="T537" s="33" t="str">
        <f>IF(INDEX(Labels!F:F, MATCH(Summary!$A537, Labels!$A:$A, 0)) = 0, "", INDEX(Labels!F:F, MATCH(Summary!$A537, Labels!$A:$A, 0)))</f>
        <v/>
      </c>
      <c r="U537" s="35" t="str">
        <f>IF(INDEX(Labels!G:G, MATCH(Summary!$A537, Labels!$A:$A, 0)) = 0, "", INDEX(Labels!G:G, MATCH(Summary!$A537, Labels!$A:$A, 0)))</f>
        <v/>
      </c>
      <c r="V537" s="62" t="str">
        <f>IF(INDEX(Labels!H:H, MATCH(Summary!$A537, Labels!$A:$A, 0)) = 0, "", INDEX(Labels!H:H, MATCH(Summary!$A537, Labels!$A:$A, 0)))</f>
        <v/>
      </c>
      <c r="W537" t="str">
        <f>IF(INDEX(Labels!I:I, MATCH(Summary!$A537, Labels!$A:$A, 0)) = 0, "", INDEX(Labels!I:I, MATCH(Summary!$A537, Labels!$A:$A, 0)))</f>
        <v/>
      </c>
      <c r="X537" t="str">
        <f>IF(INDEX(Labels!J:J, MATCH(Summary!$A537, Labels!$A:$A, 0)) = 0, "", INDEX(Labels!J:J, MATCH(Summary!$A537, Labels!$A:$A, 0)))</f>
        <v/>
      </c>
    </row>
    <row r="538" spans="1:24" x14ac:dyDescent="0.2">
      <c r="A538" s="33">
        <f>Labels!A539</f>
        <v>532</v>
      </c>
      <c r="B538" s="34">
        <f>INDEX(EchoData!B:B, MATCH(Summary!$A538, EchoData!$A:$A, 0))</f>
        <v>536</v>
      </c>
      <c r="C538" s="35">
        <f>INDEX(EchoData!C:C, MATCH(Summary!$A538, EchoData!$A:$A, 0))</f>
        <v>537</v>
      </c>
      <c r="D538" s="42">
        <f>INDEX(Displacements!B:B, MATCH(Summary!$B538, Displacements!$A:$A, 0))</f>
        <v>978.12</v>
      </c>
      <c r="E538" s="43">
        <f>INDEX(Displacements!C:C, MATCH(Summary!$B538, Displacements!$A:$A, 0))</f>
        <v>0</v>
      </c>
      <c r="F538" s="44">
        <f>INDEX(Displacements!D:D, MATCH(Summary!$B538, Displacements!$A:$A, 0))</f>
        <v>0</v>
      </c>
      <c r="G538" s="42">
        <f>INDEX(Displacements!B:B, MATCH(Summary!$C538, Displacements!$A:$A, 0))</f>
        <v>978.98</v>
      </c>
      <c r="H538" s="43">
        <f>INDEX(Displacements!C:C, MATCH(Summary!$C538, Displacements!$A:$A, 0))</f>
        <v>0</v>
      </c>
      <c r="I538" s="44">
        <f>INDEX(Displacements!D:D, MATCH(Summary!$C538, Displacements!$A:$A, 0))</f>
        <v>0</v>
      </c>
      <c r="J538" s="42">
        <f t="shared" si="16"/>
        <v>0.86000000000001364</v>
      </c>
      <c r="K538" s="49">
        <f t="shared" si="17"/>
        <v>1.4075286415712402</v>
      </c>
      <c r="L538" s="54">
        <f>INDEX('Forces+Stresses'!C:C, MATCH(Summary!$A538, 'Forces+Stresses'!$A:$A, 0))</f>
        <v>4827</v>
      </c>
      <c r="M538" s="55">
        <f>INDEX('Forces+Stresses'!D:D, MATCH(Summary!$A538, 'Forces+Stresses'!$A:$A, 0))</f>
        <v>4827</v>
      </c>
      <c r="N538" s="55">
        <f>IFERROR(INDEX('Forces+Stresses'!Q:Q, MATCH(Summary!$A538, 'Forces+Stresses'!$A:$A, 0)), INDEX(Flexjoints!D:D, MATCH(Summary!$A538, Flexjoints!$A:$A, 0)))</f>
        <v>2.0939999999999998E-7</v>
      </c>
      <c r="O538" s="56">
        <f>IFERROR(INDEX('Forces+Stresses'!R:R, MATCH(Summary!$A538, 'Forces+Stresses'!$A:$A, 0)), INDEX(Flexjoints!E:E, MATCH(Summary!$A538, Flexjoints!$A:$A, 0)))</f>
        <v>4.1640000000000003E-6</v>
      </c>
      <c r="P538" s="33" t="str">
        <f>IF(INDEX(Labels!B:B, MATCH(Summary!$A538, Labels!$A:$A, 0)) = 0, "", INDEX(Labels!B:B, MATCH(Summary!$A538, Labels!$A:$A, 0)))</f>
        <v>{Marine Riser String}</v>
      </c>
      <c r="Q538" s="35" t="str">
        <f>IF(INDEX(Labels!C:C, MATCH(Summary!$A538, Labels!$A:$A, 0)) = 0, "", INDEX(Labels!C:C, MATCH(Summary!$A538, Labels!$A:$A, 0)))</f>
        <v>{Outer Barrel Lower}</v>
      </c>
      <c r="R538" s="33" t="str">
        <f>IF(INDEX(Labels!D:D, MATCH(Summary!$A538, Labels!$A:$A, 0)) = 0, "", INDEX(Labels!D:D, MATCH(Summary!$A538, Labels!$A:$A, 0)))</f>
        <v/>
      </c>
      <c r="S538" s="35" t="str">
        <f>IF(INDEX(Labels!E:E, MATCH(Summary!$A538, Labels!$A:$A, 0)) = 0, "", INDEX(Labels!E:E, MATCH(Summary!$A538, Labels!$A:$A, 0)))</f>
        <v/>
      </c>
      <c r="T538" s="33" t="str">
        <f>IF(INDEX(Labels!F:F, MATCH(Summary!$A538, Labels!$A:$A, 0)) = 0, "", INDEX(Labels!F:F, MATCH(Summary!$A538, Labels!$A:$A, 0)))</f>
        <v/>
      </c>
      <c r="U538" s="35" t="str">
        <f>IF(INDEX(Labels!G:G, MATCH(Summary!$A538, Labels!$A:$A, 0)) = 0, "", INDEX(Labels!G:G, MATCH(Summary!$A538, Labels!$A:$A, 0)))</f>
        <v/>
      </c>
      <c r="V538" s="62" t="str">
        <f>IF(INDEX(Labels!H:H, MATCH(Summary!$A538, Labels!$A:$A, 0)) = 0, "", INDEX(Labels!H:H, MATCH(Summary!$A538, Labels!$A:$A, 0)))</f>
        <v/>
      </c>
      <c r="W538" t="str">
        <f>IF(INDEX(Labels!I:I, MATCH(Summary!$A538, Labels!$A:$A, 0)) = 0, "", INDEX(Labels!I:I, MATCH(Summary!$A538, Labels!$A:$A, 0)))</f>
        <v/>
      </c>
      <c r="X538" t="str">
        <f>IF(INDEX(Labels!J:J, MATCH(Summary!$A538, Labels!$A:$A, 0)) = 0, "", INDEX(Labels!J:J, MATCH(Summary!$A538, Labels!$A:$A, 0)))</f>
        <v/>
      </c>
    </row>
    <row r="539" spans="1:24" x14ac:dyDescent="0.2">
      <c r="A539" s="33">
        <f>Labels!A540</f>
        <v>533</v>
      </c>
      <c r="B539" s="34">
        <f>INDEX(EchoData!B:B, MATCH(Summary!$A539, EchoData!$A:$A, 0))</f>
        <v>537</v>
      </c>
      <c r="C539" s="35">
        <f>INDEX(EchoData!C:C, MATCH(Summary!$A539, EchoData!$A:$A, 0))</f>
        <v>538</v>
      </c>
      <c r="D539" s="42">
        <f>INDEX(Displacements!B:B, MATCH(Summary!$B539, Displacements!$A:$A, 0))</f>
        <v>978.98</v>
      </c>
      <c r="E539" s="43">
        <f>INDEX(Displacements!C:C, MATCH(Summary!$B539, Displacements!$A:$A, 0))</f>
        <v>0</v>
      </c>
      <c r="F539" s="44">
        <f>INDEX(Displacements!D:D, MATCH(Summary!$B539, Displacements!$A:$A, 0))</f>
        <v>0</v>
      </c>
      <c r="G539" s="42">
        <f>INDEX(Displacements!B:B, MATCH(Summary!$C539, Displacements!$A:$A, 0))</f>
        <v>979.84</v>
      </c>
      <c r="H539" s="43">
        <f>INDEX(Displacements!C:C, MATCH(Summary!$C539, Displacements!$A:$A, 0))</f>
        <v>0</v>
      </c>
      <c r="I539" s="44">
        <f>INDEX(Displacements!D:D, MATCH(Summary!$C539, Displacements!$A:$A, 0))</f>
        <v>0</v>
      </c>
      <c r="J539" s="42">
        <f t="shared" si="16"/>
        <v>0.86000000000001364</v>
      </c>
      <c r="K539" s="49">
        <f t="shared" si="17"/>
        <v>1</v>
      </c>
      <c r="L539" s="54">
        <f>INDEX('Forces+Stresses'!C:C, MATCH(Summary!$A539, 'Forces+Stresses'!$A:$A, 0))</f>
        <v>4836</v>
      </c>
      <c r="M539" s="55">
        <f>INDEX('Forces+Stresses'!D:D, MATCH(Summary!$A539, 'Forces+Stresses'!$A:$A, 0))</f>
        <v>4836</v>
      </c>
      <c r="N539" s="55">
        <f>IFERROR(INDEX('Forces+Stresses'!Q:Q, MATCH(Summary!$A539, 'Forces+Stresses'!$A:$A, 0)), INDEX(Flexjoints!D:D, MATCH(Summary!$A539, Flexjoints!$A:$A, 0)))</f>
        <v>6.4309999999999998E-8</v>
      </c>
      <c r="O539" s="56">
        <f>IFERROR(INDEX('Forces+Stresses'!R:R, MATCH(Summary!$A539, 'Forces+Stresses'!$A:$A, 0)), INDEX(Flexjoints!E:E, MATCH(Summary!$A539, Flexjoints!$A:$A, 0)))</f>
        <v>4.5199999999999999E-6</v>
      </c>
      <c r="P539" s="33" t="str">
        <f>IF(INDEX(Labels!B:B, MATCH(Summary!$A539, Labels!$A:$A, 0)) = 0, "", INDEX(Labels!B:B, MATCH(Summary!$A539, Labels!$A:$A, 0)))</f>
        <v>{Marine Riser String}</v>
      </c>
      <c r="Q539" s="35" t="str">
        <f>IF(INDEX(Labels!C:C, MATCH(Summary!$A539, Labels!$A:$A, 0)) = 0, "", INDEX(Labels!C:C, MATCH(Summary!$A539, Labels!$A:$A, 0)))</f>
        <v>{Outer Barrel Lower}</v>
      </c>
      <c r="R539" s="33" t="str">
        <f>IF(INDEX(Labels!D:D, MATCH(Summary!$A539, Labels!$A:$A, 0)) = 0, "", INDEX(Labels!D:D, MATCH(Summary!$A539, Labels!$A:$A, 0)))</f>
        <v/>
      </c>
      <c r="S539" s="35" t="str">
        <f>IF(INDEX(Labels!E:E, MATCH(Summary!$A539, Labels!$A:$A, 0)) = 0, "", INDEX(Labels!E:E, MATCH(Summary!$A539, Labels!$A:$A, 0)))</f>
        <v/>
      </c>
      <c r="T539" s="33" t="str">
        <f>IF(INDEX(Labels!F:F, MATCH(Summary!$A539, Labels!$A:$A, 0)) = 0, "", INDEX(Labels!F:F, MATCH(Summary!$A539, Labels!$A:$A, 0)))</f>
        <v/>
      </c>
      <c r="U539" s="35" t="str">
        <f>IF(INDEX(Labels!G:G, MATCH(Summary!$A539, Labels!$A:$A, 0)) = 0, "", INDEX(Labels!G:G, MATCH(Summary!$A539, Labels!$A:$A, 0)))</f>
        <v/>
      </c>
      <c r="V539" s="62" t="str">
        <f>IF(INDEX(Labels!H:H, MATCH(Summary!$A539, Labels!$A:$A, 0)) = 0, "", INDEX(Labels!H:H, MATCH(Summary!$A539, Labels!$A:$A, 0)))</f>
        <v/>
      </c>
      <c r="W539" t="str">
        <f>IF(INDEX(Labels!I:I, MATCH(Summary!$A539, Labels!$A:$A, 0)) = 0, "", INDEX(Labels!I:I, MATCH(Summary!$A539, Labels!$A:$A, 0)))</f>
        <v/>
      </c>
      <c r="X539" t="str">
        <f>IF(INDEX(Labels!J:J, MATCH(Summary!$A539, Labels!$A:$A, 0)) = 0, "", INDEX(Labels!J:J, MATCH(Summary!$A539, Labels!$A:$A, 0)))</f>
        <v/>
      </c>
    </row>
    <row r="540" spans="1:24" x14ac:dyDescent="0.2">
      <c r="A540" s="33">
        <f>Labels!A541</f>
        <v>534</v>
      </c>
      <c r="B540" s="34">
        <f>INDEX(EchoData!B:B, MATCH(Summary!$A540, EchoData!$A:$A, 0))</f>
        <v>538</v>
      </c>
      <c r="C540" s="35">
        <f>INDEX(EchoData!C:C, MATCH(Summary!$A540, EchoData!$A:$A, 0))</f>
        <v>539</v>
      </c>
      <c r="D540" s="42">
        <f>INDEX(Displacements!B:B, MATCH(Summary!$B540, Displacements!$A:$A, 0))</f>
        <v>979.84</v>
      </c>
      <c r="E540" s="43">
        <f>INDEX(Displacements!C:C, MATCH(Summary!$B540, Displacements!$A:$A, 0))</f>
        <v>0</v>
      </c>
      <c r="F540" s="44">
        <f>INDEX(Displacements!D:D, MATCH(Summary!$B540, Displacements!$A:$A, 0))</f>
        <v>0</v>
      </c>
      <c r="G540" s="42">
        <f>INDEX(Displacements!B:B, MATCH(Summary!$C540, Displacements!$A:$A, 0))</f>
        <v>980.7</v>
      </c>
      <c r="H540" s="43">
        <f>INDEX(Displacements!C:C, MATCH(Summary!$C540, Displacements!$A:$A, 0))</f>
        <v>0</v>
      </c>
      <c r="I540" s="44">
        <f>INDEX(Displacements!D:D, MATCH(Summary!$C540, Displacements!$A:$A, 0))</f>
        <v>0</v>
      </c>
      <c r="J540" s="42">
        <f t="shared" si="16"/>
        <v>0.86000000000001364</v>
      </c>
      <c r="K540" s="49">
        <f t="shared" si="17"/>
        <v>1</v>
      </c>
      <c r="L540" s="54">
        <f>INDEX('Forces+Stresses'!C:C, MATCH(Summary!$A540, 'Forces+Stresses'!$A:$A, 0))</f>
        <v>4845</v>
      </c>
      <c r="M540" s="55">
        <f>INDEX('Forces+Stresses'!D:D, MATCH(Summary!$A540, 'Forces+Stresses'!$A:$A, 0))</f>
        <v>4845</v>
      </c>
      <c r="N540" s="55">
        <f>IFERROR(INDEX('Forces+Stresses'!Q:Q, MATCH(Summary!$A540, 'Forces+Stresses'!$A:$A, 0)), INDEX(Flexjoints!D:D, MATCH(Summary!$A540, Flexjoints!$A:$A, 0)))</f>
        <v>2.3900000000000001E-7</v>
      </c>
      <c r="O540" s="56">
        <f>IFERROR(INDEX('Forces+Stresses'!R:R, MATCH(Summary!$A540, 'Forces+Stresses'!$A:$A, 0)), INDEX(Flexjoints!E:E, MATCH(Summary!$A540, Flexjoints!$A:$A, 0)))</f>
        <v>5.0530000000000006E-6</v>
      </c>
      <c r="P540" s="33" t="str">
        <f>IF(INDEX(Labels!B:B, MATCH(Summary!$A540, Labels!$A:$A, 0)) = 0, "", INDEX(Labels!B:B, MATCH(Summary!$A540, Labels!$A:$A, 0)))</f>
        <v>{Marine Riser String}</v>
      </c>
      <c r="Q540" s="35" t="str">
        <f>IF(INDEX(Labels!C:C, MATCH(Summary!$A540, Labels!$A:$A, 0)) = 0, "", INDEX(Labels!C:C, MATCH(Summary!$A540, Labels!$A:$A, 0)))</f>
        <v>{Outer Barrel Lower}</v>
      </c>
      <c r="R540" s="33" t="str">
        <f>IF(INDEX(Labels!D:D, MATCH(Summary!$A540, Labels!$A:$A, 0)) = 0, "", INDEX(Labels!D:D, MATCH(Summary!$A540, Labels!$A:$A, 0)))</f>
        <v/>
      </c>
      <c r="S540" s="35" t="str">
        <f>IF(INDEX(Labels!E:E, MATCH(Summary!$A540, Labels!$A:$A, 0)) = 0, "", INDEX(Labels!E:E, MATCH(Summary!$A540, Labels!$A:$A, 0)))</f>
        <v/>
      </c>
      <c r="T540" s="33" t="str">
        <f>IF(INDEX(Labels!F:F, MATCH(Summary!$A540, Labels!$A:$A, 0)) = 0, "", INDEX(Labels!F:F, MATCH(Summary!$A540, Labels!$A:$A, 0)))</f>
        <v/>
      </c>
      <c r="U540" s="35" t="str">
        <f>IF(INDEX(Labels!G:G, MATCH(Summary!$A540, Labels!$A:$A, 0)) = 0, "", INDEX(Labels!G:G, MATCH(Summary!$A540, Labels!$A:$A, 0)))</f>
        <v/>
      </c>
      <c r="V540" s="62" t="str">
        <f>IF(INDEX(Labels!H:H, MATCH(Summary!$A540, Labels!$A:$A, 0)) = 0, "", INDEX(Labels!H:H, MATCH(Summary!$A540, Labels!$A:$A, 0)))</f>
        <v/>
      </c>
      <c r="W540" t="str">
        <f>IF(INDEX(Labels!I:I, MATCH(Summary!$A540, Labels!$A:$A, 0)) = 0, "", INDEX(Labels!I:I, MATCH(Summary!$A540, Labels!$A:$A, 0)))</f>
        <v/>
      </c>
      <c r="X540" t="str">
        <f>IF(INDEX(Labels!J:J, MATCH(Summary!$A540, Labels!$A:$A, 0)) = 0, "", INDEX(Labels!J:J, MATCH(Summary!$A540, Labels!$A:$A, 0)))</f>
        <v/>
      </c>
    </row>
    <row r="541" spans="1:24" x14ac:dyDescent="0.2">
      <c r="A541" s="33">
        <f>Labels!A542</f>
        <v>535</v>
      </c>
      <c r="B541" s="34">
        <f>INDEX(EchoData!B:B, MATCH(Summary!$A541, EchoData!$A:$A, 0))</f>
        <v>539</v>
      </c>
      <c r="C541" s="35">
        <f>INDEX(EchoData!C:C, MATCH(Summary!$A541, EchoData!$A:$A, 0))</f>
        <v>540</v>
      </c>
      <c r="D541" s="42">
        <f>INDEX(Displacements!B:B, MATCH(Summary!$B541, Displacements!$A:$A, 0))</f>
        <v>980.7</v>
      </c>
      <c r="E541" s="43">
        <f>INDEX(Displacements!C:C, MATCH(Summary!$B541, Displacements!$A:$A, 0))</f>
        <v>0</v>
      </c>
      <c r="F541" s="44">
        <f>INDEX(Displacements!D:D, MATCH(Summary!$B541, Displacements!$A:$A, 0))</f>
        <v>0</v>
      </c>
      <c r="G541" s="42">
        <f>INDEX(Displacements!B:B, MATCH(Summary!$C541, Displacements!$A:$A, 0))</f>
        <v>981.56</v>
      </c>
      <c r="H541" s="43">
        <f>INDEX(Displacements!C:C, MATCH(Summary!$C541, Displacements!$A:$A, 0))</f>
        <v>0</v>
      </c>
      <c r="I541" s="44">
        <f>INDEX(Displacements!D:D, MATCH(Summary!$C541, Displacements!$A:$A, 0))</f>
        <v>0</v>
      </c>
      <c r="J541" s="42">
        <f t="shared" si="16"/>
        <v>0.85999999999989996</v>
      </c>
      <c r="K541" s="49">
        <f t="shared" si="17"/>
        <v>0.99999999999986777</v>
      </c>
      <c r="L541" s="54">
        <f>INDEX('Forces+Stresses'!C:C, MATCH(Summary!$A541, 'Forces+Stresses'!$A:$A, 0))</f>
        <v>4854</v>
      </c>
      <c r="M541" s="55">
        <f>INDEX('Forces+Stresses'!D:D, MATCH(Summary!$A541, 'Forces+Stresses'!$A:$A, 0))</f>
        <v>4854</v>
      </c>
      <c r="N541" s="55">
        <f>IFERROR(INDEX('Forces+Stresses'!Q:Q, MATCH(Summary!$A541, 'Forces+Stresses'!$A:$A, 0)), INDEX(Flexjoints!D:D, MATCH(Summary!$A541, Flexjoints!$A:$A, 0)))</f>
        <v>2.3409999999999999E-7</v>
      </c>
      <c r="O541" s="56">
        <f>IFERROR(INDEX('Forces+Stresses'!R:R, MATCH(Summary!$A541, 'Forces+Stresses'!$A:$A, 0)), INDEX(Flexjoints!E:E, MATCH(Summary!$A541, Flexjoints!$A:$A, 0)))</f>
        <v>5.4650000000000002E-6</v>
      </c>
      <c r="P541" s="33" t="str">
        <f>IF(INDEX(Labels!B:B, MATCH(Summary!$A541, Labels!$A:$A, 0)) = 0, "", INDEX(Labels!B:B, MATCH(Summary!$A541, Labels!$A:$A, 0)))</f>
        <v>{Marine Riser String}</v>
      </c>
      <c r="Q541" s="35" t="str">
        <f>IF(INDEX(Labels!C:C, MATCH(Summary!$A541, Labels!$A:$A, 0)) = 0, "", INDEX(Labels!C:C, MATCH(Summary!$A541, Labels!$A:$A, 0)))</f>
        <v>{Outer Barrel Lower}</v>
      </c>
      <c r="R541" s="33" t="str">
        <f>IF(INDEX(Labels!D:D, MATCH(Summary!$A541, Labels!$A:$A, 0)) = 0, "", INDEX(Labels!D:D, MATCH(Summary!$A541, Labels!$A:$A, 0)))</f>
        <v/>
      </c>
      <c r="S541" s="35" t="str">
        <f>IF(INDEX(Labels!E:E, MATCH(Summary!$A541, Labels!$A:$A, 0)) = 0, "", INDEX(Labels!E:E, MATCH(Summary!$A541, Labels!$A:$A, 0)))</f>
        <v/>
      </c>
      <c r="T541" s="33" t="str">
        <f>IF(INDEX(Labels!F:F, MATCH(Summary!$A541, Labels!$A:$A, 0)) = 0, "", INDEX(Labels!F:F, MATCH(Summary!$A541, Labels!$A:$A, 0)))</f>
        <v/>
      </c>
      <c r="U541" s="35" t="str">
        <f>IF(INDEX(Labels!G:G, MATCH(Summary!$A541, Labels!$A:$A, 0)) = 0, "", INDEX(Labels!G:G, MATCH(Summary!$A541, Labels!$A:$A, 0)))</f>
        <v/>
      </c>
      <c r="V541" s="62" t="str">
        <f>IF(INDEX(Labels!H:H, MATCH(Summary!$A541, Labels!$A:$A, 0)) = 0, "", INDEX(Labels!H:H, MATCH(Summary!$A541, Labels!$A:$A, 0)))</f>
        <v/>
      </c>
      <c r="W541" t="str">
        <f>IF(INDEX(Labels!I:I, MATCH(Summary!$A541, Labels!$A:$A, 0)) = 0, "", INDEX(Labels!I:I, MATCH(Summary!$A541, Labels!$A:$A, 0)))</f>
        <v/>
      </c>
      <c r="X541" t="str">
        <f>IF(INDEX(Labels!J:J, MATCH(Summary!$A541, Labels!$A:$A, 0)) = 0, "", INDEX(Labels!J:J, MATCH(Summary!$A541, Labels!$A:$A, 0)))</f>
        <v/>
      </c>
    </row>
    <row r="542" spans="1:24" x14ac:dyDescent="0.2">
      <c r="A542" s="33">
        <f>Labels!A543</f>
        <v>536</v>
      </c>
      <c r="B542" s="34">
        <f>INDEX(EchoData!B:B, MATCH(Summary!$A542, EchoData!$A:$A, 0))</f>
        <v>540</v>
      </c>
      <c r="C542" s="35">
        <f>INDEX(EchoData!C:C, MATCH(Summary!$A542, EchoData!$A:$A, 0))</f>
        <v>541</v>
      </c>
      <c r="D542" s="42">
        <f>INDEX(Displacements!B:B, MATCH(Summary!$B542, Displacements!$A:$A, 0))</f>
        <v>981.56</v>
      </c>
      <c r="E542" s="43">
        <f>INDEX(Displacements!C:C, MATCH(Summary!$B542, Displacements!$A:$A, 0))</f>
        <v>0</v>
      </c>
      <c r="F542" s="44">
        <f>INDEX(Displacements!D:D, MATCH(Summary!$B542, Displacements!$A:$A, 0))</f>
        <v>0</v>
      </c>
      <c r="G542" s="42">
        <f>INDEX(Displacements!B:B, MATCH(Summary!$C542, Displacements!$A:$A, 0))</f>
        <v>982.42</v>
      </c>
      <c r="H542" s="43">
        <f>INDEX(Displacements!C:C, MATCH(Summary!$C542, Displacements!$A:$A, 0))</f>
        <v>0</v>
      </c>
      <c r="I542" s="44">
        <f>INDEX(Displacements!D:D, MATCH(Summary!$C542, Displacements!$A:$A, 0))</f>
        <v>0</v>
      </c>
      <c r="J542" s="42">
        <f t="shared" si="16"/>
        <v>0.86000000000001364</v>
      </c>
      <c r="K542" s="49">
        <f t="shared" si="17"/>
        <v>1.0000000000001321</v>
      </c>
      <c r="L542" s="54">
        <f>INDEX('Forces+Stresses'!C:C, MATCH(Summary!$A542, 'Forces+Stresses'!$A:$A, 0))</f>
        <v>4862</v>
      </c>
      <c r="M542" s="55">
        <f>INDEX('Forces+Stresses'!D:D, MATCH(Summary!$A542, 'Forces+Stresses'!$A:$A, 0))</f>
        <v>4862</v>
      </c>
      <c r="N542" s="55">
        <f>IFERROR(INDEX('Forces+Stresses'!Q:Q, MATCH(Summary!$A542, 'Forces+Stresses'!$A:$A, 0)), INDEX(Flexjoints!D:D, MATCH(Summary!$A542, Flexjoints!$A:$A, 0)))</f>
        <v>3.841E-7</v>
      </c>
      <c r="O542" s="56">
        <f>IFERROR(INDEX('Forces+Stresses'!R:R, MATCH(Summary!$A542, 'Forces+Stresses'!$A:$A, 0)), INDEX(Flexjoints!E:E, MATCH(Summary!$A542, Flexjoints!$A:$A, 0)))</f>
        <v>5.7370000000000003E-6</v>
      </c>
      <c r="P542" s="33" t="str">
        <f>IF(INDEX(Labels!B:B, MATCH(Summary!$A542, Labels!$A:$A, 0)) = 0, "", INDEX(Labels!B:B, MATCH(Summary!$A542, Labels!$A:$A, 0)))</f>
        <v>{Marine Riser String}</v>
      </c>
      <c r="Q542" s="35" t="str">
        <f>IF(INDEX(Labels!C:C, MATCH(Summary!$A542, Labels!$A:$A, 0)) = 0, "", INDEX(Labels!C:C, MATCH(Summary!$A542, Labels!$A:$A, 0)))</f>
        <v>{Outer Barrel Lower}</v>
      </c>
      <c r="R542" s="33" t="str">
        <f>IF(INDEX(Labels!D:D, MATCH(Summary!$A542, Labels!$A:$A, 0)) = 0, "", INDEX(Labels!D:D, MATCH(Summary!$A542, Labels!$A:$A, 0)))</f>
        <v/>
      </c>
      <c r="S542" s="35" t="str">
        <f>IF(INDEX(Labels!E:E, MATCH(Summary!$A542, Labels!$A:$A, 0)) = 0, "", INDEX(Labels!E:E, MATCH(Summary!$A542, Labels!$A:$A, 0)))</f>
        <v/>
      </c>
      <c r="T542" s="33" t="str">
        <f>IF(INDEX(Labels!F:F, MATCH(Summary!$A542, Labels!$A:$A, 0)) = 0, "", INDEX(Labels!F:F, MATCH(Summary!$A542, Labels!$A:$A, 0)))</f>
        <v/>
      </c>
      <c r="U542" s="35" t="str">
        <f>IF(INDEX(Labels!G:G, MATCH(Summary!$A542, Labels!$A:$A, 0)) = 0, "", INDEX(Labels!G:G, MATCH(Summary!$A542, Labels!$A:$A, 0)))</f>
        <v/>
      </c>
      <c r="V542" s="62" t="str">
        <f>IF(INDEX(Labels!H:H, MATCH(Summary!$A542, Labels!$A:$A, 0)) = 0, "", INDEX(Labels!H:H, MATCH(Summary!$A542, Labels!$A:$A, 0)))</f>
        <v/>
      </c>
      <c r="W542" t="str">
        <f>IF(INDEX(Labels!I:I, MATCH(Summary!$A542, Labels!$A:$A, 0)) = 0, "", INDEX(Labels!I:I, MATCH(Summary!$A542, Labels!$A:$A, 0)))</f>
        <v/>
      </c>
      <c r="X542" t="str">
        <f>IF(INDEX(Labels!J:J, MATCH(Summary!$A542, Labels!$A:$A, 0)) = 0, "", INDEX(Labels!J:J, MATCH(Summary!$A542, Labels!$A:$A, 0)))</f>
        <v/>
      </c>
    </row>
    <row r="543" spans="1:24" x14ac:dyDescent="0.2">
      <c r="A543" s="33">
        <f>Labels!A544</f>
        <v>537</v>
      </c>
      <c r="B543" s="34">
        <f>INDEX(EchoData!B:B, MATCH(Summary!$A543, EchoData!$A:$A, 0))</f>
        <v>541</v>
      </c>
      <c r="C543" s="35">
        <f>INDEX(EchoData!C:C, MATCH(Summary!$A543, EchoData!$A:$A, 0))</f>
        <v>542</v>
      </c>
      <c r="D543" s="42">
        <f>INDEX(Displacements!B:B, MATCH(Summary!$B543, Displacements!$A:$A, 0))</f>
        <v>982.42</v>
      </c>
      <c r="E543" s="43">
        <f>INDEX(Displacements!C:C, MATCH(Summary!$B543, Displacements!$A:$A, 0))</f>
        <v>0</v>
      </c>
      <c r="F543" s="44">
        <f>INDEX(Displacements!D:D, MATCH(Summary!$B543, Displacements!$A:$A, 0))</f>
        <v>0</v>
      </c>
      <c r="G543" s="42">
        <f>INDEX(Displacements!B:B, MATCH(Summary!$C543, Displacements!$A:$A, 0))</f>
        <v>983.28</v>
      </c>
      <c r="H543" s="43">
        <f>INDEX(Displacements!C:C, MATCH(Summary!$C543, Displacements!$A:$A, 0))</f>
        <v>0</v>
      </c>
      <c r="I543" s="44">
        <f>INDEX(Displacements!D:D, MATCH(Summary!$C543, Displacements!$A:$A, 0))</f>
        <v>0</v>
      </c>
      <c r="J543" s="42">
        <f t="shared" si="16"/>
        <v>0.86000000000001364</v>
      </c>
      <c r="K543" s="49">
        <f t="shared" si="17"/>
        <v>1</v>
      </c>
      <c r="L543" s="54">
        <f>INDEX('Forces+Stresses'!C:C, MATCH(Summary!$A543, 'Forces+Stresses'!$A:$A, 0))</f>
        <v>4871</v>
      </c>
      <c r="M543" s="55">
        <f>INDEX('Forces+Stresses'!D:D, MATCH(Summary!$A543, 'Forces+Stresses'!$A:$A, 0))</f>
        <v>4871</v>
      </c>
      <c r="N543" s="55">
        <f>IFERROR(INDEX('Forces+Stresses'!Q:Q, MATCH(Summary!$A543, 'Forces+Stresses'!$A:$A, 0)), INDEX(Flexjoints!D:D, MATCH(Summary!$A543, Flexjoints!$A:$A, 0)))</f>
        <v>2.9339999999999997E-7</v>
      </c>
      <c r="O543" s="56">
        <f>IFERROR(INDEX('Forces+Stresses'!R:R, MATCH(Summary!$A543, 'Forces+Stresses'!$A:$A, 0)), INDEX(Flexjoints!E:E, MATCH(Summary!$A543, Flexjoints!$A:$A, 0)))</f>
        <v>5.8619999999999999E-6</v>
      </c>
      <c r="P543" s="33" t="str">
        <f>IF(INDEX(Labels!B:B, MATCH(Summary!$A543, Labels!$A:$A, 0)) = 0, "", INDEX(Labels!B:B, MATCH(Summary!$A543, Labels!$A:$A, 0)))</f>
        <v>{Marine Riser String}</v>
      </c>
      <c r="Q543" s="35" t="str">
        <f>IF(INDEX(Labels!C:C, MATCH(Summary!$A543, Labels!$A:$A, 0)) = 0, "", INDEX(Labels!C:C, MATCH(Summary!$A543, Labels!$A:$A, 0)))</f>
        <v>{Outer Barrel Lower}</v>
      </c>
      <c r="R543" s="33" t="str">
        <f>IF(INDEX(Labels!D:D, MATCH(Summary!$A543, Labels!$A:$A, 0)) = 0, "", INDEX(Labels!D:D, MATCH(Summary!$A543, Labels!$A:$A, 0)))</f>
        <v/>
      </c>
      <c r="S543" s="35" t="str">
        <f>IF(INDEX(Labels!E:E, MATCH(Summary!$A543, Labels!$A:$A, 0)) = 0, "", INDEX(Labels!E:E, MATCH(Summary!$A543, Labels!$A:$A, 0)))</f>
        <v/>
      </c>
      <c r="T543" s="33" t="str">
        <f>IF(INDEX(Labels!F:F, MATCH(Summary!$A543, Labels!$A:$A, 0)) = 0, "", INDEX(Labels!F:F, MATCH(Summary!$A543, Labels!$A:$A, 0)))</f>
        <v/>
      </c>
      <c r="U543" s="35" t="str">
        <f>IF(INDEX(Labels!G:G, MATCH(Summary!$A543, Labels!$A:$A, 0)) = 0, "", INDEX(Labels!G:G, MATCH(Summary!$A543, Labels!$A:$A, 0)))</f>
        <v/>
      </c>
      <c r="V543" s="62" t="str">
        <f>IF(INDEX(Labels!H:H, MATCH(Summary!$A543, Labels!$A:$A, 0)) = 0, "", INDEX(Labels!H:H, MATCH(Summary!$A543, Labels!$A:$A, 0)))</f>
        <v/>
      </c>
      <c r="W543" t="str">
        <f>IF(INDEX(Labels!I:I, MATCH(Summary!$A543, Labels!$A:$A, 0)) = 0, "", INDEX(Labels!I:I, MATCH(Summary!$A543, Labels!$A:$A, 0)))</f>
        <v/>
      </c>
      <c r="X543" t="str">
        <f>IF(INDEX(Labels!J:J, MATCH(Summary!$A543, Labels!$A:$A, 0)) = 0, "", INDEX(Labels!J:J, MATCH(Summary!$A543, Labels!$A:$A, 0)))</f>
        <v/>
      </c>
    </row>
    <row r="544" spans="1:24" x14ac:dyDescent="0.2">
      <c r="A544" s="33">
        <f>Labels!A545</f>
        <v>538</v>
      </c>
      <c r="B544" s="34">
        <f>INDEX(EchoData!B:B, MATCH(Summary!$A544, EchoData!$A:$A, 0))</f>
        <v>542</v>
      </c>
      <c r="C544" s="35">
        <f>INDEX(EchoData!C:C, MATCH(Summary!$A544, EchoData!$A:$A, 0))</f>
        <v>543</v>
      </c>
      <c r="D544" s="42">
        <f>INDEX(Displacements!B:B, MATCH(Summary!$B544, Displacements!$A:$A, 0))</f>
        <v>983.28</v>
      </c>
      <c r="E544" s="43">
        <f>INDEX(Displacements!C:C, MATCH(Summary!$B544, Displacements!$A:$A, 0))</f>
        <v>0</v>
      </c>
      <c r="F544" s="44">
        <f>INDEX(Displacements!D:D, MATCH(Summary!$B544, Displacements!$A:$A, 0))</f>
        <v>0</v>
      </c>
      <c r="G544" s="42">
        <f>INDEX(Displacements!B:B, MATCH(Summary!$C544, Displacements!$A:$A, 0))</f>
        <v>984.14</v>
      </c>
      <c r="H544" s="43">
        <f>INDEX(Displacements!C:C, MATCH(Summary!$C544, Displacements!$A:$A, 0))</f>
        <v>0</v>
      </c>
      <c r="I544" s="44">
        <f>INDEX(Displacements!D:D, MATCH(Summary!$C544, Displacements!$A:$A, 0))</f>
        <v>0</v>
      </c>
      <c r="J544" s="42">
        <f t="shared" si="16"/>
        <v>0.86000000000001364</v>
      </c>
      <c r="K544" s="49">
        <f t="shared" si="17"/>
        <v>1</v>
      </c>
      <c r="L544" s="54">
        <f>INDEX('Forces+Stresses'!C:C, MATCH(Summary!$A544, 'Forces+Stresses'!$A:$A, 0))</f>
        <v>4880</v>
      </c>
      <c r="M544" s="55">
        <f>INDEX('Forces+Stresses'!D:D, MATCH(Summary!$A544, 'Forces+Stresses'!$A:$A, 0))</f>
        <v>4880</v>
      </c>
      <c r="N544" s="55">
        <f>IFERROR(INDEX('Forces+Stresses'!Q:Q, MATCH(Summary!$A544, 'Forces+Stresses'!$A:$A, 0)), INDEX(Flexjoints!D:D, MATCH(Summary!$A544, Flexjoints!$A:$A, 0)))</f>
        <v>4.6170000000000001E-7</v>
      </c>
      <c r="O544" s="56">
        <f>IFERROR(INDEX('Forces+Stresses'!R:R, MATCH(Summary!$A544, 'Forces+Stresses'!$A:$A, 0)), INDEX(Flexjoints!E:E, MATCH(Summary!$A544, Flexjoints!$A:$A, 0)))</f>
        <v>5.8490000000000002E-6</v>
      </c>
      <c r="P544" s="33" t="str">
        <f>IF(INDEX(Labels!B:B, MATCH(Summary!$A544, Labels!$A:$A, 0)) = 0, "", INDEX(Labels!B:B, MATCH(Summary!$A544, Labels!$A:$A, 0)))</f>
        <v>{Marine Riser String}</v>
      </c>
      <c r="Q544" s="35" t="str">
        <f>IF(INDEX(Labels!C:C, MATCH(Summary!$A544, Labels!$A:$A, 0)) = 0, "", INDEX(Labels!C:C, MATCH(Summary!$A544, Labels!$A:$A, 0)))</f>
        <v>{Outer Barrel Lower}</v>
      </c>
      <c r="R544" s="33" t="str">
        <f>IF(INDEX(Labels!D:D, MATCH(Summary!$A544, Labels!$A:$A, 0)) = 0, "", INDEX(Labels!D:D, MATCH(Summary!$A544, Labels!$A:$A, 0)))</f>
        <v/>
      </c>
      <c r="S544" s="35" t="str">
        <f>IF(INDEX(Labels!E:E, MATCH(Summary!$A544, Labels!$A:$A, 0)) = 0, "", INDEX(Labels!E:E, MATCH(Summary!$A544, Labels!$A:$A, 0)))</f>
        <v/>
      </c>
      <c r="T544" s="33" t="str">
        <f>IF(INDEX(Labels!F:F, MATCH(Summary!$A544, Labels!$A:$A, 0)) = 0, "", INDEX(Labels!F:F, MATCH(Summary!$A544, Labels!$A:$A, 0)))</f>
        <v/>
      </c>
      <c r="U544" s="35" t="str">
        <f>IF(INDEX(Labels!G:G, MATCH(Summary!$A544, Labels!$A:$A, 0)) = 0, "", INDEX(Labels!G:G, MATCH(Summary!$A544, Labels!$A:$A, 0)))</f>
        <v/>
      </c>
      <c r="V544" s="62" t="str">
        <f>IF(INDEX(Labels!H:H, MATCH(Summary!$A544, Labels!$A:$A, 0)) = 0, "", INDEX(Labels!H:H, MATCH(Summary!$A544, Labels!$A:$A, 0)))</f>
        <v/>
      </c>
      <c r="W544" t="str">
        <f>IF(INDEX(Labels!I:I, MATCH(Summary!$A544, Labels!$A:$A, 0)) = 0, "", INDEX(Labels!I:I, MATCH(Summary!$A544, Labels!$A:$A, 0)))</f>
        <v/>
      </c>
      <c r="X544" t="str">
        <f>IF(INDEX(Labels!J:J, MATCH(Summary!$A544, Labels!$A:$A, 0)) = 0, "", INDEX(Labels!J:J, MATCH(Summary!$A544, Labels!$A:$A, 0)))</f>
        <v/>
      </c>
    </row>
    <row r="545" spans="1:24" x14ac:dyDescent="0.2">
      <c r="A545" s="33">
        <f>Labels!A546</f>
        <v>539</v>
      </c>
      <c r="B545" s="34">
        <f>INDEX(EchoData!B:B, MATCH(Summary!$A545, EchoData!$A:$A, 0))</f>
        <v>543</v>
      </c>
      <c r="C545" s="35">
        <f>INDEX(EchoData!C:C, MATCH(Summary!$A545, EchoData!$A:$A, 0))</f>
        <v>544</v>
      </c>
      <c r="D545" s="42">
        <f>INDEX(Displacements!B:B, MATCH(Summary!$B545, Displacements!$A:$A, 0))</f>
        <v>984.14</v>
      </c>
      <c r="E545" s="43">
        <f>INDEX(Displacements!C:C, MATCH(Summary!$B545, Displacements!$A:$A, 0))</f>
        <v>0</v>
      </c>
      <c r="F545" s="44">
        <f>INDEX(Displacements!D:D, MATCH(Summary!$B545, Displacements!$A:$A, 0))</f>
        <v>0</v>
      </c>
      <c r="G545" s="42">
        <f>INDEX(Displacements!B:B, MATCH(Summary!$C545, Displacements!$A:$A, 0))</f>
        <v>985</v>
      </c>
      <c r="H545" s="43">
        <f>INDEX(Displacements!C:C, MATCH(Summary!$C545, Displacements!$A:$A, 0))</f>
        <v>0</v>
      </c>
      <c r="I545" s="44">
        <f>INDEX(Displacements!D:D, MATCH(Summary!$C545, Displacements!$A:$A, 0))</f>
        <v>0</v>
      </c>
      <c r="J545" s="42">
        <f t="shared" si="16"/>
        <v>0.86000000000001364</v>
      </c>
      <c r="K545" s="49">
        <f t="shared" si="17"/>
        <v>1</v>
      </c>
      <c r="L545" s="54">
        <f>INDEX('Forces+Stresses'!C:C, MATCH(Summary!$A545, 'Forces+Stresses'!$A:$A, 0))</f>
        <v>4889</v>
      </c>
      <c r="M545" s="55">
        <f>INDEX('Forces+Stresses'!D:D, MATCH(Summary!$A545, 'Forces+Stresses'!$A:$A, 0))</f>
        <v>4889</v>
      </c>
      <c r="N545" s="55">
        <f>IFERROR(INDEX('Forces+Stresses'!Q:Q, MATCH(Summary!$A545, 'Forces+Stresses'!$A:$A, 0)), INDEX(Flexjoints!D:D, MATCH(Summary!$A545, Flexjoints!$A:$A, 0)))</f>
        <v>2.882E-7</v>
      </c>
      <c r="O545" s="56">
        <f>IFERROR(INDEX('Forces+Stresses'!R:R, MATCH(Summary!$A545, 'Forces+Stresses'!$A:$A, 0)), INDEX(Flexjoints!E:E, MATCH(Summary!$A545, Flexjoints!$A:$A, 0)))</f>
        <v>6.3430000000000001E-6</v>
      </c>
      <c r="P545" s="33" t="str">
        <f>IF(INDEX(Labels!B:B, MATCH(Summary!$A545, Labels!$A:$A, 0)) = 0, "", INDEX(Labels!B:B, MATCH(Summary!$A545, Labels!$A:$A, 0)))</f>
        <v>{Marine Riser String}</v>
      </c>
      <c r="Q545" s="35" t="str">
        <f>IF(INDEX(Labels!C:C, MATCH(Summary!$A545, Labels!$A:$A, 0)) = 0, "", INDEX(Labels!C:C, MATCH(Summary!$A545, Labels!$A:$A, 0)))</f>
        <v>{Outer Barrel Lower}</v>
      </c>
      <c r="R545" s="33" t="str">
        <f>IF(INDEX(Labels!D:D, MATCH(Summary!$A545, Labels!$A:$A, 0)) = 0, "", INDEX(Labels!D:D, MATCH(Summary!$A545, Labels!$A:$A, 0)))</f>
        <v/>
      </c>
      <c r="S545" s="35" t="str">
        <f>IF(INDEX(Labels!E:E, MATCH(Summary!$A545, Labels!$A:$A, 0)) = 0, "", INDEX(Labels!E:E, MATCH(Summary!$A545, Labels!$A:$A, 0)))</f>
        <v/>
      </c>
      <c r="T545" s="33" t="str">
        <f>IF(INDEX(Labels!F:F, MATCH(Summary!$A545, Labels!$A:$A, 0)) = 0, "", INDEX(Labels!F:F, MATCH(Summary!$A545, Labels!$A:$A, 0)))</f>
        <v/>
      </c>
      <c r="U545" s="35" t="str">
        <f>IF(INDEX(Labels!G:G, MATCH(Summary!$A545, Labels!$A:$A, 0)) = 0, "", INDEX(Labels!G:G, MATCH(Summary!$A545, Labels!$A:$A, 0)))</f>
        <v/>
      </c>
      <c r="V545" s="62" t="str">
        <f>IF(INDEX(Labels!H:H, MATCH(Summary!$A545, Labels!$A:$A, 0)) = 0, "", INDEX(Labels!H:H, MATCH(Summary!$A545, Labels!$A:$A, 0)))</f>
        <v>{Moonpool_Elevation_Before}</v>
      </c>
      <c r="W545" t="str">
        <f>IF(INDEX(Labels!I:I, MATCH(Summary!$A545, Labels!$A:$A, 0)) = 0, "", INDEX(Labels!I:I, MATCH(Summary!$A545, Labels!$A:$A, 0)))</f>
        <v/>
      </c>
      <c r="X545" t="str">
        <f>IF(INDEX(Labels!J:J, MATCH(Summary!$A545, Labels!$A:$A, 0)) = 0, "", INDEX(Labels!J:J, MATCH(Summary!$A545, Labels!$A:$A, 0)))</f>
        <v/>
      </c>
    </row>
    <row r="546" spans="1:24" x14ac:dyDescent="0.2">
      <c r="A546" s="33">
        <f>Labels!A547</f>
        <v>540</v>
      </c>
      <c r="B546" s="34">
        <f>INDEX(EchoData!B:B, MATCH(Summary!$A546, EchoData!$A:$A, 0))</f>
        <v>544</v>
      </c>
      <c r="C546" s="35">
        <f>INDEX(EchoData!C:C, MATCH(Summary!$A546, EchoData!$A:$A, 0))</f>
        <v>545</v>
      </c>
      <c r="D546" s="42">
        <f>INDEX(Displacements!B:B, MATCH(Summary!$B546, Displacements!$A:$A, 0))</f>
        <v>985</v>
      </c>
      <c r="E546" s="43">
        <f>INDEX(Displacements!C:C, MATCH(Summary!$B546, Displacements!$A:$A, 0))</f>
        <v>0</v>
      </c>
      <c r="F546" s="44">
        <f>INDEX(Displacements!D:D, MATCH(Summary!$B546, Displacements!$A:$A, 0))</f>
        <v>0</v>
      </c>
      <c r="G546" s="42">
        <f>INDEX(Displacements!B:B, MATCH(Summary!$C546, Displacements!$A:$A, 0))</f>
        <v>986.27700000000004</v>
      </c>
      <c r="H546" s="43">
        <f>INDEX(Displacements!C:C, MATCH(Summary!$C546, Displacements!$A:$A, 0))</f>
        <v>0</v>
      </c>
      <c r="I546" s="44">
        <f>INDEX(Displacements!D:D, MATCH(Summary!$C546, Displacements!$A:$A, 0))</f>
        <v>0</v>
      </c>
      <c r="J546" s="42">
        <f t="shared" si="16"/>
        <v>1.2770000000000437</v>
      </c>
      <c r="K546" s="49">
        <f t="shared" si="17"/>
        <v>1.4848837209302597</v>
      </c>
      <c r="L546" s="54">
        <f>INDEX('Forces+Stresses'!C:C, MATCH(Summary!$A546, 'Forces+Stresses'!$A:$A, 0))</f>
        <v>4898</v>
      </c>
      <c r="M546" s="55">
        <f>INDEX('Forces+Stresses'!D:D, MATCH(Summary!$A546, 'Forces+Stresses'!$A:$A, 0))</f>
        <v>4898</v>
      </c>
      <c r="N546" s="55">
        <f>IFERROR(INDEX('Forces+Stresses'!Q:Q, MATCH(Summary!$A546, 'Forces+Stresses'!$A:$A, 0)), INDEX(Flexjoints!D:D, MATCH(Summary!$A546, Flexjoints!$A:$A, 0)))</f>
        <v>4.3080000000000002E-7</v>
      </c>
      <c r="O546" s="56">
        <f>IFERROR(INDEX('Forces+Stresses'!R:R, MATCH(Summary!$A546, 'Forces+Stresses'!$A:$A, 0)), INDEX(Flexjoints!E:E, MATCH(Summary!$A546, Flexjoints!$A:$A, 0)))</f>
        <v>6.888E-6</v>
      </c>
      <c r="P546" s="33" t="str">
        <f>IF(INDEX(Labels!B:B, MATCH(Summary!$A546, Labels!$A:$A, 0)) = 0, "", INDEX(Labels!B:B, MATCH(Summary!$A546, Labels!$A:$A, 0)))</f>
        <v>{Marine Riser String}</v>
      </c>
      <c r="Q546" s="35" t="str">
        <f>IF(INDEX(Labels!C:C, MATCH(Summary!$A546, Labels!$A:$A, 0)) = 0, "", INDEX(Labels!C:C, MATCH(Summary!$A546, Labels!$A:$A, 0)))</f>
        <v>{Outer Barrel Lower}</v>
      </c>
      <c r="R546" s="33" t="str">
        <f>IF(INDEX(Labels!D:D, MATCH(Summary!$A546, Labels!$A:$A, 0)) = 0, "", INDEX(Labels!D:D, MATCH(Summary!$A546, Labels!$A:$A, 0)))</f>
        <v/>
      </c>
      <c r="S546" s="35" t="str">
        <f>IF(INDEX(Labels!E:E, MATCH(Summary!$A546, Labels!$A:$A, 0)) = 0, "", INDEX(Labels!E:E, MATCH(Summary!$A546, Labels!$A:$A, 0)))</f>
        <v/>
      </c>
      <c r="T546" s="33" t="str">
        <f>IF(INDEX(Labels!F:F, MATCH(Summary!$A546, Labels!$A:$A, 0)) = 0, "", INDEX(Labels!F:F, MATCH(Summary!$A546, Labels!$A:$A, 0)))</f>
        <v/>
      </c>
      <c r="U546" s="35" t="str">
        <f>IF(INDEX(Labels!G:G, MATCH(Summary!$A546, Labels!$A:$A, 0)) = 0, "", INDEX(Labels!G:G, MATCH(Summary!$A546, Labels!$A:$A, 0)))</f>
        <v/>
      </c>
      <c r="V546" s="62" t="str">
        <f>IF(INDEX(Labels!H:H, MATCH(Summary!$A546, Labels!$A:$A, 0)) = 0, "", INDEX(Labels!H:H, MATCH(Summary!$A546, Labels!$A:$A, 0)))</f>
        <v>{Moonpool_Elevation_After}</v>
      </c>
      <c r="W546" t="str">
        <f>IF(INDEX(Labels!I:I, MATCH(Summary!$A546, Labels!$A:$A, 0)) = 0, "", INDEX(Labels!I:I, MATCH(Summary!$A546, Labels!$A:$A, 0)))</f>
        <v/>
      </c>
      <c r="X546" t="str">
        <f>IF(INDEX(Labels!J:J, MATCH(Summary!$A546, Labels!$A:$A, 0)) = 0, "", INDEX(Labels!J:J, MATCH(Summary!$A546, Labels!$A:$A, 0)))</f>
        <v/>
      </c>
    </row>
    <row r="547" spans="1:24" x14ac:dyDescent="0.2">
      <c r="A547" s="33">
        <f>Labels!A548</f>
        <v>541</v>
      </c>
      <c r="B547" s="34">
        <f>INDEX(EchoData!B:B, MATCH(Summary!$A547, EchoData!$A:$A, 0))</f>
        <v>545</v>
      </c>
      <c r="C547" s="35">
        <f>INDEX(EchoData!C:C, MATCH(Summary!$A547, EchoData!$A:$A, 0))</f>
        <v>546</v>
      </c>
      <c r="D547" s="42">
        <f>INDEX(Displacements!B:B, MATCH(Summary!$B547, Displacements!$A:$A, 0))</f>
        <v>986.27700000000004</v>
      </c>
      <c r="E547" s="43">
        <f>INDEX(Displacements!C:C, MATCH(Summary!$B547, Displacements!$A:$A, 0))</f>
        <v>0</v>
      </c>
      <c r="F547" s="44">
        <f>INDEX(Displacements!D:D, MATCH(Summary!$B547, Displacements!$A:$A, 0))</f>
        <v>0</v>
      </c>
      <c r="G547" s="42">
        <f>INDEX(Displacements!B:B, MATCH(Summary!$C547, Displacements!$A:$A, 0))</f>
        <v>987.49900000000002</v>
      </c>
      <c r="H547" s="43">
        <f>INDEX(Displacements!C:C, MATCH(Summary!$C547, Displacements!$A:$A, 0))</f>
        <v>0</v>
      </c>
      <c r="I547" s="44">
        <f>INDEX(Displacements!D:D, MATCH(Summary!$C547, Displacements!$A:$A, 0))</f>
        <v>0</v>
      </c>
      <c r="J547" s="42">
        <f t="shared" si="16"/>
        <v>1.22199999999998</v>
      </c>
      <c r="K547" s="49">
        <f t="shared" si="17"/>
        <v>0.95693030540324053</v>
      </c>
      <c r="L547" s="54">
        <f>INDEX('Forces+Stresses'!C:C, MATCH(Summary!$A547, 'Forces+Stresses'!$A:$A, 0))</f>
        <v>4911</v>
      </c>
      <c r="M547" s="55">
        <f>INDEX('Forces+Stresses'!D:D, MATCH(Summary!$A547, 'Forces+Stresses'!$A:$A, 0))</f>
        <v>4911</v>
      </c>
      <c r="N547" s="55">
        <f>IFERROR(INDEX('Forces+Stresses'!Q:Q, MATCH(Summary!$A547, 'Forces+Stresses'!$A:$A, 0)), INDEX(Flexjoints!D:D, MATCH(Summary!$A547, Flexjoints!$A:$A, 0)))</f>
        <v>7.4700000000000001E-7</v>
      </c>
      <c r="O547" s="56">
        <f>IFERROR(INDEX('Forces+Stresses'!R:R, MATCH(Summary!$A547, 'Forces+Stresses'!$A:$A, 0)), INDEX(Flexjoints!E:E, MATCH(Summary!$A547, Flexjoints!$A:$A, 0)))</f>
        <v>7.8019999999999992E-6</v>
      </c>
      <c r="P547" s="33" t="str">
        <f>IF(INDEX(Labels!B:B, MATCH(Summary!$A547, Labels!$A:$A, 0)) = 0, "", INDEX(Labels!B:B, MATCH(Summary!$A547, Labels!$A:$A, 0)))</f>
        <v>{Marine Riser String}</v>
      </c>
      <c r="Q547" s="35" t="str">
        <f>IF(INDEX(Labels!C:C, MATCH(Summary!$A547, Labels!$A:$A, 0)) = 0, "", INDEX(Labels!C:C, MATCH(Summary!$A547, Labels!$A:$A, 0)))</f>
        <v>{Outer Barrel Lower}</v>
      </c>
      <c r="R547" s="33" t="str">
        <f>IF(INDEX(Labels!D:D, MATCH(Summary!$A547, Labels!$A:$A, 0)) = 0, "", INDEX(Labels!D:D, MATCH(Summary!$A547, Labels!$A:$A, 0)))</f>
        <v/>
      </c>
      <c r="S547" s="35" t="str">
        <f>IF(INDEX(Labels!E:E, MATCH(Summary!$A547, Labels!$A:$A, 0)) = 0, "", INDEX(Labels!E:E, MATCH(Summary!$A547, Labels!$A:$A, 0)))</f>
        <v/>
      </c>
      <c r="T547" s="33" t="str">
        <f>IF(INDEX(Labels!F:F, MATCH(Summary!$A547, Labels!$A:$A, 0)) = 0, "", INDEX(Labels!F:F, MATCH(Summary!$A547, Labels!$A:$A, 0)))</f>
        <v/>
      </c>
      <c r="U547" s="35" t="str">
        <f>IF(INDEX(Labels!G:G, MATCH(Summary!$A547, Labels!$A:$A, 0)) = 0, "", INDEX(Labels!G:G, MATCH(Summary!$A547, Labels!$A:$A, 0)))</f>
        <v/>
      </c>
      <c r="V547" s="62" t="str">
        <f>IF(INDEX(Labels!H:H, MATCH(Summary!$A547, Labels!$A:$A, 0)) = 0, "", INDEX(Labels!H:H, MATCH(Summary!$A547, Labels!$A:$A, 0)))</f>
        <v>{Outer_Barrel_Mid_Stroke_Before}</v>
      </c>
      <c r="W547" t="str">
        <f>IF(INDEX(Labels!I:I, MATCH(Summary!$A547, Labels!$A:$A, 0)) = 0, "", INDEX(Labels!I:I, MATCH(Summary!$A547, Labels!$A:$A, 0)))</f>
        <v/>
      </c>
      <c r="X547" t="str">
        <f>IF(INDEX(Labels!J:J, MATCH(Summary!$A547, Labels!$A:$A, 0)) = 0, "", INDEX(Labels!J:J, MATCH(Summary!$A547, Labels!$A:$A, 0)))</f>
        <v/>
      </c>
    </row>
    <row r="548" spans="1:24" x14ac:dyDescent="0.2">
      <c r="A548" s="33">
        <f>Labels!A549</f>
        <v>542</v>
      </c>
      <c r="B548" s="34">
        <f>INDEX(EchoData!B:B, MATCH(Summary!$A548, EchoData!$A:$A, 0))</f>
        <v>546</v>
      </c>
      <c r="C548" s="35">
        <f>INDEX(EchoData!C:C, MATCH(Summary!$A548, EchoData!$A:$A, 0))</f>
        <v>547</v>
      </c>
      <c r="D548" s="42">
        <f>INDEX(Displacements!B:B, MATCH(Summary!$B548, Displacements!$A:$A, 0))</f>
        <v>987.49900000000002</v>
      </c>
      <c r="E548" s="43">
        <f>INDEX(Displacements!C:C, MATCH(Summary!$B548, Displacements!$A:$A, 0))</f>
        <v>0</v>
      </c>
      <c r="F548" s="44">
        <f>INDEX(Displacements!D:D, MATCH(Summary!$B548, Displacements!$A:$A, 0))</f>
        <v>0</v>
      </c>
      <c r="G548" s="42">
        <f>INDEX(Displacements!B:B, MATCH(Summary!$C548, Displacements!$A:$A, 0))</f>
        <v>988.27</v>
      </c>
      <c r="H548" s="43">
        <f>INDEX(Displacements!C:C, MATCH(Summary!$C548, Displacements!$A:$A, 0))</f>
        <v>0</v>
      </c>
      <c r="I548" s="44">
        <f>INDEX(Displacements!D:D, MATCH(Summary!$C548, Displacements!$A:$A, 0))</f>
        <v>0</v>
      </c>
      <c r="J548" s="42">
        <f t="shared" si="16"/>
        <v>0.77099999999995816</v>
      </c>
      <c r="K548" s="49">
        <f t="shared" si="17"/>
        <v>0.63093289689031984</v>
      </c>
      <c r="L548" s="54">
        <f>INDEX('Forces+Stresses'!C:C, MATCH(Summary!$A548, 'Forces+Stresses'!$A:$A, 0))</f>
        <v>4924</v>
      </c>
      <c r="M548" s="55">
        <f>INDEX('Forces+Stresses'!D:D, MATCH(Summary!$A548, 'Forces+Stresses'!$A:$A, 0))</f>
        <v>4924</v>
      </c>
      <c r="N548" s="55">
        <f>IFERROR(INDEX('Forces+Stresses'!Q:Q, MATCH(Summary!$A548, 'Forces+Stresses'!$A:$A, 0)), INDEX(Flexjoints!D:D, MATCH(Summary!$A548, Flexjoints!$A:$A, 0)))</f>
        <v>2.5890000000000002E-7</v>
      </c>
      <c r="O548" s="56">
        <f>IFERROR(INDEX('Forces+Stresses'!R:R, MATCH(Summary!$A548, 'Forces+Stresses'!$A:$A, 0)), INDEX(Flexjoints!E:E, MATCH(Summary!$A548, Flexjoints!$A:$A, 0)))</f>
        <v>8.6349999999999995E-6</v>
      </c>
      <c r="P548" s="33" t="str">
        <f>IF(INDEX(Labels!B:B, MATCH(Summary!$A548, Labels!$A:$A, 0)) = 0, "", INDEX(Labels!B:B, MATCH(Summary!$A548, Labels!$A:$A, 0)))</f>
        <v>{Marine Riser String}</v>
      </c>
      <c r="Q548" s="35" t="str">
        <f>IF(INDEX(Labels!C:C, MATCH(Summary!$A548, Labels!$A:$A, 0)) = 0, "", INDEX(Labels!C:C, MATCH(Summary!$A548, Labels!$A:$A, 0)))</f>
        <v>{Outer Barrel Lower}</v>
      </c>
      <c r="R548" s="33" t="str">
        <f>IF(INDEX(Labels!D:D, MATCH(Summary!$A548, Labels!$A:$A, 0)) = 0, "", INDEX(Labels!D:D, MATCH(Summary!$A548, Labels!$A:$A, 0)))</f>
        <v/>
      </c>
      <c r="S548" s="35" t="str">
        <f>IF(INDEX(Labels!E:E, MATCH(Summary!$A548, Labels!$A:$A, 0)) = 0, "", INDEX(Labels!E:E, MATCH(Summary!$A548, Labels!$A:$A, 0)))</f>
        <v/>
      </c>
      <c r="T548" s="33" t="str">
        <f>IF(INDEX(Labels!F:F, MATCH(Summary!$A548, Labels!$A:$A, 0)) = 0, "", INDEX(Labels!F:F, MATCH(Summary!$A548, Labels!$A:$A, 0)))</f>
        <v/>
      </c>
      <c r="U548" s="35" t="str">
        <f>IF(INDEX(Labels!G:G, MATCH(Summary!$A548, Labels!$A:$A, 0)) = 0, "", INDEX(Labels!G:G, MATCH(Summary!$A548, Labels!$A:$A, 0)))</f>
        <v/>
      </c>
      <c r="V548" s="62" t="str">
        <f>IF(INDEX(Labels!H:H, MATCH(Summary!$A548, Labels!$A:$A, 0)) = 0, "", INDEX(Labels!H:H, MATCH(Summary!$A548, Labels!$A:$A, 0)))</f>
        <v>{Outer_Barrel_Mid_Stroke_After}</v>
      </c>
      <c r="W548" t="str">
        <f>IF(INDEX(Labels!I:I, MATCH(Summary!$A548, Labels!$A:$A, 0)) = 0, "", INDEX(Labels!I:I, MATCH(Summary!$A548, Labels!$A:$A, 0)))</f>
        <v/>
      </c>
      <c r="X548" t="str">
        <f>IF(INDEX(Labels!J:J, MATCH(Summary!$A548, Labels!$A:$A, 0)) = 0, "", INDEX(Labels!J:J, MATCH(Summary!$A548, Labels!$A:$A, 0)))</f>
        <v/>
      </c>
    </row>
    <row r="549" spans="1:24" x14ac:dyDescent="0.2">
      <c r="A549" s="33">
        <f>Labels!A550</f>
        <v>543</v>
      </c>
      <c r="B549" s="34">
        <f>INDEX(EchoData!B:B, MATCH(Summary!$A549, EchoData!$A:$A, 0))</f>
        <v>547</v>
      </c>
      <c r="C549" s="35">
        <f>INDEX(EchoData!C:C, MATCH(Summary!$A549, EchoData!$A:$A, 0))</f>
        <v>548</v>
      </c>
      <c r="D549" s="42">
        <f>INDEX(Displacements!B:B, MATCH(Summary!$B549, Displacements!$A:$A, 0))</f>
        <v>988.27</v>
      </c>
      <c r="E549" s="43">
        <f>INDEX(Displacements!C:C, MATCH(Summary!$B549, Displacements!$A:$A, 0))</f>
        <v>0</v>
      </c>
      <c r="F549" s="44">
        <f>INDEX(Displacements!D:D, MATCH(Summary!$B549, Displacements!$A:$A, 0))</f>
        <v>0</v>
      </c>
      <c r="G549" s="42">
        <f>INDEX(Displacements!B:B, MATCH(Summary!$C549, Displacements!$A:$A, 0))</f>
        <v>988.81700000000001</v>
      </c>
      <c r="H549" s="43">
        <f>INDEX(Displacements!C:C, MATCH(Summary!$C549, Displacements!$A:$A, 0))</f>
        <v>0</v>
      </c>
      <c r="I549" s="44">
        <f>INDEX(Displacements!D:D, MATCH(Summary!$C549, Displacements!$A:$A, 0))</f>
        <v>0</v>
      </c>
      <c r="J549" s="42">
        <f t="shared" si="16"/>
        <v>0.54700000000002547</v>
      </c>
      <c r="K549" s="49">
        <f t="shared" si="17"/>
        <v>0.70946822308697166</v>
      </c>
      <c r="L549" s="54">
        <f>INDEX('Forces+Stresses'!C:C, MATCH(Summary!$A549, 'Forces+Stresses'!$A:$A, 0))</f>
        <v>4932</v>
      </c>
      <c r="M549" s="55">
        <f>INDEX('Forces+Stresses'!D:D, MATCH(Summary!$A549, 'Forces+Stresses'!$A:$A, 0))</f>
        <v>4932</v>
      </c>
      <c r="N549" s="55">
        <f>IFERROR(INDEX('Forces+Stresses'!Q:Q, MATCH(Summary!$A549, 'Forces+Stresses'!$A:$A, 0)), INDEX(Flexjoints!D:D, MATCH(Summary!$A549, Flexjoints!$A:$A, 0)))</f>
        <v>8.0959999999999994E-7</v>
      </c>
      <c r="O549" s="56">
        <f>IFERROR(INDEX('Forces+Stresses'!R:R, MATCH(Summary!$A549, 'Forces+Stresses'!$A:$A, 0)), INDEX(Flexjoints!E:E, MATCH(Summary!$A549, Flexjoints!$A:$A, 0)))</f>
        <v>9.2820000000000002E-6</v>
      </c>
      <c r="P549" s="33" t="str">
        <f>IF(INDEX(Labels!B:B, MATCH(Summary!$A549, Labels!$A:$A, 0)) = 0, "", INDEX(Labels!B:B, MATCH(Summary!$A549, Labels!$A:$A, 0)))</f>
        <v>{Marine Riser String}</v>
      </c>
      <c r="Q549" s="35" t="str">
        <f>IF(INDEX(Labels!C:C, MATCH(Summary!$A549, Labels!$A:$A, 0)) = 0, "", INDEX(Labels!C:C, MATCH(Summary!$A549, Labels!$A:$A, 0)))</f>
        <v>{Outer Barrel Lower}</v>
      </c>
      <c r="R549" s="33" t="str">
        <f>IF(INDEX(Labels!D:D, MATCH(Summary!$A549, Labels!$A:$A, 0)) = 0, "", INDEX(Labels!D:D, MATCH(Summary!$A549, Labels!$A:$A, 0)))</f>
        <v/>
      </c>
      <c r="S549" s="35" t="str">
        <f>IF(INDEX(Labels!E:E, MATCH(Summary!$A549, Labels!$A:$A, 0)) = 0, "", INDEX(Labels!E:E, MATCH(Summary!$A549, Labels!$A:$A, 0)))</f>
        <v/>
      </c>
      <c r="T549" s="33" t="str">
        <f>IF(INDEX(Labels!F:F, MATCH(Summary!$A549, Labels!$A:$A, 0)) = 0, "", INDEX(Labels!F:F, MATCH(Summary!$A549, Labels!$A:$A, 0)))</f>
        <v/>
      </c>
      <c r="U549" s="35" t="str">
        <f>IF(INDEX(Labels!G:G, MATCH(Summary!$A549, Labels!$A:$A, 0)) = 0, "", INDEX(Labels!G:G, MATCH(Summary!$A549, Labels!$A:$A, 0)))</f>
        <v/>
      </c>
      <c r="V549" s="62" t="str">
        <f>IF(INDEX(Labels!H:H, MATCH(Summary!$A549, Labels!$A:$A, 0)) = 0, "", INDEX(Labels!H:H, MATCH(Summary!$A549, Labels!$A:$A, 0)))</f>
        <v/>
      </c>
      <c r="W549" t="str">
        <f>IF(INDEX(Labels!I:I, MATCH(Summary!$A549, Labels!$A:$A, 0)) = 0, "", INDEX(Labels!I:I, MATCH(Summary!$A549, Labels!$A:$A, 0)))</f>
        <v/>
      </c>
      <c r="X549" t="str">
        <f>IF(INDEX(Labels!J:J, MATCH(Summary!$A549, Labels!$A:$A, 0)) = 0, "", INDEX(Labels!J:J, MATCH(Summary!$A549, Labels!$A:$A, 0)))</f>
        <v/>
      </c>
    </row>
    <row r="550" spans="1:24" x14ac:dyDescent="0.2">
      <c r="A550" s="33">
        <f>Labels!A551</f>
        <v>544</v>
      </c>
      <c r="B550" s="34">
        <f>INDEX(EchoData!B:B, MATCH(Summary!$A550, EchoData!$A:$A, 0))</f>
        <v>548</v>
      </c>
      <c r="C550" s="35">
        <f>INDEX(EchoData!C:C, MATCH(Summary!$A550, EchoData!$A:$A, 0))</f>
        <v>549</v>
      </c>
      <c r="D550" s="42">
        <f>INDEX(Displacements!B:B, MATCH(Summary!$B550, Displacements!$A:$A, 0))</f>
        <v>988.81700000000001</v>
      </c>
      <c r="E550" s="43">
        <f>INDEX(Displacements!C:C, MATCH(Summary!$B550, Displacements!$A:$A, 0))</f>
        <v>0</v>
      </c>
      <c r="F550" s="44">
        <f>INDEX(Displacements!D:D, MATCH(Summary!$B550, Displacements!$A:$A, 0))</f>
        <v>0</v>
      </c>
      <c r="G550" s="42">
        <f>INDEX(Displacements!B:B, MATCH(Summary!$C550, Displacements!$A:$A, 0))</f>
        <v>989.36400000000003</v>
      </c>
      <c r="H550" s="43">
        <f>INDEX(Displacements!C:C, MATCH(Summary!$C550, Displacements!$A:$A, 0))</f>
        <v>0</v>
      </c>
      <c r="I550" s="44">
        <f>INDEX(Displacements!D:D, MATCH(Summary!$C550, Displacements!$A:$A, 0))</f>
        <v>0</v>
      </c>
      <c r="J550" s="42">
        <f t="shared" si="16"/>
        <v>0.54700000000002547</v>
      </c>
      <c r="K550" s="49">
        <f t="shared" si="17"/>
        <v>1</v>
      </c>
      <c r="L550" s="54">
        <f>INDEX('Forces+Stresses'!C:C, MATCH(Summary!$A550, 'Forces+Stresses'!$A:$A, 0))</f>
        <v>4937</v>
      </c>
      <c r="M550" s="55">
        <f>INDEX('Forces+Stresses'!D:D, MATCH(Summary!$A550, 'Forces+Stresses'!$A:$A, 0))</f>
        <v>4937</v>
      </c>
      <c r="N550" s="55">
        <f>IFERROR(INDEX('Forces+Stresses'!Q:Q, MATCH(Summary!$A550, 'Forces+Stresses'!$A:$A, 0)), INDEX(Flexjoints!D:D, MATCH(Summary!$A550, Flexjoints!$A:$A, 0)))</f>
        <v>8.5290000000000002E-7</v>
      </c>
      <c r="O550" s="56">
        <f>IFERROR(INDEX('Forces+Stresses'!R:R, MATCH(Summary!$A550, 'Forces+Stresses'!$A:$A, 0)), INDEX(Flexjoints!E:E, MATCH(Summary!$A550, Flexjoints!$A:$A, 0)))</f>
        <v>9.6649999999999998E-6</v>
      </c>
      <c r="P550" s="33" t="str">
        <f>IF(INDEX(Labels!B:B, MATCH(Summary!$A550, Labels!$A:$A, 0)) = 0, "", INDEX(Labels!B:B, MATCH(Summary!$A550, Labels!$A:$A, 0)))</f>
        <v>{Marine Riser String}</v>
      </c>
      <c r="Q550" s="35" t="str">
        <f>IF(INDEX(Labels!C:C, MATCH(Summary!$A550, Labels!$A:$A, 0)) = 0, "", INDEX(Labels!C:C, MATCH(Summary!$A550, Labels!$A:$A, 0)))</f>
        <v>{Outer Barrel Lower}</v>
      </c>
      <c r="R550" s="33" t="str">
        <f>IF(INDEX(Labels!D:D, MATCH(Summary!$A550, Labels!$A:$A, 0)) = 0, "", INDEX(Labels!D:D, MATCH(Summary!$A550, Labels!$A:$A, 0)))</f>
        <v/>
      </c>
      <c r="S550" s="35" t="str">
        <f>IF(INDEX(Labels!E:E, MATCH(Summary!$A550, Labels!$A:$A, 0)) = 0, "", INDEX(Labels!E:E, MATCH(Summary!$A550, Labels!$A:$A, 0)))</f>
        <v/>
      </c>
      <c r="T550" s="33" t="str">
        <f>IF(INDEX(Labels!F:F, MATCH(Summary!$A550, Labels!$A:$A, 0)) = 0, "", INDEX(Labels!F:F, MATCH(Summary!$A550, Labels!$A:$A, 0)))</f>
        <v/>
      </c>
      <c r="U550" s="35" t="str">
        <f>IF(INDEX(Labels!G:G, MATCH(Summary!$A550, Labels!$A:$A, 0)) = 0, "", INDEX(Labels!G:G, MATCH(Summary!$A550, Labels!$A:$A, 0)))</f>
        <v/>
      </c>
      <c r="V550" s="62" t="str">
        <f>IF(INDEX(Labels!H:H, MATCH(Summary!$A550, Labels!$A:$A, 0)) = 0, "", INDEX(Labels!H:H, MATCH(Summary!$A550, Labels!$A:$A, 0)))</f>
        <v/>
      </c>
      <c r="W550" t="str">
        <f>IF(INDEX(Labels!I:I, MATCH(Summary!$A550, Labels!$A:$A, 0)) = 0, "", INDEX(Labels!I:I, MATCH(Summary!$A550, Labels!$A:$A, 0)))</f>
        <v/>
      </c>
      <c r="X550" t="str">
        <f>IF(INDEX(Labels!J:J, MATCH(Summary!$A550, Labels!$A:$A, 0)) = 0, "", INDEX(Labels!J:J, MATCH(Summary!$A550, Labels!$A:$A, 0)))</f>
        <v/>
      </c>
    </row>
    <row r="551" spans="1:24" x14ac:dyDescent="0.2">
      <c r="A551" s="33">
        <f>Labels!A552</f>
        <v>545</v>
      </c>
      <c r="B551" s="34">
        <f>INDEX(EchoData!B:B, MATCH(Summary!$A551, EchoData!$A:$A, 0))</f>
        <v>549</v>
      </c>
      <c r="C551" s="35">
        <f>INDEX(EchoData!C:C, MATCH(Summary!$A551, EchoData!$A:$A, 0))</f>
        <v>550</v>
      </c>
      <c r="D551" s="42">
        <f>INDEX(Displacements!B:B, MATCH(Summary!$B551, Displacements!$A:$A, 0))</f>
        <v>989.36400000000003</v>
      </c>
      <c r="E551" s="43">
        <f>INDEX(Displacements!C:C, MATCH(Summary!$B551, Displacements!$A:$A, 0))</f>
        <v>0</v>
      </c>
      <c r="F551" s="44">
        <f>INDEX(Displacements!D:D, MATCH(Summary!$B551, Displacements!$A:$A, 0))</f>
        <v>0</v>
      </c>
      <c r="G551" s="42">
        <f>INDEX(Displacements!B:B, MATCH(Summary!$C551, Displacements!$A:$A, 0))</f>
        <v>989.74599999999998</v>
      </c>
      <c r="H551" s="43">
        <f>INDEX(Displacements!C:C, MATCH(Summary!$C551, Displacements!$A:$A, 0))</f>
        <v>0</v>
      </c>
      <c r="I551" s="44">
        <f>INDEX(Displacements!D:D, MATCH(Summary!$C551, Displacements!$A:$A, 0))</f>
        <v>0</v>
      </c>
      <c r="J551" s="42">
        <f t="shared" si="16"/>
        <v>0.38199999999994816</v>
      </c>
      <c r="K551" s="49">
        <f t="shared" si="17"/>
        <v>0.69835466179146322</v>
      </c>
      <c r="L551" s="54">
        <f>INDEX('Forces+Stresses'!C:C, MATCH(Summary!$A551, 'Forces+Stresses'!$A:$A, 0))</f>
        <v>4943</v>
      </c>
      <c r="M551" s="55">
        <f>INDEX('Forces+Stresses'!D:D, MATCH(Summary!$A551, 'Forces+Stresses'!$A:$A, 0))</f>
        <v>4943</v>
      </c>
      <c r="N551" s="55">
        <f>IFERROR(INDEX('Forces+Stresses'!Q:Q, MATCH(Summary!$A551, 'Forces+Stresses'!$A:$A, 0)), INDEX(Flexjoints!D:D, MATCH(Summary!$A551, Flexjoints!$A:$A, 0)))</f>
        <v>5.2459999999999992E-7</v>
      </c>
      <c r="O551" s="56">
        <f>IFERROR(INDEX('Forces+Stresses'!R:R, MATCH(Summary!$A551, 'Forces+Stresses'!$A:$A, 0)), INDEX(Flexjoints!E:E, MATCH(Summary!$A551, Flexjoints!$A:$A, 0)))</f>
        <v>1.005E-5</v>
      </c>
      <c r="P551" s="33" t="str">
        <f>IF(INDEX(Labels!B:B, MATCH(Summary!$A551, Labels!$A:$A, 0)) = 0, "", INDEX(Labels!B:B, MATCH(Summary!$A551, Labels!$A:$A, 0)))</f>
        <v>{Marine Riser String}</v>
      </c>
      <c r="Q551" s="35" t="str">
        <f>IF(INDEX(Labels!C:C, MATCH(Summary!$A551, Labels!$A:$A, 0)) = 0, "", INDEX(Labels!C:C, MATCH(Summary!$A551, Labels!$A:$A, 0)))</f>
        <v>{Outer Barrel Lower}</v>
      </c>
      <c r="R551" s="33" t="str">
        <f>IF(INDEX(Labels!D:D, MATCH(Summary!$A551, Labels!$A:$A, 0)) = 0, "", INDEX(Labels!D:D, MATCH(Summary!$A551, Labels!$A:$A, 0)))</f>
        <v/>
      </c>
      <c r="S551" s="35" t="str">
        <f>IF(INDEX(Labels!E:E, MATCH(Summary!$A551, Labels!$A:$A, 0)) = 0, "", INDEX(Labels!E:E, MATCH(Summary!$A551, Labels!$A:$A, 0)))</f>
        <v/>
      </c>
      <c r="T551" s="33" t="str">
        <f>IF(INDEX(Labels!F:F, MATCH(Summary!$A551, Labels!$A:$A, 0)) = 0, "", INDEX(Labels!F:F, MATCH(Summary!$A551, Labels!$A:$A, 0)))</f>
        <v/>
      </c>
      <c r="U551" s="35" t="str">
        <f>IF(INDEX(Labels!G:G, MATCH(Summary!$A551, Labels!$A:$A, 0)) = 0, "", INDEX(Labels!G:G, MATCH(Summary!$A551, Labels!$A:$A, 0)))</f>
        <v/>
      </c>
      <c r="V551" s="62" t="str">
        <f>IF(INDEX(Labels!H:H, MATCH(Summary!$A551, Labels!$A:$A, 0)) = 0, "", INDEX(Labels!H:H, MATCH(Summary!$A551, Labels!$A:$A, 0)))</f>
        <v/>
      </c>
      <c r="W551" t="str">
        <f>IF(INDEX(Labels!I:I, MATCH(Summary!$A551, Labels!$A:$A, 0)) = 0, "", INDEX(Labels!I:I, MATCH(Summary!$A551, Labels!$A:$A, 0)))</f>
        <v/>
      </c>
      <c r="X551" t="str">
        <f>IF(INDEX(Labels!J:J, MATCH(Summary!$A551, Labels!$A:$A, 0)) = 0, "", INDEX(Labels!J:J, MATCH(Summary!$A551, Labels!$A:$A, 0)))</f>
        <v/>
      </c>
    </row>
    <row r="552" spans="1:24" x14ac:dyDescent="0.2">
      <c r="A552" s="33">
        <f>Labels!A553</f>
        <v>546</v>
      </c>
      <c r="B552" s="34">
        <f>INDEX(EchoData!B:B, MATCH(Summary!$A552, EchoData!$A:$A, 0))</f>
        <v>550</v>
      </c>
      <c r="C552" s="35">
        <f>INDEX(EchoData!C:C, MATCH(Summary!$A552, EchoData!$A:$A, 0))</f>
        <v>551</v>
      </c>
      <c r="D552" s="42">
        <f>INDEX(Displacements!B:B, MATCH(Summary!$B552, Displacements!$A:$A, 0))</f>
        <v>989.74599999999998</v>
      </c>
      <c r="E552" s="43">
        <f>INDEX(Displacements!C:C, MATCH(Summary!$B552, Displacements!$A:$A, 0))</f>
        <v>0</v>
      </c>
      <c r="F552" s="44">
        <f>INDEX(Displacements!D:D, MATCH(Summary!$B552, Displacements!$A:$A, 0))</f>
        <v>0</v>
      </c>
      <c r="G552" s="42">
        <f>INDEX(Displacements!B:B, MATCH(Summary!$C552, Displacements!$A:$A, 0))</f>
        <v>990</v>
      </c>
      <c r="H552" s="43">
        <f>INDEX(Displacements!C:C, MATCH(Summary!$C552, Displacements!$A:$A, 0))</f>
        <v>0</v>
      </c>
      <c r="I552" s="44">
        <f>INDEX(Displacements!D:D, MATCH(Summary!$C552, Displacements!$A:$A, 0))</f>
        <v>0</v>
      </c>
      <c r="J552" s="42">
        <f t="shared" si="16"/>
        <v>0.2540000000000191</v>
      </c>
      <c r="K552" s="49">
        <f t="shared" si="17"/>
        <v>0.66492146596872659</v>
      </c>
      <c r="L552" s="54">
        <f>INDEX('Forces+Stresses'!C:C, MATCH(Summary!$A552, 'Forces+Stresses'!$A:$A, 0))</f>
        <v>4947</v>
      </c>
      <c r="M552" s="55">
        <f>INDEX('Forces+Stresses'!D:D, MATCH(Summary!$A552, 'Forces+Stresses'!$A:$A, 0))</f>
        <v>4947</v>
      </c>
      <c r="N552" s="55">
        <f>IFERROR(INDEX('Forces+Stresses'!Q:Q, MATCH(Summary!$A552, 'Forces+Stresses'!$A:$A, 0)), INDEX(Flexjoints!D:D, MATCH(Summary!$A552, Flexjoints!$A:$A, 0)))</f>
        <v>3.918E-7</v>
      </c>
      <c r="O552" s="56">
        <f>IFERROR(INDEX('Forces+Stresses'!R:R, MATCH(Summary!$A552, 'Forces+Stresses'!$A:$A, 0)), INDEX(Flexjoints!E:E, MATCH(Summary!$A552, Flexjoints!$A:$A, 0)))</f>
        <v>1.041E-5</v>
      </c>
      <c r="P552" s="33" t="str">
        <f>IF(INDEX(Labels!B:B, MATCH(Summary!$A552, Labels!$A:$A, 0)) = 0, "", INDEX(Labels!B:B, MATCH(Summary!$A552, Labels!$A:$A, 0)))</f>
        <v>{Marine Riser String}</v>
      </c>
      <c r="Q552" s="35" t="str">
        <f>IF(INDEX(Labels!C:C, MATCH(Summary!$A552, Labels!$A:$A, 0)) = 0, "", INDEX(Labels!C:C, MATCH(Summary!$A552, Labels!$A:$A, 0)))</f>
        <v>{Outer Barrel Lower}</v>
      </c>
      <c r="R552" s="33" t="str">
        <f>IF(INDEX(Labels!D:D, MATCH(Summary!$A552, Labels!$A:$A, 0)) = 0, "", INDEX(Labels!D:D, MATCH(Summary!$A552, Labels!$A:$A, 0)))</f>
        <v/>
      </c>
      <c r="S552" s="35" t="str">
        <f>IF(INDEX(Labels!E:E, MATCH(Summary!$A552, Labels!$A:$A, 0)) = 0, "", INDEX(Labels!E:E, MATCH(Summary!$A552, Labels!$A:$A, 0)))</f>
        <v/>
      </c>
      <c r="T552" s="33" t="str">
        <f>IF(INDEX(Labels!F:F, MATCH(Summary!$A552, Labels!$A:$A, 0)) = 0, "", INDEX(Labels!F:F, MATCH(Summary!$A552, Labels!$A:$A, 0)))</f>
        <v/>
      </c>
      <c r="U552" s="35" t="str">
        <f>IF(INDEX(Labels!G:G, MATCH(Summary!$A552, Labels!$A:$A, 0)) = 0, "", INDEX(Labels!G:G, MATCH(Summary!$A552, Labels!$A:$A, 0)))</f>
        <v>{Outer Barrel Lower_Last}</v>
      </c>
      <c r="V552" s="62" t="str">
        <f>IF(INDEX(Labels!H:H, MATCH(Summary!$A552, Labels!$A:$A, 0)) = 0, "", INDEX(Labels!H:H, MATCH(Summary!$A552, Labels!$A:$A, 0)))</f>
        <v/>
      </c>
      <c r="W552" t="str">
        <f>IF(INDEX(Labels!I:I, MATCH(Summary!$A552, Labels!$A:$A, 0)) = 0, "", INDEX(Labels!I:I, MATCH(Summary!$A552, Labels!$A:$A, 0)))</f>
        <v/>
      </c>
      <c r="X552" t="str">
        <f>IF(INDEX(Labels!J:J, MATCH(Summary!$A552, Labels!$A:$A, 0)) = 0, "", INDEX(Labels!J:J, MATCH(Summary!$A552, Labels!$A:$A, 0)))</f>
        <v/>
      </c>
    </row>
    <row r="553" spans="1:24" x14ac:dyDescent="0.2">
      <c r="A553" s="33">
        <f>Labels!A554</f>
        <v>547</v>
      </c>
      <c r="B553" s="34">
        <f>INDEX(EchoData!B:B, MATCH(Summary!$A553, EchoData!$A:$A, 0))</f>
        <v>551</v>
      </c>
      <c r="C553" s="35">
        <f>INDEX(EchoData!C:C, MATCH(Summary!$A553, EchoData!$A:$A, 0))</f>
        <v>552</v>
      </c>
      <c r="D553" s="42">
        <f>INDEX(Displacements!B:B, MATCH(Summary!$B553, Displacements!$A:$A, 0))</f>
        <v>990</v>
      </c>
      <c r="E553" s="43">
        <f>INDEX(Displacements!C:C, MATCH(Summary!$B553, Displacements!$A:$A, 0))</f>
        <v>0</v>
      </c>
      <c r="F553" s="44">
        <f>INDEX(Displacements!D:D, MATCH(Summary!$B553, Displacements!$A:$A, 0))</f>
        <v>0</v>
      </c>
      <c r="G553" s="42">
        <f>INDEX(Displacements!B:B, MATCH(Summary!$C553, Displacements!$A:$A, 0))</f>
        <v>990.298</v>
      </c>
      <c r="H553" s="43">
        <f>INDEX(Displacements!C:C, MATCH(Summary!$C553, Displacements!$A:$A, 0))</f>
        <v>0</v>
      </c>
      <c r="I553" s="44">
        <f>INDEX(Displacements!D:D, MATCH(Summary!$C553, Displacements!$A:$A, 0))</f>
        <v>0</v>
      </c>
      <c r="J553" s="42">
        <f t="shared" si="16"/>
        <v>0.29800000000000182</v>
      </c>
      <c r="K553" s="49">
        <f t="shared" si="17"/>
        <v>1.1732283464566118</v>
      </c>
      <c r="L553" s="54">
        <f>INDEX('Forces+Stresses'!C:C, MATCH(Summary!$A553, 'Forces+Stresses'!$A:$A, 0))</f>
        <v>4951</v>
      </c>
      <c r="M553" s="55">
        <f>INDEX('Forces+Stresses'!D:D, MATCH(Summary!$A553, 'Forces+Stresses'!$A:$A, 0))</f>
        <v>4951</v>
      </c>
      <c r="N553" s="55">
        <f>IFERROR(INDEX('Forces+Stresses'!Q:Q, MATCH(Summary!$A553, 'Forces+Stresses'!$A:$A, 0)), INDEX(Flexjoints!D:D, MATCH(Summary!$A553, Flexjoints!$A:$A, 0)))</f>
        <v>2.818E-7</v>
      </c>
      <c r="O553" s="56">
        <f>IFERROR(INDEX('Forces+Stresses'!R:R, MATCH(Summary!$A553, 'Forces+Stresses'!$A:$A, 0)), INDEX(Flexjoints!E:E, MATCH(Summary!$A553, Flexjoints!$A:$A, 0)))</f>
        <v>1.0680000000000001E-5</v>
      </c>
      <c r="P553" s="33" t="str">
        <f>IF(INDEX(Labels!B:B, MATCH(Summary!$A553, Labels!$A:$A, 0)) = 0, "", INDEX(Labels!B:B, MATCH(Summary!$A553, Labels!$A:$A, 0)))</f>
        <v>{Marine Riser String}</v>
      </c>
      <c r="Q553" s="35" t="str">
        <f>IF(INDEX(Labels!C:C, MATCH(Summary!$A553, Labels!$A:$A, 0)) = 0, "", INDEX(Labels!C:C, MATCH(Summary!$A553, Labels!$A:$A, 0)))</f>
        <v>{Outer Barrel Upper}</v>
      </c>
      <c r="R553" s="33" t="str">
        <f>IF(INDEX(Labels!D:D, MATCH(Summary!$A553, Labels!$A:$A, 0)) = 0, "", INDEX(Labels!D:D, MATCH(Summary!$A553, Labels!$A:$A, 0)))</f>
        <v/>
      </c>
      <c r="S553" s="35" t="str">
        <f>IF(INDEX(Labels!E:E, MATCH(Summary!$A553, Labels!$A:$A, 0)) = 0, "", INDEX(Labels!E:E, MATCH(Summary!$A553, Labels!$A:$A, 0)))</f>
        <v/>
      </c>
      <c r="T553" s="33" t="str">
        <f>IF(INDEX(Labels!F:F, MATCH(Summary!$A553, Labels!$A:$A, 0)) = 0, "", INDEX(Labels!F:F, MATCH(Summary!$A553, Labels!$A:$A, 0)))</f>
        <v>{Outer Barrel Upper_First}</v>
      </c>
      <c r="U553" s="35" t="str">
        <f>IF(INDEX(Labels!G:G, MATCH(Summary!$A553, Labels!$A:$A, 0)) = 0, "", INDEX(Labels!G:G, MATCH(Summary!$A553, Labels!$A:$A, 0)))</f>
        <v/>
      </c>
      <c r="V553" s="62" t="str">
        <f>IF(INDEX(Labels!H:H, MATCH(Summary!$A553, Labels!$A:$A, 0)) = 0, "", INDEX(Labels!H:H, MATCH(Summary!$A553, Labels!$A:$A, 0)))</f>
        <v/>
      </c>
      <c r="W553" t="str">
        <f>IF(INDEX(Labels!I:I, MATCH(Summary!$A553, Labels!$A:$A, 0)) = 0, "", INDEX(Labels!I:I, MATCH(Summary!$A553, Labels!$A:$A, 0)))</f>
        <v/>
      </c>
      <c r="X553" t="str">
        <f>IF(INDEX(Labels!J:J, MATCH(Summary!$A553, Labels!$A:$A, 0)) = 0, "", INDEX(Labels!J:J, MATCH(Summary!$A553, Labels!$A:$A, 0)))</f>
        <v/>
      </c>
    </row>
    <row r="554" spans="1:24" x14ac:dyDescent="0.2">
      <c r="A554" s="33">
        <f>Labels!A555</f>
        <v>548</v>
      </c>
      <c r="B554" s="34">
        <f>INDEX(EchoData!B:B, MATCH(Summary!$A554, EchoData!$A:$A, 0))</f>
        <v>552</v>
      </c>
      <c r="C554" s="35">
        <f>INDEX(EchoData!C:C, MATCH(Summary!$A554, EchoData!$A:$A, 0))</f>
        <v>553</v>
      </c>
      <c r="D554" s="42">
        <f>INDEX(Displacements!B:B, MATCH(Summary!$B554, Displacements!$A:$A, 0))</f>
        <v>990.298</v>
      </c>
      <c r="E554" s="43">
        <f>INDEX(Displacements!C:C, MATCH(Summary!$B554, Displacements!$A:$A, 0))</f>
        <v>0</v>
      </c>
      <c r="F554" s="44">
        <f>INDEX(Displacements!D:D, MATCH(Summary!$B554, Displacements!$A:$A, 0))</f>
        <v>0</v>
      </c>
      <c r="G554" s="42">
        <f>INDEX(Displacements!B:B, MATCH(Summary!$C554, Displacements!$A:$A, 0))</f>
        <v>990.745</v>
      </c>
      <c r="H554" s="43">
        <f>INDEX(Displacements!C:C, MATCH(Summary!$C554, Displacements!$A:$A, 0))</f>
        <v>0</v>
      </c>
      <c r="I554" s="44">
        <f>INDEX(Displacements!D:D, MATCH(Summary!$C554, Displacements!$A:$A, 0))</f>
        <v>0</v>
      </c>
      <c r="J554" s="42">
        <f t="shared" si="16"/>
        <v>0.44700000000000273</v>
      </c>
      <c r="K554" s="49">
        <f t="shared" si="17"/>
        <v>1.5</v>
      </c>
      <c r="L554" s="54">
        <f>INDEX('Forces+Stresses'!C:C, MATCH(Summary!$A554, 'Forces+Stresses'!$A:$A, 0))</f>
        <v>4956</v>
      </c>
      <c r="M554" s="55">
        <f>INDEX('Forces+Stresses'!D:D, MATCH(Summary!$A554, 'Forces+Stresses'!$A:$A, 0))</f>
        <v>4956</v>
      </c>
      <c r="N554" s="55">
        <f>IFERROR(INDEX('Forces+Stresses'!Q:Q, MATCH(Summary!$A554, 'Forces+Stresses'!$A:$A, 0)), INDEX(Flexjoints!D:D, MATCH(Summary!$A554, Flexjoints!$A:$A, 0)))</f>
        <v>1.808E-7</v>
      </c>
      <c r="O554" s="56">
        <f>IFERROR(INDEX('Forces+Stresses'!R:R, MATCH(Summary!$A554, 'Forces+Stresses'!$A:$A, 0)), INDEX(Flexjoints!E:E, MATCH(Summary!$A554, Flexjoints!$A:$A, 0)))</f>
        <v>1.1E-5</v>
      </c>
      <c r="P554" s="33" t="str">
        <f>IF(INDEX(Labels!B:B, MATCH(Summary!$A554, Labels!$A:$A, 0)) = 0, "", INDEX(Labels!B:B, MATCH(Summary!$A554, Labels!$A:$A, 0)))</f>
        <v>{Marine Riser String}</v>
      </c>
      <c r="Q554" s="35" t="str">
        <f>IF(INDEX(Labels!C:C, MATCH(Summary!$A554, Labels!$A:$A, 0)) = 0, "", INDEX(Labels!C:C, MATCH(Summary!$A554, Labels!$A:$A, 0)))</f>
        <v>{Outer Barrel Upper}</v>
      </c>
      <c r="R554" s="33" t="str">
        <f>IF(INDEX(Labels!D:D, MATCH(Summary!$A554, Labels!$A:$A, 0)) = 0, "", INDEX(Labels!D:D, MATCH(Summary!$A554, Labels!$A:$A, 0)))</f>
        <v/>
      </c>
      <c r="S554" s="35" t="str">
        <f>IF(INDEX(Labels!E:E, MATCH(Summary!$A554, Labels!$A:$A, 0)) = 0, "", INDEX(Labels!E:E, MATCH(Summary!$A554, Labels!$A:$A, 0)))</f>
        <v/>
      </c>
      <c r="T554" s="33" t="str">
        <f>IF(INDEX(Labels!F:F, MATCH(Summary!$A554, Labels!$A:$A, 0)) = 0, "", INDEX(Labels!F:F, MATCH(Summary!$A554, Labels!$A:$A, 0)))</f>
        <v/>
      </c>
      <c r="U554" s="35" t="str">
        <f>IF(INDEX(Labels!G:G, MATCH(Summary!$A554, Labels!$A:$A, 0)) = 0, "", INDEX(Labels!G:G, MATCH(Summary!$A554, Labels!$A:$A, 0)))</f>
        <v/>
      </c>
      <c r="V554" s="62" t="str">
        <f>IF(INDEX(Labels!H:H, MATCH(Summary!$A554, Labels!$A:$A, 0)) = 0, "", INDEX(Labels!H:H, MATCH(Summary!$A554, Labels!$A:$A, 0)))</f>
        <v/>
      </c>
      <c r="W554" t="str">
        <f>IF(INDEX(Labels!I:I, MATCH(Summary!$A554, Labels!$A:$A, 0)) = 0, "", INDEX(Labels!I:I, MATCH(Summary!$A554, Labels!$A:$A, 0)))</f>
        <v/>
      </c>
      <c r="X554" t="str">
        <f>IF(INDEX(Labels!J:J, MATCH(Summary!$A554, Labels!$A:$A, 0)) = 0, "", INDEX(Labels!J:J, MATCH(Summary!$A554, Labels!$A:$A, 0)))</f>
        <v/>
      </c>
    </row>
    <row r="555" spans="1:24" x14ac:dyDescent="0.2">
      <c r="A555" s="33">
        <f>Labels!A556</f>
        <v>549</v>
      </c>
      <c r="B555" s="34">
        <f>INDEX(EchoData!B:B, MATCH(Summary!$A555, EchoData!$A:$A, 0))</f>
        <v>553</v>
      </c>
      <c r="C555" s="35">
        <f>INDEX(EchoData!C:C, MATCH(Summary!$A555, EchoData!$A:$A, 0))</f>
        <v>554</v>
      </c>
      <c r="D555" s="42">
        <f>INDEX(Displacements!B:B, MATCH(Summary!$B555, Displacements!$A:$A, 0))</f>
        <v>990.745</v>
      </c>
      <c r="E555" s="43">
        <f>INDEX(Displacements!C:C, MATCH(Summary!$B555, Displacements!$A:$A, 0))</f>
        <v>0</v>
      </c>
      <c r="F555" s="44">
        <f>INDEX(Displacements!D:D, MATCH(Summary!$B555, Displacements!$A:$A, 0))</f>
        <v>0</v>
      </c>
      <c r="G555" s="42">
        <f>INDEX(Displacements!B:B, MATCH(Summary!$C555, Displacements!$A:$A, 0))</f>
        <v>991.41600000000005</v>
      </c>
      <c r="H555" s="43">
        <f>INDEX(Displacements!C:C, MATCH(Summary!$C555, Displacements!$A:$A, 0))</f>
        <v>0</v>
      </c>
      <c r="I555" s="44">
        <f>INDEX(Displacements!D:D, MATCH(Summary!$C555, Displacements!$A:$A, 0))</f>
        <v>0</v>
      </c>
      <c r="J555" s="42">
        <f t="shared" si="16"/>
        <v>0.67100000000004911</v>
      </c>
      <c r="K555" s="49">
        <f t="shared" si="17"/>
        <v>1.5011185682327628</v>
      </c>
      <c r="L555" s="54">
        <f>INDEX('Forces+Stresses'!C:C, MATCH(Summary!$A555, 'Forces+Stresses'!$A:$A, 0))</f>
        <v>4962</v>
      </c>
      <c r="M555" s="55">
        <f>INDEX('Forces+Stresses'!D:D, MATCH(Summary!$A555, 'Forces+Stresses'!$A:$A, 0))</f>
        <v>4962</v>
      </c>
      <c r="N555" s="55">
        <f>IFERROR(INDEX('Forces+Stresses'!Q:Q, MATCH(Summary!$A555, 'Forces+Stresses'!$A:$A, 0)), INDEX(Flexjoints!D:D, MATCH(Summary!$A555, Flexjoints!$A:$A, 0)))</f>
        <v>2.118E-7</v>
      </c>
      <c r="O555" s="56">
        <f>IFERROR(INDEX('Forces+Stresses'!R:R, MATCH(Summary!$A555, 'Forces+Stresses'!$A:$A, 0)), INDEX(Flexjoints!E:E, MATCH(Summary!$A555, Flexjoints!$A:$A, 0)))</f>
        <v>1.155E-5</v>
      </c>
      <c r="P555" s="33" t="str">
        <f>IF(INDEX(Labels!B:B, MATCH(Summary!$A555, Labels!$A:$A, 0)) = 0, "", INDEX(Labels!B:B, MATCH(Summary!$A555, Labels!$A:$A, 0)))</f>
        <v>{Marine Riser String}</v>
      </c>
      <c r="Q555" s="35" t="str">
        <f>IF(INDEX(Labels!C:C, MATCH(Summary!$A555, Labels!$A:$A, 0)) = 0, "", INDEX(Labels!C:C, MATCH(Summary!$A555, Labels!$A:$A, 0)))</f>
        <v>{Outer Barrel Upper}</v>
      </c>
      <c r="R555" s="33" t="str">
        <f>IF(INDEX(Labels!D:D, MATCH(Summary!$A555, Labels!$A:$A, 0)) = 0, "", INDEX(Labels!D:D, MATCH(Summary!$A555, Labels!$A:$A, 0)))</f>
        <v/>
      </c>
      <c r="S555" s="35" t="str">
        <f>IF(INDEX(Labels!E:E, MATCH(Summary!$A555, Labels!$A:$A, 0)) = 0, "", INDEX(Labels!E:E, MATCH(Summary!$A555, Labels!$A:$A, 0)))</f>
        <v/>
      </c>
      <c r="T555" s="33" t="str">
        <f>IF(INDEX(Labels!F:F, MATCH(Summary!$A555, Labels!$A:$A, 0)) = 0, "", INDEX(Labels!F:F, MATCH(Summary!$A555, Labels!$A:$A, 0)))</f>
        <v/>
      </c>
      <c r="U555" s="35" t="str">
        <f>IF(INDEX(Labels!G:G, MATCH(Summary!$A555, Labels!$A:$A, 0)) = 0, "", INDEX(Labels!G:G, MATCH(Summary!$A555, Labels!$A:$A, 0)))</f>
        <v/>
      </c>
      <c r="V555" s="62" t="str">
        <f>IF(INDEX(Labels!H:H, MATCH(Summary!$A555, Labels!$A:$A, 0)) = 0, "", INDEX(Labels!H:H, MATCH(Summary!$A555, Labels!$A:$A, 0)))</f>
        <v/>
      </c>
      <c r="W555" t="str">
        <f>IF(INDEX(Labels!I:I, MATCH(Summary!$A555, Labels!$A:$A, 0)) = 0, "", INDEX(Labels!I:I, MATCH(Summary!$A555, Labels!$A:$A, 0)))</f>
        <v/>
      </c>
      <c r="X555" t="str">
        <f>IF(INDEX(Labels!J:J, MATCH(Summary!$A555, Labels!$A:$A, 0)) = 0, "", INDEX(Labels!J:J, MATCH(Summary!$A555, Labels!$A:$A, 0)))</f>
        <v/>
      </c>
    </row>
    <row r="556" spans="1:24" x14ac:dyDescent="0.2">
      <c r="A556" s="33">
        <f>Labels!A557</f>
        <v>550</v>
      </c>
      <c r="B556" s="34">
        <f>INDEX(EchoData!B:B, MATCH(Summary!$A556, EchoData!$A:$A, 0))</f>
        <v>554</v>
      </c>
      <c r="C556" s="35">
        <f>INDEX(EchoData!C:C, MATCH(Summary!$A556, EchoData!$A:$A, 0))</f>
        <v>555</v>
      </c>
      <c r="D556" s="42">
        <f>INDEX(Displacements!B:B, MATCH(Summary!$B556, Displacements!$A:$A, 0))</f>
        <v>991.41600000000005</v>
      </c>
      <c r="E556" s="43">
        <f>INDEX(Displacements!C:C, MATCH(Summary!$B556, Displacements!$A:$A, 0))</f>
        <v>0</v>
      </c>
      <c r="F556" s="44">
        <f>INDEX(Displacements!D:D, MATCH(Summary!$B556, Displacements!$A:$A, 0))</f>
        <v>0</v>
      </c>
      <c r="G556" s="42">
        <f>INDEX(Displacements!B:B, MATCH(Summary!$C556, Displacements!$A:$A, 0))</f>
        <v>992.40899999999999</v>
      </c>
      <c r="H556" s="43">
        <f>INDEX(Displacements!C:C, MATCH(Summary!$C556, Displacements!$A:$A, 0))</f>
        <v>0</v>
      </c>
      <c r="I556" s="44">
        <f>INDEX(Displacements!D:D, MATCH(Summary!$C556, Displacements!$A:$A, 0))</f>
        <v>0</v>
      </c>
      <c r="J556" s="42">
        <f t="shared" si="16"/>
        <v>0.99299999999993815</v>
      </c>
      <c r="K556" s="49">
        <f t="shared" si="17"/>
        <v>1.4798807749625418</v>
      </c>
      <c r="L556" s="54">
        <f>INDEX('Forces+Stresses'!C:C, MATCH(Summary!$A556, 'Forces+Stresses'!$A:$A, 0))</f>
        <v>4972</v>
      </c>
      <c r="M556" s="55">
        <f>INDEX('Forces+Stresses'!D:D, MATCH(Summary!$A556, 'Forces+Stresses'!$A:$A, 0))</f>
        <v>4972</v>
      </c>
      <c r="N556" s="55">
        <f>IFERROR(INDEX('Forces+Stresses'!Q:Q, MATCH(Summary!$A556, 'Forces+Stresses'!$A:$A, 0)), INDEX(Flexjoints!D:D, MATCH(Summary!$A556, Flexjoints!$A:$A, 0)))</f>
        <v>5.5429999999999993E-7</v>
      </c>
      <c r="O556" s="56">
        <f>IFERROR(INDEX('Forces+Stresses'!R:R, MATCH(Summary!$A556, 'Forces+Stresses'!$A:$A, 0)), INDEX(Flexjoints!E:E, MATCH(Summary!$A556, Flexjoints!$A:$A, 0)))</f>
        <v>1.2500000000000001E-5</v>
      </c>
      <c r="P556" s="33" t="str">
        <f>IF(INDEX(Labels!B:B, MATCH(Summary!$A556, Labels!$A:$A, 0)) = 0, "", INDEX(Labels!B:B, MATCH(Summary!$A556, Labels!$A:$A, 0)))</f>
        <v>{Marine Riser String}</v>
      </c>
      <c r="Q556" s="35" t="str">
        <f>IF(INDEX(Labels!C:C, MATCH(Summary!$A556, Labels!$A:$A, 0)) = 0, "", INDEX(Labels!C:C, MATCH(Summary!$A556, Labels!$A:$A, 0)))</f>
        <v>{Outer Barrel Upper}</v>
      </c>
      <c r="R556" s="33" t="str">
        <f>IF(INDEX(Labels!D:D, MATCH(Summary!$A556, Labels!$A:$A, 0)) = 0, "", INDEX(Labels!D:D, MATCH(Summary!$A556, Labels!$A:$A, 0)))</f>
        <v/>
      </c>
      <c r="S556" s="35" t="str">
        <f>IF(INDEX(Labels!E:E, MATCH(Summary!$A556, Labels!$A:$A, 0)) = 0, "", INDEX(Labels!E:E, MATCH(Summary!$A556, Labels!$A:$A, 0)))</f>
        <v/>
      </c>
      <c r="T556" s="33" t="str">
        <f>IF(INDEX(Labels!F:F, MATCH(Summary!$A556, Labels!$A:$A, 0)) = 0, "", INDEX(Labels!F:F, MATCH(Summary!$A556, Labels!$A:$A, 0)))</f>
        <v/>
      </c>
      <c r="U556" s="35" t="str">
        <f>IF(INDEX(Labels!G:G, MATCH(Summary!$A556, Labels!$A:$A, 0)) = 0, "", INDEX(Labels!G:G, MATCH(Summary!$A556, Labels!$A:$A, 0)))</f>
        <v/>
      </c>
      <c r="V556" s="62" t="str">
        <f>IF(INDEX(Labels!H:H, MATCH(Summary!$A556, Labels!$A:$A, 0)) = 0, "", INDEX(Labels!H:H, MATCH(Summary!$A556, Labels!$A:$A, 0)))</f>
        <v/>
      </c>
      <c r="W556" t="str">
        <f>IF(INDEX(Labels!I:I, MATCH(Summary!$A556, Labels!$A:$A, 0)) = 0, "", INDEX(Labels!I:I, MATCH(Summary!$A556, Labels!$A:$A, 0)))</f>
        <v/>
      </c>
      <c r="X556" t="str">
        <f>IF(INDEX(Labels!J:J, MATCH(Summary!$A556, Labels!$A:$A, 0)) = 0, "", INDEX(Labels!J:J, MATCH(Summary!$A556, Labels!$A:$A, 0)))</f>
        <v/>
      </c>
    </row>
    <row r="557" spans="1:24" x14ac:dyDescent="0.2">
      <c r="A557" s="33">
        <f>Labels!A558</f>
        <v>551</v>
      </c>
      <c r="B557" s="34">
        <f>INDEX(EchoData!B:B, MATCH(Summary!$A557, EchoData!$A:$A, 0))</f>
        <v>555</v>
      </c>
      <c r="C557" s="35">
        <f>INDEX(EchoData!C:C, MATCH(Summary!$A557, EchoData!$A:$A, 0))</f>
        <v>556</v>
      </c>
      <c r="D557" s="42">
        <f>INDEX(Displacements!B:B, MATCH(Summary!$B557, Displacements!$A:$A, 0))</f>
        <v>992.40899999999999</v>
      </c>
      <c r="E557" s="43">
        <f>INDEX(Displacements!C:C, MATCH(Summary!$B557, Displacements!$A:$A, 0))</f>
        <v>0</v>
      </c>
      <c r="F557" s="44">
        <f>INDEX(Displacements!D:D, MATCH(Summary!$B557, Displacements!$A:$A, 0))</f>
        <v>0</v>
      </c>
      <c r="G557" s="42">
        <f>INDEX(Displacements!B:B, MATCH(Summary!$C557, Displacements!$A:$A, 0))</f>
        <v>993.40300000000002</v>
      </c>
      <c r="H557" s="43">
        <f>INDEX(Displacements!C:C, MATCH(Summary!$C557, Displacements!$A:$A, 0))</f>
        <v>0</v>
      </c>
      <c r="I557" s="44">
        <f>INDEX(Displacements!D:D, MATCH(Summary!$C557, Displacements!$A:$A, 0))</f>
        <v>0</v>
      </c>
      <c r="J557" s="42">
        <f t="shared" si="16"/>
        <v>0.99400000000002819</v>
      </c>
      <c r="K557" s="49">
        <f t="shared" si="17"/>
        <v>1.0010070493455088</v>
      </c>
      <c r="L557" s="54">
        <f>INDEX('Forces+Stresses'!C:C, MATCH(Summary!$A557, 'Forces+Stresses'!$A:$A, 0))</f>
        <v>4986</v>
      </c>
      <c r="M557" s="55">
        <f>INDEX('Forces+Stresses'!D:D, MATCH(Summary!$A557, 'Forces+Stresses'!$A:$A, 0))</f>
        <v>4986</v>
      </c>
      <c r="N557" s="55">
        <f>IFERROR(INDEX('Forces+Stresses'!Q:Q, MATCH(Summary!$A557, 'Forces+Stresses'!$A:$A, 0)), INDEX(Flexjoints!D:D, MATCH(Summary!$A557, Flexjoints!$A:$A, 0)))</f>
        <v>7.468000000000001E-7</v>
      </c>
      <c r="O557" s="56">
        <f>IFERROR(INDEX('Forces+Stresses'!R:R, MATCH(Summary!$A557, 'Forces+Stresses'!$A:$A, 0)), INDEX(Flexjoints!E:E, MATCH(Summary!$A557, Flexjoints!$A:$A, 0)))</f>
        <v>1.5270000000000001E-5</v>
      </c>
      <c r="P557" s="33" t="str">
        <f>IF(INDEX(Labels!B:B, MATCH(Summary!$A557, Labels!$A:$A, 0)) = 0, "", INDEX(Labels!B:B, MATCH(Summary!$A557, Labels!$A:$A, 0)))</f>
        <v>{Marine Riser String}</v>
      </c>
      <c r="Q557" s="35" t="str">
        <f>IF(INDEX(Labels!C:C, MATCH(Summary!$A557, Labels!$A:$A, 0)) = 0, "", INDEX(Labels!C:C, MATCH(Summary!$A557, Labels!$A:$A, 0)))</f>
        <v>{Outer Barrel Upper}</v>
      </c>
      <c r="R557" s="33" t="str">
        <f>IF(INDEX(Labels!D:D, MATCH(Summary!$A557, Labels!$A:$A, 0)) = 0, "", INDEX(Labels!D:D, MATCH(Summary!$A557, Labels!$A:$A, 0)))</f>
        <v/>
      </c>
      <c r="S557" s="35" t="str">
        <f>IF(INDEX(Labels!E:E, MATCH(Summary!$A557, Labels!$A:$A, 0)) = 0, "", INDEX(Labels!E:E, MATCH(Summary!$A557, Labels!$A:$A, 0)))</f>
        <v/>
      </c>
      <c r="T557" s="33" t="str">
        <f>IF(INDEX(Labels!F:F, MATCH(Summary!$A557, Labels!$A:$A, 0)) = 0, "", INDEX(Labels!F:F, MATCH(Summary!$A557, Labels!$A:$A, 0)))</f>
        <v/>
      </c>
      <c r="U557" s="35" t="str">
        <f>IF(INDEX(Labels!G:G, MATCH(Summary!$A557, Labels!$A:$A, 0)) = 0, "", INDEX(Labels!G:G, MATCH(Summary!$A557, Labels!$A:$A, 0)))</f>
        <v/>
      </c>
      <c r="V557" s="62" t="str">
        <f>IF(INDEX(Labels!H:H, MATCH(Summary!$A557, Labels!$A:$A, 0)) = 0, "", INDEX(Labels!H:H, MATCH(Summary!$A557, Labels!$A:$A, 0)))</f>
        <v/>
      </c>
      <c r="W557" t="str">
        <f>IF(INDEX(Labels!I:I, MATCH(Summary!$A557, Labels!$A:$A, 0)) = 0, "", INDEX(Labels!I:I, MATCH(Summary!$A557, Labels!$A:$A, 0)))</f>
        <v/>
      </c>
      <c r="X557" t="str">
        <f>IF(INDEX(Labels!J:J, MATCH(Summary!$A557, Labels!$A:$A, 0)) = 0, "", INDEX(Labels!J:J, MATCH(Summary!$A557, Labels!$A:$A, 0)))</f>
        <v/>
      </c>
    </row>
    <row r="558" spans="1:24" x14ac:dyDescent="0.2">
      <c r="A558" s="33">
        <f>Labels!A559</f>
        <v>552</v>
      </c>
      <c r="B558" s="34">
        <f>INDEX(EchoData!B:B, MATCH(Summary!$A558, EchoData!$A:$A, 0))</f>
        <v>556</v>
      </c>
      <c r="C558" s="35">
        <f>INDEX(EchoData!C:C, MATCH(Summary!$A558, EchoData!$A:$A, 0))</f>
        <v>557</v>
      </c>
      <c r="D558" s="42">
        <f>INDEX(Displacements!B:B, MATCH(Summary!$B558, Displacements!$A:$A, 0))</f>
        <v>993.40300000000002</v>
      </c>
      <c r="E558" s="43">
        <f>INDEX(Displacements!C:C, MATCH(Summary!$B558, Displacements!$A:$A, 0))</f>
        <v>0</v>
      </c>
      <c r="F558" s="44">
        <f>INDEX(Displacements!D:D, MATCH(Summary!$B558, Displacements!$A:$A, 0))</f>
        <v>0</v>
      </c>
      <c r="G558" s="42">
        <f>INDEX(Displacements!B:B, MATCH(Summary!$C558, Displacements!$A:$A, 0))</f>
        <v>994.07399999999996</v>
      </c>
      <c r="H558" s="43">
        <f>INDEX(Displacements!C:C, MATCH(Summary!$C558, Displacements!$A:$A, 0))</f>
        <v>0</v>
      </c>
      <c r="I558" s="44">
        <f>INDEX(Displacements!D:D, MATCH(Summary!$C558, Displacements!$A:$A, 0))</f>
        <v>0</v>
      </c>
      <c r="J558" s="42">
        <f t="shared" si="16"/>
        <v>0.67099999999993543</v>
      </c>
      <c r="K558" s="49">
        <f t="shared" si="17"/>
        <v>0.67505030181078107</v>
      </c>
      <c r="L558" s="54">
        <f>INDEX('Forces+Stresses'!C:C, MATCH(Summary!$A558, 'Forces+Stresses'!$A:$A, 0))</f>
        <v>5001</v>
      </c>
      <c r="M558" s="55">
        <f>INDEX('Forces+Stresses'!D:D, MATCH(Summary!$A558, 'Forces+Stresses'!$A:$A, 0))</f>
        <v>5001</v>
      </c>
      <c r="N558" s="55">
        <f>IFERROR(INDEX('Forces+Stresses'!Q:Q, MATCH(Summary!$A558, 'Forces+Stresses'!$A:$A, 0)), INDEX(Flexjoints!D:D, MATCH(Summary!$A558, Flexjoints!$A:$A, 0)))</f>
        <v>1.519E-6</v>
      </c>
      <c r="O558" s="56">
        <f>IFERROR(INDEX('Forces+Stresses'!R:R, MATCH(Summary!$A558, 'Forces+Stresses'!$A:$A, 0)), INDEX(Flexjoints!E:E, MATCH(Summary!$A558, Flexjoints!$A:$A, 0)))</f>
        <v>1.8689999999999999E-5</v>
      </c>
      <c r="P558" s="33" t="str">
        <f>IF(INDEX(Labels!B:B, MATCH(Summary!$A558, Labels!$A:$A, 0)) = 0, "", INDEX(Labels!B:B, MATCH(Summary!$A558, Labels!$A:$A, 0)))</f>
        <v>{Marine Riser String}</v>
      </c>
      <c r="Q558" s="35" t="str">
        <f>IF(INDEX(Labels!C:C, MATCH(Summary!$A558, Labels!$A:$A, 0)) = 0, "", INDEX(Labels!C:C, MATCH(Summary!$A558, Labels!$A:$A, 0)))</f>
        <v>{Outer Barrel Upper}</v>
      </c>
      <c r="R558" s="33" t="str">
        <f>IF(INDEX(Labels!D:D, MATCH(Summary!$A558, Labels!$A:$A, 0)) = 0, "", INDEX(Labels!D:D, MATCH(Summary!$A558, Labels!$A:$A, 0)))</f>
        <v/>
      </c>
      <c r="S558" s="35" t="str">
        <f>IF(INDEX(Labels!E:E, MATCH(Summary!$A558, Labels!$A:$A, 0)) = 0, "", INDEX(Labels!E:E, MATCH(Summary!$A558, Labels!$A:$A, 0)))</f>
        <v/>
      </c>
      <c r="T558" s="33" t="str">
        <f>IF(INDEX(Labels!F:F, MATCH(Summary!$A558, Labels!$A:$A, 0)) = 0, "", INDEX(Labels!F:F, MATCH(Summary!$A558, Labels!$A:$A, 0)))</f>
        <v/>
      </c>
      <c r="U558" s="35" t="str">
        <f>IF(INDEX(Labels!G:G, MATCH(Summary!$A558, Labels!$A:$A, 0)) = 0, "", INDEX(Labels!G:G, MATCH(Summary!$A558, Labels!$A:$A, 0)))</f>
        <v/>
      </c>
      <c r="V558" s="62" t="str">
        <f>IF(INDEX(Labels!H:H, MATCH(Summary!$A558, Labels!$A:$A, 0)) = 0, "", INDEX(Labels!H:H, MATCH(Summary!$A558, Labels!$A:$A, 0)))</f>
        <v/>
      </c>
      <c r="W558" t="str">
        <f>IF(INDEX(Labels!I:I, MATCH(Summary!$A558, Labels!$A:$A, 0)) = 0, "", INDEX(Labels!I:I, MATCH(Summary!$A558, Labels!$A:$A, 0)))</f>
        <v/>
      </c>
      <c r="X558" t="str">
        <f>IF(INDEX(Labels!J:J, MATCH(Summary!$A558, Labels!$A:$A, 0)) = 0, "", INDEX(Labels!J:J, MATCH(Summary!$A558, Labels!$A:$A, 0)))</f>
        <v/>
      </c>
    </row>
    <row r="559" spans="1:24" x14ac:dyDescent="0.2">
      <c r="A559" s="33">
        <f>Labels!A560</f>
        <v>553</v>
      </c>
      <c r="B559" s="34">
        <f>INDEX(EchoData!B:B, MATCH(Summary!$A559, EchoData!$A:$A, 0))</f>
        <v>557</v>
      </c>
      <c r="C559" s="35">
        <f>INDEX(EchoData!C:C, MATCH(Summary!$A559, EchoData!$A:$A, 0))</f>
        <v>558</v>
      </c>
      <c r="D559" s="42">
        <f>INDEX(Displacements!B:B, MATCH(Summary!$B559, Displacements!$A:$A, 0))</f>
        <v>994.07399999999996</v>
      </c>
      <c r="E559" s="43">
        <f>INDEX(Displacements!C:C, MATCH(Summary!$B559, Displacements!$A:$A, 0))</f>
        <v>0</v>
      </c>
      <c r="F559" s="44">
        <f>INDEX(Displacements!D:D, MATCH(Summary!$B559, Displacements!$A:$A, 0))</f>
        <v>0</v>
      </c>
      <c r="G559" s="42">
        <f>INDEX(Displacements!B:B, MATCH(Summary!$C559, Displacements!$A:$A, 0))</f>
        <v>994.52099999999996</v>
      </c>
      <c r="H559" s="43">
        <f>INDEX(Displacements!C:C, MATCH(Summary!$C559, Displacements!$A:$A, 0))</f>
        <v>0</v>
      </c>
      <c r="I559" s="44">
        <f>INDEX(Displacements!D:D, MATCH(Summary!$C559, Displacements!$A:$A, 0))</f>
        <v>0</v>
      </c>
      <c r="J559" s="42">
        <f t="shared" si="16"/>
        <v>0.44700000000000273</v>
      </c>
      <c r="K559" s="49">
        <f t="shared" si="17"/>
        <v>0.66616989567816054</v>
      </c>
      <c r="L559" s="54">
        <f>INDEX('Forces+Stresses'!C:C, MATCH(Summary!$A559, 'Forces+Stresses'!$A:$A, 0))</f>
        <v>5011</v>
      </c>
      <c r="M559" s="55">
        <f>INDEX('Forces+Stresses'!D:D, MATCH(Summary!$A559, 'Forces+Stresses'!$A:$A, 0))</f>
        <v>5011</v>
      </c>
      <c r="N559" s="55">
        <f>IFERROR(INDEX('Forces+Stresses'!Q:Q, MATCH(Summary!$A559, 'Forces+Stresses'!$A:$A, 0)), INDEX(Flexjoints!D:D, MATCH(Summary!$A559, Flexjoints!$A:$A, 0)))</f>
        <v>1.3929999999999998E-6</v>
      </c>
      <c r="O559" s="56">
        <f>IFERROR(INDEX('Forces+Stresses'!R:R, MATCH(Summary!$A559, 'Forces+Stresses'!$A:$A, 0)), INDEX(Flexjoints!E:E, MATCH(Summary!$A559, Flexjoints!$A:$A, 0)))</f>
        <v>2.103E-5</v>
      </c>
      <c r="P559" s="33" t="str">
        <f>IF(INDEX(Labels!B:B, MATCH(Summary!$A559, Labels!$A:$A, 0)) = 0, "", INDEX(Labels!B:B, MATCH(Summary!$A559, Labels!$A:$A, 0)))</f>
        <v>{Marine Riser String}</v>
      </c>
      <c r="Q559" s="35" t="str">
        <f>IF(INDEX(Labels!C:C, MATCH(Summary!$A559, Labels!$A:$A, 0)) = 0, "", INDEX(Labels!C:C, MATCH(Summary!$A559, Labels!$A:$A, 0)))</f>
        <v>{Outer Barrel Upper}</v>
      </c>
      <c r="R559" s="33" t="str">
        <f>IF(INDEX(Labels!D:D, MATCH(Summary!$A559, Labels!$A:$A, 0)) = 0, "", INDEX(Labels!D:D, MATCH(Summary!$A559, Labels!$A:$A, 0)))</f>
        <v/>
      </c>
      <c r="S559" s="35" t="str">
        <f>IF(INDEX(Labels!E:E, MATCH(Summary!$A559, Labels!$A:$A, 0)) = 0, "", INDEX(Labels!E:E, MATCH(Summary!$A559, Labels!$A:$A, 0)))</f>
        <v/>
      </c>
      <c r="T559" s="33" t="str">
        <f>IF(INDEX(Labels!F:F, MATCH(Summary!$A559, Labels!$A:$A, 0)) = 0, "", INDEX(Labels!F:F, MATCH(Summary!$A559, Labels!$A:$A, 0)))</f>
        <v/>
      </c>
      <c r="U559" s="35" t="str">
        <f>IF(INDEX(Labels!G:G, MATCH(Summary!$A559, Labels!$A:$A, 0)) = 0, "", INDEX(Labels!G:G, MATCH(Summary!$A559, Labels!$A:$A, 0)))</f>
        <v/>
      </c>
      <c r="V559" s="62" t="str">
        <f>IF(INDEX(Labels!H:H, MATCH(Summary!$A559, Labels!$A:$A, 0)) = 0, "", INDEX(Labels!H:H, MATCH(Summary!$A559, Labels!$A:$A, 0)))</f>
        <v/>
      </c>
      <c r="W559" t="str">
        <f>IF(INDEX(Labels!I:I, MATCH(Summary!$A559, Labels!$A:$A, 0)) = 0, "", INDEX(Labels!I:I, MATCH(Summary!$A559, Labels!$A:$A, 0)))</f>
        <v/>
      </c>
      <c r="X559" t="str">
        <f>IF(INDEX(Labels!J:J, MATCH(Summary!$A559, Labels!$A:$A, 0)) = 0, "", INDEX(Labels!J:J, MATCH(Summary!$A559, Labels!$A:$A, 0)))</f>
        <v/>
      </c>
    </row>
    <row r="560" spans="1:24" x14ac:dyDescent="0.2">
      <c r="A560" s="33">
        <f>Labels!A561</f>
        <v>554</v>
      </c>
      <c r="B560" s="34">
        <f>INDEX(EchoData!B:B, MATCH(Summary!$A560, EchoData!$A:$A, 0))</f>
        <v>558</v>
      </c>
      <c r="C560" s="35">
        <f>INDEX(EchoData!C:C, MATCH(Summary!$A560, EchoData!$A:$A, 0))</f>
        <v>559</v>
      </c>
      <c r="D560" s="42">
        <f>INDEX(Displacements!B:B, MATCH(Summary!$B560, Displacements!$A:$A, 0))</f>
        <v>994.52099999999996</v>
      </c>
      <c r="E560" s="43">
        <f>INDEX(Displacements!C:C, MATCH(Summary!$B560, Displacements!$A:$A, 0))</f>
        <v>0</v>
      </c>
      <c r="F560" s="44">
        <f>INDEX(Displacements!D:D, MATCH(Summary!$B560, Displacements!$A:$A, 0))</f>
        <v>0</v>
      </c>
      <c r="G560" s="42">
        <f>INDEX(Displacements!B:B, MATCH(Summary!$C560, Displacements!$A:$A, 0))</f>
        <v>994.81899999999996</v>
      </c>
      <c r="H560" s="43">
        <f>INDEX(Displacements!C:C, MATCH(Summary!$C560, Displacements!$A:$A, 0))</f>
        <v>0</v>
      </c>
      <c r="I560" s="44">
        <f>INDEX(Displacements!D:D, MATCH(Summary!$C560, Displacements!$A:$A, 0))</f>
        <v>0</v>
      </c>
      <c r="J560" s="42">
        <f t="shared" si="16"/>
        <v>0.29800000000000182</v>
      </c>
      <c r="K560" s="49">
        <f t="shared" si="17"/>
        <v>0.66666666666666663</v>
      </c>
      <c r="L560" s="54">
        <f>INDEX('Forces+Stresses'!C:C, MATCH(Summary!$A560, 'Forces+Stresses'!$A:$A, 0))</f>
        <v>5017</v>
      </c>
      <c r="M560" s="55">
        <f>INDEX('Forces+Stresses'!D:D, MATCH(Summary!$A560, 'Forces+Stresses'!$A:$A, 0))</f>
        <v>5017</v>
      </c>
      <c r="N560" s="55">
        <f>IFERROR(INDEX('Forces+Stresses'!Q:Q, MATCH(Summary!$A560, 'Forces+Stresses'!$A:$A, 0)), INDEX(Flexjoints!D:D, MATCH(Summary!$A560, Flexjoints!$A:$A, 0)))</f>
        <v>1.5510000000000001E-6</v>
      </c>
      <c r="O560" s="56">
        <f>IFERROR(INDEX('Forces+Stresses'!R:R, MATCH(Summary!$A560, 'Forces+Stresses'!$A:$A, 0)), INDEX(Flexjoints!E:E, MATCH(Summary!$A560, Flexjoints!$A:$A, 0)))</f>
        <v>2.2580000000000001E-5</v>
      </c>
      <c r="P560" s="33" t="str">
        <f>IF(INDEX(Labels!B:B, MATCH(Summary!$A560, Labels!$A:$A, 0)) = 0, "", INDEX(Labels!B:B, MATCH(Summary!$A560, Labels!$A:$A, 0)))</f>
        <v>{Marine Riser String}</v>
      </c>
      <c r="Q560" s="35" t="str">
        <f>IF(INDEX(Labels!C:C, MATCH(Summary!$A560, Labels!$A:$A, 0)) = 0, "", INDEX(Labels!C:C, MATCH(Summary!$A560, Labels!$A:$A, 0)))</f>
        <v>{Outer Barrel Upper}</v>
      </c>
      <c r="R560" s="33" t="str">
        <f>IF(INDEX(Labels!D:D, MATCH(Summary!$A560, Labels!$A:$A, 0)) = 0, "", INDEX(Labels!D:D, MATCH(Summary!$A560, Labels!$A:$A, 0)))</f>
        <v/>
      </c>
      <c r="S560" s="35" t="str">
        <f>IF(INDEX(Labels!E:E, MATCH(Summary!$A560, Labels!$A:$A, 0)) = 0, "", INDEX(Labels!E:E, MATCH(Summary!$A560, Labels!$A:$A, 0)))</f>
        <v/>
      </c>
      <c r="T560" s="33" t="str">
        <f>IF(INDEX(Labels!F:F, MATCH(Summary!$A560, Labels!$A:$A, 0)) = 0, "", INDEX(Labels!F:F, MATCH(Summary!$A560, Labels!$A:$A, 0)))</f>
        <v/>
      </c>
      <c r="U560" s="35" t="str">
        <f>IF(INDEX(Labels!G:G, MATCH(Summary!$A560, Labels!$A:$A, 0)) = 0, "", INDEX(Labels!G:G, MATCH(Summary!$A560, Labels!$A:$A, 0)))</f>
        <v>{Outer Barrel Upper_Last}</v>
      </c>
      <c r="V560" s="62" t="str">
        <f>IF(INDEX(Labels!H:H, MATCH(Summary!$A560, Labels!$A:$A, 0)) = 0, "", INDEX(Labels!H:H, MATCH(Summary!$A560, Labels!$A:$A, 0)))</f>
        <v/>
      </c>
      <c r="W560" t="str">
        <f>IF(INDEX(Labels!I:I, MATCH(Summary!$A560, Labels!$A:$A, 0)) = 0, "", INDEX(Labels!I:I, MATCH(Summary!$A560, Labels!$A:$A, 0)))</f>
        <v/>
      </c>
      <c r="X560" t="str">
        <f>IF(INDEX(Labels!J:J, MATCH(Summary!$A560, Labels!$A:$A, 0)) = 0, "", INDEX(Labels!J:J, MATCH(Summary!$A560, Labels!$A:$A, 0)))</f>
        <v/>
      </c>
    </row>
    <row r="561" spans="1:24" x14ac:dyDescent="0.2">
      <c r="A561" s="33">
        <f>Labels!A562</f>
        <v>555</v>
      </c>
      <c r="B561" s="34">
        <f>INDEX(EchoData!B:B, MATCH(Summary!$A561, EchoData!$A:$A, 0))</f>
        <v>559</v>
      </c>
      <c r="C561" s="35">
        <f>INDEX(EchoData!C:C, MATCH(Summary!$A561, EchoData!$A:$A, 0))</f>
        <v>560</v>
      </c>
      <c r="D561" s="42">
        <f>INDEX(Displacements!B:B, MATCH(Summary!$B561, Displacements!$A:$A, 0))</f>
        <v>994.81899999999996</v>
      </c>
      <c r="E561" s="43">
        <f>INDEX(Displacements!C:C, MATCH(Summary!$B561, Displacements!$A:$A, 0))</f>
        <v>0</v>
      </c>
      <c r="F561" s="44">
        <f>INDEX(Displacements!D:D, MATCH(Summary!$B561, Displacements!$A:$A, 0))</f>
        <v>0</v>
      </c>
      <c r="G561" s="42">
        <f>INDEX(Displacements!B:B, MATCH(Summary!$C561, Displacements!$A:$A, 0))</f>
        <v>995.11900000000003</v>
      </c>
      <c r="H561" s="43">
        <f>INDEX(Displacements!C:C, MATCH(Summary!$C561, Displacements!$A:$A, 0))</f>
        <v>0</v>
      </c>
      <c r="I561" s="44">
        <f>INDEX(Displacements!D:D, MATCH(Summary!$C561, Displacements!$A:$A, 0))</f>
        <v>0</v>
      </c>
      <c r="J561" s="42">
        <f t="shared" si="16"/>
        <v>0.30000000000006821</v>
      </c>
      <c r="K561" s="49">
        <f t="shared" si="17"/>
        <v>1.006711409396196</v>
      </c>
      <c r="L561" s="54">
        <f>INDEX('Forces+Stresses'!C:C, MATCH(Summary!$A561, 'Forces+Stresses'!$A:$A, 0))</f>
        <v>5022</v>
      </c>
      <c r="M561" s="55">
        <f>INDEX('Forces+Stresses'!D:D, MATCH(Summary!$A561, 'Forces+Stresses'!$A:$A, 0))</f>
        <v>5022</v>
      </c>
      <c r="N561" s="55">
        <f>IFERROR(INDEX('Forces+Stresses'!Q:Q, MATCH(Summary!$A561, 'Forces+Stresses'!$A:$A, 0)), INDEX(Flexjoints!D:D, MATCH(Summary!$A561, Flexjoints!$A:$A, 0)))</f>
        <v>1.73E-6</v>
      </c>
      <c r="O561" s="56">
        <f>IFERROR(INDEX('Forces+Stresses'!R:R, MATCH(Summary!$A561, 'Forces+Stresses'!$A:$A, 0)), INDEX(Flexjoints!E:E, MATCH(Summary!$A561, Flexjoints!$A:$A, 0)))</f>
        <v>2.3600000000000001E-5</v>
      </c>
      <c r="P561" s="33" t="str">
        <f>IF(INDEX(Labels!B:B, MATCH(Summary!$A561, Labels!$A:$A, 0)) = 0, "", INDEX(Labels!B:B, MATCH(Summary!$A561, Labels!$A:$A, 0)))</f>
        <v>{Marine Riser String}</v>
      </c>
      <c r="Q561" s="35" t="str">
        <f>IF(INDEX(Labels!C:C, MATCH(Summary!$A561, Labels!$A:$A, 0)) = 0, "", INDEX(Labels!C:C, MATCH(Summary!$A561, Labels!$A:$A, 0)))</f>
        <v>{Outer Barrel Top Element}</v>
      </c>
      <c r="R561" s="33" t="str">
        <f>IF(INDEX(Labels!D:D, MATCH(Summary!$A561, Labels!$A:$A, 0)) = 0, "", INDEX(Labels!D:D, MATCH(Summary!$A561, Labels!$A:$A, 0)))</f>
        <v/>
      </c>
      <c r="S561" s="35" t="str">
        <f>IF(INDEX(Labels!E:E, MATCH(Summary!$A561, Labels!$A:$A, 0)) = 0, "", INDEX(Labels!E:E, MATCH(Summary!$A561, Labels!$A:$A, 0)))</f>
        <v/>
      </c>
      <c r="T561" s="33" t="str">
        <f>IF(INDEX(Labels!F:F, MATCH(Summary!$A561, Labels!$A:$A, 0)) = 0, "", INDEX(Labels!F:F, MATCH(Summary!$A561, Labels!$A:$A, 0)))</f>
        <v>{Outer Barrel Top Element_First}</v>
      </c>
      <c r="U561" s="35" t="str">
        <f>IF(INDEX(Labels!G:G, MATCH(Summary!$A561, Labels!$A:$A, 0)) = 0, "", INDEX(Labels!G:G, MATCH(Summary!$A561, Labels!$A:$A, 0)))</f>
        <v>{Outer Barrel Top Element_Last}</v>
      </c>
      <c r="V561" s="62" t="str">
        <f>IF(INDEX(Labels!H:H, MATCH(Summary!$A561, Labels!$A:$A, 0)) = 0, "", INDEX(Labels!H:H, MATCH(Summary!$A561, Labels!$A:$A, 0)))</f>
        <v>{Tension_Ring_Before}</v>
      </c>
      <c r="W561" t="str">
        <f>IF(INDEX(Labels!I:I, MATCH(Summary!$A561, Labels!$A:$A, 0)) = 0, "", INDEX(Labels!I:I, MATCH(Summary!$A561, Labels!$A:$A, 0)))</f>
        <v/>
      </c>
      <c r="X561" t="str">
        <f>IF(INDEX(Labels!J:J, MATCH(Summary!$A561, Labels!$A:$A, 0)) = 0, "", INDEX(Labels!J:J, MATCH(Summary!$A561, Labels!$A:$A, 0)))</f>
        <v/>
      </c>
    </row>
    <row r="562" spans="1:24" x14ac:dyDescent="0.2">
      <c r="A562" s="33">
        <f>Labels!A563</f>
        <v>556</v>
      </c>
      <c r="B562" s="34">
        <f>INDEX(EchoData!B:B, MATCH(Summary!$A562, EchoData!$A:$A, 0))</f>
        <v>560</v>
      </c>
      <c r="C562" s="35">
        <f>INDEX(EchoData!C:C, MATCH(Summary!$A562, EchoData!$A:$A, 0))</f>
        <v>561</v>
      </c>
      <c r="D562" s="42">
        <f>INDEX(Displacements!B:B, MATCH(Summary!$B562, Displacements!$A:$A, 0))</f>
        <v>995.11900000000003</v>
      </c>
      <c r="E562" s="43">
        <f>INDEX(Displacements!C:C, MATCH(Summary!$B562, Displacements!$A:$A, 0))</f>
        <v>0</v>
      </c>
      <c r="F562" s="44">
        <f>INDEX(Displacements!D:D, MATCH(Summary!$B562, Displacements!$A:$A, 0))</f>
        <v>0</v>
      </c>
      <c r="G562" s="42">
        <f>INDEX(Displacements!B:B, MATCH(Summary!$C562, Displacements!$A:$A, 0))</f>
        <v>1002.598</v>
      </c>
      <c r="H562" s="43">
        <f>INDEX(Displacements!C:C, MATCH(Summary!$C562, Displacements!$A:$A, 0))</f>
        <v>0</v>
      </c>
      <c r="I562" s="44">
        <f>INDEX(Displacements!D:D, MATCH(Summary!$C562, Displacements!$A:$A, 0))</f>
        <v>0</v>
      </c>
      <c r="J562" s="42">
        <f t="shared" si="16"/>
        <v>7.4789999999999281</v>
      </c>
      <c r="K562" s="49">
        <f t="shared" si="17"/>
        <v>24.929999999994092</v>
      </c>
      <c r="L562" s="54">
        <f>INDEX('Forces+Stresses'!C:C, MATCH(Summary!$A562, 'Forces+Stresses'!$A:$A, 0))</f>
        <v>-4.4229999999999998E-3</v>
      </c>
      <c r="M562" s="55">
        <f>INDEX('Forces+Stresses'!D:D, MATCH(Summary!$A562, 'Forces+Stresses'!$A:$A, 0))</f>
        <v>-4.4229999999999998E-3</v>
      </c>
      <c r="N562" s="55">
        <f>IFERROR(INDEX('Forces+Stresses'!Q:Q, MATCH(Summary!$A562, 'Forces+Stresses'!$A:$A, 0)), INDEX(Flexjoints!D:D, MATCH(Summary!$A562, Flexjoints!$A:$A, 0)))</f>
        <v>6.088E-8</v>
      </c>
      <c r="O562" s="56">
        <f>IFERROR(INDEX('Forces+Stresses'!R:R, MATCH(Summary!$A562, 'Forces+Stresses'!$A:$A, 0)), INDEX(Flexjoints!E:E, MATCH(Summary!$A562, Flexjoints!$A:$A, 0)))</f>
        <v>1.1259999999999999E-5</v>
      </c>
      <c r="P562" s="33" t="str">
        <f>IF(INDEX(Labels!B:B, MATCH(Summary!$A562, Labels!$A:$A, 0)) = 0, "", INDEX(Labels!B:B, MATCH(Summary!$A562, Labels!$A:$A, 0)))</f>
        <v>{Marine Riser String}</v>
      </c>
      <c r="Q562" s="35" t="str">
        <f>IF(INDEX(Labels!C:C, MATCH(Summary!$A562, Labels!$A:$A, 0)) = 0, "", INDEX(Labels!C:C, MATCH(Summary!$A562, Labels!$A:$A, 0)))</f>
        <v>{Stroke}</v>
      </c>
      <c r="R562" s="33" t="str">
        <f>IF(INDEX(Labels!D:D, MATCH(Summary!$A562, Labels!$A:$A, 0)) = 0, "", INDEX(Labels!D:D, MATCH(Summary!$A562, Labels!$A:$A, 0)))</f>
        <v/>
      </c>
      <c r="S562" s="35" t="str">
        <f>IF(INDEX(Labels!E:E, MATCH(Summary!$A562, Labels!$A:$A, 0)) = 0, "", INDEX(Labels!E:E, MATCH(Summary!$A562, Labels!$A:$A, 0)))</f>
        <v/>
      </c>
      <c r="T562" s="33" t="str">
        <f>IF(INDEX(Labels!F:F, MATCH(Summary!$A562, Labels!$A:$A, 0)) = 0, "", INDEX(Labels!F:F, MATCH(Summary!$A562, Labels!$A:$A, 0)))</f>
        <v>{Stroke_First}</v>
      </c>
      <c r="U562" s="35" t="str">
        <f>IF(INDEX(Labels!G:G, MATCH(Summary!$A562, Labels!$A:$A, 0)) = 0, "", INDEX(Labels!G:G, MATCH(Summary!$A562, Labels!$A:$A, 0)))</f>
        <v>{Stroke_Last}</v>
      </c>
      <c r="V562" s="62" t="str">
        <f>IF(INDEX(Labels!H:H, MATCH(Summary!$A562, Labels!$A:$A, 0)) = 0, "", INDEX(Labels!H:H, MATCH(Summary!$A562, Labels!$A:$A, 0)))</f>
        <v>{Tension_Ring_After}</v>
      </c>
      <c r="W562" t="str">
        <f>IF(INDEX(Labels!I:I, MATCH(Summary!$A562, Labels!$A:$A, 0)) = 0, "", INDEX(Labels!I:I, MATCH(Summary!$A562, Labels!$A:$A, 0)))</f>
        <v/>
      </c>
      <c r="X562" t="str">
        <f>IF(INDEX(Labels!J:J, MATCH(Summary!$A562, Labels!$A:$A, 0)) = 0, "", INDEX(Labels!J:J, MATCH(Summary!$A562, Labels!$A:$A, 0)))</f>
        <v/>
      </c>
    </row>
    <row r="563" spans="1:24" x14ac:dyDescent="0.2">
      <c r="A563" s="33">
        <f>Labels!A564</f>
        <v>557</v>
      </c>
      <c r="B563" s="34">
        <f>INDEX(EchoData!B:B, MATCH(Summary!$A563, EchoData!$A:$A, 0))</f>
        <v>561</v>
      </c>
      <c r="C563" s="35">
        <f>INDEX(EchoData!C:C, MATCH(Summary!$A563, EchoData!$A:$A, 0))</f>
        <v>562</v>
      </c>
      <c r="D563" s="42">
        <f>INDEX(Displacements!B:B, MATCH(Summary!$B563, Displacements!$A:$A, 0))</f>
        <v>1002.598</v>
      </c>
      <c r="E563" s="43">
        <f>INDEX(Displacements!C:C, MATCH(Summary!$B563, Displacements!$A:$A, 0))</f>
        <v>0</v>
      </c>
      <c r="F563" s="44">
        <f>INDEX(Displacements!D:D, MATCH(Summary!$B563, Displacements!$A:$A, 0))</f>
        <v>0</v>
      </c>
      <c r="G563" s="42">
        <f>INDEX(Displacements!B:B, MATCH(Summary!$C563, Displacements!$A:$A, 0))</f>
        <v>1002.8390000000001</v>
      </c>
      <c r="H563" s="43">
        <f>INDEX(Displacements!C:C, MATCH(Summary!$C563, Displacements!$A:$A, 0))</f>
        <v>0</v>
      </c>
      <c r="I563" s="44">
        <f>INDEX(Displacements!D:D, MATCH(Summary!$C563, Displacements!$A:$A, 0))</f>
        <v>0</v>
      </c>
      <c r="J563" s="42">
        <f t="shared" si="16"/>
        <v>0.24100000000009913</v>
      </c>
      <c r="K563" s="49">
        <f t="shared" si="17"/>
        <v>3.2223559299385141E-2</v>
      </c>
      <c r="L563" s="54">
        <f>INDEX('Forces+Stresses'!C:C, MATCH(Summary!$A563, 'Forces+Stresses'!$A:$A, 0))</f>
        <v>-4.254E-3</v>
      </c>
      <c r="M563" s="55">
        <f>INDEX('Forces+Stresses'!D:D, MATCH(Summary!$A563, 'Forces+Stresses'!$A:$A, 0))</f>
        <v>-4.254E-3</v>
      </c>
      <c r="N563" s="55">
        <f>IFERROR(INDEX('Forces+Stresses'!Q:Q, MATCH(Summary!$A563, 'Forces+Stresses'!$A:$A, 0)), INDEX(Flexjoints!D:D, MATCH(Summary!$A563, Flexjoints!$A:$A, 0)))</f>
        <v>9.8620000000000006E-8</v>
      </c>
      <c r="O563" s="56">
        <f>IFERROR(INDEX('Forces+Stresses'!R:R, MATCH(Summary!$A563, 'Forces+Stresses'!$A:$A, 0)), INDEX(Flexjoints!E:E, MATCH(Summary!$A563, Flexjoints!$A:$A, 0)))</f>
        <v>1.269E-6</v>
      </c>
      <c r="P563" s="33" t="str">
        <f>IF(INDEX(Labels!B:B, MATCH(Summary!$A563, Labels!$A:$A, 0)) = 0, "", INDEX(Labels!B:B, MATCH(Summary!$A563, Labels!$A:$A, 0)))</f>
        <v>{Marine Riser String}</v>
      </c>
      <c r="Q563" s="35" t="str">
        <f>IF(INDEX(Labels!C:C, MATCH(Summary!$A563, Labels!$A:$A, 0)) = 0, "", INDEX(Labels!C:C, MATCH(Summary!$A563, Labels!$A:$A, 0)))</f>
        <v>{Inner Barrel}</v>
      </c>
      <c r="R563" s="33" t="str">
        <f>IF(INDEX(Labels!D:D, MATCH(Summary!$A563, Labels!$A:$A, 0)) = 0, "", INDEX(Labels!D:D, MATCH(Summary!$A563, Labels!$A:$A, 0)))</f>
        <v/>
      </c>
      <c r="S563" s="35" t="str">
        <f>IF(INDEX(Labels!E:E, MATCH(Summary!$A563, Labels!$A:$A, 0)) = 0, "", INDEX(Labels!E:E, MATCH(Summary!$A563, Labels!$A:$A, 0)))</f>
        <v/>
      </c>
      <c r="T563" s="33" t="str">
        <f>IF(INDEX(Labels!F:F, MATCH(Summary!$A563, Labels!$A:$A, 0)) = 0, "", INDEX(Labels!F:F, MATCH(Summary!$A563, Labels!$A:$A, 0)))</f>
        <v>{Inner Barrel_First}</v>
      </c>
      <c r="U563" s="35" t="str">
        <f>IF(INDEX(Labels!G:G, MATCH(Summary!$A563, Labels!$A:$A, 0)) = 0, "", INDEX(Labels!G:G, MATCH(Summary!$A563, Labels!$A:$A, 0)))</f>
        <v/>
      </c>
      <c r="V563" s="62" t="str">
        <f>IF(INDEX(Labels!H:H, MATCH(Summary!$A563, Labels!$A:$A, 0)) = 0, "", INDEX(Labels!H:H, MATCH(Summary!$A563, Labels!$A:$A, 0)))</f>
        <v/>
      </c>
      <c r="W563" t="str">
        <f>IF(INDEX(Labels!I:I, MATCH(Summary!$A563, Labels!$A:$A, 0)) = 0, "", INDEX(Labels!I:I, MATCH(Summary!$A563, Labels!$A:$A, 0)))</f>
        <v/>
      </c>
      <c r="X563" t="str">
        <f>IF(INDEX(Labels!J:J, MATCH(Summary!$A563, Labels!$A:$A, 0)) = 0, "", INDEX(Labels!J:J, MATCH(Summary!$A563, Labels!$A:$A, 0)))</f>
        <v/>
      </c>
    </row>
    <row r="564" spans="1:24" x14ac:dyDescent="0.2">
      <c r="A564" s="33">
        <f>Labels!A565</f>
        <v>558</v>
      </c>
      <c r="B564" s="34">
        <f>INDEX(EchoData!B:B, MATCH(Summary!$A564, EchoData!$A:$A, 0))</f>
        <v>562</v>
      </c>
      <c r="C564" s="35">
        <f>INDEX(EchoData!C:C, MATCH(Summary!$A564, EchoData!$A:$A, 0))</f>
        <v>563</v>
      </c>
      <c r="D564" s="42">
        <f>INDEX(Displacements!B:B, MATCH(Summary!$B564, Displacements!$A:$A, 0))</f>
        <v>1002.8390000000001</v>
      </c>
      <c r="E564" s="43">
        <f>INDEX(Displacements!C:C, MATCH(Summary!$B564, Displacements!$A:$A, 0))</f>
        <v>0</v>
      </c>
      <c r="F564" s="44">
        <f>INDEX(Displacements!D:D, MATCH(Summary!$B564, Displacements!$A:$A, 0))</f>
        <v>0</v>
      </c>
      <c r="G564" s="42">
        <f>INDEX(Displacements!B:B, MATCH(Summary!$C564, Displacements!$A:$A, 0))</f>
        <v>1003.048</v>
      </c>
      <c r="H564" s="43">
        <f>INDEX(Displacements!C:C, MATCH(Summary!$C564, Displacements!$A:$A, 0))</f>
        <v>0</v>
      </c>
      <c r="I564" s="44">
        <f>INDEX(Displacements!D:D, MATCH(Summary!$C564, Displacements!$A:$A, 0))</f>
        <v>0</v>
      </c>
      <c r="J564" s="42">
        <f t="shared" si="16"/>
        <v>0.20899999999994634</v>
      </c>
      <c r="K564" s="49">
        <f t="shared" si="17"/>
        <v>0.86721991701186874</v>
      </c>
      <c r="L564" s="54">
        <f>INDEX('Forces+Stresses'!C:C, MATCH(Summary!$A564, 'Forces+Stresses'!$A:$A, 0))</f>
        <v>26.38</v>
      </c>
      <c r="M564" s="55">
        <f>INDEX('Forces+Stresses'!D:D, MATCH(Summary!$A564, 'Forces+Stresses'!$A:$A, 0))</f>
        <v>26.38</v>
      </c>
      <c r="N564" s="55">
        <f>IFERROR(INDEX('Forces+Stresses'!Q:Q, MATCH(Summary!$A564, 'Forces+Stresses'!$A:$A, 0)), INDEX(Flexjoints!D:D, MATCH(Summary!$A564, Flexjoints!$A:$A, 0)))</f>
        <v>7.4190000000000005E-8</v>
      </c>
      <c r="O564" s="56">
        <f>IFERROR(INDEX('Forces+Stresses'!R:R, MATCH(Summary!$A564, 'Forces+Stresses'!$A:$A, 0)), INDEX(Flexjoints!E:E, MATCH(Summary!$A564, Flexjoints!$A:$A, 0)))</f>
        <v>1.063E-6</v>
      </c>
      <c r="P564" s="33" t="str">
        <f>IF(INDEX(Labels!B:B, MATCH(Summary!$A564, Labels!$A:$A, 0)) = 0, "", INDEX(Labels!B:B, MATCH(Summary!$A564, Labels!$A:$A, 0)))</f>
        <v>{Marine Riser String}</v>
      </c>
      <c r="Q564" s="35" t="str">
        <f>IF(INDEX(Labels!C:C, MATCH(Summary!$A564, Labels!$A:$A, 0)) = 0, "", INDEX(Labels!C:C, MATCH(Summary!$A564, Labels!$A:$A, 0)))</f>
        <v>{Inner Barrel}</v>
      </c>
      <c r="R564" s="33" t="str">
        <f>IF(INDEX(Labels!D:D, MATCH(Summary!$A564, Labels!$A:$A, 0)) = 0, "", INDEX(Labels!D:D, MATCH(Summary!$A564, Labels!$A:$A, 0)))</f>
        <v/>
      </c>
      <c r="S564" s="35" t="str">
        <f>IF(INDEX(Labels!E:E, MATCH(Summary!$A564, Labels!$A:$A, 0)) = 0, "", INDEX(Labels!E:E, MATCH(Summary!$A564, Labels!$A:$A, 0)))</f>
        <v/>
      </c>
      <c r="T564" s="33" t="str">
        <f>IF(INDEX(Labels!F:F, MATCH(Summary!$A564, Labels!$A:$A, 0)) = 0, "", INDEX(Labels!F:F, MATCH(Summary!$A564, Labels!$A:$A, 0)))</f>
        <v/>
      </c>
      <c r="U564" s="35" t="str">
        <f>IF(INDEX(Labels!G:G, MATCH(Summary!$A564, Labels!$A:$A, 0)) = 0, "", INDEX(Labels!G:G, MATCH(Summary!$A564, Labels!$A:$A, 0)))</f>
        <v/>
      </c>
      <c r="V564" s="62" t="str">
        <f>IF(INDEX(Labels!H:H, MATCH(Summary!$A564, Labels!$A:$A, 0)) = 0, "", INDEX(Labels!H:H, MATCH(Summary!$A564, Labels!$A:$A, 0)))</f>
        <v/>
      </c>
      <c r="W564" t="str">
        <f>IF(INDEX(Labels!I:I, MATCH(Summary!$A564, Labels!$A:$A, 0)) = 0, "", INDEX(Labels!I:I, MATCH(Summary!$A564, Labels!$A:$A, 0)))</f>
        <v/>
      </c>
      <c r="X564" t="str">
        <f>IF(INDEX(Labels!J:J, MATCH(Summary!$A564, Labels!$A:$A, 0)) = 0, "", INDEX(Labels!J:J, MATCH(Summary!$A564, Labels!$A:$A, 0)))</f>
        <v/>
      </c>
    </row>
    <row r="565" spans="1:24" x14ac:dyDescent="0.2">
      <c r="A565" s="33">
        <f>Labels!A566</f>
        <v>559</v>
      </c>
      <c r="B565" s="34">
        <f>INDEX(EchoData!B:B, MATCH(Summary!$A565, EchoData!$A:$A, 0))</f>
        <v>563</v>
      </c>
      <c r="C565" s="35">
        <f>INDEX(EchoData!C:C, MATCH(Summary!$A565, EchoData!$A:$A, 0))</f>
        <v>564</v>
      </c>
      <c r="D565" s="42">
        <f>INDEX(Displacements!B:B, MATCH(Summary!$B565, Displacements!$A:$A, 0))</f>
        <v>1003.048</v>
      </c>
      <c r="E565" s="43">
        <f>INDEX(Displacements!C:C, MATCH(Summary!$B565, Displacements!$A:$A, 0))</f>
        <v>0</v>
      </c>
      <c r="F565" s="44">
        <f>INDEX(Displacements!D:D, MATCH(Summary!$B565, Displacements!$A:$A, 0))</f>
        <v>0</v>
      </c>
      <c r="G565" s="42">
        <f>INDEX(Displacements!B:B, MATCH(Summary!$C565, Displacements!$A:$A, 0))</f>
        <v>1003.228</v>
      </c>
      <c r="H565" s="43">
        <f>INDEX(Displacements!C:C, MATCH(Summary!$C565, Displacements!$A:$A, 0))</f>
        <v>0</v>
      </c>
      <c r="I565" s="44">
        <f>INDEX(Displacements!D:D, MATCH(Summary!$C565, Displacements!$A:$A, 0))</f>
        <v>0</v>
      </c>
      <c r="J565" s="42">
        <f t="shared" si="16"/>
        <v>0.17999999999994998</v>
      </c>
      <c r="K565" s="49">
        <f t="shared" si="17"/>
        <v>0.86124401913873772</v>
      </c>
      <c r="L565" s="54">
        <f>INDEX('Forces+Stresses'!C:C, MATCH(Summary!$A565, 'Forces+Stresses'!$A:$A, 0))</f>
        <v>49.22</v>
      </c>
      <c r="M565" s="55">
        <f>INDEX('Forces+Stresses'!D:D, MATCH(Summary!$A565, 'Forces+Stresses'!$A:$A, 0))</f>
        <v>49.22</v>
      </c>
      <c r="N565" s="55">
        <f>IFERROR(INDEX('Forces+Stresses'!Q:Q, MATCH(Summary!$A565, 'Forces+Stresses'!$A:$A, 0)), INDEX(Flexjoints!D:D, MATCH(Summary!$A565, Flexjoints!$A:$A, 0)))</f>
        <v>6.8750000000000004E-8</v>
      </c>
      <c r="O565" s="56">
        <f>IFERROR(INDEX('Forces+Stresses'!R:R, MATCH(Summary!$A565, 'Forces+Stresses'!$A:$A, 0)), INDEX(Flexjoints!E:E, MATCH(Summary!$A565, Flexjoints!$A:$A, 0)))</f>
        <v>8.0620000000000001E-7</v>
      </c>
      <c r="P565" s="33" t="str">
        <f>IF(INDEX(Labels!B:B, MATCH(Summary!$A565, Labels!$A:$A, 0)) = 0, "", INDEX(Labels!B:B, MATCH(Summary!$A565, Labels!$A:$A, 0)))</f>
        <v>{Marine Riser String}</v>
      </c>
      <c r="Q565" s="35" t="str">
        <f>IF(INDEX(Labels!C:C, MATCH(Summary!$A565, Labels!$A:$A, 0)) = 0, "", INDEX(Labels!C:C, MATCH(Summary!$A565, Labels!$A:$A, 0)))</f>
        <v>{Inner Barrel}</v>
      </c>
      <c r="R565" s="33" t="str">
        <f>IF(INDEX(Labels!D:D, MATCH(Summary!$A565, Labels!$A:$A, 0)) = 0, "", INDEX(Labels!D:D, MATCH(Summary!$A565, Labels!$A:$A, 0)))</f>
        <v/>
      </c>
      <c r="S565" s="35" t="str">
        <f>IF(INDEX(Labels!E:E, MATCH(Summary!$A565, Labels!$A:$A, 0)) = 0, "", INDEX(Labels!E:E, MATCH(Summary!$A565, Labels!$A:$A, 0)))</f>
        <v/>
      </c>
      <c r="T565" s="33" t="str">
        <f>IF(INDEX(Labels!F:F, MATCH(Summary!$A565, Labels!$A:$A, 0)) = 0, "", INDEX(Labels!F:F, MATCH(Summary!$A565, Labels!$A:$A, 0)))</f>
        <v/>
      </c>
      <c r="U565" s="35" t="str">
        <f>IF(INDEX(Labels!G:G, MATCH(Summary!$A565, Labels!$A:$A, 0)) = 0, "", INDEX(Labels!G:G, MATCH(Summary!$A565, Labels!$A:$A, 0)))</f>
        <v/>
      </c>
      <c r="V565" s="62" t="str">
        <f>IF(INDEX(Labels!H:H, MATCH(Summary!$A565, Labels!$A:$A, 0)) = 0, "", INDEX(Labels!H:H, MATCH(Summary!$A565, Labels!$A:$A, 0)))</f>
        <v/>
      </c>
      <c r="W565" t="str">
        <f>IF(INDEX(Labels!I:I, MATCH(Summary!$A565, Labels!$A:$A, 0)) = 0, "", INDEX(Labels!I:I, MATCH(Summary!$A565, Labels!$A:$A, 0)))</f>
        <v/>
      </c>
      <c r="X565" t="str">
        <f>IF(INDEX(Labels!J:J, MATCH(Summary!$A565, Labels!$A:$A, 0)) = 0, "", INDEX(Labels!J:J, MATCH(Summary!$A565, Labels!$A:$A, 0)))</f>
        <v/>
      </c>
    </row>
    <row r="566" spans="1:24" x14ac:dyDescent="0.2">
      <c r="A566" s="33">
        <f>Labels!A567</f>
        <v>560</v>
      </c>
      <c r="B566" s="34">
        <f>INDEX(EchoData!B:B, MATCH(Summary!$A566, EchoData!$A:$A, 0))</f>
        <v>564</v>
      </c>
      <c r="C566" s="35">
        <f>INDEX(EchoData!C:C, MATCH(Summary!$A566, EchoData!$A:$A, 0))</f>
        <v>565</v>
      </c>
      <c r="D566" s="42">
        <f>INDEX(Displacements!B:B, MATCH(Summary!$B566, Displacements!$A:$A, 0))</f>
        <v>1003.228</v>
      </c>
      <c r="E566" s="43">
        <f>INDEX(Displacements!C:C, MATCH(Summary!$B566, Displacements!$A:$A, 0))</f>
        <v>0</v>
      </c>
      <c r="F566" s="44">
        <f>INDEX(Displacements!D:D, MATCH(Summary!$B566, Displacements!$A:$A, 0))</f>
        <v>0</v>
      </c>
      <c r="G566" s="42">
        <f>INDEX(Displacements!B:B, MATCH(Summary!$C566, Displacements!$A:$A, 0))</f>
        <v>1003.349</v>
      </c>
      <c r="H566" s="43">
        <f>INDEX(Displacements!C:C, MATCH(Summary!$C566, Displacements!$A:$A, 0))</f>
        <v>0</v>
      </c>
      <c r="I566" s="44">
        <f>INDEX(Displacements!D:D, MATCH(Summary!$C566, Displacements!$A:$A, 0))</f>
        <v>0</v>
      </c>
      <c r="J566" s="42">
        <f t="shared" si="16"/>
        <v>0.12100000000009459</v>
      </c>
      <c r="K566" s="49">
        <f t="shared" si="17"/>
        <v>0.67222222222293448</v>
      </c>
      <c r="L566" s="54">
        <f>INDEX('Forces+Stresses'!C:C, MATCH(Summary!$A566, 'Forces+Stresses'!$A:$A, 0))</f>
        <v>69.010000000000005</v>
      </c>
      <c r="M566" s="55">
        <f>INDEX('Forces+Stresses'!D:D, MATCH(Summary!$A566, 'Forces+Stresses'!$A:$A, 0))</f>
        <v>69.010000000000005</v>
      </c>
      <c r="N566" s="55">
        <f>IFERROR(INDEX('Forces+Stresses'!Q:Q, MATCH(Summary!$A566, 'Forces+Stresses'!$A:$A, 0)), INDEX(Flexjoints!D:D, MATCH(Summary!$A566, Flexjoints!$A:$A, 0)))</f>
        <v>4.0490000000000001E-8</v>
      </c>
      <c r="O566" s="56">
        <f>IFERROR(INDEX('Forces+Stresses'!R:R, MATCH(Summary!$A566, 'Forces+Stresses'!$A:$A, 0)), INDEX(Flexjoints!E:E, MATCH(Summary!$A566, Flexjoints!$A:$A, 0)))</f>
        <v>5.4379999999999999E-7</v>
      </c>
      <c r="P566" s="33" t="str">
        <f>IF(INDEX(Labels!B:B, MATCH(Summary!$A566, Labels!$A:$A, 0)) = 0, "", INDEX(Labels!B:B, MATCH(Summary!$A566, Labels!$A:$A, 0)))</f>
        <v>{Marine Riser String}</v>
      </c>
      <c r="Q566" s="35" t="str">
        <f>IF(INDEX(Labels!C:C, MATCH(Summary!$A566, Labels!$A:$A, 0)) = 0, "", INDEX(Labels!C:C, MATCH(Summary!$A566, Labels!$A:$A, 0)))</f>
        <v>{Inner Barrel}</v>
      </c>
      <c r="R566" s="33" t="str">
        <f>IF(INDEX(Labels!D:D, MATCH(Summary!$A566, Labels!$A:$A, 0)) = 0, "", INDEX(Labels!D:D, MATCH(Summary!$A566, Labels!$A:$A, 0)))</f>
        <v/>
      </c>
      <c r="S566" s="35" t="str">
        <f>IF(INDEX(Labels!E:E, MATCH(Summary!$A566, Labels!$A:$A, 0)) = 0, "", INDEX(Labels!E:E, MATCH(Summary!$A566, Labels!$A:$A, 0)))</f>
        <v/>
      </c>
      <c r="T566" s="33" t="str">
        <f>IF(INDEX(Labels!F:F, MATCH(Summary!$A566, Labels!$A:$A, 0)) = 0, "", INDEX(Labels!F:F, MATCH(Summary!$A566, Labels!$A:$A, 0)))</f>
        <v/>
      </c>
      <c r="U566" s="35" t="str">
        <f>IF(INDEX(Labels!G:G, MATCH(Summary!$A566, Labels!$A:$A, 0)) = 0, "", INDEX(Labels!G:G, MATCH(Summary!$A566, Labels!$A:$A, 0)))</f>
        <v/>
      </c>
      <c r="V566" s="62" t="str">
        <f>IF(INDEX(Labels!H:H, MATCH(Summary!$A566, Labels!$A:$A, 0)) = 0, "", INDEX(Labels!H:H, MATCH(Summary!$A566, Labels!$A:$A, 0)))</f>
        <v/>
      </c>
      <c r="W566" t="str">
        <f>IF(INDEX(Labels!I:I, MATCH(Summary!$A566, Labels!$A:$A, 0)) = 0, "", INDEX(Labels!I:I, MATCH(Summary!$A566, Labels!$A:$A, 0)))</f>
        <v/>
      </c>
      <c r="X566" t="str">
        <f>IF(INDEX(Labels!J:J, MATCH(Summary!$A566, Labels!$A:$A, 0)) = 0, "", INDEX(Labels!J:J, MATCH(Summary!$A566, Labels!$A:$A, 0)))</f>
        <v/>
      </c>
    </row>
    <row r="567" spans="1:24" x14ac:dyDescent="0.2">
      <c r="A567" s="33">
        <f>Labels!A568</f>
        <v>561</v>
      </c>
      <c r="B567" s="34">
        <f>INDEX(EchoData!B:B, MATCH(Summary!$A567, EchoData!$A:$A, 0))</f>
        <v>565</v>
      </c>
      <c r="C567" s="35">
        <f>INDEX(EchoData!C:C, MATCH(Summary!$A567, EchoData!$A:$A, 0))</f>
        <v>566</v>
      </c>
      <c r="D567" s="42">
        <f>INDEX(Displacements!B:B, MATCH(Summary!$B567, Displacements!$A:$A, 0))</f>
        <v>1003.349</v>
      </c>
      <c r="E567" s="43">
        <f>INDEX(Displacements!C:C, MATCH(Summary!$B567, Displacements!$A:$A, 0))</f>
        <v>0</v>
      </c>
      <c r="F567" s="44">
        <f>INDEX(Displacements!D:D, MATCH(Summary!$B567, Displacements!$A:$A, 0))</f>
        <v>0</v>
      </c>
      <c r="G567" s="42">
        <f>INDEX(Displacements!B:B, MATCH(Summary!$C567, Displacements!$A:$A, 0))</f>
        <v>1003.429</v>
      </c>
      <c r="H567" s="43">
        <f>INDEX(Displacements!C:C, MATCH(Summary!$C567, Displacements!$A:$A, 0))</f>
        <v>0</v>
      </c>
      <c r="I567" s="44">
        <f>INDEX(Displacements!D:D, MATCH(Summary!$C567, Displacements!$A:$A, 0))</f>
        <v>0</v>
      </c>
      <c r="J567" s="42">
        <f t="shared" si="16"/>
        <v>7.999999999992724E-2</v>
      </c>
      <c r="K567" s="49">
        <f t="shared" si="17"/>
        <v>0.66115702479227023</v>
      </c>
      <c r="L567" s="54">
        <f>INDEX('Forces+Stresses'!C:C, MATCH(Summary!$A567, 'Forces+Stresses'!$A:$A, 0))</f>
        <v>82.2</v>
      </c>
      <c r="M567" s="55">
        <f>INDEX('Forces+Stresses'!D:D, MATCH(Summary!$A567, 'Forces+Stresses'!$A:$A, 0))</f>
        <v>82.2</v>
      </c>
      <c r="N567" s="55">
        <f>IFERROR(INDEX('Forces+Stresses'!Q:Q, MATCH(Summary!$A567, 'Forces+Stresses'!$A:$A, 0)), INDEX(Flexjoints!D:D, MATCH(Summary!$A567, Flexjoints!$A:$A, 0)))</f>
        <v>4.6200000000000002E-9</v>
      </c>
      <c r="O567" s="56">
        <f>IFERROR(INDEX('Forces+Stresses'!R:R, MATCH(Summary!$A567, 'Forces+Stresses'!$A:$A, 0)), INDEX(Flexjoints!E:E, MATCH(Summary!$A567, Flexjoints!$A:$A, 0)))</f>
        <v>3.5429999999999999E-7</v>
      </c>
      <c r="P567" s="33" t="str">
        <f>IF(INDEX(Labels!B:B, MATCH(Summary!$A567, Labels!$A:$A, 0)) = 0, "", INDEX(Labels!B:B, MATCH(Summary!$A567, Labels!$A:$A, 0)))</f>
        <v>{Marine Riser String}</v>
      </c>
      <c r="Q567" s="35" t="str">
        <f>IF(INDEX(Labels!C:C, MATCH(Summary!$A567, Labels!$A:$A, 0)) = 0, "", INDEX(Labels!C:C, MATCH(Summary!$A567, Labels!$A:$A, 0)))</f>
        <v>{Inner Barrel}</v>
      </c>
      <c r="R567" s="33" t="str">
        <f>IF(INDEX(Labels!D:D, MATCH(Summary!$A567, Labels!$A:$A, 0)) = 0, "", INDEX(Labels!D:D, MATCH(Summary!$A567, Labels!$A:$A, 0)))</f>
        <v/>
      </c>
      <c r="S567" s="35" t="str">
        <f>IF(INDEX(Labels!E:E, MATCH(Summary!$A567, Labels!$A:$A, 0)) = 0, "", INDEX(Labels!E:E, MATCH(Summary!$A567, Labels!$A:$A, 0)))</f>
        <v/>
      </c>
      <c r="T567" s="33" t="str">
        <f>IF(INDEX(Labels!F:F, MATCH(Summary!$A567, Labels!$A:$A, 0)) = 0, "", INDEX(Labels!F:F, MATCH(Summary!$A567, Labels!$A:$A, 0)))</f>
        <v/>
      </c>
      <c r="U567" s="35" t="str">
        <f>IF(INDEX(Labels!G:G, MATCH(Summary!$A567, Labels!$A:$A, 0)) = 0, "", INDEX(Labels!G:G, MATCH(Summary!$A567, Labels!$A:$A, 0)))</f>
        <v>{Inner Barrel_Last}</v>
      </c>
      <c r="V567" s="62" t="str">
        <f>IF(INDEX(Labels!H:H, MATCH(Summary!$A567, Labels!$A:$A, 0)) = 0, "", INDEX(Labels!H:H, MATCH(Summary!$A567, Labels!$A:$A, 0)))</f>
        <v>{Inner_Barrel_Top_Before}</v>
      </c>
      <c r="W567" t="str">
        <f>IF(INDEX(Labels!I:I, MATCH(Summary!$A567, Labels!$A:$A, 0)) = 0, "", INDEX(Labels!I:I, MATCH(Summary!$A567, Labels!$A:$A, 0)))</f>
        <v/>
      </c>
      <c r="X567" t="str">
        <f>IF(INDEX(Labels!J:J, MATCH(Summary!$A567, Labels!$A:$A, 0)) = 0, "", INDEX(Labels!J:J, MATCH(Summary!$A567, Labels!$A:$A, 0)))</f>
        <v/>
      </c>
    </row>
    <row r="568" spans="1:24" x14ac:dyDescent="0.2">
      <c r="A568" s="33">
        <f>Labels!A569</f>
        <v>562</v>
      </c>
      <c r="B568" s="34">
        <f>INDEX(EchoData!B:B, MATCH(Summary!$A568, EchoData!$A:$A, 0))</f>
        <v>566</v>
      </c>
      <c r="C568" s="35">
        <f>INDEX(EchoData!C:C, MATCH(Summary!$A568, EchoData!$A:$A, 0))</f>
        <v>567</v>
      </c>
      <c r="D568" s="42">
        <f>INDEX(Displacements!B:B, MATCH(Summary!$B568, Displacements!$A:$A, 0))</f>
        <v>1003.429</v>
      </c>
      <c r="E568" s="43">
        <f>INDEX(Displacements!C:C, MATCH(Summary!$B568, Displacements!$A:$A, 0))</f>
        <v>0</v>
      </c>
      <c r="F568" s="44">
        <f>INDEX(Displacements!D:D, MATCH(Summary!$B568, Displacements!$A:$A, 0))</f>
        <v>0</v>
      </c>
      <c r="G568" s="42">
        <f>INDEX(Displacements!B:B, MATCH(Summary!$C568, Displacements!$A:$A, 0))</f>
        <v>1003.529</v>
      </c>
      <c r="H568" s="43">
        <f>INDEX(Displacements!C:C, MATCH(Summary!$C568, Displacements!$A:$A, 0))</f>
        <v>0</v>
      </c>
      <c r="I568" s="44">
        <f>INDEX(Displacements!D:D, MATCH(Summary!$C568, Displacements!$A:$A, 0))</f>
        <v>0</v>
      </c>
      <c r="J568" s="42">
        <f t="shared" si="16"/>
        <v>0.10000000000002274</v>
      </c>
      <c r="K568" s="49">
        <f t="shared" si="17"/>
        <v>1.2500000000014211</v>
      </c>
      <c r="L568" s="54">
        <f>INDEX('Forces+Stresses'!C:C, MATCH(Summary!$A568, 'Forces+Stresses'!$A:$A, 0))</f>
        <v>90.99</v>
      </c>
      <c r="M568" s="55">
        <f>INDEX('Forces+Stresses'!D:D, MATCH(Summary!$A568, 'Forces+Stresses'!$A:$A, 0))</f>
        <v>90.99</v>
      </c>
      <c r="N568" s="55">
        <f>IFERROR(INDEX('Forces+Stresses'!Q:Q, MATCH(Summary!$A568, 'Forces+Stresses'!$A:$A, 0)), INDEX(Flexjoints!D:D, MATCH(Summary!$A568, Flexjoints!$A:$A, 0)))</f>
        <v>5.4709999999999998E-9</v>
      </c>
      <c r="O568" s="56">
        <f>IFERROR(INDEX('Forces+Stresses'!R:R, MATCH(Summary!$A568, 'Forces+Stresses'!$A:$A, 0)), INDEX(Flexjoints!E:E, MATCH(Summary!$A568, Flexjoints!$A:$A, 0)))</f>
        <v>2.2389999999999999E-7</v>
      </c>
      <c r="P568" s="33" t="str">
        <f>IF(INDEX(Labels!B:B, MATCH(Summary!$A568, Labels!$A:$A, 0)) = 0, "", INDEX(Labels!B:B, MATCH(Summary!$A568, Labels!$A:$A, 0)))</f>
        <v>{Marine Riser String}</v>
      </c>
      <c r="Q568" s="35" t="str">
        <f>IF(INDEX(Labels!C:C, MATCH(Summary!$A568, Labels!$A:$A, 0)) = 0, "", INDEX(Labels!C:C, MATCH(Summary!$A568, Labels!$A:$A, 0)))</f>
        <v>{UFJ Lower}</v>
      </c>
      <c r="R568" s="33" t="str">
        <f>IF(INDEX(Labels!D:D, MATCH(Summary!$A568, Labels!$A:$A, 0)) = 0, "", INDEX(Labels!D:D, MATCH(Summary!$A568, Labels!$A:$A, 0)))</f>
        <v/>
      </c>
      <c r="S568" s="35" t="str">
        <f>IF(INDEX(Labels!E:E, MATCH(Summary!$A568, Labels!$A:$A, 0)) = 0, "", INDEX(Labels!E:E, MATCH(Summary!$A568, Labels!$A:$A, 0)))</f>
        <v/>
      </c>
      <c r="T568" s="33" t="str">
        <f>IF(INDEX(Labels!F:F, MATCH(Summary!$A568, Labels!$A:$A, 0)) = 0, "", INDEX(Labels!F:F, MATCH(Summary!$A568, Labels!$A:$A, 0)))</f>
        <v>{UFJ Lower_First}</v>
      </c>
      <c r="U568" s="35" t="str">
        <f>IF(INDEX(Labels!G:G, MATCH(Summary!$A568, Labels!$A:$A, 0)) = 0, "", INDEX(Labels!G:G, MATCH(Summary!$A568, Labels!$A:$A, 0)))</f>
        <v>{UFJ Lower_Last}</v>
      </c>
      <c r="V568" s="62" t="str">
        <f>IF(INDEX(Labels!H:H, MATCH(Summary!$A568, Labels!$A:$A, 0)) = 0, "", INDEX(Labels!H:H, MATCH(Summary!$A568, Labels!$A:$A, 0)))</f>
        <v>{Inner_Barrel_Top_After}</v>
      </c>
      <c r="W568" t="str">
        <f>IF(INDEX(Labels!I:I, MATCH(Summary!$A568, Labels!$A:$A, 0)) = 0, "", INDEX(Labels!I:I, MATCH(Summary!$A568, Labels!$A:$A, 0)))</f>
        <v/>
      </c>
      <c r="X568" t="str">
        <f>IF(INDEX(Labels!J:J, MATCH(Summary!$A568, Labels!$A:$A, 0)) = 0, "", INDEX(Labels!J:J, MATCH(Summary!$A568, Labels!$A:$A, 0)))</f>
        <v/>
      </c>
    </row>
    <row r="569" spans="1:24" x14ac:dyDescent="0.2">
      <c r="A569" s="33">
        <f>Labels!A570</f>
        <v>563</v>
      </c>
      <c r="B569" s="34">
        <f>INDEX(EchoData!B:B, MATCH(Summary!$A569, EchoData!$A:$A, 0))</f>
        <v>567</v>
      </c>
      <c r="C569" s="35">
        <f>INDEX(EchoData!C:C, MATCH(Summary!$A569, EchoData!$A:$A, 0))</f>
        <v>568</v>
      </c>
      <c r="D569" s="42">
        <f>INDEX(Displacements!B:B, MATCH(Summary!$B569, Displacements!$A:$A, 0))</f>
        <v>1003.529</v>
      </c>
      <c r="E569" s="43">
        <f>INDEX(Displacements!C:C, MATCH(Summary!$B569, Displacements!$A:$A, 0))</f>
        <v>0</v>
      </c>
      <c r="F569" s="44">
        <f>INDEX(Displacements!D:D, MATCH(Summary!$B569, Displacements!$A:$A, 0))</f>
        <v>0</v>
      </c>
      <c r="G569" s="42">
        <f>INDEX(Displacements!B:B, MATCH(Summary!$C569, Displacements!$A:$A, 0))</f>
        <v>1003.629</v>
      </c>
      <c r="H569" s="43">
        <f>INDEX(Displacements!C:C, MATCH(Summary!$C569, Displacements!$A:$A, 0))</f>
        <v>0</v>
      </c>
      <c r="I569" s="44">
        <f>INDEX(Displacements!D:D, MATCH(Summary!$C569, Displacements!$A:$A, 0))</f>
        <v>0</v>
      </c>
      <c r="J569" s="42">
        <f t="shared" si="16"/>
        <v>0.10000000000002274</v>
      </c>
      <c r="K569" s="49">
        <f t="shared" si="17"/>
        <v>1</v>
      </c>
      <c r="L569" s="54"/>
      <c r="M569" s="55"/>
      <c r="N569" s="55">
        <f>IFERROR(INDEX('Forces+Stresses'!Q:Q, MATCH(Summary!$A569, 'Forces+Stresses'!$A:$A, 0)), INDEX(Flexjoints!D:D, MATCH(Summary!$A569, Flexjoints!$A:$A, 0)))</f>
        <v>0</v>
      </c>
      <c r="O569" s="56">
        <f>IFERROR(INDEX('Forces+Stresses'!R:R, MATCH(Summary!$A569, 'Forces+Stresses'!$A:$A, 0)), INDEX(Flexjoints!E:E, MATCH(Summary!$A569, Flexjoints!$A:$A, 0)))</f>
        <v>0</v>
      </c>
      <c r="P569" s="33" t="str">
        <f>IF(INDEX(Labels!B:B, MATCH(Summary!$A569, Labels!$A:$A, 0)) = 0, "", INDEX(Labels!B:B, MATCH(Summary!$A569, Labels!$A:$A, 0)))</f>
        <v>{Marine Riser String}</v>
      </c>
      <c r="Q569" s="35" t="str">
        <f>IF(INDEX(Labels!C:C, MATCH(Summary!$A569, Labels!$A:$A, 0)) = 0, "", INDEX(Labels!C:C, MATCH(Summary!$A569, Labels!$A:$A, 0)))</f>
        <v>{UFJ Centre}</v>
      </c>
      <c r="R569" s="33" t="str">
        <f>IF(INDEX(Labels!D:D, MATCH(Summary!$A569, Labels!$A:$A, 0)) = 0, "", INDEX(Labels!D:D, MATCH(Summary!$A569, Labels!$A:$A, 0)))</f>
        <v/>
      </c>
      <c r="S569" s="35" t="str">
        <f>IF(INDEX(Labels!E:E, MATCH(Summary!$A569, Labels!$A:$A, 0)) = 0, "", INDEX(Labels!E:E, MATCH(Summary!$A569, Labels!$A:$A, 0)))</f>
        <v/>
      </c>
      <c r="T569" s="33" t="str">
        <f>IF(INDEX(Labels!F:F, MATCH(Summary!$A569, Labels!$A:$A, 0)) = 0, "", INDEX(Labels!F:F, MATCH(Summary!$A569, Labels!$A:$A, 0)))</f>
        <v>{UFJ Centre_First}</v>
      </c>
      <c r="U569" s="35" t="str">
        <f>IF(INDEX(Labels!G:G, MATCH(Summary!$A569, Labels!$A:$A, 0)) = 0, "", INDEX(Labels!G:G, MATCH(Summary!$A569, Labels!$A:$A, 0)))</f>
        <v>{UFJ Centre_Last}</v>
      </c>
      <c r="V569" s="62" t="str">
        <f>IF(INDEX(Labels!H:H, MATCH(Summary!$A569, Labels!$A:$A, 0)) = 0, "", INDEX(Labels!H:H, MATCH(Summary!$A569, Labels!$A:$A, 0)))</f>
        <v/>
      </c>
      <c r="W569" t="str">
        <f>IF(INDEX(Labels!I:I, MATCH(Summary!$A569, Labels!$A:$A, 0)) = 0, "", INDEX(Labels!I:I, MATCH(Summary!$A569, Labels!$A:$A, 0)))</f>
        <v/>
      </c>
      <c r="X569" t="str">
        <f>IF(INDEX(Labels!J:J, MATCH(Summary!$A569, Labels!$A:$A, 0)) = 0, "", INDEX(Labels!J:J, MATCH(Summary!$A569, Labels!$A:$A, 0)))</f>
        <v/>
      </c>
    </row>
    <row r="570" spans="1:24" x14ac:dyDescent="0.2">
      <c r="A570" s="33">
        <f>Labels!A571</f>
        <v>564</v>
      </c>
      <c r="B570" s="34">
        <f>INDEX(EchoData!B:B, MATCH(Summary!$A570, EchoData!$A:$A, 0))</f>
        <v>568</v>
      </c>
      <c r="C570" s="35">
        <f>INDEX(EchoData!C:C, MATCH(Summary!$A570, EchoData!$A:$A, 0))</f>
        <v>569</v>
      </c>
      <c r="D570" s="42">
        <f>INDEX(Displacements!B:B, MATCH(Summary!$B570, Displacements!$A:$A, 0))</f>
        <v>1003.629</v>
      </c>
      <c r="E570" s="43">
        <f>INDEX(Displacements!C:C, MATCH(Summary!$B570, Displacements!$A:$A, 0))</f>
        <v>0</v>
      </c>
      <c r="F570" s="44">
        <f>INDEX(Displacements!D:D, MATCH(Summary!$B570, Displacements!$A:$A, 0))</f>
        <v>0</v>
      </c>
      <c r="G570" s="42">
        <f>INDEX(Displacements!B:B, MATCH(Summary!$C570, Displacements!$A:$A, 0))</f>
        <v>1003.729</v>
      </c>
      <c r="H570" s="43">
        <f>INDEX(Displacements!C:C, MATCH(Summary!$C570, Displacements!$A:$A, 0))</f>
        <v>0</v>
      </c>
      <c r="I570" s="44">
        <f>INDEX(Displacements!D:D, MATCH(Summary!$C570, Displacements!$A:$A, 0))</f>
        <v>0</v>
      </c>
      <c r="J570" s="42">
        <f t="shared" si="16"/>
        <v>0.10000000000002274</v>
      </c>
      <c r="K570" s="49">
        <f t="shared" si="17"/>
        <v>1</v>
      </c>
      <c r="L570" s="54">
        <f>INDEX('Forces+Stresses'!C:C, MATCH(Summary!$A570, 'Forces+Stresses'!$A:$A, 0))</f>
        <v>135.4</v>
      </c>
      <c r="M570" s="55">
        <f>INDEX('Forces+Stresses'!D:D, MATCH(Summary!$A570, 'Forces+Stresses'!$A:$A, 0))</f>
        <v>135.4</v>
      </c>
      <c r="N570" s="55">
        <f>IFERROR(INDEX('Forces+Stresses'!Q:Q, MATCH(Summary!$A570, 'Forces+Stresses'!$A:$A, 0)), INDEX(Flexjoints!D:D, MATCH(Summary!$A570, Flexjoints!$A:$A, 0)))</f>
        <v>3.9219999999999995E-9</v>
      </c>
      <c r="O570" s="56">
        <f>IFERROR(INDEX('Forces+Stresses'!R:R, MATCH(Summary!$A570, 'Forces+Stresses'!$A:$A, 0)), INDEX(Flexjoints!E:E, MATCH(Summary!$A570, Flexjoints!$A:$A, 0)))</f>
        <v>1.9220000000000001E-7</v>
      </c>
      <c r="P570" s="33" t="str">
        <f>IF(INDEX(Labels!B:B, MATCH(Summary!$A570, Labels!$A:$A, 0)) = 0, "", INDEX(Labels!B:B, MATCH(Summary!$A570, Labels!$A:$A, 0)))</f>
        <v>{Marine Riser String}</v>
      </c>
      <c r="Q570" s="35" t="str">
        <f>IF(INDEX(Labels!C:C, MATCH(Summary!$A570, Labels!$A:$A, 0)) = 0, "", INDEX(Labels!C:C, MATCH(Summary!$A570, Labels!$A:$A, 0)))</f>
        <v>{UFJ Upper}</v>
      </c>
      <c r="R570" s="33" t="str">
        <f>IF(INDEX(Labels!D:D, MATCH(Summary!$A570, Labels!$A:$A, 0)) = 0, "", INDEX(Labels!D:D, MATCH(Summary!$A570, Labels!$A:$A, 0)))</f>
        <v/>
      </c>
      <c r="S570" s="35" t="str">
        <f>IF(INDEX(Labels!E:E, MATCH(Summary!$A570, Labels!$A:$A, 0)) = 0, "", INDEX(Labels!E:E, MATCH(Summary!$A570, Labels!$A:$A, 0)))</f>
        <v/>
      </c>
      <c r="T570" s="33" t="str">
        <f>IF(INDEX(Labels!F:F, MATCH(Summary!$A570, Labels!$A:$A, 0)) = 0, "", INDEX(Labels!F:F, MATCH(Summary!$A570, Labels!$A:$A, 0)))</f>
        <v>{UFJ Upper_First}</v>
      </c>
      <c r="U570" s="35" t="str">
        <f>IF(INDEX(Labels!G:G, MATCH(Summary!$A570, Labels!$A:$A, 0)) = 0, "", INDEX(Labels!G:G, MATCH(Summary!$A570, Labels!$A:$A, 0)))</f>
        <v>{UFJ Upper_Last}</v>
      </c>
      <c r="V570" s="62" t="str">
        <f>IF(INDEX(Labels!H:H, MATCH(Summary!$A570, Labels!$A:$A, 0)) = 0, "", INDEX(Labels!H:H, MATCH(Summary!$A570, Labels!$A:$A, 0)))</f>
        <v/>
      </c>
      <c r="W570" t="str">
        <f>IF(INDEX(Labels!I:I, MATCH(Summary!$A570, Labels!$A:$A, 0)) = 0, "", INDEX(Labels!I:I, MATCH(Summary!$A570, Labels!$A:$A, 0)))</f>
        <v/>
      </c>
      <c r="X570" t="str">
        <f>IF(INDEX(Labels!J:J, MATCH(Summary!$A570, Labels!$A:$A, 0)) = 0, "", INDEX(Labels!J:J, MATCH(Summary!$A570, Labels!$A:$A, 0)))</f>
        <v/>
      </c>
    </row>
    <row r="571" spans="1:24" x14ac:dyDescent="0.2">
      <c r="A571" s="33">
        <f>Labels!A572</f>
        <v>565</v>
      </c>
      <c r="B571" s="34">
        <f>INDEX(EchoData!B:B, MATCH(Summary!$A571, EchoData!$A:$A, 0))</f>
        <v>569</v>
      </c>
      <c r="C571" s="35">
        <f>INDEX(EchoData!C:C, MATCH(Summary!$A571, EchoData!$A:$A, 0))</f>
        <v>570</v>
      </c>
      <c r="D571" s="42">
        <f>INDEX(Displacements!B:B, MATCH(Summary!$B571, Displacements!$A:$A, 0))</f>
        <v>1003.729</v>
      </c>
      <c r="E571" s="43">
        <f>INDEX(Displacements!C:C, MATCH(Summary!$B571, Displacements!$A:$A, 0))</f>
        <v>0</v>
      </c>
      <c r="F571" s="44">
        <f>INDEX(Displacements!D:D, MATCH(Summary!$B571, Displacements!$A:$A, 0))</f>
        <v>0</v>
      </c>
      <c r="G571" s="42">
        <f>INDEX(Displacements!B:B, MATCH(Summary!$C571, Displacements!$A:$A, 0))</f>
        <v>1004.0119999999999</v>
      </c>
      <c r="H571" s="43">
        <f>INDEX(Displacements!C:C, MATCH(Summary!$C571, Displacements!$A:$A, 0))</f>
        <v>0</v>
      </c>
      <c r="I571" s="44">
        <f>INDEX(Displacements!D:D, MATCH(Summary!$C571, Displacements!$A:$A, 0))</f>
        <v>0</v>
      </c>
      <c r="J571" s="42">
        <f t="shared" si="16"/>
        <v>0.28299999999990177</v>
      </c>
      <c r="K571" s="49">
        <f t="shared" si="17"/>
        <v>2.8299999999983743</v>
      </c>
      <c r="L571" s="54">
        <f>INDEX('Forces+Stresses'!C:C, MATCH(Summary!$A571, 'Forces+Stresses'!$A:$A, 0))</f>
        <v>135.80000000000001</v>
      </c>
      <c r="M571" s="55">
        <f>INDEX('Forces+Stresses'!D:D, MATCH(Summary!$A571, 'Forces+Stresses'!$A:$A, 0))</f>
        <v>135.80000000000001</v>
      </c>
      <c r="N571" s="55">
        <f>IFERROR(INDEX('Forces+Stresses'!Q:Q, MATCH(Summary!$A571, 'Forces+Stresses'!$A:$A, 0)), INDEX(Flexjoints!D:D, MATCH(Summary!$A571, Flexjoints!$A:$A, 0)))</f>
        <v>1.3050000000000001E-8</v>
      </c>
      <c r="O571" s="56">
        <f>IFERROR(INDEX('Forces+Stresses'!R:R, MATCH(Summary!$A571, 'Forces+Stresses'!$A:$A, 0)), INDEX(Flexjoints!E:E, MATCH(Summary!$A571, Flexjoints!$A:$A, 0)))</f>
        <v>3.3000000000000002E-7</v>
      </c>
      <c r="P571" s="33" t="str">
        <f>IF(INDEX(Labels!B:B, MATCH(Summary!$A571, Labels!$A:$A, 0)) = 0, "", INDEX(Labels!B:B, MATCH(Summary!$A571, Labels!$A:$A, 0)))</f>
        <v>{Marine Riser String}</v>
      </c>
      <c r="Q571" s="35" t="str">
        <f>IF(INDEX(Labels!C:C, MATCH(Summary!$A571, Labels!$A:$A, 0)) = 0, "", INDEX(Labels!C:C, MATCH(Summary!$A571, Labels!$A:$A, 0)))</f>
        <v>{Diverter}</v>
      </c>
      <c r="R571" s="33" t="str">
        <f>IF(INDEX(Labels!D:D, MATCH(Summary!$A571, Labels!$A:$A, 0)) = 0, "", INDEX(Labels!D:D, MATCH(Summary!$A571, Labels!$A:$A, 0)))</f>
        <v/>
      </c>
      <c r="S571" s="35" t="str">
        <f>IF(INDEX(Labels!E:E, MATCH(Summary!$A571, Labels!$A:$A, 0)) = 0, "", INDEX(Labels!E:E, MATCH(Summary!$A571, Labels!$A:$A, 0)))</f>
        <v/>
      </c>
      <c r="T571" s="33" t="str">
        <f>IF(INDEX(Labels!F:F, MATCH(Summary!$A571, Labels!$A:$A, 0)) = 0, "", INDEX(Labels!F:F, MATCH(Summary!$A571, Labels!$A:$A, 0)))</f>
        <v>{Diverter_First}</v>
      </c>
      <c r="U571" s="35" t="str">
        <f>IF(INDEX(Labels!G:G, MATCH(Summary!$A571, Labels!$A:$A, 0)) = 0, "", INDEX(Labels!G:G, MATCH(Summary!$A571, Labels!$A:$A, 0)))</f>
        <v/>
      </c>
      <c r="V571" s="62" t="str">
        <f>IF(INDEX(Labels!H:H, MATCH(Summary!$A571, Labels!$A:$A, 0)) = 0, "", INDEX(Labels!H:H, MATCH(Summary!$A571, Labels!$A:$A, 0)))</f>
        <v/>
      </c>
      <c r="W571" t="str">
        <f>IF(INDEX(Labels!I:I, MATCH(Summary!$A571, Labels!$A:$A, 0)) = 0, "", INDEX(Labels!I:I, MATCH(Summary!$A571, Labels!$A:$A, 0)))</f>
        <v/>
      </c>
      <c r="X571" t="str">
        <f>IF(INDEX(Labels!J:J, MATCH(Summary!$A571, Labels!$A:$A, 0)) = 0, "", INDEX(Labels!J:J, MATCH(Summary!$A571, Labels!$A:$A, 0)))</f>
        <v/>
      </c>
    </row>
    <row r="572" spans="1:24" x14ac:dyDescent="0.2">
      <c r="A572" s="33">
        <f>Labels!A573</f>
        <v>566</v>
      </c>
      <c r="B572" s="34">
        <f>INDEX(EchoData!B:B, MATCH(Summary!$A572, EchoData!$A:$A, 0))</f>
        <v>570</v>
      </c>
      <c r="C572" s="35">
        <f>INDEX(EchoData!C:C, MATCH(Summary!$A572, EchoData!$A:$A, 0))</f>
        <v>571</v>
      </c>
      <c r="D572" s="42">
        <f>INDEX(Displacements!B:B, MATCH(Summary!$B572, Displacements!$A:$A, 0))</f>
        <v>1004.0119999999999</v>
      </c>
      <c r="E572" s="43">
        <f>INDEX(Displacements!C:C, MATCH(Summary!$B572, Displacements!$A:$A, 0))</f>
        <v>0</v>
      </c>
      <c r="F572" s="44">
        <f>INDEX(Displacements!D:D, MATCH(Summary!$B572, Displacements!$A:$A, 0))</f>
        <v>0</v>
      </c>
      <c r="G572" s="42">
        <f>INDEX(Displacements!B:B, MATCH(Summary!$C572, Displacements!$A:$A, 0))</f>
        <v>1004.2859999999999</v>
      </c>
      <c r="H572" s="43">
        <f>INDEX(Displacements!C:C, MATCH(Summary!$C572, Displacements!$A:$A, 0))</f>
        <v>0</v>
      </c>
      <c r="I572" s="44">
        <f>INDEX(Displacements!D:D, MATCH(Summary!$C572, Displacements!$A:$A, 0))</f>
        <v>0</v>
      </c>
      <c r="J572" s="42">
        <f t="shared" si="16"/>
        <v>0.27400000000000091</v>
      </c>
      <c r="K572" s="49">
        <f t="shared" si="17"/>
        <v>0.96819787985899652</v>
      </c>
      <c r="L572" s="54">
        <f>INDEX('Forces+Stresses'!C:C, MATCH(Summary!$A572, 'Forces+Stresses'!$A:$A, 0))</f>
        <v>154.19999999999999</v>
      </c>
      <c r="M572" s="55">
        <f>INDEX('Forces+Stresses'!D:D, MATCH(Summary!$A572, 'Forces+Stresses'!$A:$A, 0))</f>
        <v>154.19999999999999</v>
      </c>
      <c r="N572" s="55">
        <f>IFERROR(INDEX('Forces+Stresses'!Q:Q, MATCH(Summary!$A572, 'Forces+Stresses'!$A:$A, 0)), INDEX(Flexjoints!D:D, MATCH(Summary!$A572, Flexjoints!$A:$A, 0)))</f>
        <v>4.7050000000000001E-8</v>
      </c>
      <c r="O572" s="56">
        <f>IFERROR(INDEX('Forces+Stresses'!R:R, MATCH(Summary!$A572, 'Forces+Stresses'!$A:$A, 0)), INDEX(Flexjoints!E:E, MATCH(Summary!$A572, Flexjoints!$A:$A, 0)))</f>
        <v>7.4860000000000002E-7</v>
      </c>
      <c r="P572" s="33" t="str">
        <f>IF(INDEX(Labels!B:B, MATCH(Summary!$A572, Labels!$A:$A, 0)) = 0, "", INDEX(Labels!B:B, MATCH(Summary!$A572, Labels!$A:$A, 0)))</f>
        <v>{Marine Riser String}</v>
      </c>
      <c r="Q572" s="35" t="str">
        <f>IF(INDEX(Labels!C:C, MATCH(Summary!$A572, Labels!$A:$A, 0)) = 0, "", INDEX(Labels!C:C, MATCH(Summary!$A572, Labels!$A:$A, 0)))</f>
        <v>{Diverter}</v>
      </c>
      <c r="R572" s="33" t="str">
        <f>IF(INDEX(Labels!D:D, MATCH(Summary!$A572, Labels!$A:$A, 0)) = 0, "", INDEX(Labels!D:D, MATCH(Summary!$A572, Labels!$A:$A, 0)))</f>
        <v/>
      </c>
      <c r="S572" s="35" t="str">
        <f>IF(INDEX(Labels!E:E, MATCH(Summary!$A572, Labels!$A:$A, 0)) = 0, "", INDEX(Labels!E:E, MATCH(Summary!$A572, Labels!$A:$A, 0)))</f>
        <v/>
      </c>
      <c r="T572" s="33" t="str">
        <f>IF(INDEX(Labels!F:F, MATCH(Summary!$A572, Labels!$A:$A, 0)) = 0, "", INDEX(Labels!F:F, MATCH(Summary!$A572, Labels!$A:$A, 0)))</f>
        <v/>
      </c>
      <c r="U572" s="35" t="str">
        <f>IF(INDEX(Labels!G:G, MATCH(Summary!$A572, Labels!$A:$A, 0)) = 0, "", INDEX(Labels!G:G, MATCH(Summary!$A572, Labels!$A:$A, 0)))</f>
        <v/>
      </c>
      <c r="V572" s="62" t="str">
        <f>IF(INDEX(Labels!H:H, MATCH(Summary!$A572, Labels!$A:$A, 0)) = 0, "", INDEX(Labels!H:H, MATCH(Summary!$A572, Labels!$A:$A, 0)))</f>
        <v/>
      </c>
      <c r="W572" t="str">
        <f>IF(INDEX(Labels!I:I, MATCH(Summary!$A572, Labels!$A:$A, 0)) = 0, "", INDEX(Labels!I:I, MATCH(Summary!$A572, Labels!$A:$A, 0)))</f>
        <v/>
      </c>
      <c r="X572" t="str">
        <f>IF(INDEX(Labels!J:J, MATCH(Summary!$A572, Labels!$A:$A, 0)) = 0, "", INDEX(Labels!J:J, MATCH(Summary!$A572, Labels!$A:$A, 0)))</f>
        <v/>
      </c>
    </row>
    <row r="573" spans="1:24" x14ac:dyDescent="0.2">
      <c r="A573" s="33">
        <f>Labels!A574</f>
        <v>567</v>
      </c>
      <c r="B573" s="34">
        <f>INDEX(EchoData!B:B, MATCH(Summary!$A573, EchoData!$A:$A, 0))</f>
        <v>571</v>
      </c>
      <c r="C573" s="35">
        <f>INDEX(EchoData!C:C, MATCH(Summary!$A573, EchoData!$A:$A, 0))</f>
        <v>572</v>
      </c>
      <c r="D573" s="42">
        <f>INDEX(Displacements!B:B, MATCH(Summary!$B573, Displacements!$A:$A, 0))</f>
        <v>1004.2859999999999</v>
      </c>
      <c r="E573" s="43">
        <f>INDEX(Displacements!C:C, MATCH(Summary!$B573, Displacements!$A:$A, 0))</f>
        <v>0</v>
      </c>
      <c r="F573" s="44">
        <f>INDEX(Displacements!D:D, MATCH(Summary!$B573, Displacements!$A:$A, 0))</f>
        <v>0</v>
      </c>
      <c r="G573" s="42">
        <f>INDEX(Displacements!B:B, MATCH(Summary!$C573, Displacements!$A:$A, 0))</f>
        <v>1004.551</v>
      </c>
      <c r="H573" s="43">
        <f>INDEX(Displacements!C:C, MATCH(Summary!$C573, Displacements!$A:$A, 0))</f>
        <v>0</v>
      </c>
      <c r="I573" s="44">
        <f>INDEX(Displacements!D:D, MATCH(Summary!$C573, Displacements!$A:$A, 0))</f>
        <v>0</v>
      </c>
      <c r="J573" s="42">
        <f t="shared" si="16"/>
        <v>0.26500000000010004</v>
      </c>
      <c r="K573" s="49">
        <f t="shared" si="17"/>
        <v>0.96715328467189476</v>
      </c>
      <c r="L573" s="54">
        <f>INDEX('Forces+Stresses'!C:C, MATCH(Summary!$A573, 'Forces+Stresses'!$A:$A, 0))</f>
        <v>171.9</v>
      </c>
      <c r="M573" s="55">
        <f>INDEX('Forces+Stresses'!D:D, MATCH(Summary!$A573, 'Forces+Stresses'!$A:$A, 0))</f>
        <v>171.9</v>
      </c>
      <c r="N573" s="55">
        <f>IFERROR(INDEX('Forces+Stresses'!Q:Q, MATCH(Summary!$A573, 'Forces+Stresses'!$A:$A, 0)), INDEX(Flexjoints!D:D, MATCH(Summary!$A573, Flexjoints!$A:$A, 0)))</f>
        <v>7.8120000000000001E-8</v>
      </c>
      <c r="O573" s="56">
        <f>IFERROR(INDEX('Forces+Stresses'!R:R, MATCH(Summary!$A573, 'Forces+Stresses'!$A:$A, 0)), INDEX(Flexjoints!E:E, MATCH(Summary!$A573, Flexjoints!$A:$A, 0)))</f>
        <v>1.2049999999999999E-6</v>
      </c>
      <c r="P573" s="33" t="str">
        <f>IF(INDEX(Labels!B:B, MATCH(Summary!$A573, Labels!$A:$A, 0)) = 0, "", INDEX(Labels!B:B, MATCH(Summary!$A573, Labels!$A:$A, 0)))</f>
        <v>{Marine Riser String}</v>
      </c>
      <c r="Q573" s="35" t="str">
        <f>IF(INDEX(Labels!C:C, MATCH(Summary!$A573, Labels!$A:$A, 0)) = 0, "", INDEX(Labels!C:C, MATCH(Summary!$A573, Labels!$A:$A, 0)))</f>
        <v>{Diverter}</v>
      </c>
      <c r="R573" s="33" t="str">
        <f>IF(INDEX(Labels!D:D, MATCH(Summary!$A573, Labels!$A:$A, 0)) = 0, "", INDEX(Labels!D:D, MATCH(Summary!$A573, Labels!$A:$A, 0)))</f>
        <v/>
      </c>
      <c r="S573" s="35" t="str">
        <f>IF(INDEX(Labels!E:E, MATCH(Summary!$A573, Labels!$A:$A, 0)) = 0, "", INDEX(Labels!E:E, MATCH(Summary!$A573, Labels!$A:$A, 0)))</f>
        <v/>
      </c>
      <c r="T573" s="33" t="str">
        <f>IF(INDEX(Labels!F:F, MATCH(Summary!$A573, Labels!$A:$A, 0)) = 0, "", INDEX(Labels!F:F, MATCH(Summary!$A573, Labels!$A:$A, 0)))</f>
        <v/>
      </c>
      <c r="U573" s="35" t="str">
        <f>IF(INDEX(Labels!G:G, MATCH(Summary!$A573, Labels!$A:$A, 0)) = 0, "", INDEX(Labels!G:G, MATCH(Summary!$A573, Labels!$A:$A, 0)))</f>
        <v/>
      </c>
      <c r="V573" s="62" t="str">
        <f>IF(INDEX(Labels!H:H, MATCH(Summary!$A573, Labels!$A:$A, 0)) = 0, "", INDEX(Labels!H:H, MATCH(Summary!$A573, Labels!$A:$A, 0)))</f>
        <v/>
      </c>
      <c r="W573" t="str">
        <f>IF(INDEX(Labels!I:I, MATCH(Summary!$A573, Labels!$A:$A, 0)) = 0, "", INDEX(Labels!I:I, MATCH(Summary!$A573, Labels!$A:$A, 0)))</f>
        <v/>
      </c>
      <c r="X573" t="str">
        <f>IF(INDEX(Labels!J:J, MATCH(Summary!$A573, Labels!$A:$A, 0)) = 0, "", INDEX(Labels!J:J, MATCH(Summary!$A573, Labels!$A:$A, 0)))</f>
        <v/>
      </c>
    </row>
    <row r="574" spans="1:24" x14ac:dyDescent="0.2">
      <c r="A574" s="33">
        <f>Labels!A575</f>
        <v>568</v>
      </c>
      <c r="B574" s="34">
        <f>INDEX(EchoData!B:B, MATCH(Summary!$A574, EchoData!$A:$A, 0))</f>
        <v>572</v>
      </c>
      <c r="C574" s="35">
        <f>INDEX(EchoData!C:C, MATCH(Summary!$A574, EchoData!$A:$A, 0))</f>
        <v>573</v>
      </c>
      <c r="D574" s="42">
        <f>INDEX(Displacements!B:B, MATCH(Summary!$B574, Displacements!$A:$A, 0))</f>
        <v>1004.551</v>
      </c>
      <c r="E574" s="43">
        <f>INDEX(Displacements!C:C, MATCH(Summary!$B574, Displacements!$A:$A, 0))</f>
        <v>0</v>
      </c>
      <c r="F574" s="44">
        <f>INDEX(Displacements!D:D, MATCH(Summary!$B574, Displacements!$A:$A, 0))</f>
        <v>0</v>
      </c>
      <c r="G574" s="42">
        <f>INDEX(Displacements!B:B, MATCH(Summary!$C574, Displacements!$A:$A, 0))</f>
        <v>1004.764</v>
      </c>
      <c r="H574" s="43">
        <f>INDEX(Displacements!C:C, MATCH(Summary!$C574, Displacements!$A:$A, 0))</f>
        <v>0</v>
      </c>
      <c r="I574" s="44">
        <f>INDEX(Displacements!D:D, MATCH(Summary!$C574, Displacements!$A:$A, 0))</f>
        <v>0</v>
      </c>
      <c r="J574" s="42">
        <f t="shared" si="16"/>
        <v>0.21299999999996544</v>
      </c>
      <c r="K574" s="49">
        <f t="shared" si="17"/>
        <v>0.80377358490522655</v>
      </c>
      <c r="L574" s="54">
        <f>INDEX('Forces+Stresses'!C:C, MATCH(Summary!$A574, 'Forces+Stresses'!$A:$A, 0))</f>
        <v>189.1</v>
      </c>
      <c r="M574" s="55">
        <f>INDEX('Forces+Stresses'!D:D, MATCH(Summary!$A574, 'Forces+Stresses'!$A:$A, 0))</f>
        <v>189.1</v>
      </c>
      <c r="N574" s="55">
        <f>IFERROR(INDEX('Forces+Stresses'!Q:Q, MATCH(Summary!$A574, 'Forces+Stresses'!$A:$A, 0)), INDEX(Flexjoints!D:D, MATCH(Summary!$A574, Flexjoints!$A:$A, 0)))</f>
        <v>1.1299999999999999E-7</v>
      </c>
      <c r="O574" s="56">
        <f>IFERROR(INDEX('Forces+Stresses'!R:R, MATCH(Summary!$A574, 'Forces+Stresses'!$A:$A, 0)), INDEX(Flexjoints!E:E, MATCH(Summary!$A574, Flexjoints!$A:$A, 0)))</f>
        <v>1.6500000000000001E-6</v>
      </c>
      <c r="P574" s="33" t="str">
        <f>IF(INDEX(Labels!B:B, MATCH(Summary!$A574, Labels!$A:$A, 0)) = 0, "", INDEX(Labels!B:B, MATCH(Summary!$A574, Labels!$A:$A, 0)))</f>
        <v>{Marine Riser String}</v>
      </c>
      <c r="Q574" s="35" t="str">
        <f>IF(INDEX(Labels!C:C, MATCH(Summary!$A574, Labels!$A:$A, 0)) = 0, "", INDEX(Labels!C:C, MATCH(Summary!$A574, Labels!$A:$A, 0)))</f>
        <v>{Diverter}</v>
      </c>
      <c r="R574" s="33" t="str">
        <f>IF(INDEX(Labels!D:D, MATCH(Summary!$A574, Labels!$A:$A, 0)) = 0, "", INDEX(Labels!D:D, MATCH(Summary!$A574, Labels!$A:$A, 0)))</f>
        <v/>
      </c>
      <c r="S574" s="35" t="str">
        <f>IF(INDEX(Labels!E:E, MATCH(Summary!$A574, Labels!$A:$A, 0)) = 0, "", INDEX(Labels!E:E, MATCH(Summary!$A574, Labels!$A:$A, 0)))</f>
        <v/>
      </c>
      <c r="T574" s="33" t="str">
        <f>IF(INDEX(Labels!F:F, MATCH(Summary!$A574, Labels!$A:$A, 0)) = 0, "", INDEX(Labels!F:F, MATCH(Summary!$A574, Labels!$A:$A, 0)))</f>
        <v/>
      </c>
      <c r="U574" s="35" t="str">
        <f>IF(INDEX(Labels!G:G, MATCH(Summary!$A574, Labels!$A:$A, 0)) = 0, "", INDEX(Labels!G:G, MATCH(Summary!$A574, Labels!$A:$A, 0)))</f>
        <v/>
      </c>
      <c r="V574" s="62" t="str">
        <f>IF(INDEX(Labels!H:H, MATCH(Summary!$A574, Labels!$A:$A, 0)) = 0, "", INDEX(Labels!H:H, MATCH(Summary!$A574, Labels!$A:$A, 0)))</f>
        <v/>
      </c>
      <c r="W574" t="str">
        <f>IF(INDEX(Labels!I:I, MATCH(Summary!$A574, Labels!$A:$A, 0)) = 0, "", INDEX(Labels!I:I, MATCH(Summary!$A574, Labels!$A:$A, 0)))</f>
        <v/>
      </c>
      <c r="X574" t="str">
        <f>IF(INDEX(Labels!J:J, MATCH(Summary!$A574, Labels!$A:$A, 0)) = 0, "", INDEX(Labels!J:J, MATCH(Summary!$A574, Labels!$A:$A, 0)))</f>
        <v/>
      </c>
    </row>
    <row r="575" spans="1:24" x14ac:dyDescent="0.2">
      <c r="A575" s="33">
        <f>Labels!A576</f>
        <v>569</v>
      </c>
      <c r="B575" s="34">
        <f>INDEX(EchoData!B:B, MATCH(Summary!$A575, EchoData!$A:$A, 0))</f>
        <v>573</v>
      </c>
      <c r="C575" s="35">
        <f>INDEX(EchoData!C:C, MATCH(Summary!$A575, EchoData!$A:$A, 0))</f>
        <v>574</v>
      </c>
      <c r="D575" s="42">
        <f>INDEX(Displacements!B:B, MATCH(Summary!$B575, Displacements!$A:$A, 0))</f>
        <v>1004.764</v>
      </c>
      <c r="E575" s="43">
        <f>INDEX(Displacements!C:C, MATCH(Summary!$B575, Displacements!$A:$A, 0))</f>
        <v>0</v>
      </c>
      <c r="F575" s="44">
        <f>INDEX(Displacements!D:D, MATCH(Summary!$B575, Displacements!$A:$A, 0))</f>
        <v>0</v>
      </c>
      <c r="G575" s="42">
        <f>INDEX(Displacements!B:B, MATCH(Summary!$C575, Displacements!$A:$A, 0))</f>
        <v>1004.9059999999999</v>
      </c>
      <c r="H575" s="43">
        <f>INDEX(Displacements!C:C, MATCH(Summary!$C575, Displacements!$A:$A, 0))</f>
        <v>0</v>
      </c>
      <c r="I575" s="44">
        <f>INDEX(Displacements!D:D, MATCH(Summary!$C575, Displacements!$A:$A, 0))</f>
        <v>0</v>
      </c>
      <c r="J575" s="42">
        <f t="shared" si="16"/>
        <v>0.14199999999993906</v>
      </c>
      <c r="K575" s="49">
        <f t="shared" si="17"/>
        <v>0.66666666666648877</v>
      </c>
      <c r="L575" s="54">
        <f>INDEX('Forces+Stresses'!C:C, MATCH(Summary!$A575, 'Forces+Stresses'!$A:$A, 0))</f>
        <v>202.9</v>
      </c>
      <c r="M575" s="55">
        <f>INDEX('Forces+Stresses'!D:D, MATCH(Summary!$A575, 'Forces+Stresses'!$A:$A, 0))</f>
        <v>202.9</v>
      </c>
      <c r="N575" s="55">
        <f>IFERROR(INDEX('Forces+Stresses'!Q:Q, MATCH(Summary!$A575, 'Forces+Stresses'!$A:$A, 0)), INDEX(Flexjoints!D:D, MATCH(Summary!$A575, Flexjoints!$A:$A, 0)))</f>
        <v>1.4190000000000002E-7</v>
      </c>
      <c r="O575" s="56">
        <f>IFERROR(INDEX('Forces+Stresses'!R:R, MATCH(Summary!$A575, 'Forces+Stresses'!$A:$A, 0)), INDEX(Flexjoints!E:E, MATCH(Summary!$A575, Flexjoints!$A:$A, 0)))</f>
        <v>2.007E-6</v>
      </c>
      <c r="P575" s="33" t="str">
        <f>IF(INDEX(Labels!B:B, MATCH(Summary!$A575, Labels!$A:$A, 0)) = 0, "", INDEX(Labels!B:B, MATCH(Summary!$A575, Labels!$A:$A, 0)))</f>
        <v>{Marine Riser String}</v>
      </c>
      <c r="Q575" s="35" t="str">
        <f>IF(INDEX(Labels!C:C, MATCH(Summary!$A575, Labels!$A:$A, 0)) = 0, "", INDEX(Labels!C:C, MATCH(Summary!$A575, Labels!$A:$A, 0)))</f>
        <v>{Diverter}</v>
      </c>
      <c r="R575" s="33" t="str">
        <f>IF(INDEX(Labels!D:D, MATCH(Summary!$A575, Labels!$A:$A, 0)) = 0, "", INDEX(Labels!D:D, MATCH(Summary!$A575, Labels!$A:$A, 0)))</f>
        <v/>
      </c>
      <c r="S575" s="35" t="str">
        <f>IF(INDEX(Labels!E:E, MATCH(Summary!$A575, Labels!$A:$A, 0)) = 0, "", INDEX(Labels!E:E, MATCH(Summary!$A575, Labels!$A:$A, 0)))</f>
        <v/>
      </c>
      <c r="T575" s="33" t="str">
        <f>IF(INDEX(Labels!F:F, MATCH(Summary!$A575, Labels!$A:$A, 0)) = 0, "", INDEX(Labels!F:F, MATCH(Summary!$A575, Labels!$A:$A, 0)))</f>
        <v/>
      </c>
      <c r="U575" s="35" t="str">
        <f>IF(INDEX(Labels!G:G, MATCH(Summary!$A575, Labels!$A:$A, 0)) = 0, "", INDEX(Labels!G:G, MATCH(Summary!$A575, Labels!$A:$A, 0)))</f>
        <v/>
      </c>
      <c r="V575" s="62" t="str">
        <f>IF(INDEX(Labels!H:H, MATCH(Summary!$A575, Labels!$A:$A, 0)) = 0, "", INDEX(Labels!H:H, MATCH(Summary!$A575, Labels!$A:$A, 0)))</f>
        <v/>
      </c>
      <c r="W575" t="str">
        <f>IF(INDEX(Labels!I:I, MATCH(Summary!$A575, Labels!$A:$A, 0)) = 0, "", INDEX(Labels!I:I, MATCH(Summary!$A575, Labels!$A:$A, 0)))</f>
        <v/>
      </c>
      <c r="X575" t="str">
        <f>IF(INDEX(Labels!J:J, MATCH(Summary!$A575, Labels!$A:$A, 0)) = 0, "", INDEX(Labels!J:J, MATCH(Summary!$A575, Labels!$A:$A, 0)))</f>
        <v/>
      </c>
    </row>
    <row r="576" spans="1:24" x14ac:dyDescent="0.2">
      <c r="A576" s="33">
        <f>Labels!A577</f>
        <v>570</v>
      </c>
      <c r="B576" s="34">
        <f>INDEX(EchoData!B:B, MATCH(Summary!$A576, EchoData!$A:$A, 0))</f>
        <v>574</v>
      </c>
      <c r="C576" s="35">
        <f>INDEX(EchoData!C:C, MATCH(Summary!$A576, EchoData!$A:$A, 0))</f>
        <v>575</v>
      </c>
      <c r="D576" s="42">
        <f>INDEX(Displacements!B:B, MATCH(Summary!$B576, Displacements!$A:$A, 0))</f>
        <v>1004.9059999999999</v>
      </c>
      <c r="E576" s="43">
        <f>INDEX(Displacements!C:C, MATCH(Summary!$B576, Displacements!$A:$A, 0))</f>
        <v>0</v>
      </c>
      <c r="F576" s="44">
        <f>INDEX(Displacements!D:D, MATCH(Summary!$B576, Displacements!$A:$A, 0))</f>
        <v>0</v>
      </c>
      <c r="G576" s="42">
        <f>INDEX(Displacements!B:B, MATCH(Summary!$C576, Displacements!$A:$A, 0))</f>
        <v>1005</v>
      </c>
      <c r="H576" s="43">
        <f>INDEX(Displacements!C:C, MATCH(Summary!$C576, Displacements!$A:$A, 0))</f>
        <v>0</v>
      </c>
      <c r="I576" s="44">
        <f>INDEX(Displacements!D:D, MATCH(Summary!$C576, Displacements!$A:$A, 0))</f>
        <v>0</v>
      </c>
      <c r="J576" s="42">
        <f t="shared" si="16"/>
        <v>9.4000000000050932E-2</v>
      </c>
      <c r="K576" s="49">
        <f t="shared" si="17"/>
        <v>0.66197183098655821</v>
      </c>
      <c r="L576" s="54">
        <f>INDEX('Forces+Stresses'!C:C, MATCH(Summary!$A576, 'Forces+Stresses'!$A:$A, 0))</f>
        <v>212.1</v>
      </c>
      <c r="M576" s="55">
        <f>INDEX('Forces+Stresses'!D:D, MATCH(Summary!$A576, 'Forces+Stresses'!$A:$A, 0))</f>
        <v>212.1</v>
      </c>
      <c r="N576" s="55">
        <f>IFERROR(INDEX('Forces+Stresses'!Q:Q, MATCH(Summary!$A576, 'Forces+Stresses'!$A:$A, 0)), INDEX(Flexjoints!D:D, MATCH(Summary!$A576, Flexjoints!$A:$A, 0)))</f>
        <v>1.6149999999999998E-7</v>
      </c>
      <c r="O576" s="56">
        <f>IFERROR(INDEX('Forces+Stresses'!R:R, MATCH(Summary!$A576, 'Forces+Stresses'!$A:$A, 0)), INDEX(Flexjoints!E:E, MATCH(Summary!$A576, Flexjoints!$A:$A, 0)))</f>
        <v>2.2450000000000001E-6</v>
      </c>
      <c r="P576" s="33" t="str">
        <f>IF(INDEX(Labels!B:B, MATCH(Summary!$A576, Labels!$A:$A, 0)) = 0, "", INDEX(Labels!B:B, MATCH(Summary!$A576, Labels!$A:$A, 0)))</f>
        <v>{Marine Riser String}</v>
      </c>
      <c r="Q576" s="35" t="str">
        <f>IF(INDEX(Labels!C:C, MATCH(Summary!$A576, Labels!$A:$A, 0)) = 0, "", INDEX(Labels!C:C, MATCH(Summary!$A576, Labels!$A:$A, 0)))</f>
        <v>{Diverter}</v>
      </c>
      <c r="R576" s="33" t="str">
        <f>IF(INDEX(Labels!D:D, MATCH(Summary!$A576, Labels!$A:$A, 0)) = 0, "", INDEX(Labels!D:D, MATCH(Summary!$A576, Labels!$A:$A, 0)))</f>
        <v/>
      </c>
      <c r="S576" s="35" t="str">
        <f>IF(INDEX(Labels!E:E, MATCH(Summary!$A576, Labels!$A:$A, 0)) = 0, "", INDEX(Labels!E:E, MATCH(Summary!$A576, Labels!$A:$A, 0)))</f>
        <v>{Marine Riser String_Last}</v>
      </c>
      <c r="T576" s="33" t="str">
        <f>IF(INDEX(Labels!F:F, MATCH(Summary!$A576, Labels!$A:$A, 0)) = 0, "", INDEX(Labels!F:F, MATCH(Summary!$A576, Labels!$A:$A, 0)))</f>
        <v/>
      </c>
      <c r="U576" s="35" t="str">
        <f>IF(INDEX(Labels!G:G, MATCH(Summary!$A576, Labels!$A:$A, 0)) = 0, "", INDEX(Labels!G:G, MATCH(Summary!$A576, Labels!$A:$A, 0)))</f>
        <v>{Diverter_Last}</v>
      </c>
      <c r="V576" s="62" t="str">
        <f>IF(INDEX(Labels!H:H, MATCH(Summary!$A576, Labels!$A:$A, 0)) = 0, "", INDEX(Labels!H:H, MATCH(Summary!$A576, Labels!$A:$A, 0)))</f>
        <v/>
      </c>
      <c r="W576" t="str">
        <f>IF(INDEX(Labels!I:I, MATCH(Summary!$A576, Labels!$A:$A, 0)) = 0, "", INDEX(Labels!I:I, MATCH(Summary!$A576, Labels!$A:$A, 0)))</f>
        <v/>
      </c>
      <c r="X576" t="str">
        <f>IF(INDEX(Labels!J:J, MATCH(Summary!$A576, Labels!$A:$A, 0)) = 0, "", INDEX(Labels!J:J, MATCH(Summary!$A576, Labels!$A:$A, 0)))</f>
        <v/>
      </c>
    </row>
    <row r="577" spans="1:24" x14ac:dyDescent="0.2">
      <c r="A577" s="33">
        <f>Labels!A578</f>
        <v>571</v>
      </c>
      <c r="B577" s="34">
        <f>INDEX(EchoData!B:B, MATCH(Summary!$A577, EchoData!$A:$A, 0))</f>
        <v>576</v>
      </c>
      <c r="C577" s="35">
        <f>INDEX(EchoData!C:C, MATCH(Summary!$A577, EchoData!$A:$A, 0))</f>
        <v>577</v>
      </c>
      <c r="D577" s="42">
        <f>INDEX(Displacements!B:B, MATCH(Summary!$B577, Displacements!$A:$A, 0))</f>
        <v>995.11900000000003</v>
      </c>
      <c r="E577" s="43">
        <f>INDEX(Displacements!C:C, MATCH(Summary!$B577, Displacements!$A:$A, 0))</f>
        <v>1.397</v>
      </c>
      <c r="F577" s="44">
        <f>INDEX(Displacements!D:D, MATCH(Summary!$B577, Displacements!$A:$A, 0))</f>
        <v>0</v>
      </c>
      <c r="G577" s="42">
        <f>INDEX(Displacements!B:B, MATCH(Summary!$C577, Displacements!$A:$A, 0))</f>
        <v>1005</v>
      </c>
      <c r="H577" s="43">
        <f>INDEX(Displacements!C:C, MATCH(Summary!$C577, Displacements!$A:$A, 0))</f>
        <v>3.5190000000000001</v>
      </c>
      <c r="I577" s="44">
        <f>INDEX(Displacements!D:D, MATCH(Summary!$C577, Displacements!$A:$A, 0))</f>
        <v>0</v>
      </c>
      <c r="J577" s="42">
        <f t="shared" si="16"/>
        <v>10.106287399436027</v>
      </c>
      <c r="K577" s="49" t="str">
        <f t="shared" si="17"/>
        <v>N/A</v>
      </c>
      <c r="L577" s="54">
        <f>INDEX('Forces+Stresses'!C:C, MATCH(Summary!$A577, 'Forces+Stresses'!$A:$A, 0))</f>
        <v>658</v>
      </c>
      <c r="M577" s="55">
        <f>INDEX('Forces+Stresses'!D:D, MATCH(Summary!$A577, 'Forces+Stresses'!$A:$A, 0))</f>
        <v>658</v>
      </c>
      <c r="N577" s="55">
        <f>IFERROR(INDEX('Forces+Stresses'!Q:Q, MATCH(Summary!$A577, 'Forces+Stresses'!$A:$A, 0)), INDEX(Flexjoints!D:D, MATCH(Summary!$A577, Flexjoints!$A:$A, 0)))</f>
        <v>8.2830000000000002E-4</v>
      </c>
      <c r="O577" s="56">
        <f>IFERROR(INDEX('Forces+Stresses'!R:R, MATCH(Summary!$A577, 'Forces+Stresses'!$A:$A, 0)), INDEX(Flexjoints!E:E, MATCH(Summary!$A577, Flexjoints!$A:$A, 0)))</f>
        <v>8.2830000000000002E-4</v>
      </c>
      <c r="P577" s="33" t="str">
        <f>IF(INDEX(Labels!B:B, MATCH(Summary!$A577, Labels!$A:$A, 0)) = 0, "", INDEX(Labels!B:B, MATCH(Summary!$A577, Labels!$A:$A, 0)))</f>
        <v>{Tensioner 1}</v>
      </c>
      <c r="Q577" s="35" t="str">
        <f>IF(INDEX(Labels!C:C, MATCH(Summary!$A577, Labels!$A:$A, 0)) = 0, "", INDEX(Labels!C:C, MATCH(Summary!$A577, Labels!$A:$A, 0)))</f>
        <v/>
      </c>
      <c r="R577" s="33" t="str">
        <f>IF(INDEX(Labels!D:D, MATCH(Summary!$A577, Labels!$A:$A, 0)) = 0, "", INDEX(Labels!D:D, MATCH(Summary!$A577, Labels!$A:$A, 0)))</f>
        <v>{Tensioner 1_First}</v>
      </c>
      <c r="S577" s="35" t="str">
        <f>IF(INDEX(Labels!E:E, MATCH(Summary!$A577, Labels!$A:$A, 0)) = 0, "", INDEX(Labels!E:E, MATCH(Summary!$A577, Labels!$A:$A, 0)))</f>
        <v>{Tensioner 1_Last}</v>
      </c>
      <c r="T577" s="33" t="str">
        <f>IF(INDEX(Labels!F:F, MATCH(Summary!$A577, Labels!$A:$A, 0)) = 0, "", INDEX(Labels!F:F, MATCH(Summary!$A577, Labels!$A:$A, 0)))</f>
        <v/>
      </c>
      <c r="U577" s="35" t="str">
        <f>IF(INDEX(Labels!G:G, MATCH(Summary!$A577, Labels!$A:$A, 0)) = 0, "", INDEX(Labels!G:G, MATCH(Summary!$A577, Labels!$A:$A, 0)))</f>
        <v/>
      </c>
      <c r="V577" s="62" t="str">
        <f>IF(INDEX(Labels!H:H, MATCH(Summary!$A577, Labels!$A:$A, 0)) = 0, "", INDEX(Labels!H:H, MATCH(Summary!$A577, Labels!$A:$A, 0)))</f>
        <v/>
      </c>
      <c r="W577" t="str">
        <f>IF(INDEX(Labels!I:I, MATCH(Summary!$A577, Labels!$A:$A, 0)) = 0, "", INDEX(Labels!I:I, MATCH(Summary!$A577, Labels!$A:$A, 0)))</f>
        <v/>
      </c>
      <c r="X577" t="str">
        <f>IF(INDEX(Labels!J:J, MATCH(Summary!$A577, Labels!$A:$A, 0)) = 0, "", INDEX(Labels!J:J, MATCH(Summary!$A577, Labels!$A:$A, 0)))</f>
        <v/>
      </c>
    </row>
    <row r="578" spans="1:24" x14ac:dyDescent="0.2">
      <c r="A578" s="33">
        <f>Labels!A579</f>
        <v>572</v>
      </c>
      <c r="B578" s="34">
        <f>INDEX(EchoData!B:B, MATCH(Summary!$A578, EchoData!$A:$A, 0))</f>
        <v>578</v>
      </c>
      <c r="C578" s="35">
        <f>INDEX(EchoData!C:C, MATCH(Summary!$A578, EchoData!$A:$A, 0))</f>
        <v>579</v>
      </c>
      <c r="D578" s="42">
        <f>INDEX(Displacements!B:B, MATCH(Summary!$B578, Displacements!$A:$A, 0))</f>
        <v>995.11900000000003</v>
      </c>
      <c r="E578" s="43">
        <f>INDEX(Displacements!C:C, MATCH(Summary!$B578, Displacements!$A:$A, 0))</f>
        <v>0.98799999999999999</v>
      </c>
      <c r="F578" s="44">
        <f>INDEX(Displacements!D:D, MATCH(Summary!$B578, Displacements!$A:$A, 0))</f>
        <v>0.98799999999999999</v>
      </c>
      <c r="G578" s="42">
        <f>INDEX(Displacements!B:B, MATCH(Summary!$C578, Displacements!$A:$A, 0))</f>
        <v>1005</v>
      </c>
      <c r="H578" s="43">
        <f>INDEX(Displacements!C:C, MATCH(Summary!$C578, Displacements!$A:$A, 0))</f>
        <v>2.488</v>
      </c>
      <c r="I578" s="44">
        <f>INDEX(Displacements!D:D, MATCH(Summary!$C578, Displacements!$A:$A, 0))</f>
        <v>2.488</v>
      </c>
      <c r="J578" s="42">
        <f t="shared" si="16"/>
        <v>10.106144714974125</v>
      </c>
      <c r="K578" s="49" t="str">
        <f t="shared" si="17"/>
        <v>N/A</v>
      </c>
      <c r="L578" s="54">
        <f>INDEX('Forces+Stresses'!C:C, MATCH(Summary!$A578, 'Forces+Stresses'!$A:$A, 0))</f>
        <v>658</v>
      </c>
      <c r="M578" s="55">
        <f>INDEX('Forces+Stresses'!D:D, MATCH(Summary!$A578, 'Forces+Stresses'!$A:$A, 0))</f>
        <v>658</v>
      </c>
      <c r="N578" s="55">
        <f>IFERROR(INDEX('Forces+Stresses'!Q:Q, MATCH(Summary!$A578, 'Forces+Stresses'!$A:$A, 0)), INDEX(Flexjoints!D:D, MATCH(Summary!$A578, Flexjoints!$A:$A, 0)))</f>
        <v>8.2809999999999991E-4</v>
      </c>
      <c r="O578" s="56">
        <f>IFERROR(INDEX('Forces+Stresses'!R:R, MATCH(Summary!$A578, 'Forces+Stresses'!$A:$A, 0)), INDEX(Flexjoints!E:E, MATCH(Summary!$A578, Flexjoints!$A:$A, 0)))</f>
        <v>8.2809999999999991E-4</v>
      </c>
      <c r="P578" s="33" t="str">
        <f>IF(INDEX(Labels!B:B, MATCH(Summary!$A578, Labels!$A:$A, 0)) = 0, "", INDEX(Labels!B:B, MATCH(Summary!$A578, Labels!$A:$A, 0)))</f>
        <v>{Tensioner 2}</v>
      </c>
      <c r="Q578" s="35" t="str">
        <f>IF(INDEX(Labels!C:C, MATCH(Summary!$A578, Labels!$A:$A, 0)) = 0, "", INDEX(Labels!C:C, MATCH(Summary!$A578, Labels!$A:$A, 0)))</f>
        <v/>
      </c>
      <c r="R578" s="33" t="str">
        <f>IF(INDEX(Labels!D:D, MATCH(Summary!$A578, Labels!$A:$A, 0)) = 0, "", INDEX(Labels!D:D, MATCH(Summary!$A578, Labels!$A:$A, 0)))</f>
        <v>{Tensioner 2_First}</v>
      </c>
      <c r="S578" s="35" t="str">
        <f>IF(INDEX(Labels!E:E, MATCH(Summary!$A578, Labels!$A:$A, 0)) = 0, "", INDEX(Labels!E:E, MATCH(Summary!$A578, Labels!$A:$A, 0)))</f>
        <v>{Tensioner 2_Last}</v>
      </c>
      <c r="T578" s="33" t="str">
        <f>IF(INDEX(Labels!F:F, MATCH(Summary!$A578, Labels!$A:$A, 0)) = 0, "", INDEX(Labels!F:F, MATCH(Summary!$A578, Labels!$A:$A, 0)))</f>
        <v/>
      </c>
      <c r="U578" s="35" t="str">
        <f>IF(INDEX(Labels!G:G, MATCH(Summary!$A578, Labels!$A:$A, 0)) = 0, "", INDEX(Labels!G:G, MATCH(Summary!$A578, Labels!$A:$A, 0)))</f>
        <v/>
      </c>
      <c r="V578" s="62" t="str">
        <f>IF(INDEX(Labels!H:H, MATCH(Summary!$A578, Labels!$A:$A, 0)) = 0, "", INDEX(Labels!H:H, MATCH(Summary!$A578, Labels!$A:$A, 0)))</f>
        <v/>
      </c>
      <c r="W578" t="str">
        <f>IF(INDEX(Labels!I:I, MATCH(Summary!$A578, Labels!$A:$A, 0)) = 0, "", INDEX(Labels!I:I, MATCH(Summary!$A578, Labels!$A:$A, 0)))</f>
        <v/>
      </c>
      <c r="X578" t="str">
        <f>IF(INDEX(Labels!J:J, MATCH(Summary!$A578, Labels!$A:$A, 0)) = 0, "", INDEX(Labels!J:J, MATCH(Summary!$A578, Labels!$A:$A, 0)))</f>
        <v/>
      </c>
    </row>
    <row r="579" spans="1:24" x14ac:dyDescent="0.2">
      <c r="A579" s="33">
        <f>Labels!A580</f>
        <v>573</v>
      </c>
      <c r="B579" s="34">
        <f>INDEX(EchoData!B:B, MATCH(Summary!$A579, EchoData!$A:$A, 0))</f>
        <v>580</v>
      </c>
      <c r="C579" s="35">
        <f>INDEX(EchoData!C:C, MATCH(Summary!$A579, EchoData!$A:$A, 0))</f>
        <v>581</v>
      </c>
      <c r="D579" s="42">
        <f>INDEX(Displacements!B:B, MATCH(Summary!$B579, Displacements!$A:$A, 0))</f>
        <v>995.11900000000003</v>
      </c>
      <c r="E579" s="43">
        <f>INDEX(Displacements!C:C, MATCH(Summary!$B579, Displacements!$A:$A, 0))</f>
        <v>0</v>
      </c>
      <c r="F579" s="44">
        <f>INDEX(Displacements!D:D, MATCH(Summary!$B579, Displacements!$A:$A, 0))</f>
        <v>1.397</v>
      </c>
      <c r="G579" s="42">
        <f>INDEX(Displacements!B:B, MATCH(Summary!$C579, Displacements!$A:$A, 0))</f>
        <v>1005</v>
      </c>
      <c r="H579" s="43">
        <f>INDEX(Displacements!C:C, MATCH(Summary!$C579, Displacements!$A:$A, 0))</f>
        <v>0</v>
      </c>
      <c r="I579" s="44">
        <f>INDEX(Displacements!D:D, MATCH(Summary!$C579, Displacements!$A:$A, 0))</f>
        <v>3.5190000000000001</v>
      </c>
      <c r="J579" s="42">
        <f t="shared" si="16"/>
        <v>10.106287399436027</v>
      </c>
      <c r="K579" s="49" t="str">
        <f t="shared" si="17"/>
        <v>N/A</v>
      </c>
      <c r="L579" s="54">
        <f>INDEX('Forces+Stresses'!C:C, MATCH(Summary!$A579, 'Forces+Stresses'!$A:$A, 0))</f>
        <v>658</v>
      </c>
      <c r="M579" s="55">
        <f>INDEX('Forces+Stresses'!D:D, MATCH(Summary!$A579, 'Forces+Stresses'!$A:$A, 0))</f>
        <v>658</v>
      </c>
      <c r="N579" s="55">
        <f>IFERROR(INDEX('Forces+Stresses'!Q:Q, MATCH(Summary!$A579, 'Forces+Stresses'!$A:$A, 0)), INDEX(Flexjoints!D:D, MATCH(Summary!$A579, Flexjoints!$A:$A, 0)))</f>
        <v>8.2830000000000002E-4</v>
      </c>
      <c r="O579" s="56">
        <f>IFERROR(INDEX('Forces+Stresses'!R:R, MATCH(Summary!$A579, 'Forces+Stresses'!$A:$A, 0)), INDEX(Flexjoints!E:E, MATCH(Summary!$A579, Flexjoints!$A:$A, 0)))</f>
        <v>8.2830000000000002E-4</v>
      </c>
      <c r="P579" s="33" t="str">
        <f>IF(INDEX(Labels!B:B, MATCH(Summary!$A579, Labels!$A:$A, 0)) = 0, "", INDEX(Labels!B:B, MATCH(Summary!$A579, Labels!$A:$A, 0)))</f>
        <v>{Tensioner 3}</v>
      </c>
      <c r="Q579" s="35" t="str">
        <f>IF(INDEX(Labels!C:C, MATCH(Summary!$A579, Labels!$A:$A, 0)) = 0, "", INDEX(Labels!C:C, MATCH(Summary!$A579, Labels!$A:$A, 0)))</f>
        <v/>
      </c>
      <c r="R579" s="33" t="str">
        <f>IF(INDEX(Labels!D:D, MATCH(Summary!$A579, Labels!$A:$A, 0)) = 0, "", INDEX(Labels!D:D, MATCH(Summary!$A579, Labels!$A:$A, 0)))</f>
        <v>{Tensioner 3_First}</v>
      </c>
      <c r="S579" s="35" t="str">
        <f>IF(INDEX(Labels!E:E, MATCH(Summary!$A579, Labels!$A:$A, 0)) = 0, "", INDEX(Labels!E:E, MATCH(Summary!$A579, Labels!$A:$A, 0)))</f>
        <v>{Tensioner 3_Last}</v>
      </c>
      <c r="T579" s="33" t="str">
        <f>IF(INDEX(Labels!F:F, MATCH(Summary!$A579, Labels!$A:$A, 0)) = 0, "", INDEX(Labels!F:F, MATCH(Summary!$A579, Labels!$A:$A, 0)))</f>
        <v/>
      </c>
      <c r="U579" s="35" t="str">
        <f>IF(INDEX(Labels!G:G, MATCH(Summary!$A579, Labels!$A:$A, 0)) = 0, "", INDEX(Labels!G:G, MATCH(Summary!$A579, Labels!$A:$A, 0)))</f>
        <v/>
      </c>
      <c r="V579" s="62" t="str">
        <f>IF(INDEX(Labels!H:H, MATCH(Summary!$A579, Labels!$A:$A, 0)) = 0, "", INDEX(Labels!H:H, MATCH(Summary!$A579, Labels!$A:$A, 0)))</f>
        <v/>
      </c>
      <c r="W579" t="str">
        <f>IF(INDEX(Labels!I:I, MATCH(Summary!$A579, Labels!$A:$A, 0)) = 0, "", INDEX(Labels!I:I, MATCH(Summary!$A579, Labels!$A:$A, 0)))</f>
        <v/>
      </c>
      <c r="X579" t="str">
        <f>IF(INDEX(Labels!J:J, MATCH(Summary!$A579, Labels!$A:$A, 0)) = 0, "", INDEX(Labels!J:J, MATCH(Summary!$A579, Labels!$A:$A, 0)))</f>
        <v/>
      </c>
    </row>
    <row r="580" spans="1:24" x14ac:dyDescent="0.2">
      <c r="A580" s="33">
        <f>Labels!A581</f>
        <v>574</v>
      </c>
      <c r="B580" s="34">
        <f>INDEX(EchoData!B:B, MATCH(Summary!$A580, EchoData!$A:$A, 0))</f>
        <v>582</v>
      </c>
      <c r="C580" s="35">
        <f>INDEX(EchoData!C:C, MATCH(Summary!$A580, EchoData!$A:$A, 0))</f>
        <v>583</v>
      </c>
      <c r="D580" s="42">
        <f>INDEX(Displacements!B:B, MATCH(Summary!$B580, Displacements!$A:$A, 0))</f>
        <v>995.11900000000003</v>
      </c>
      <c r="E580" s="43">
        <f>INDEX(Displacements!C:C, MATCH(Summary!$B580, Displacements!$A:$A, 0))</f>
        <v>-0.98799999999999999</v>
      </c>
      <c r="F580" s="44">
        <f>INDEX(Displacements!D:D, MATCH(Summary!$B580, Displacements!$A:$A, 0))</f>
        <v>0.98799999999999999</v>
      </c>
      <c r="G580" s="42">
        <f>INDEX(Displacements!B:B, MATCH(Summary!$C580, Displacements!$A:$A, 0))</f>
        <v>1005</v>
      </c>
      <c r="H580" s="43">
        <f>INDEX(Displacements!C:C, MATCH(Summary!$C580, Displacements!$A:$A, 0))</f>
        <v>-2.488</v>
      </c>
      <c r="I580" s="44">
        <f>INDEX(Displacements!D:D, MATCH(Summary!$C580, Displacements!$A:$A, 0))</f>
        <v>2.488</v>
      </c>
      <c r="J580" s="42">
        <f t="shared" si="16"/>
        <v>10.106144714974125</v>
      </c>
      <c r="K580" s="49" t="str">
        <f t="shared" si="17"/>
        <v>N/A</v>
      </c>
      <c r="L580" s="54">
        <f>INDEX('Forces+Stresses'!C:C, MATCH(Summary!$A580, 'Forces+Stresses'!$A:$A, 0))</f>
        <v>658</v>
      </c>
      <c r="M580" s="55">
        <f>INDEX('Forces+Stresses'!D:D, MATCH(Summary!$A580, 'Forces+Stresses'!$A:$A, 0))</f>
        <v>658</v>
      </c>
      <c r="N580" s="55">
        <f>IFERROR(INDEX('Forces+Stresses'!Q:Q, MATCH(Summary!$A580, 'Forces+Stresses'!$A:$A, 0)), INDEX(Flexjoints!D:D, MATCH(Summary!$A580, Flexjoints!$A:$A, 0)))</f>
        <v>8.2809999999999991E-4</v>
      </c>
      <c r="O580" s="56">
        <f>IFERROR(INDEX('Forces+Stresses'!R:R, MATCH(Summary!$A580, 'Forces+Stresses'!$A:$A, 0)), INDEX(Flexjoints!E:E, MATCH(Summary!$A580, Flexjoints!$A:$A, 0)))</f>
        <v>8.2809999999999991E-4</v>
      </c>
      <c r="P580" s="33" t="str">
        <f>IF(INDEX(Labels!B:B, MATCH(Summary!$A580, Labels!$A:$A, 0)) = 0, "", INDEX(Labels!B:B, MATCH(Summary!$A580, Labels!$A:$A, 0)))</f>
        <v>{Tensioner 4}</v>
      </c>
      <c r="Q580" s="35" t="str">
        <f>IF(INDEX(Labels!C:C, MATCH(Summary!$A580, Labels!$A:$A, 0)) = 0, "", INDEX(Labels!C:C, MATCH(Summary!$A580, Labels!$A:$A, 0)))</f>
        <v/>
      </c>
      <c r="R580" s="33" t="str">
        <f>IF(INDEX(Labels!D:D, MATCH(Summary!$A580, Labels!$A:$A, 0)) = 0, "", INDEX(Labels!D:D, MATCH(Summary!$A580, Labels!$A:$A, 0)))</f>
        <v>{Tensioner 4_First}</v>
      </c>
      <c r="S580" s="35" t="str">
        <f>IF(INDEX(Labels!E:E, MATCH(Summary!$A580, Labels!$A:$A, 0)) = 0, "", INDEX(Labels!E:E, MATCH(Summary!$A580, Labels!$A:$A, 0)))</f>
        <v>{Tensioner 4_Last}</v>
      </c>
      <c r="T580" s="33" t="str">
        <f>IF(INDEX(Labels!F:F, MATCH(Summary!$A580, Labels!$A:$A, 0)) = 0, "", INDEX(Labels!F:F, MATCH(Summary!$A580, Labels!$A:$A, 0)))</f>
        <v/>
      </c>
      <c r="U580" s="35" t="str">
        <f>IF(INDEX(Labels!G:G, MATCH(Summary!$A580, Labels!$A:$A, 0)) = 0, "", INDEX(Labels!G:G, MATCH(Summary!$A580, Labels!$A:$A, 0)))</f>
        <v/>
      </c>
      <c r="V580" s="62" t="str">
        <f>IF(INDEX(Labels!H:H, MATCH(Summary!$A580, Labels!$A:$A, 0)) = 0, "", INDEX(Labels!H:H, MATCH(Summary!$A580, Labels!$A:$A, 0)))</f>
        <v/>
      </c>
      <c r="W580" t="str">
        <f>IF(INDEX(Labels!I:I, MATCH(Summary!$A580, Labels!$A:$A, 0)) = 0, "", INDEX(Labels!I:I, MATCH(Summary!$A580, Labels!$A:$A, 0)))</f>
        <v/>
      </c>
      <c r="X580" t="str">
        <f>IF(INDEX(Labels!J:J, MATCH(Summary!$A580, Labels!$A:$A, 0)) = 0, "", INDEX(Labels!J:J, MATCH(Summary!$A580, Labels!$A:$A, 0)))</f>
        <v/>
      </c>
    </row>
    <row r="581" spans="1:24" x14ac:dyDescent="0.2">
      <c r="A581" s="33">
        <f>Labels!A582</f>
        <v>575</v>
      </c>
      <c r="B581" s="34">
        <f>INDEX(EchoData!B:B, MATCH(Summary!$A581, EchoData!$A:$A, 0))</f>
        <v>584</v>
      </c>
      <c r="C581" s="35">
        <f>INDEX(EchoData!C:C, MATCH(Summary!$A581, EchoData!$A:$A, 0))</f>
        <v>585</v>
      </c>
      <c r="D581" s="42">
        <f>INDEX(Displacements!B:B, MATCH(Summary!$B581, Displacements!$A:$A, 0))</f>
        <v>995.11900000000003</v>
      </c>
      <c r="E581" s="43">
        <f>INDEX(Displacements!C:C, MATCH(Summary!$B581, Displacements!$A:$A, 0))</f>
        <v>-1.397</v>
      </c>
      <c r="F581" s="44">
        <f>INDEX(Displacements!D:D, MATCH(Summary!$B581, Displacements!$A:$A, 0))</f>
        <v>0</v>
      </c>
      <c r="G581" s="42">
        <f>INDEX(Displacements!B:B, MATCH(Summary!$C581, Displacements!$A:$A, 0))</f>
        <v>1005</v>
      </c>
      <c r="H581" s="43">
        <f>INDEX(Displacements!C:C, MATCH(Summary!$C581, Displacements!$A:$A, 0))</f>
        <v>-3.5190000000000001</v>
      </c>
      <c r="I581" s="44">
        <f>INDEX(Displacements!D:D, MATCH(Summary!$C581, Displacements!$A:$A, 0))</f>
        <v>0</v>
      </c>
      <c r="J581" s="42">
        <f t="shared" si="16"/>
        <v>10.106287399436027</v>
      </c>
      <c r="K581" s="49" t="str">
        <f t="shared" si="17"/>
        <v>N/A</v>
      </c>
      <c r="L581" s="54">
        <f>INDEX('Forces+Stresses'!C:C, MATCH(Summary!$A581, 'Forces+Stresses'!$A:$A, 0))</f>
        <v>658</v>
      </c>
      <c r="M581" s="55">
        <f>INDEX('Forces+Stresses'!D:D, MATCH(Summary!$A581, 'Forces+Stresses'!$A:$A, 0))</f>
        <v>658</v>
      </c>
      <c r="N581" s="55">
        <f>IFERROR(INDEX('Forces+Stresses'!Q:Q, MATCH(Summary!$A581, 'Forces+Stresses'!$A:$A, 0)), INDEX(Flexjoints!D:D, MATCH(Summary!$A581, Flexjoints!$A:$A, 0)))</f>
        <v>8.2830000000000002E-4</v>
      </c>
      <c r="O581" s="56">
        <f>IFERROR(INDEX('Forces+Stresses'!R:R, MATCH(Summary!$A581, 'Forces+Stresses'!$A:$A, 0)), INDEX(Flexjoints!E:E, MATCH(Summary!$A581, Flexjoints!$A:$A, 0)))</f>
        <v>8.2830000000000002E-4</v>
      </c>
      <c r="P581" s="33" t="str">
        <f>IF(INDEX(Labels!B:B, MATCH(Summary!$A581, Labels!$A:$A, 0)) = 0, "", INDEX(Labels!B:B, MATCH(Summary!$A581, Labels!$A:$A, 0)))</f>
        <v>{Tensioner 5}</v>
      </c>
      <c r="Q581" s="35" t="str">
        <f>IF(INDEX(Labels!C:C, MATCH(Summary!$A581, Labels!$A:$A, 0)) = 0, "", INDEX(Labels!C:C, MATCH(Summary!$A581, Labels!$A:$A, 0)))</f>
        <v/>
      </c>
      <c r="R581" s="33" t="str">
        <f>IF(INDEX(Labels!D:D, MATCH(Summary!$A581, Labels!$A:$A, 0)) = 0, "", INDEX(Labels!D:D, MATCH(Summary!$A581, Labels!$A:$A, 0)))</f>
        <v>{Tensioner 5_First}</v>
      </c>
      <c r="S581" s="35" t="str">
        <f>IF(INDEX(Labels!E:E, MATCH(Summary!$A581, Labels!$A:$A, 0)) = 0, "", INDEX(Labels!E:E, MATCH(Summary!$A581, Labels!$A:$A, 0)))</f>
        <v>{Tensioner 5_Last}</v>
      </c>
      <c r="T581" s="33" t="str">
        <f>IF(INDEX(Labels!F:F, MATCH(Summary!$A581, Labels!$A:$A, 0)) = 0, "", INDEX(Labels!F:F, MATCH(Summary!$A581, Labels!$A:$A, 0)))</f>
        <v/>
      </c>
      <c r="U581" s="35" t="str">
        <f>IF(INDEX(Labels!G:G, MATCH(Summary!$A581, Labels!$A:$A, 0)) = 0, "", INDEX(Labels!G:G, MATCH(Summary!$A581, Labels!$A:$A, 0)))</f>
        <v/>
      </c>
      <c r="V581" s="62" t="str">
        <f>IF(INDEX(Labels!H:H, MATCH(Summary!$A581, Labels!$A:$A, 0)) = 0, "", INDEX(Labels!H:H, MATCH(Summary!$A581, Labels!$A:$A, 0)))</f>
        <v/>
      </c>
      <c r="W581" t="str">
        <f>IF(INDEX(Labels!I:I, MATCH(Summary!$A581, Labels!$A:$A, 0)) = 0, "", INDEX(Labels!I:I, MATCH(Summary!$A581, Labels!$A:$A, 0)))</f>
        <v/>
      </c>
      <c r="X581" t="str">
        <f>IF(INDEX(Labels!J:J, MATCH(Summary!$A581, Labels!$A:$A, 0)) = 0, "", INDEX(Labels!J:J, MATCH(Summary!$A581, Labels!$A:$A, 0)))</f>
        <v/>
      </c>
    </row>
    <row r="582" spans="1:24" x14ac:dyDescent="0.2">
      <c r="A582" s="33">
        <f>Labels!A583</f>
        <v>576</v>
      </c>
      <c r="B582" s="34">
        <f>INDEX(EchoData!B:B, MATCH(Summary!$A582, EchoData!$A:$A, 0))</f>
        <v>586</v>
      </c>
      <c r="C582" s="35">
        <f>INDEX(EchoData!C:C, MATCH(Summary!$A582, EchoData!$A:$A, 0))</f>
        <v>587</v>
      </c>
      <c r="D582" s="42">
        <f>INDEX(Displacements!B:B, MATCH(Summary!$B582, Displacements!$A:$A, 0))</f>
        <v>995.11900000000003</v>
      </c>
      <c r="E582" s="43">
        <f>INDEX(Displacements!C:C, MATCH(Summary!$B582, Displacements!$A:$A, 0))</f>
        <v>-0.98799999999999999</v>
      </c>
      <c r="F582" s="44">
        <f>INDEX(Displacements!D:D, MATCH(Summary!$B582, Displacements!$A:$A, 0))</f>
        <v>-0.98799999999999999</v>
      </c>
      <c r="G582" s="42">
        <f>INDEX(Displacements!B:B, MATCH(Summary!$C582, Displacements!$A:$A, 0))</f>
        <v>1005</v>
      </c>
      <c r="H582" s="43">
        <f>INDEX(Displacements!C:C, MATCH(Summary!$C582, Displacements!$A:$A, 0))</f>
        <v>-2.488</v>
      </c>
      <c r="I582" s="44">
        <f>INDEX(Displacements!D:D, MATCH(Summary!$C582, Displacements!$A:$A, 0))</f>
        <v>-2.488</v>
      </c>
      <c r="J582" s="42">
        <f t="shared" si="16"/>
        <v>10.106144714974125</v>
      </c>
      <c r="K582" s="49" t="str">
        <f t="shared" si="17"/>
        <v>N/A</v>
      </c>
      <c r="L582" s="54">
        <f>INDEX('Forces+Stresses'!C:C, MATCH(Summary!$A582, 'Forces+Stresses'!$A:$A, 0))</f>
        <v>658</v>
      </c>
      <c r="M582" s="55">
        <f>INDEX('Forces+Stresses'!D:D, MATCH(Summary!$A582, 'Forces+Stresses'!$A:$A, 0))</f>
        <v>658</v>
      </c>
      <c r="N582" s="55">
        <f>IFERROR(INDEX('Forces+Stresses'!Q:Q, MATCH(Summary!$A582, 'Forces+Stresses'!$A:$A, 0)), INDEX(Flexjoints!D:D, MATCH(Summary!$A582, Flexjoints!$A:$A, 0)))</f>
        <v>8.2809999999999991E-4</v>
      </c>
      <c r="O582" s="56">
        <f>IFERROR(INDEX('Forces+Stresses'!R:R, MATCH(Summary!$A582, 'Forces+Stresses'!$A:$A, 0)), INDEX(Flexjoints!E:E, MATCH(Summary!$A582, Flexjoints!$A:$A, 0)))</f>
        <v>8.2809999999999991E-4</v>
      </c>
      <c r="P582" s="33" t="str">
        <f>IF(INDEX(Labels!B:B, MATCH(Summary!$A582, Labels!$A:$A, 0)) = 0, "", INDEX(Labels!B:B, MATCH(Summary!$A582, Labels!$A:$A, 0)))</f>
        <v>{Tensioner 6}</v>
      </c>
      <c r="Q582" s="35" t="str">
        <f>IF(INDEX(Labels!C:C, MATCH(Summary!$A582, Labels!$A:$A, 0)) = 0, "", INDEX(Labels!C:C, MATCH(Summary!$A582, Labels!$A:$A, 0)))</f>
        <v/>
      </c>
      <c r="R582" s="33" t="str">
        <f>IF(INDEX(Labels!D:D, MATCH(Summary!$A582, Labels!$A:$A, 0)) = 0, "", INDEX(Labels!D:D, MATCH(Summary!$A582, Labels!$A:$A, 0)))</f>
        <v>{Tensioner 6_First}</v>
      </c>
      <c r="S582" s="35" t="str">
        <f>IF(INDEX(Labels!E:E, MATCH(Summary!$A582, Labels!$A:$A, 0)) = 0, "", INDEX(Labels!E:E, MATCH(Summary!$A582, Labels!$A:$A, 0)))</f>
        <v>{Tensioner 6_Last}</v>
      </c>
      <c r="T582" s="33" t="str">
        <f>IF(INDEX(Labels!F:F, MATCH(Summary!$A582, Labels!$A:$A, 0)) = 0, "", INDEX(Labels!F:F, MATCH(Summary!$A582, Labels!$A:$A, 0)))</f>
        <v/>
      </c>
      <c r="U582" s="35" t="str">
        <f>IF(INDEX(Labels!G:G, MATCH(Summary!$A582, Labels!$A:$A, 0)) = 0, "", INDEX(Labels!G:G, MATCH(Summary!$A582, Labels!$A:$A, 0)))</f>
        <v/>
      </c>
      <c r="V582" s="62" t="str">
        <f>IF(INDEX(Labels!H:H, MATCH(Summary!$A582, Labels!$A:$A, 0)) = 0, "", INDEX(Labels!H:H, MATCH(Summary!$A582, Labels!$A:$A, 0)))</f>
        <v/>
      </c>
      <c r="W582" t="str">
        <f>IF(INDEX(Labels!I:I, MATCH(Summary!$A582, Labels!$A:$A, 0)) = 0, "", INDEX(Labels!I:I, MATCH(Summary!$A582, Labels!$A:$A, 0)))</f>
        <v/>
      </c>
      <c r="X582" t="str">
        <f>IF(INDEX(Labels!J:J, MATCH(Summary!$A582, Labels!$A:$A, 0)) = 0, "", INDEX(Labels!J:J, MATCH(Summary!$A582, Labels!$A:$A, 0)))</f>
        <v/>
      </c>
    </row>
    <row r="583" spans="1:24" x14ac:dyDescent="0.2">
      <c r="A583" s="33">
        <f>Labels!A584</f>
        <v>577</v>
      </c>
      <c r="B583" s="34">
        <f>INDEX(EchoData!B:B, MATCH(Summary!$A583, EchoData!$A:$A, 0))</f>
        <v>588</v>
      </c>
      <c r="C583" s="35">
        <f>INDEX(EchoData!C:C, MATCH(Summary!$A583, EchoData!$A:$A, 0))</f>
        <v>589</v>
      </c>
      <c r="D583" s="42">
        <f>INDEX(Displacements!B:B, MATCH(Summary!$B583, Displacements!$A:$A, 0))</f>
        <v>995.11900000000003</v>
      </c>
      <c r="E583" s="43">
        <f>INDEX(Displacements!C:C, MATCH(Summary!$B583, Displacements!$A:$A, 0))</f>
        <v>0</v>
      </c>
      <c r="F583" s="44">
        <f>INDEX(Displacements!D:D, MATCH(Summary!$B583, Displacements!$A:$A, 0))</f>
        <v>-1.397</v>
      </c>
      <c r="G583" s="42">
        <f>INDEX(Displacements!B:B, MATCH(Summary!$C583, Displacements!$A:$A, 0))</f>
        <v>1005</v>
      </c>
      <c r="H583" s="43">
        <f>INDEX(Displacements!C:C, MATCH(Summary!$C583, Displacements!$A:$A, 0))</f>
        <v>0</v>
      </c>
      <c r="I583" s="44">
        <f>INDEX(Displacements!D:D, MATCH(Summary!$C583, Displacements!$A:$A, 0))</f>
        <v>-3.5190000000000001</v>
      </c>
      <c r="J583" s="42">
        <f t="shared" ref="J583:J595" si="18">SQRT((G583 - D583)^2 + (H583 - E583)^2 + (I583 - F583)^2)</f>
        <v>10.106287399436027</v>
      </c>
      <c r="K583" s="49" t="str">
        <f t="shared" ref="K583:K595" si="19">IF(P583 = P582, J583/J582, "N/A")</f>
        <v>N/A</v>
      </c>
      <c r="L583" s="54">
        <f>INDEX('Forces+Stresses'!C:C, MATCH(Summary!$A583, 'Forces+Stresses'!$A:$A, 0))</f>
        <v>658</v>
      </c>
      <c r="M583" s="55">
        <f>INDEX('Forces+Stresses'!D:D, MATCH(Summary!$A583, 'Forces+Stresses'!$A:$A, 0))</f>
        <v>658</v>
      </c>
      <c r="N583" s="55">
        <f>IFERROR(INDEX('Forces+Stresses'!Q:Q, MATCH(Summary!$A583, 'Forces+Stresses'!$A:$A, 0)), INDEX(Flexjoints!D:D, MATCH(Summary!$A583, Flexjoints!$A:$A, 0)))</f>
        <v>8.2830000000000002E-4</v>
      </c>
      <c r="O583" s="56">
        <f>IFERROR(INDEX('Forces+Stresses'!R:R, MATCH(Summary!$A583, 'Forces+Stresses'!$A:$A, 0)), INDEX(Flexjoints!E:E, MATCH(Summary!$A583, Flexjoints!$A:$A, 0)))</f>
        <v>8.2830000000000002E-4</v>
      </c>
      <c r="P583" s="33" t="str">
        <f>IF(INDEX(Labels!B:B, MATCH(Summary!$A583, Labels!$A:$A, 0)) = 0, "", INDEX(Labels!B:B, MATCH(Summary!$A583, Labels!$A:$A, 0)))</f>
        <v>{Tensioner 7}</v>
      </c>
      <c r="Q583" s="35" t="str">
        <f>IF(INDEX(Labels!C:C, MATCH(Summary!$A583, Labels!$A:$A, 0)) = 0, "", INDEX(Labels!C:C, MATCH(Summary!$A583, Labels!$A:$A, 0)))</f>
        <v/>
      </c>
      <c r="R583" s="33" t="str">
        <f>IF(INDEX(Labels!D:D, MATCH(Summary!$A583, Labels!$A:$A, 0)) = 0, "", INDEX(Labels!D:D, MATCH(Summary!$A583, Labels!$A:$A, 0)))</f>
        <v>{Tensioner 7_First}</v>
      </c>
      <c r="S583" s="35" t="str">
        <f>IF(INDEX(Labels!E:E, MATCH(Summary!$A583, Labels!$A:$A, 0)) = 0, "", INDEX(Labels!E:E, MATCH(Summary!$A583, Labels!$A:$A, 0)))</f>
        <v>{Tensioner 7_Last}</v>
      </c>
      <c r="T583" s="33" t="str">
        <f>IF(INDEX(Labels!F:F, MATCH(Summary!$A583, Labels!$A:$A, 0)) = 0, "", INDEX(Labels!F:F, MATCH(Summary!$A583, Labels!$A:$A, 0)))</f>
        <v/>
      </c>
      <c r="U583" s="35" t="str">
        <f>IF(INDEX(Labels!G:G, MATCH(Summary!$A583, Labels!$A:$A, 0)) = 0, "", INDEX(Labels!G:G, MATCH(Summary!$A583, Labels!$A:$A, 0)))</f>
        <v/>
      </c>
      <c r="V583" s="62" t="str">
        <f>IF(INDEX(Labels!H:H, MATCH(Summary!$A583, Labels!$A:$A, 0)) = 0, "", INDEX(Labels!H:H, MATCH(Summary!$A583, Labels!$A:$A, 0)))</f>
        <v/>
      </c>
      <c r="W583" t="str">
        <f>IF(INDEX(Labels!I:I, MATCH(Summary!$A583, Labels!$A:$A, 0)) = 0, "", INDEX(Labels!I:I, MATCH(Summary!$A583, Labels!$A:$A, 0)))</f>
        <v/>
      </c>
      <c r="X583" t="str">
        <f>IF(INDEX(Labels!J:J, MATCH(Summary!$A583, Labels!$A:$A, 0)) = 0, "", INDEX(Labels!J:J, MATCH(Summary!$A583, Labels!$A:$A, 0)))</f>
        <v/>
      </c>
    </row>
    <row r="584" spans="1:24" x14ac:dyDescent="0.2">
      <c r="A584" s="33">
        <f>Labels!A585</f>
        <v>578</v>
      </c>
      <c r="B584" s="34">
        <f>INDEX(EchoData!B:B, MATCH(Summary!$A584, EchoData!$A:$A, 0))</f>
        <v>590</v>
      </c>
      <c r="C584" s="35">
        <f>INDEX(EchoData!C:C, MATCH(Summary!$A584, EchoData!$A:$A, 0))</f>
        <v>591</v>
      </c>
      <c r="D584" s="42">
        <f>INDEX(Displacements!B:B, MATCH(Summary!$B584, Displacements!$A:$A, 0))</f>
        <v>995.11900000000003</v>
      </c>
      <c r="E584" s="43">
        <f>INDEX(Displacements!C:C, MATCH(Summary!$B584, Displacements!$A:$A, 0))</f>
        <v>0.98799999999999999</v>
      </c>
      <c r="F584" s="44">
        <f>INDEX(Displacements!D:D, MATCH(Summary!$B584, Displacements!$A:$A, 0))</f>
        <v>-0.98799999999999999</v>
      </c>
      <c r="G584" s="42">
        <f>INDEX(Displacements!B:B, MATCH(Summary!$C584, Displacements!$A:$A, 0))</f>
        <v>1005</v>
      </c>
      <c r="H584" s="43">
        <f>INDEX(Displacements!C:C, MATCH(Summary!$C584, Displacements!$A:$A, 0))</f>
        <v>2.488</v>
      </c>
      <c r="I584" s="44">
        <f>INDEX(Displacements!D:D, MATCH(Summary!$C584, Displacements!$A:$A, 0))</f>
        <v>-2.488</v>
      </c>
      <c r="J584" s="42">
        <f t="shared" si="18"/>
        <v>10.106144714974125</v>
      </c>
      <c r="K584" s="49" t="str">
        <f t="shared" si="19"/>
        <v>N/A</v>
      </c>
      <c r="L584" s="54">
        <f>INDEX('Forces+Stresses'!C:C, MATCH(Summary!$A584, 'Forces+Stresses'!$A:$A, 0))</f>
        <v>658</v>
      </c>
      <c r="M584" s="55">
        <f>INDEX('Forces+Stresses'!D:D, MATCH(Summary!$A584, 'Forces+Stresses'!$A:$A, 0))</f>
        <v>658</v>
      </c>
      <c r="N584" s="55">
        <f>IFERROR(INDEX('Forces+Stresses'!Q:Q, MATCH(Summary!$A584, 'Forces+Stresses'!$A:$A, 0)), INDEX(Flexjoints!D:D, MATCH(Summary!$A584, Flexjoints!$A:$A, 0)))</f>
        <v>8.2809999999999991E-4</v>
      </c>
      <c r="O584" s="56">
        <f>IFERROR(INDEX('Forces+Stresses'!R:R, MATCH(Summary!$A584, 'Forces+Stresses'!$A:$A, 0)), INDEX(Flexjoints!E:E, MATCH(Summary!$A584, Flexjoints!$A:$A, 0)))</f>
        <v>8.2809999999999991E-4</v>
      </c>
      <c r="P584" s="33" t="str">
        <f>IF(INDEX(Labels!B:B, MATCH(Summary!$A584, Labels!$A:$A, 0)) = 0, "", INDEX(Labels!B:B, MATCH(Summary!$A584, Labels!$A:$A, 0)))</f>
        <v>{Tensioner 8}</v>
      </c>
      <c r="Q584" s="35" t="str">
        <f>IF(INDEX(Labels!C:C, MATCH(Summary!$A584, Labels!$A:$A, 0)) = 0, "", INDEX(Labels!C:C, MATCH(Summary!$A584, Labels!$A:$A, 0)))</f>
        <v/>
      </c>
      <c r="R584" s="33" t="str">
        <f>IF(INDEX(Labels!D:D, MATCH(Summary!$A584, Labels!$A:$A, 0)) = 0, "", INDEX(Labels!D:D, MATCH(Summary!$A584, Labels!$A:$A, 0)))</f>
        <v>{Tensioner 8_First}</v>
      </c>
      <c r="S584" s="35" t="str">
        <f>IF(INDEX(Labels!E:E, MATCH(Summary!$A584, Labels!$A:$A, 0)) = 0, "", INDEX(Labels!E:E, MATCH(Summary!$A584, Labels!$A:$A, 0)))</f>
        <v>{Tensioner 8_Last}</v>
      </c>
      <c r="T584" s="33" t="str">
        <f>IF(INDEX(Labels!F:F, MATCH(Summary!$A584, Labels!$A:$A, 0)) = 0, "", INDEX(Labels!F:F, MATCH(Summary!$A584, Labels!$A:$A, 0)))</f>
        <v/>
      </c>
      <c r="U584" s="35" t="str">
        <f>IF(INDEX(Labels!G:G, MATCH(Summary!$A584, Labels!$A:$A, 0)) = 0, "", INDEX(Labels!G:G, MATCH(Summary!$A584, Labels!$A:$A, 0)))</f>
        <v/>
      </c>
      <c r="V584" s="62" t="str">
        <f>IF(INDEX(Labels!H:H, MATCH(Summary!$A584, Labels!$A:$A, 0)) = 0, "", INDEX(Labels!H:H, MATCH(Summary!$A584, Labels!$A:$A, 0)))</f>
        <v/>
      </c>
      <c r="W584" t="str">
        <f>IF(INDEX(Labels!I:I, MATCH(Summary!$A584, Labels!$A:$A, 0)) = 0, "", INDEX(Labels!I:I, MATCH(Summary!$A584, Labels!$A:$A, 0)))</f>
        <v/>
      </c>
      <c r="X584" t="str">
        <f>IF(INDEX(Labels!J:J, MATCH(Summary!$A584, Labels!$A:$A, 0)) = 0, "", INDEX(Labels!J:J, MATCH(Summary!$A584, Labels!$A:$A, 0)))</f>
        <v/>
      </c>
    </row>
    <row r="585" spans="1:24" x14ac:dyDescent="0.2">
      <c r="A585" s="33">
        <f>Labels!A586</f>
        <v>579</v>
      </c>
      <c r="B585" s="34">
        <f>INDEX(EchoData!B:B, MATCH(Summary!$A585, EchoData!$A:$A, 0))</f>
        <v>560</v>
      </c>
      <c r="C585" s="35">
        <f>INDEX(EchoData!C:C, MATCH(Summary!$A585, EchoData!$A:$A, 0))</f>
        <v>576</v>
      </c>
      <c r="D585" s="42">
        <f>INDEX(Displacements!B:B, MATCH(Summary!$B585, Displacements!$A:$A, 0))</f>
        <v>995.11900000000003</v>
      </c>
      <c r="E585" s="43">
        <f>INDEX(Displacements!C:C, MATCH(Summary!$B585, Displacements!$A:$A, 0))</f>
        <v>0</v>
      </c>
      <c r="F585" s="44">
        <f>INDEX(Displacements!D:D, MATCH(Summary!$B585, Displacements!$A:$A, 0))</f>
        <v>0</v>
      </c>
      <c r="G585" s="42">
        <f>INDEX(Displacements!B:B, MATCH(Summary!$C585, Displacements!$A:$A, 0))</f>
        <v>995.11900000000003</v>
      </c>
      <c r="H585" s="43">
        <f>INDEX(Displacements!C:C, MATCH(Summary!$C585, Displacements!$A:$A, 0))</f>
        <v>1.397</v>
      </c>
      <c r="I585" s="44">
        <f>INDEX(Displacements!D:D, MATCH(Summary!$C585, Displacements!$A:$A, 0))</f>
        <v>0</v>
      </c>
      <c r="J585" s="42">
        <f t="shared" si="18"/>
        <v>1.397</v>
      </c>
      <c r="K585" s="49" t="str">
        <f t="shared" si="19"/>
        <v>N/A</v>
      </c>
      <c r="L585" s="54">
        <f>INDEX('Forces+Stresses'!C:C, MATCH(Summary!$A585, 'Forces+Stresses'!$A:$A, 0))</f>
        <v>144.9</v>
      </c>
      <c r="M585" s="55">
        <f>INDEX('Forces+Stresses'!D:D, MATCH(Summary!$A585, 'Forces+Stresses'!$A:$A, 0))</f>
        <v>144.9</v>
      </c>
      <c r="N585" s="55">
        <f>IFERROR(INDEX('Forces+Stresses'!Q:Q, MATCH(Summary!$A585, 'Forces+Stresses'!$A:$A, 0)), INDEX(Flexjoints!D:D, MATCH(Summary!$A585, Flexjoints!$A:$A, 0)))</f>
        <v>888.9</v>
      </c>
      <c r="O585" s="56">
        <f>IFERROR(INDEX('Forces+Stresses'!R:R, MATCH(Summary!$A585, 'Forces+Stresses'!$A:$A, 0)), INDEX(Flexjoints!E:E, MATCH(Summary!$A585, Flexjoints!$A:$A, 0)))</f>
        <v>888.9</v>
      </c>
      <c r="P585" s="33" t="str">
        <f>IF(INDEX(Labels!B:B, MATCH(Summary!$A585, Labels!$A:$A, 0)) = 0, "", INDEX(Labels!B:B, MATCH(Summary!$A585, Labels!$A:$A, 0)))</f>
        <v>{Stiff 1}</v>
      </c>
      <c r="Q585" s="35" t="str">
        <f>IF(INDEX(Labels!C:C, MATCH(Summary!$A585, Labels!$A:$A, 0)) = 0, "", INDEX(Labels!C:C, MATCH(Summary!$A585, Labels!$A:$A, 0)))</f>
        <v/>
      </c>
      <c r="R585" s="33" t="str">
        <f>IF(INDEX(Labels!D:D, MATCH(Summary!$A585, Labels!$A:$A, 0)) = 0, "", INDEX(Labels!D:D, MATCH(Summary!$A585, Labels!$A:$A, 0)))</f>
        <v>{Stiff 1_First}</v>
      </c>
      <c r="S585" s="35" t="str">
        <f>IF(INDEX(Labels!E:E, MATCH(Summary!$A585, Labels!$A:$A, 0)) = 0, "", INDEX(Labels!E:E, MATCH(Summary!$A585, Labels!$A:$A, 0)))</f>
        <v>{Stiff 1_Last}</v>
      </c>
      <c r="T585" s="33" t="str">
        <f>IF(INDEX(Labels!F:F, MATCH(Summary!$A585, Labels!$A:$A, 0)) = 0, "", INDEX(Labels!F:F, MATCH(Summary!$A585, Labels!$A:$A, 0)))</f>
        <v/>
      </c>
      <c r="U585" s="35" t="str">
        <f>IF(INDEX(Labels!G:G, MATCH(Summary!$A585, Labels!$A:$A, 0)) = 0, "", INDEX(Labels!G:G, MATCH(Summary!$A585, Labels!$A:$A, 0)))</f>
        <v/>
      </c>
      <c r="V585" s="62" t="str">
        <f>IF(INDEX(Labels!H:H, MATCH(Summary!$A585, Labels!$A:$A, 0)) = 0, "", INDEX(Labels!H:H, MATCH(Summary!$A585, Labels!$A:$A, 0)))</f>
        <v/>
      </c>
      <c r="W585" t="str">
        <f>IF(INDEX(Labels!I:I, MATCH(Summary!$A585, Labels!$A:$A, 0)) = 0, "", INDEX(Labels!I:I, MATCH(Summary!$A585, Labels!$A:$A, 0)))</f>
        <v/>
      </c>
      <c r="X585" t="str">
        <f>IF(INDEX(Labels!J:J, MATCH(Summary!$A585, Labels!$A:$A, 0)) = 0, "", INDEX(Labels!J:J, MATCH(Summary!$A585, Labels!$A:$A, 0)))</f>
        <v/>
      </c>
    </row>
    <row r="586" spans="1:24" x14ac:dyDescent="0.2">
      <c r="A586" s="33">
        <f>Labels!A587</f>
        <v>580</v>
      </c>
      <c r="B586" s="34">
        <f>INDEX(EchoData!B:B, MATCH(Summary!$A586, EchoData!$A:$A, 0))</f>
        <v>560</v>
      </c>
      <c r="C586" s="35">
        <f>INDEX(EchoData!C:C, MATCH(Summary!$A586, EchoData!$A:$A, 0))</f>
        <v>578</v>
      </c>
      <c r="D586" s="42">
        <f>INDEX(Displacements!B:B, MATCH(Summary!$B586, Displacements!$A:$A, 0))</f>
        <v>995.11900000000003</v>
      </c>
      <c r="E586" s="43">
        <f>INDEX(Displacements!C:C, MATCH(Summary!$B586, Displacements!$A:$A, 0))</f>
        <v>0</v>
      </c>
      <c r="F586" s="44">
        <f>INDEX(Displacements!D:D, MATCH(Summary!$B586, Displacements!$A:$A, 0))</f>
        <v>0</v>
      </c>
      <c r="G586" s="42">
        <f>INDEX(Displacements!B:B, MATCH(Summary!$C586, Displacements!$A:$A, 0))</f>
        <v>995.11900000000003</v>
      </c>
      <c r="H586" s="43">
        <f>INDEX(Displacements!C:C, MATCH(Summary!$C586, Displacements!$A:$A, 0))</f>
        <v>0.98799999999999999</v>
      </c>
      <c r="I586" s="44">
        <f>INDEX(Displacements!D:D, MATCH(Summary!$C586, Displacements!$A:$A, 0))</f>
        <v>0.98799999999999999</v>
      </c>
      <c r="J586" s="42">
        <f t="shared" si="18"/>
        <v>1.3972429996246178</v>
      </c>
      <c r="K586" s="49" t="str">
        <f t="shared" si="19"/>
        <v>N/A</v>
      </c>
      <c r="L586" s="54">
        <f>INDEX('Forces+Stresses'!C:C, MATCH(Summary!$A586, 'Forces+Stresses'!$A:$A, 0))</f>
        <v>144.80000000000001</v>
      </c>
      <c r="M586" s="55">
        <f>INDEX('Forces+Stresses'!D:D, MATCH(Summary!$A586, 'Forces+Stresses'!$A:$A, 0))</f>
        <v>144.80000000000001</v>
      </c>
      <c r="N586" s="55">
        <f>IFERROR(INDEX('Forces+Stresses'!Q:Q, MATCH(Summary!$A586, 'Forces+Stresses'!$A:$A, 0)), INDEX(Flexjoints!D:D, MATCH(Summary!$A586, Flexjoints!$A:$A, 0)))</f>
        <v>889.1</v>
      </c>
      <c r="O586" s="56">
        <f>IFERROR(INDEX('Forces+Stresses'!R:R, MATCH(Summary!$A586, 'Forces+Stresses'!$A:$A, 0)), INDEX(Flexjoints!E:E, MATCH(Summary!$A586, Flexjoints!$A:$A, 0)))</f>
        <v>889.1</v>
      </c>
      <c r="P586" s="33" t="str">
        <f>IF(INDEX(Labels!B:B, MATCH(Summary!$A586, Labels!$A:$A, 0)) = 0, "", INDEX(Labels!B:B, MATCH(Summary!$A586, Labels!$A:$A, 0)))</f>
        <v>{Stiff 2}</v>
      </c>
      <c r="Q586" s="35" t="str">
        <f>IF(INDEX(Labels!C:C, MATCH(Summary!$A586, Labels!$A:$A, 0)) = 0, "", INDEX(Labels!C:C, MATCH(Summary!$A586, Labels!$A:$A, 0)))</f>
        <v/>
      </c>
      <c r="R586" s="33" t="str">
        <f>IF(INDEX(Labels!D:D, MATCH(Summary!$A586, Labels!$A:$A, 0)) = 0, "", INDEX(Labels!D:D, MATCH(Summary!$A586, Labels!$A:$A, 0)))</f>
        <v>{Stiff 2_First}</v>
      </c>
      <c r="S586" s="35" t="str">
        <f>IF(INDEX(Labels!E:E, MATCH(Summary!$A586, Labels!$A:$A, 0)) = 0, "", INDEX(Labels!E:E, MATCH(Summary!$A586, Labels!$A:$A, 0)))</f>
        <v>{Stiff 2_Last}</v>
      </c>
      <c r="T586" s="33" t="str">
        <f>IF(INDEX(Labels!F:F, MATCH(Summary!$A586, Labels!$A:$A, 0)) = 0, "", INDEX(Labels!F:F, MATCH(Summary!$A586, Labels!$A:$A, 0)))</f>
        <v/>
      </c>
      <c r="U586" s="35" t="str">
        <f>IF(INDEX(Labels!G:G, MATCH(Summary!$A586, Labels!$A:$A, 0)) = 0, "", INDEX(Labels!G:G, MATCH(Summary!$A586, Labels!$A:$A, 0)))</f>
        <v/>
      </c>
      <c r="V586" s="62" t="str">
        <f>IF(INDEX(Labels!H:H, MATCH(Summary!$A586, Labels!$A:$A, 0)) = 0, "", INDEX(Labels!H:H, MATCH(Summary!$A586, Labels!$A:$A, 0)))</f>
        <v/>
      </c>
      <c r="W586" t="str">
        <f>IF(INDEX(Labels!I:I, MATCH(Summary!$A586, Labels!$A:$A, 0)) = 0, "", INDEX(Labels!I:I, MATCH(Summary!$A586, Labels!$A:$A, 0)))</f>
        <v/>
      </c>
      <c r="X586" t="str">
        <f>IF(INDEX(Labels!J:J, MATCH(Summary!$A586, Labels!$A:$A, 0)) = 0, "", INDEX(Labels!J:J, MATCH(Summary!$A586, Labels!$A:$A, 0)))</f>
        <v/>
      </c>
    </row>
    <row r="587" spans="1:24" x14ac:dyDescent="0.2">
      <c r="A587" s="33">
        <f>Labels!A588</f>
        <v>581</v>
      </c>
      <c r="B587" s="34">
        <f>INDEX(EchoData!B:B, MATCH(Summary!$A587, EchoData!$A:$A, 0))</f>
        <v>560</v>
      </c>
      <c r="C587" s="35">
        <f>INDEX(EchoData!C:C, MATCH(Summary!$A587, EchoData!$A:$A, 0))</f>
        <v>580</v>
      </c>
      <c r="D587" s="42">
        <f>INDEX(Displacements!B:B, MATCH(Summary!$B587, Displacements!$A:$A, 0))</f>
        <v>995.11900000000003</v>
      </c>
      <c r="E587" s="43">
        <f>INDEX(Displacements!C:C, MATCH(Summary!$B587, Displacements!$A:$A, 0))</f>
        <v>0</v>
      </c>
      <c r="F587" s="44">
        <f>INDEX(Displacements!D:D, MATCH(Summary!$B587, Displacements!$A:$A, 0))</f>
        <v>0</v>
      </c>
      <c r="G587" s="42">
        <f>INDEX(Displacements!B:B, MATCH(Summary!$C587, Displacements!$A:$A, 0))</f>
        <v>995.11900000000003</v>
      </c>
      <c r="H587" s="43">
        <f>INDEX(Displacements!C:C, MATCH(Summary!$C587, Displacements!$A:$A, 0))</f>
        <v>0</v>
      </c>
      <c r="I587" s="44">
        <f>INDEX(Displacements!D:D, MATCH(Summary!$C587, Displacements!$A:$A, 0))</f>
        <v>1.397</v>
      </c>
      <c r="J587" s="42">
        <f t="shared" si="18"/>
        <v>1.397</v>
      </c>
      <c r="K587" s="49" t="str">
        <f t="shared" si="19"/>
        <v>N/A</v>
      </c>
      <c r="L587" s="54">
        <f>INDEX('Forces+Stresses'!C:C, MATCH(Summary!$A587, 'Forces+Stresses'!$A:$A, 0))</f>
        <v>144.9</v>
      </c>
      <c r="M587" s="55">
        <f>INDEX('Forces+Stresses'!D:D, MATCH(Summary!$A587, 'Forces+Stresses'!$A:$A, 0))</f>
        <v>144.9</v>
      </c>
      <c r="N587" s="55">
        <f>IFERROR(INDEX('Forces+Stresses'!Q:Q, MATCH(Summary!$A587, 'Forces+Stresses'!$A:$A, 0)), INDEX(Flexjoints!D:D, MATCH(Summary!$A587, Flexjoints!$A:$A, 0)))</f>
        <v>888.9</v>
      </c>
      <c r="O587" s="56">
        <f>IFERROR(INDEX('Forces+Stresses'!R:R, MATCH(Summary!$A587, 'Forces+Stresses'!$A:$A, 0)), INDEX(Flexjoints!E:E, MATCH(Summary!$A587, Flexjoints!$A:$A, 0)))</f>
        <v>888.9</v>
      </c>
      <c r="P587" s="33" t="str">
        <f>IF(INDEX(Labels!B:B, MATCH(Summary!$A587, Labels!$A:$A, 0)) = 0, "", INDEX(Labels!B:B, MATCH(Summary!$A587, Labels!$A:$A, 0)))</f>
        <v>{Stiff 3}</v>
      </c>
      <c r="Q587" s="35" t="str">
        <f>IF(INDEX(Labels!C:C, MATCH(Summary!$A587, Labels!$A:$A, 0)) = 0, "", INDEX(Labels!C:C, MATCH(Summary!$A587, Labels!$A:$A, 0)))</f>
        <v/>
      </c>
      <c r="R587" s="33" t="str">
        <f>IF(INDEX(Labels!D:D, MATCH(Summary!$A587, Labels!$A:$A, 0)) = 0, "", INDEX(Labels!D:D, MATCH(Summary!$A587, Labels!$A:$A, 0)))</f>
        <v>{Stiff 3_First}</v>
      </c>
      <c r="S587" s="35" t="str">
        <f>IF(INDEX(Labels!E:E, MATCH(Summary!$A587, Labels!$A:$A, 0)) = 0, "", INDEX(Labels!E:E, MATCH(Summary!$A587, Labels!$A:$A, 0)))</f>
        <v>{Stiff 3_Last}</v>
      </c>
      <c r="T587" s="33" t="str">
        <f>IF(INDEX(Labels!F:F, MATCH(Summary!$A587, Labels!$A:$A, 0)) = 0, "", INDEX(Labels!F:F, MATCH(Summary!$A587, Labels!$A:$A, 0)))</f>
        <v/>
      </c>
      <c r="U587" s="35" t="str">
        <f>IF(INDEX(Labels!G:G, MATCH(Summary!$A587, Labels!$A:$A, 0)) = 0, "", INDEX(Labels!G:G, MATCH(Summary!$A587, Labels!$A:$A, 0)))</f>
        <v/>
      </c>
      <c r="V587" s="62" t="str">
        <f>IF(INDEX(Labels!H:H, MATCH(Summary!$A587, Labels!$A:$A, 0)) = 0, "", INDEX(Labels!H:H, MATCH(Summary!$A587, Labels!$A:$A, 0)))</f>
        <v/>
      </c>
      <c r="W587" t="str">
        <f>IF(INDEX(Labels!I:I, MATCH(Summary!$A587, Labels!$A:$A, 0)) = 0, "", INDEX(Labels!I:I, MATCH(Summary!$A587, Labels!$A:$A, 0)))</f>
        <v/>
      </c>
      <c r="X587" t="str">
        <f>IF(INDEX(Labels!J:J, MATCH(Summary!$A587, Labels!$A:$A, 0)) = 0, "", INDEX(Labels!J:J, MATCH(Summary!$A587, Labels!$A:$A, 0)))</f>
        <v/>
      </c>
    </row>
    <row r="588" spans="1:24" x14ac:dyDescent="0.2">
      <c r="A588" s="33">
        <f>Labels!A589</f>
        <v>582</v>
      </c>
      <c r="B588" s="34">
        <f>INDEX(EchoData!B:B, MATCH(Summary!$A588, EchoData!$A:$A, 0))</f>
        <v>560</v>
      </c>
      <c r="C588" s="35">
        <f>INDEX(EchoData!C:C, MATCH(Summary!$A588, EchoData!$A:$A, 0))</f>
        <v>582</v>
      </c>
      <c r="D588" s="42">
        <f>INDEX(Displacements!B:B, MATCH(Summary!$B588, Displacements!$A:$A, 0))</f>
        <v>995.11900000000003</v>
      </c>
      <c r="E588" s="43">
        <f>INDEX(Displacements!C:C, MATCH(Summary!$B588, Displacements!$A:$A, 0))</f>
        <v>0</v>
      </c>
      <c r="F588" s="44">
        <f>INDEX(Displacements!D:D, MATCH(Summary!$B588, Displacements!$A:$A, 0))</f>
        <v>0</v>
      </c>
      <c r="G588" s="42">
        <f>INDEX(Displacements!B:B, MATCH(Summary!$C588, Displacements!$A:$A, 0))</f>
        <v>995.11900000000003</v>
      </c>
      <c r="H588" s="43">
        <f>INDEX(Displacements!C:C, MATCH(Summary!$C588, Displacements!$A:$A, 0))</f>
        <v>-0.98799999999999999</v>
      </c>
      <c r="I588" s="44">
        <f>INDEX(Displacements!D:D, MATCH(Summary!$C588, Displacements!$A:$A, 0))</f>
        <v>0.98799999999999999</v>
      </c>
      <c r="J588" s="42">
        <f t="shared" si="18"/>
        <v>1.3972429996246178</v>
      </c>
      <c r="K588" s="49" t="str">
        <f t="shared" si="19"/>
        <v>N/A</v>
      </c>
      <c r="L588" s="54">
        <f>INDEX('Forces+Stresses'!C:C, MATCH(Summary!$A588, 'Forces+Stresses'!$A:$A, 0))</f>
        <v>144.80000000000001</v>
      </c>
      <c r="M588" s="55">
        <f>INDEX('Forces+Stresses'!D:D, MATCH(Summary!$A588, 'Forces+Stresses'!$A:$A, 0))</f>
        <v>144.80000000000001</v>
      </c>
      <c r="N588" s="55">
        <f>IFERROR(INDEX('Forces+Stresses'!Q:Q, MATCH(Summary!$A588, 'Forces+Stresses'!$A:$A, 0)), INDEX(Flexjoints!D:D, MATCH(Summary!$A588, Flexjoints!$A:$A, 0)))</f>
        <v>889.1</v>
      </c>
      <c r="O588" s="56">
        <f>IFERROR(INDEX('Forces+Stresses'!R:R, MATCH(Summary!$A588, 'Forces+Stresses'!$A:$A, 0)), INDEX(Flexjoints!E:E, MATCH(Summary!$A588, Flexjoints!$A:$A, 0)))</f>
        <v>889.1</v>
      </c>
      <c r="P588" s="33" t="str">
        <f>IF(INDEX(Labels!B:B, MATCH(Summary!$A588, Labels!$A:$A, 0)) = 0, "", INDEX(Labels!B:B, MATCH(Summary!$A588, Labels!$A:$A, 0)))</f>
        <v>{Stiff 4}</v>
      </c>
      <c r="Q588" s="35" t="str">
        <f>IF(INDEX(Labels!C:C, MATCH(Summary!$A588, Labels!$A:$A, 0)) = 0, "", INDEX(Labels!C:C, MATCH(Summary!$A588, Labels!$A:$A, 0)))</f>
        <v/>
      </c>
      <c r="R588" s="33" t="str">
        <f>IF(INDEX(Labels!D:D, MATCH(Summary!$A588, Labels!$A:$A, 0)) = 0, "", INDEX(Labels!D:D, MATCH(Summary!$A588, Labels!$A:$A, 0)))</f>
        <v>{Stiff 4_First}</v>
      </c>
      <c r="S588" s="35" t="str">
        <f>IF(INDEX(Labels!E:E, MATCH(Summary!$A588, Labels!$A:$A, 0)) = 0, "", INDEX(Labels!E:E, MATCH(Summary!$A588, Labels!$A:$A, 0)))</f>
        <v>{Stiff 4_Last}</v>
      </c>
      <c r="T588" s="33" t="str">
        <f>IF(INDEX(Labels!F:F, MATCH(Summary!$A588, Labels!$A:$A, 0)) = 0, "", INDEX(Labels!F:F, MATCH(Summary!$A588, Labels!$A:$A, 0)))</f>
        <v/>
      </c>
      <c r="U588" s="35" t="str">
        <f>IF(INDEX(Labels!G:G, MATCH(Summary!$A588, Labels!$A:$A, 0)) = 0, "", INDEX(Labels!G:G, MATCH(Summary!$A588, Labels!$A:$A, 0)))</f>
        <v/>
      </c>
      <c r="V588" s="62" t="str">
        <f>IF(INDEX(Labels!H:H, MATCH(Summary!$A588, Labels!$A:$A, 0)) = 0, "", INDEX(Labels!H:H, MATCH(Summary!$A588, Labels!$A:$A, 0)))</f>
        <v/>
      </c>
      <c r="W588" t="str">
        <f>IF(INDEX(Labels!I:I, MATCH(Summary!$A588, Labels!$A:$A, 0)) = 0, "", INDEX(Labels!I:I, MATCH(Summary!$A588, Labels!$A:$A, 0)))</f>
        <v/>
      </c>
      <c r="X588" t="str">
        <f>IF(INDEX(Labels!J:J, MATCH(Summary!$A588, Labels!$A:$A, 0)) = 0, "", INDEX(Labels!J:J, MATCH(Summary!$A588, Labels!$A:$A, 0)))</f>
        <v/>
      </c>
    </row>
    <row r="589" spans="1:24" x14ac:dyDescent="0.2">
      <c r="A589" s="33">
        <f>Labels!A590</f>
        <v>583</v>
      </c>
      <c r="B589" s="34">
        <f>INDEX(EchoData!B:B, MATCH(Summary!$A589, EchoData!$A:$A, 0))</f>
        <v>560</v>
      </c>
      <c r="C589" s="35">
        <f>INDEX(EchoData!C:C, MATCH(Summary!$A589, EchoData!$A:$A, 0))</f>
        <v>584</v>
      </c>
      <c r="D589" s="42">
        <f>INDEX(Displacements!B:B, MATCH(Summary!$B589, Displacements!$A:$A, 0))</f>
        <v>995.11900000000003</v>
      </c>
      <c r="E589" s="43">
        <f>INDEX(Displacements!C:C, MATCH(Summary!$B589, Displacements!$A:$A, 0))</f>
        <v>0</v>
      </c>
      <c r="F589" s="44">
        <f>INDEX(Displacements!D:D, MATCH(Summary!$B589, Displacements!$A:$A, 0))</f>
        <v>0</v>
      </c>
      <c r="G589" s="42">
        <f>INDEX(Displacements!B:B, MATCH(Summary!$C589, Displacements!$A:$A, 0))</f>
        <v>995.11900000000003</v>
      </c>
      <c r="H589" s="43">
        <f>INDEX(Displacements!C:C, MATCH(Summary!$C589, Displacements!$A:$A, 0))</f>
        <v>-1.397</v>
      </c>
      <c r="I589" s="44">
        <f>INDEX(Displacements!D:D, MATCH(Summary!$C589, Displacements!$A:$A, 0))</f>
        <v>0</v>
      </c>
      <c r="J589" s="42">
        <f t="shared" si="18"/>
        <v>1.397</v>
      </c>
      <c r="K589" s="49" t="str">
        <f t="shared" si="19"/>
        <v>N/A</v>
      </c>
      <c r="L589" s="54">
        <f>INDEX('Forces+Stresses'!C:C, MATCH(Summary!$A589, 'Forces+Stresses'!$A:$A, 0))</f>
        <v>144.9</v>
      </c>
      <c r="M589" s="55">
        <f>INDEX('Forces+Stresses'!D:D, MATCH(Summary!$A589, 'Forces+Stresses'!$A:$A, 0))</f>
        <v>144.9</v>
      </c>
      <c r="N589" s="55">
        <f>IFERROR(INDEX('Forces+Stresses'!Q:Q, MATCH(Summary!$A589, 'Forces+Stresses'!$A:$A, 0)), INDEX(Flexjoints!D:D, MATCH(Summary!$A589, Flexjoints!$A:$A, 0)))</f>
        <v>888.9</v>
      </c>
      <c r="O589" s="56">
        <f>IFERROR(INDEX('Forces+Stresses'!R:R, MATCH(Summary!$A589, 'Forces+Stresses'!$A:$A, 0)), INDEX(Flexjoints!E:E, MATCH(Summary!$A589, Flexjoints!$A:$A, 0)))</f>
        <v>888.9</v>
      </c>
      <c r="P589" s="33" t="str">
        <f>IF(INDEX(Labels!B:B, MATCH(Summary!$A589, Labels!$A:$A, 0)) = 0, "", INDEX(Labels!B:B, MATCH(Summary!$A589, Labels!$A:$A, 0)))</f>
        <v>{Stiff 5}</v>
      </c>
      <c r="Q589" s="35" t="str">
        <f>IF(INDEX(Labels!C:C, MATCH(Summary!$A589, Labels!$A:$A, 0)) = 0, "", INDEX(Labels!C:C, MATCH(Summary!$A589, Labels!$A:$A, 0)))</f>
        <v/>
      </c>
      <c r="R589" s="33" t="str">
        <f>IF(INDEX(Labels!D:D, MATCH(Summary!$A589, Labels!$A:$A, 0)) = 0, "", INDEX(Labels!D:D, MATCH(Summary!$A589, Labels!$A:$A, 0)))</f>
        <v>{Stiff 5_First}</v>
      </c>
      <c r="S589" s="35" t="str">
        <f>IF(INDEX(Labels!E:E, MATCH(Summary!$A589, Labels!$A:$A, 0)) = 0, "", INDEX(Labels!E:E, MATCH(Summary!$A589, Labels!$A:$A, 0)))</f>
        <v>{Stiff 5_Last}</v>
      </c>
      <c r="T589" s="33" t="str">
        <f>IF(INDEX(Labels!F:F, MATCH(Summary!$A589, Labels!$A:$A, 0)) = 0, "", INDEX(Labels!F:F, MATCH(Summary!$A589, Labels!$A:$A, 0)))</f>
        <v/>
      </c>
      <c r="U589" s="35" t="str">
        <f>IF(INDEX(Labels!G:G, MATCH(Summary!$A589, Labels!$A:$A, 0)) = 0, "", INDEX(Labels!G:G, MATCH(Summary!$A589, Labels!$A:$A, 0)))</f>
        <v/>
      </c>
      <c r="V589" s="62" t="str">
        <f>IF(INDEX(Labels!H:H, MATCH(Summary!$A589, Labels!$A:$A, 0)) = 0, "", INDEX(Labels!H:H, MATCH(Summary!$A589, Labels!$A:$A, 0)))</f>
        <v/>
      </c>
      <c r="W589" t="str">
        <f>IF(INDEX(Labels!I:I, MATCH(Summary!$A589, Labels!$A:$A, 0)) = 0, "", INDEX(Labels!I:I, MATCH(Summary!$A589, Labels!$A:$A, 0)))</f>
        <v/>
      </c>
      <c r="X589" t="str">
        <f>IF(INDEX(Labels!J:J, MATCH(Summary!$A589, Labels!$A:$A, 0)) = 0, "", INDEX(Labels!J:J, MATCH(Summary!$A589, Labels!$A:$A, 0)))</f>
        <v/>
      </c>
    </row>
    <row r="590" spans="1:24" x14ac:dyDescent="0.2">
      <c r="A590" s="33">
        <f>Labels!A591</f>
        <v>584</v>
      </c>
      <c r="B590" s="34">
        <f>INDEX(EchoData!B:B, MATCH(Summary!$A590, EchoData!$A:$A, 0))</f>
        <v>560</v>
      </c>
      <c r="C590" s="35">
        <f>INDEX(EchoData!C:C, MATCH(Summary!$A590, EchoData!$A:$A, 0))</f>
        <v>586</v>
      </c>
      <c r="D590" s="42">
        <f>INDEX(Displacements!B:B, MATCH(Summary!$B590, Displacements!$A:$A, 0))</f>
        <v>995.11900000000003</v>
      </c>
      <c r="E590" s="43">
        <f>INDEX(Displacements!C:C, MATCH(Summary!$B590, Displacements!$A:$A, 0))</f>
        <v>0</v>
      </c>
      <c r="F590" s="44">
        <f>INDEX(Displacements!D:D, MATCH(Summary!$B590, Displacements!$A:$A, 0))</f>
        <v>0</v>
      </c>
      <c r="G590" s="42">
        <f>INDEX(Displacements!B:B, MATCH(Summary!$C590, Displacements!$A:$A, 0))</f>
        <v>995.11900000000003</v>
      </c>
      <c r="H590" s="43">
        <f>INDEX(Displacements!C:C, MATCH(Summary!$C590, Displacements!$A:$A, 0))</f>
        <v>-0.98799999999999999</v>
      </c>
      <c r="I590" s="44">
        <f>INDEX(Displacements!D:D, MATCH(Summary!$C590, Displacements!$A:$A, 0))</f>
        <v>-0.98799999999999999</v>
      </c>
      <c r="J590" s="42">
        <f t="shared" si="18"/>
        <v>1.3972429996246178</v>
      </c>
      <c r="K590" s="49" t="str">
        <f t="shared" si="19"/>
        <v>N/A</v>
      </c>
      <c r="L590" s="54">
        <f>INDEX('Forces+Stresses'!C:C, MATCH(Summary!$A590, 'Forces+Stresses'!$A:$A, 0))</f>
        <v>144.80000000000001</v>
      </c>
      <c r="M590" s="55">
        <f>INDEX('Forces+Stresses'!D:D, MATCH(Summary!$A590, 'Forces+Stresses'!$A:$A, 0))</f>
        <v>144.80000000000001</v>
      </c>
      <c r="N590" s="55">
        <f>IFERROR(INDEX('Forces+Stresses'!Q:Q, MATCH(Summary!$A590, 'Forces+Stresses'!$A:$A, 0)), INDEX(Flexjoints!D:D, MATCH(Summary!$A590, Flexjoints!$A:$A, 0)))</f>
        <v>889.1</v>
      </c>
      <c r="O590" s="56">
        <f>IFERROR(INDEX('Forces+Stresses'!R:R, MATCH(Summary!$A590, 'Forces+Stresses'!$A:$A, 0)), INDEX(Flexjoints!E:E, MATCH(Summary!$A590, Flexjoints!$A:$A, 0)))</f>
        <v>889.1</v>
      </c>
      <c r="P590" s="33" t="str">
        <f>IF(INDEX(Labels!B:B, MATCH(Summary!$A590, Labels!$A:$A, 0)) = 0, "", INDEX(Labels!B:B, MATCH(Summary!$A590, Labels!$A:$A, 0)))</f>
        <v>{Stiff 6}</v>
      </c>
      <c r="Q590" s="35" t="str">
        <f>IF(INDEX(Labels!C:C, MATCH(Summary!$A590, Labels!$A:$A, 0)) = 0, "", INDEX(Labels!C:C, MATCH(Summary!$A590, Labels!$A:$A, 0)))</f>
        <v/>
      </c>
      <c r="R590" s="33" t="str">
        <f>IF(INDEX(Labels!D:D, MATCH(Summary!$A590, Labels!$A:$A, 0)) = 0, "", INDEX(Labels!D:D, MATCH(Summary!$A590, Labels!$A:$A, 0)))</f>
        <v>{Stiff 6_First}</v>
      </c>
      <c r="S590" s="35" t="str">
        <f>IF(INDEX(Labels!E:E, MATCH(Summary!$A590, Labels!$A:$A, 0)) = 0, "", INDEX(Labels!E:E, MATCH(Summary!$A590, Labels!$A:$A, 0)))</f>
        <v>{Stiff 6_Last}</v>
      </c>
      <c r="T590" s="33" t="str">
        <f>IF(INDEX(Labels!F:F, MATCH(Summary!$A590, Labels!$A:$A, 0)) = 0, "", INDEX(Labels!F:F, MATCH(Summary!$A590, Labels!$A:$A, 0)))</f>
        <v/>
      </c>
      <c r="U590" s="35" t="str">
        <f>IF(INDEX(Labels!G:G, MATCH(Summary!$A590, Labels!$A:$A, 0)) = 0, "", INDEX(Labels!G:G, MATCH(Summary!$A590, Labels!$A:$A, 0)))</f>
        <v/>
      </c>
      <c r="V590" s="62" t="str">
        <f>IF(INDEX(Labels!H:H, MATCH(Summary!$A590, Labels!$A:$A, 0)) = 0, "", INDEX(Labels!H:H, MATCH(Summary!$A590, Labels!$A:$A, 0)))</f>
        <v/>
      </c>
      <c r="W590" t="str">
        <f>IF(INDEX(Labels!I:I, MATCH(Summary!$A590, Labels!$A:$A, 0)) = 0, "", INDEX(Labels!I:I, MATCH(Summary!$A590, Labels!$A:$A, 0)))</f>
        <v/>
      </c>
      <c r="X590" t="str">
        <f>IF(INDEX(Labels!J:J, MATCH(Summary!$A590, Labels!$A:$A, 0)) = 0, "", INDEX(Labels!J:J, MATCH(Summary!$A590, Labels!$A:$A, 0)))</f>
        <v/>
      </c>
    </row>
    <row r="591" spans="1:24" x14ac:dyDescent="0.2">
      <c r="A591" s="33">
        <f>Labels!A592</f>
        <v>585</v>
      </c>
      <c r="B591" s="34">
        <f>INDEX(EchoData!B:B, MATCH(Summary!$A591, EchoData!$A:$A, 0))</f>
        <v>560</v>
      </c>
      <c r="C591" s="35">
        <f>INDEX(EchoData!C:C, MATCH(Summary!$A591, EchoData!$A:$A, 0))</f>
        <v>588</v>
      </c>
      <c r="D591" s="42">
        <f>INDEX(Displacements!B:B, MATCH(Summary!$B591, Displacements!$A:$A, 0))</f>
        <v>995.11900000000003</v>
      </c>
      <c r="E591" s="43">
        <f>INDEX(Displacements!C:C, MATCH(Summary!$B591, Displacements!$A:$A, 0))</f>
        <v>0</v>
      </c>
      <c r="F591" s="44">
        <f>INDEX(Displacements!D:D, MATCH(Summary!$B591, Displacements!$A:$A, 0))</f>
        <v>0</v>
      </c>
      <c r="G591" s="42">
        <f>INDEX(Displacements!B:B, MATCH(Summary!$C591, Displacements!$A:$A, 0))</f>
        <v>995.11900000000003</v>
      </c>
      <c r="H591" s="43">
        <f>INDEX(Displacements!C:C, MATCH(Summary!$C591, Displacements!$A:$A, 0))</f>
        <v>0</v>
      </c>
      <c r="I591" s="44">
        <f>INDEX(Displacements!D:D, MATCH(Summary!$C591, Displacements!$A:$A, 0))</f>
        <v>-1.397</v>
      </c>
      <c r="J591" s="42">
        <f t="shared" si="18"/>
        <v>1.397</v>
      </c>
      <c r="K591" s="49" t="str">
        <f t="shared" si="19"/>
        <v>N/A</v>
      </c>
      <c r="L591" s="54">
        <f>INDEX('Forces+Stresses'!C:C, MATCH(Summary!$A591, 'Forces+Stresses'!$A:$A, 0))</f>
        <v>144.9</v>
      </c>
      <c r="M591" s="55">
        <f>INDEX('Forces+Stresses'!D:D, MATCH(Summary!$A591, 'Forces+Stresses'!$A:$A, 0))</f>
        <v>144.9</v>
      </c>
      <c r="N591" s="55">
        <f>IFERROR(INDEX('Forces+Stresses'!Q:Q, MATCH(Summary!$A591, 'Forces+Stresses'!$A:$A, 0)), INDEX(Flexjoints!D:D, MATCH(Summary!$A591, Flexjoints!$A:$A, 0)))</f>
        <v>888.9</v>
      </c>
      <c r="O591" s="56">
        <f>IFERROR(INDEX('Forces+Stresses'!R:R, MATCH(Summary!$A591, 'Forces+Stresses'!$A:$A, 0)), INDEX(Flexjoints!E:E, MATCH(Summary!$A591, Flexjoints!$A:$A, 0)))</f>
        <v>888.9</v>
      </c>
      <c r="P591" s="33" t="str">
        <f>IF(INDEX(Labels!B:B, MATCH(Summary!$A591, Labels!$A:$A, 0)) = 0, "", INDEX(Labels!B:B, MATCH(Summary!$A591, Labels!$A:$A, 0)))</f>
        <v>{Stiff 7}</v>
      </c>
      <c r="Q591" s="35" t="str">
        <f>IF(INDEX(Labels!C:C, MATCH(Summary!$A591, Labels!$A:$A, 0)) = 0, "", INDEX(Labels!C:C, MATCH(Summary!$A591, Labels!$A:$A, 0)))</f>
        <v/>
      </c>
      <c r="R591" s="33" t="str">
        <f>IF(INDEX(Labels!D:D, MATCH(Summary!$A591, Labels!$A:$A, 0)) = 0, "", INDEX(Labels!D:D, MATCH(Summary!$A591, Labels!$A:$A, 0)))</f>
        <v>{Stiff 7_First}</v>
      </c>
      <c r="S591" s="35" t="str">
        <f>IF(INDEX(Labels!E:E, MATCH(Summary!$A591, Labels!$A:$A, 0)) = 0, "", INDEX(Labels!E:E, MATCH(Summary!$A591, Labels!$A:$A, 0)))</f>
        <v>{Stiff 7_Last}</v>
      </c>
      <c r="T591" s="33" t="str">
        <f>IF(INDEX(Labels!F:F, MATCH(Summary!$A591, Labels!$A:$A, 0)) = 0, "", INDEX(Labels!F:F, MATCH(Summary!$A591, Labels!$A:$A, 0)))</f>
        <v/>
      </c>
      <c r="U591" s="35" t="str">
        <f>IF(INDEX(Labels!G:G, MATCH(Summary!$A591, Labels!$A:$A, 0)) = 0, "", INDEX(Labels!G:G, MATCH(Summary!$A591, Labels!$A:$A, 0)))</f>
        <v/>
      </c>
      <c r="V591" s="62" t="str">
        <f>IF(INDEX(Labels!H:H, MATCH(Summary!$A591, Labels!$A:$A, 0)) = 0, "", INDEX(Labels!H:H, MATCH(Summary!$A591, Labels!$A:$A, 0)))</f>
        <v/>
      </c>
      <c r="W591" t="str">
        <f>IF(INDEX(Labels!I:I, MATCH(Summary!$A591, Labels!$A:$A, 0)) = 0, "", INDEX(Labels!I:I, MATCH(Summary!$A591, Labels!$A:$A, 0)))</f>
        <v/>
      </c>
      <c r="X591" t="str">
        <f>IF(INDEX(Labels!J:J, MATCH(Summary!$A591, Labels!$A:$A, 0)) = 0, "", INDEX(Labels!J:J, MATCH(Summary!$A591, Labels!$A:$A, 0)))</f>
        <v/>
      </c>
    </row>
    <row r="592" spans="1:24" x14ac:dyDescent="0.2">
      <c r="A592" s="33">
        <f>Labels!A593</f>
        <v>586</v>
      </c>
      <c r="B592" s="34">
        <f>INDEX(EchoData!B:B, MATCH(Summary!$A592, EchoData!$A:$A, 0))</f>
        <v>560</v>
      </c>
      <c r="C592" s="35">
        <f>INDEX(EchoData!C:C, MATCH(Summary!$A592, EchoData!$A:$A, 0))</f>
        <v>590</v>
      </c>
      <c r="D592" s="42">
        <f>INDEX(Displacements!B:B, MATCH(Summary!$B592, Displacements!$A:$A, 0))</f>
        <v>995.11900000000003</v>
      </c>
      <c r="E592" s="43">
        <f>INDEX(Displacements!C:C, MATCH(Summary!$B592, Displacements!$A:$A, 0))</f>
        <v>0</v>
      </c>
      <c r="F592" s="44">
        <f>INDEX(Displacements!D:D, MATCH(Summary!$B592, Displacements!$A:$A, 0))</f>
        <v>0</v>
      </c>
      <c r="G592" s="42">
        <f>INDEX(Displacements!B:B, MATCH(Summary!$C592, Displacements!$A:$A, 0))</f>
        <v>995.11900000000003</v>
      </c>
      <c r="H592" s="43">
        <f>INDEX(Displacements!C:C, MATCH(Summary!$C592, Displacements!$A:$A, 0))</f>
        <v>0.98799999999999999</v>
      </c>
      <c r="I592" s="44">
        <f>INDEX(Displacements!D:D, MATCH(Summary!$C592, Displacements!$A:$A, 0))</f>
        <v>-0.98799999999999999</v>
      </c>
      <c r="J592" s="42">
        <f t="shared" si="18"/>
        <v>1.3972429996246178</v>
      </c>
      <c r="K592" s="49" t="str">
        <f t="shared" si="19"/>
        <v>N/A</v>
      </c>
      <c r="L592" s="54">
        <f>INDEX('Forces+Stresses'!C:C, MATCH(Summary!$A592, 'Forces+Stresses'!$A:$A, 0))</f>
        <v>144.80000000000001</v>
      </c>
      <c r="M592" s="55">
        <f>INDEX('Forces+Stresses'!D:D, MATCH(Summary!$A592, 'Forces+Stresses'!$A:$A, 0))</f>
        <v>144.80000000000001</v>
      </c>
      <c r="N592" s="55">
        <f>IFERROR(INDEX('Forces+Stresses'!Q:Q, MATCH(Summary!$A592, 'Forces+Stresses'!$A:$A, 0)), INDEX(Flexjoints!D:D, MATCH(Summary!$A592, Flexjoints!$A:$A, 0)))</f>
        <v>889.1</v>
      </c>
      <c r="O592" s="56">
        <f>IFERROR(INDEX('Forces+Stresses'!R:R, MATCH(Summary!$A592, 'Forces+Stresses'!$A:$A, 0)), INDEX(Flexjoints!E:E, MATCH(Summary!$A592, Flexjoints!$A:$A, 0)))</f>
        <v>889.1</v>
      </c>
      <c r="P592" s="33" t="str">
        <f>IF(INDEX(Labels!B:B, MATCH(Summary!$A592, Labels!$A:$A, 0)) = 0, "", INDEX(Labels!B:B, MATCH(Summary!$A592, Labels!$A:$A, 0)))</f>
        <v>{Stiff 8}</v>
      </c>
      <c r="Q592" s="35" t="str">
        <f>IF(INDEX(Labels!C:C, MATCH(Summary!$A592, Labels!$A:$A, 0)) = 0, "", INDEX(Labels!C:C, MATCH(Summary!$A592, Labels!$A:$A, 0)))</f>
        <v/>
      </c>
      <c r="R592" s="33" t="str">
        <f>IF(INDEX(Labels!D:D, MATCH(Summary!$A592, Labels!$A:$A, 0)) = 0, "", INDEX(Labels!D:D, MATCH(Summary!$A592, Labels!$A:$A, 0)))</f>
        <v>{Stiff 8_First}</v>
      </c>
      <c r="S592" s="35" t="str">
        <f>IF(INDEX(Labels!E:E, MATCH(Summary!$A592, Labels!$A:$A, 0)) = 0, "", INDEX(Labels!E:E, MATCH(Summary!$A592, Labels!$A:$A, 0)))</f>
        <v>{Stiff 8_Last}</v>
      </c>
      <c r="T592" s="33" t="str">
        <f>IF(INDEX(Labels!F:F, MATCH(Summary!$A592, Labels!$A:$A, 0)) = 0, "", INDEX(Labels!F:F, MATCH(Summary!$A592, Labels!$A:$A, 0)))</f>
        <v/>
      </c>
      <c r="U592" s="35" t="str">
        <f>IF(INDEX(Labels!G:G, MATCH(Summary!$A592, Labels!$A:$A, 0)) = 0, "", INDEX(Labels!G:G, MATCH(Summary!$A592, Labels!$A:$A, 0)))</f>
        <v/>
      </c>
      <c r="V592" s="62" t="str">
        <f>IF(INDEX(Labels!H:H, MATCH(Summary!$A592, Labels!$A:$A, 0)) = 0, "", INDEX(Labels!H:H, MATCH(Summary!$A592, Labels!$A:$A, 0)))</f>
        <v/>
      </c>
      <c r="W592" t="str">
        <f>IF(INDEX(Labels!I:I, MATCH(Summary!$A592, Labels!$A:$A, 0)) = 0, "", INDEX(Labels!I:I, MATCH(Summary!$A592, Labels!$A:$A, 0)))</f>
        <v/>
      </c>
      <c r="X592" t="str">
        <f>IF(INDEX(Labels!J:J, MATCH(Summary!$A592, Labels!$A:$A, 0)) = 0, "", INDEX(Labels!J:J, MATCH(Summary!$A592, Labels!$A:$A, 0)))</f>
        <v/>
      </c>
    </row>
    <row r="593" spans="1:24" x14ac:dyDescent="0.2">
      <c r="A593" s="33">
        <f>Labels!A594</f>
        <v>587</v>
      </c>
      <c r="B593" s="34">
        <f>INDEX(EchoData!B:B, MATCH(Summary!$A593, EchoData!$A:$A, 0))</f>
        <v>533</v>
      </c>
      <c r="C593" s="35">
        <f>INDEX(EchoData!C:C, MATCH(Summary!$A593, EchoData!$A:$A, 0))</f>
        <v>566</v>
      </c>
      <c r="D593" s="42">
        <f>INDEX(Displacements!B:B, MATCH(Summary!$B593, Displacements!$A:$A, 0))</f>
        <v>976.83100000000002</v>
      </c>
      <c r="E593" s="43">
        <f>INDEX(Displacements!C:C, MATCH(Summary!$B593, Displacements!$A:$A, 0))</f>
        <v>0</v>
      </c>
      <c r="F593" s="44">
        <f>INDEX(Displacements!D:D, MATCH(Summary!$B593, Displacements!$A:$A, 0))</f>
        <v>0</v>
      </c>
      <c r="G593" s="42">
        <f>INDEX(Displacements!B:B, MATCH(Summary!$C593, Displacements!$A:$A, 0))</f>
        <v>1003.429</v>
      </c>
      <c r="H593" s="43">
        <f>INDEX(Displacements!C:C, MATCH(Summary!$C593, Displacements!$A:$A, 0))</f>
        <v>0</v>
      </c>
      <c r="I593" s="44">
        <f>INDEX(Displacements!D:D, MATCH(Summary!$C593, Displacements!$A:$A, 0))</f>
        <v>0</v>
      </c>
      <c r="J593" s="42">
        <f t="shared" si="18"/>
        <v>26.597999999999956</v>
      </c>
      <c r="K593" s="49" t="str">
        <f t="shared" si="19"/>
        <v>N/A</v>
      </c>
      <c r="L593" s="54"/>
      <c r="M593" s="55"/>
      <c r="N593" s="55"/>
      <c r="O593" s="56"/>
      <c r="P593" s="33" t="str">
        <f>IF(INDEX(Labels!B:B, MATCH(Summary!$A593, Labels!$A:$A, 0)) = 0, "", INDEX(Labels!B:B, MATCH(Summary!$A593, Labels!$A:$A, 0)))</f>
        <v>{Stroke Spring}</v>
      </c>
      <c r="Q593" s="35" t="str">
        <f>IF(INDEX(Labels!C:C, MATCH(Summary!$A593, Labels!$A:$A, 0)) = 0, "", INDEX(Labels!C:C, MATCH(Summary!$A593, Labels!$A:$A, 0)))</f>
        <v/>
      </c>
      <c r="R593" s="33" t="str">
        <f>IF(INDEX(Labels!D:D, MATCH(Summary!$A593, Labels!$A:$A, 0)) = 0, "", INDEX(Labels!D:D, MATCH(Summary!$A593, Labels!$A:$A, 0)))</f>
        <v>{Stroke Spring_First}</v>
      </c>
      <c r="S593" s="35" t="str">
        <f>IF(INDEX(Labels!E:E, MATCH(Summary!$A593, Labels!$A:$A, 0)) = 0, "", INDEX(Labels!E:E, MATCH(Summary!$A593, Labels!$A:$A, 0)))</f>
        <v>{Stroke Spring_Last}</v>
      </c>
      <c r="T593" s="33" t="str">
        <f>IF(INDEX(Labels!F:F, MATCH(Summary!$A593, Labels!$A:$A, 0)) = 0, "", INDEX(Labels!F:F, MATCH(Summary!$A593, Labels!$A:$A, 0)))</f>
        <v/>
      </c>
      <c r="U593" s="35" t="str">
        <f>IF(INDEX(Labels!G:G, MATCH(Summary!$A593, Labels!$A:$A, 0)) = 0, "", INDEX(Labels!G:G, MATCH(Summary!$A593, Labels!$A:$A, 0)))</f>
        <v/>
      </c>
      <c r="V593" s="62" t="str">
        <f>IF(INDEX(Labels!H:H, MATCH(Summary!$A593, Labels!$A:$A, 0)) = 0, "", INDEX(Labels!H:H, MATCH(Summary!$A593, Labels!$A:$A, 0)))</f>
        <v/>
      </c>
      <c r="W593" t="str">
        <f>IF(INDEX(Labels!I:I, MATCH(Summary!$A593, Labels!$A:$A, 0)) = 0, "", INDEX(Labels!I:I, MATCH(Summary!$A593, Labels!$A:$A, 0)))</f>
        <v/>
      </c>
      <c r="X593" t="str">
        <f>IF(INDEX(Labels!J:J, MATCH(Summary!$A593, Labels!$A:$A, 0)) = 0, "", INDEX(Labels!J:J, MATCH(Summary!$A593, Labels!$A:$A, 0)))</f>
        <v/>
      </c>
    </row>
    <row r="594" spans="1:24" x14ac:dyDescent="0.2">
      <c r="A594" s="33">
        <f>Labels!A595</f>
        <v>588</v>
      </c>
      <c r="B594" s="34">
        <f>INDEX(EchoData!B:B, MATCH(Summary!$A594, EchoData!$A:$A, 0))</f>
        <v>544</v>
      </c>
      <c r="C594" s="35">
        <f>INDEX(EchoData!C:C, MATCH(Summary!$A594, EchoData!$A:$A, 0))</f>
        <v>611</v>
      </c>
      <c r="D594" s="42">
        <f>INDEX(Displacements!B:B, MATCH(Summary!$B594, Displacements!$A:$A, 0))</f>
        <v>985</v>
      </c>
      <c r="E594" s="43">
        <f>INDEX(Displacements!C:C, MATCH(Summary!$B594, Displacements!$A:$A, 0))</f>
        <v>0</v>
      </c>
      <c r="F594" s="44">
        <f>INDEX(Displacements!D:D, MATCH(Summary!$B594, Displacements!$A:$A, 0))</f>
        <v>0</v>
      </c>
      <c r="G594" s="42">
        <f>INDEX(Displacements!B:B, MATCH(Summary!$C594, Displacements!$A:$A, 0))</f>
        <v>985</v>
      </c>
      <c r="H594" s="43">
        <f>INDEX(Displacements!C:C, MATCH(Summary!$C594, Displacements!$A:$A, 0))</f>
        <v>1000</v>
      </c>
      <c r="I594" s="44">
        <f>INDEX(Displacements!D:D, MATCH(Summary!$C594, Displacements!$A:$A, 0))</f>
        <v>0</v>
      </c>
      <c r="J594" s="42">
        <f t="shared" si="18"/>
        <v>1000</v>
      </c>
      <c r="K594" s="49" t="str">
        <f t="shared" si="19"/>
        <v>N/A</v>
      </c>
      <c r="L594" s="54"/>
      <c r="M594" s="55"/>
      <c r="N594" s="55"/>
      <c r="O594" s="56"/>
      <c r="P594" s="33" t="str">
        <f>IF(INDEX(Labels!B:B, MATCH(Summary!$A594, Labels!$A:$A, 0)) = 0, "", INDEX(Labels!B:B, MATCH(Summary!$A594, Labels!$A:$A, 0)))</f>
        <v>{Moonpool Clearance 1}</v>
      </c>
      <c r="Q594" s="35" t="str">
        <f>IF(INDEX(Labels!C:C, MATCH(Summary!$A594, Labels!$A:$A, 0)) = 0, "", INDEX(Labels!C:C, MATCH(Summary!$A594, Labels!$A:$A, 0)))</f>
        <v/>
      </c>
      <c r="R594" s="33" t="str">
        <f>IF(INDEX(Labels!D:D, MATCH(Summary!$A594, Labels!$A:$A, 0)) = 0, "", INDEX(Labels!D:D, MATCH(Summary!$A594, Labels!$A:$A, 0)))</f>
        <v>{Moonpool Clearance 1_First}</v>
      </c>
      <c r="S594" s="35" t="str">
        <f>IF(INDEX(Labels!E:E, MATCH(Summary!$A594, Labels!$A:$A, 0)) = 0, "", INDEX(Labels!E:E, MATCH(Summary!$A594, Labels!$A:$A, 0)))</f>
        <v>{Moonpool Clearance 1_Last}</v>
      </c>
      <c r="T594" s="33" t="str">
        <f>IF(INDEX(Labels!F:F, MATCH(Summary!$A594, Labels!$A:$A, 0)) = 0, "", INDEX(Labels!F:F, MATCH(Summary!$A594, Labels!$A:$A, 0)))</f>
        <v/>
      </c>
      <c r="U594" s="35" t="str">
        <f>IF(INDEX(Labels!G:G, MATCH(Summary!$A594, Labels!$A:$A, 0)) = 0, "", INDEX(Labels!G:G, MATCH(Summary!$A594, Labels!$A:$A, 0)))</f>
        <v/>
      </c>
      <c r="V594" s="62" t="str">
        <f>IF(INDEX(Labels!H:H, MATCH(Summary!$A594, Labels!$A:$A, 0)) = 0, "", INDEX(Labels!H:H, MATCH(Summary!$A594, Labels!$A:$A, 0)))</f>
        <v/>
      </c>
      <c r="W594" t="str">
        <f>IF(INDEX(Labels!I:I, MATCH(Summary!$A594, Labels!$A:$A, 0)) = 0, "", INDEX(Labels!I:I, MATCH(Summary!$A594, Labels!$A:$A, 0)))</f>
        <v/>
      </c>
      <c r="X594" t="str">
        <f>IF(INDEX(Labels!J:J, MATCH(Summary!$A594, Labels!$A:$A, 0)) = 0, "", INDEX(Labels!J:J, MATCH(Summary!$A594, Labels!$A:$A, 0)))</f>
        <v/>
      </c>
    </row>
    <row r="595" spans="1:24" ht="13.5" thickBot="1" x14ac:dyDescent="0.25">
      <c r="A595" s="36">
        <f>Labels!A596</f>
        <v>589</v>
      </c>
      <c r="B595" s="37">
        <f>INDEX(EchoData!B:B, MATCH(Summary!$A595, EchoData!$A:$A, 0))</f>
        <v>544</v>
      </c>
      <c r="C595" s="38">
        <f>INDEX(EchoData!C:C, MATCH(Summary!$A595, EchoData!$A:$A, 0))</f>
        <v>613</v>
      </c>
      <c r="D595" s="45">
        <f>INDEX(Displacements!B:B, MATCH(Summary!$B595, Displacements!$A:$A, 0))</f>
        <v>985</v>
      </c>
      <c r="E595" s="46">
        <f>INDEX(Displacements!C:C, MATCH(Summary!$B595, Displacements!$A:$A, 0))</f>
        <v>0</v>
      </c>
      <c r="F595" s="47">
        <f>INDEX(Displacements!D:D, MATCH(Summary!$B595, Displacements!$A:$A, 0))</f>
        <v>0</v>
      </c>
      <c r="G595" s="45">
        <f>INDEX(Displacements!B:B, MATCH(Summary!$C595, Displacements!$A:$A, 0))</f>
        <v>985</v>
      </c>
      <c r="H595" s="46">
        <f>INDEX(Displacements!C:C, MATCH(Summary!$C595, Displacements!$A:$A, 0))</f>
        <v>0</v>
      </c>
      <c r="I595" s="47">
        <f>INDEX(Displacements!D:D, MATCH(Summary!$C595, Displacements!$A:$A, 0))</f>
        <v>-1000</v>
      </c>
      <c r="J595" s="45">
        <f t="shared" si="18"/>
        <v>1000</v>
      </c>
      <c r="K595" s="50" t="str">
        <f t="shared" si="19"/>
        <v>N/A</v>
      </c>
      <c r="L595" s="57"/>
      <c r="M595" s="58"/>
      <c r="N595" s="58"/>
      <c r="O595" s="59"/>
      <c r="P595" s="36" t="str">
        <f>IF(INDEX(Labels!B:B, MATCH(Summary!$A595, Labels!$A:$A, 0)) = 0, "", INDEX(Labels!B:B, MATCH(Summary!$A595, Labels!$A:$A, 0)))</f>
        <v>{Moonpool Clearance 2}</v>
      </c>
      <c r="Q595" s="38" t="str">
        <f>IF(INDEX(Labels!C:C, MATCH(Summary!$A595, Labels!$A:$A, 0)) = 0, "", INDEX(Labels!C:C, MATCH(Summary!$A595, Labels!$A:$A, 0)))</f>
        <v/>
      </c>
      <c r="R595" s="36" t="str">
        <f>IF(INDEX(Labels!D:D, MATCH(Summary!$A595, Labels!$A:$A, 0)) = 0, "", INDEX(Labels!D:D, MATCH(Summary!$A595, Labels!$A:$A, 0)))</f>
        <v>{Moonpool Clearance 2_First}</v>
      </c>
      <c r="S595" s="38" t="str">
        <f>IF(INDEX(Labels!E:E, MATCH(Summary!$A595, Labels!$A:$A, 0)) = 0, "", INDEX(Labels!E:E, MATCH(Summary!$A595, Labels!$A:$A, 0)))</f>
        <v>{Moonpool Clearance 2_Last}</v>
      </c>
      <c r="T595" s="36" t="str">
        <f>IF(INDEX(Labels!F:F, MATCH(Summary!$A595, Labels!$A:$A, 0)) = 0, "", INDEX(Labels!F:F, MATCH(Summary!$A595, Labels!$A:$A, 0)))</f>
        <v/>
      </c>
      <c r="U595" s="38" t="str">
        <f>IF(INDEX(Labels!G:G, MATCH(Summary!$A595, Labels!$A:$A, 0)) = 0, "", INDEX(Labels!G:G, MATCH(Summary!$A595, Labels!$A:$A, 0)))</f>
        <v/>
      </c>
      <c r="V595" s="63" t="str">
        <f>IF(INDEX(Labels!H:H, MATCH(Summary!$A595, Labels!$A:$A, 0)) = 0, "", INDEX(Labels!H:H, MATCH(Summary!$A595, Labels!$A:$A, 0)))</f>
        <v/>
      </c>
      <c r="W595" t="str">
        <f>IF(INDEX(Labels!I:I, MATCH(Summary!$A595, Labels!$A:$A, 0)) = 0, "", INDEX(Labels!I:I, MATCH(Summary!$A595, Labels!$A:$A, 0)))</f>
        <v/>
      </c>
      <c r="X595" t="str">
        <f>IF(INDEX(Labels!J:J, MATCH(Summary!$A595, Labels!$A:$A, 0)) = 0, "", INDEX(Labels!J:J, MATCH(Summary!$A595, Labels!$A:$A, 0)))</f>
        <v/>
      </c>
    </row>
  </sheetData>
  <autoFilter ref="A6:W6"/>
  <mergeCells count="17">
    <mergeCell ref="R4:R6"/>
    <mergeCell ref="A4:A6"/>
    <mergeCell ref="B4:B6"/>
    <mergeCell ref="C4:C6"/>
    <mergeCell ref="D4:F4"/>
    <mergeCell ref="G4:I4"/>
    <mergeCell ref="J4:J5"/>
    <mergeCell ref="K4:K6"/>
    <mergeCell ref="L4:M4"/>
    <mergeCell ref="N4:O4"/>
    <mergeCell ref="P4:P6"/>
    <mergeCell ref="Q4:Q6"/>
    <mergeCell ref="S4:S6"/>
    <mergeCell ref="T4:T6"/>
    <mergeCell ref="U4:U6"/>
    <mergeCell ref="V4:V6"/>
    <mergeCell ref="W4:W6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lotData"/>
  <dimension ref="B1:L29"/>
  <sheetViews>
    <sheetView tabSelected="1" zoomScale="85" zoomScaleNormal="85" workbookViewId="0"/>
  </sheetViews>
  <sheetFormatPr defaultRowHeight="12.75" x14ac:dyDescent="0.2"/>
  <cols>
    <col min="2" max="2" width="26.7109375" bestFit="1" customWidth="1"/>
    <col min="3" max="3" width="25.7109375" bestFit="1" customWidth="1"/>
    <col min="8" max="8" width="11.5703125" bestFit="1" customWidth="1"/>
    <col min="9" max="9" width="20.28515625" bestFit="1" customWidth="1"/>
    <col min="10" max="10" width="8.42578125" bestFit="1" customWidth="1"/>
    <col min="11" max="11" width="20.28515625" bestFit="1" customWidth="1"/>
    <col min="12" max="12" width="8.42578125" bestFit="1" customWidth="1"/>
  </cols>
  <sheetData>
    <row r="1" spans="2:12" ht="15" x14ac:dyDescent="0.2">
      <c r="B1" s="70" t="s">
        <v>401</v>
      </c>
      <c r="C1" s="70" t="s">
        <v>402</v>
      </c>
      <c r="I1" s="70" t="s">
        <v>406</v>
      </c>
    </row>
    <row r="2" spans="2:12" ht="15" x14ac:dyDescent="0.2">
      <c r="B2" t="str">
        <f t="array" ref="B2">INDEX(Summary!$P$7:$P$595, MATCH(0, COUNTIF($B$1:B1, Summary!$P$7:$P$595), 0))</f>
        <v>{Conductor Soil String}</v>
      </c>
      <c r="C2" t="str">
        <f t="array" ref="C2">INDEX(Summary!$Q$7:$Q$595, MATCH(0, COUNTIF($C$1:C1, Summary!$Q$7:$Q$595), 0))</f>
        <v>{Cond 36x1.5in}</v>
      </c>
      <c r="I2" s="70"/>
    </row>
    <row r="3" spans="2:12" x14ac:dyDescent="0.2">
      <c r="B3" t="str">
        <f t="array" ref="B3">INDEX(Summary!$P$7:$P$595, MATCH(0, COUNTIF($B$1:B2, Summary!$P$7:$P$595), 0))</f>
        <v>{Conductor &amp; LPH String}</v>
      </c>
      <c r="C3" t="str">
        <f t="array" ref="C3">INDEX(Summary!$Q$7:$Q$595, MATCH(0, COUNTIF($C$1:C2, Summary!$Q$7:$Q$595), 0))</f>
        <v>{Cond 36x2in}</v>
      </c>
      <c r="H3" s="23" t="s">
        <v>408</v>
      </c>
      <c r="I3">
        <v>2</v>
      </c>
    </row>
    <row r="4" spans="2:12" x14ac:dyDescent="0.2">
      <c r="B4" t="str">
        <f t="array" ref="B4">INDEX(Summary!$P$7:$P$595, MATCH(0, COUNTIF($B$1:B3, Summary!$P$7:$P$595), 0))</f>
        <v>{Casing Soil String}</v>
      </c>
      <c r="C4" t="str">
        <f t="array" ref="C4">INDEX(Summary!$Q$7:$Q$595, MATCH(0, COUNTIF($C$1:C3, Summary!$Q$7:$Q$595), 0))</f>
        <v>{Cond 36x2in SW}</v>
      </c>
      <c r="H4" s="23" t="s">
        <v>407</v>
      </c>
      <c r="I4">
        <v>22</v>
      </c>
      <c r="K4">
        <v>22</v>
      </c>
    </row>
    <row r="5" spans="2:12" x14ac:dyDescent="0.2">
      <c r="B5" t="str">
        <f t="array" ref="B5">INDEX(Summary!$P$7:$P$595, MATCH(0, COUNTIF($B$1:B4, Summary!$P$7:$P$595), 0))</f>
        <v>{Casing &amp; HPH Internal String}</v>
      </c>
      <c r="C5" t="str">
        <f t="array" ref="C5">INDEX(Summary!$Q$7:$Q$595, MATCH(0, COUNTIF($C$1:C4, Summary!$Q$7:$Q$595), 0))</f>
        <v>{LP Housing}</v>
      </c>
    </row>
    <row r="6" spans="2:12" x14ac:dyDescent="0.2">
      <c r="B6" t="str">
        <f t="array" ref="B6">INDEX(Summary!$P$7:$P$595, MATCH(0, COUNTIF($B$1:B5, Summary!$P$7:$P$595), 0))</f>
        <v>{Marine Riser String}</v>
      </c>
      <c r="C6" t="str">
        <f t="array" ref="C6">INDEX(Summary!$Q$7:$Q$595, MATCH(0, COUNTIF($C$1:C5, Summary!$Q$7:$Q$595), 0))</f>
        <v>{Casing 13 3/8in}</v>
      </c>
      <c r="I6" t="s">
        <v>403</v>
      </c>
      <c r="K6" t="s">
        <v>405</v>
      </c>
    </row>
    <row r="7" spans="2:12" x14ac:dyDescent="0.2">
      <c r="B7" t="str">
        <f t="array" ref="B7">INDEX(Summary!$P$7:$P$595, MATCH(0, COUNTIF($B$1:B6, Summary!$P$7:$P$595), 0))</f>
        <v>{Tensioner 1}</v>
      </c>
      <c r="C7" t="str">
        <f t="array" ref="C7">INDEX(Summary!$Q$7:$Q$595, MATCH(0, COUNTIF($C$1:C6, Summary!$Q$7:$Q$595), 0))</f>
        <v>{HP Extension Joint}</v>
      </c>
      <c r="I7" t="s">
        <v>174</v>
      </c>
      <c r="K7" t="s">
        <v>176</v>
      </c>
    </row>
    <row r="8" spans="2:12" x14ac:dyDescent="0.2">
      <c r="B8" t="str">
        <f t="array" ref="B8">INDEX(Summary!$P$7:$P$595, MATCH(0, COUNTIF($B$1:B7, Summary!$P$7:$P$595), 0))</f>
        <v>{Tensioner 2}</v>
      </c>
      <c r="C8" t="str">
        <f t="array" ref="C8">INDEX(Summary!$Q$7:$Q$595, MATCH(0, COUNTIF($C$1:C7, Summary!$Q$7:$Q$595), 0))</f>
        <v>{HP Extension Joint SW}</v>
      </c>
      <c r="I8" t="s">
        <v>60</v>
      </c>
      <c r="J8" t="s">
        <v>404</v>
      </c>
      <c r="K8" t="s">
        <v>60</v>
      </c>
      <c r="L8" t="s">
        <v>404</v>
      </c>
    </row>
    <row r="9" spans="2:12" x14ac:dyDescent="0.2">
      <c r="B9" t="str">
        <f t="array" ref="B9">INDEX(Summary!$P$7:$P$595, MATCH(0, COUNTIF($B$1:B8, Summary!$P$7:$P$595), 0))</f>
        <v>{Tensioner 3}</v>
      </c>
      <c r="C9" t="str">
        <f t="array" ref="C9">INDEX(Summary!$Q$7:$Q$595, MATCH(0, COUNTIF($C$1:C8, Summary!$Q$7:$Q$595), 0))</f>
        <v>{HP Housing Internal}</v>
      </c>
      <c r="I9" t="s">
        <v>19</v>
      </c>
      <c r="J9" t="s">
        <v>20</v>
      </c>
      <c r="K9" t="s">
        <v>19</v>
      </c>
      <c r="L9" t="s">
        <v>20</v>
      </c>
    </row>
    <row r="10" spans="2:12" x14ac:dyDescent="0.2">
      <c r="B10" t="str">
        <f t="array" ref="B10">INDEX(Summary!$P$7:$P$595, MATCH(0, COUNTIF($B$1:B9, Summary!$P$7:$P$595), 0))</f>
        <v>{Tensioner 4}</v>
      </c>
      <c r="C10" t="str">
        <f t="array" ref="C10">INDEX(Summary!$Q$7:$Q$595, MATCH(0, COUNTIF($C$1:C9, Summary!$Q$7:$Q$595), 0))</f>
        <v>{MR Dummy}</v>
      </c>
      <c r="I10">
        <v>0</v>
      </c>
      <c r="J10">
        <v>-1673</v>
      </c>
      <c r="K10">
        <v>0</v>
      </c>
      <c r="L10">
        <v>86.03</v>
      </c>
    </row>
    <row r="11" spans="2:12" x14ac:dyDescent="0.2">
      <c r="B11" t="str">
        <f t="array" ref="B11">INDEX(Summary!$P$7:$P$595, MATCH(0, COUNTIF($B$1:B10, Summary!$P$7:$P$595), 0))</f>
        <v>{Tensioner 5}</v>
      </c>
      <c r="C11" t="str">
        <f t="array" ref="C11">INDEX(Summary!$Q$7:$Q$595, MATCH(0, COUNTIF($C$1:C10, Summary!$Q$7:$Q$595), 0))</f>
        <v>{HP Housing External}</v>
      </c>
      <c r="I11">
        <v>9.4E-2</v>
      </c>
      <c r="J11">
        <v>-1672</v>
      </c>
      <c r="K11">
        <v>0.09</v>
      </c>
      <c r="L11">
        <v>86.29</v>
      </c>
    </row>
    <row r="12" spans="2:12" x14ac:dyDescent="0.2">
      <c r="B12" t="str">
        <f t="array" ref="B12">INDEX(Summary!$P$7:$P$595, MATCH(0, COUNTIF($B$1:B11, Summary!$P$7:$P$595), 0))</f>
        <v>{Tensioner 6}</v>
      </c>
      <c r="C12" t="str">
        <f t="array" ref="C12">INDEX(Summary!$Q$7:$Q$595, MATCH(0, COUNTIF($C$1:C11, Summary!$Q$7:$Q$595), 0))</f>
        <v>{BOP}</v>
      </c>
      <c r="I12">
        <v>0.23400000000000001</v>
      </c>
      <c r="J12">
        <v>-1670</v>
      </c>
      <c r="K12">
        <v>0.224</v>
      </c>
      <c r="L12">
        <v>86.67</v>
      </c>
    </row>
    <row r="13" spans="2:12" x14ac:dyDescent="0.2">
      <c r="B13" t="str">
        <f t="array" ref="B13">INDEX(Summary!$P$7:$P$595, MATCH(0, COUNTIF($B$1:B12, Summary!$P$7:$P$595), 0))</f>
        <v>{Tensioner 7}</v>
      </c>
      <c r="C13" t="str">
        <f t="array" ref="C13">INDEX(Summary!$Q$7:$Q$595, MATCH(0, COUNTIF($C$1:C12, Summary!$Q$7:$Q$595), 0))</f>
        <v>{LMRP}</v>
      </c>
      <c r="I13">
        <v>0.5</v>
      </c>
      <c r="J13">
        <v>-1668</v>
      </c>
      <c r="K13">
        <v>0.5</v>
      </c>
      <c r="L13">
        <v>87.44</v>
      </c>
    </row>
    <row r="14" spans="2:12" x14ac:dyDescent="0.2">
      <c r="B14" t="str">
        <f t="array" ref="B14">INDEX(Summary!$P$7:$P$595, MATCH(0, COUNTIF($B$1:B13, Summary!$P$7:$P$595), 0))</f>
        <v>{Tensioner 8}</v>
      </c>
      <c r="C14" t="str">
        <f t="array" ref="C14">INDEX(Summary!$Q$7:$Q$595, MATCH(0, COUNTIF($C$1:C13, Summary!$Q$7:$Q$595), 0))</f>
        <v>{LFJ Centre}</v>
      </c>
      <c r="I14">
        <v>0.746</v>
      </c>
      <c r="J14">
        <v>-1666</v>
      </c>
      <c r="K14">
        <v>0.74299999999999999</v>
      </c>
      <c r="L14">
        <v>88.13</v>
      </c>
    </row>
    <row r="15" spans="2:12" x14ac:dyDescent="0.2">
      <c r="B15" t="str">
        <f t="array" ref="B15">INDEX(Summary!$P$7:$P$595, MATCH(0, COUNTIF($B$1:B14, Summary!$P$7:$P$595), 0))</f>
        <v>{Stiff 1}</v>
      </c>
      <c r="C15" t="str">
        <f t="array" ref="C15">INDEX(Summary!$Q$7:$Q$595, MATCH(0, COUNTIF($C$1:C14, Summary!$Q$7:$Q$595), 0))</f>
        <v>{LFJ Upper}</v>
      </c>
      <c r="I15">
        <v>0.89800000000000002</v>
      </c>
      <c r="J15">
        <v>-1664</v>
      </c>
      <c r="K15">
        <v>0.89700000000000002</v>
      </c>
      <c r="L15">
        <v>88.57</v>
      </c>
    </row>
    <row r="16" spans="2:12" x14ac:dyDescent="0.2">
      <c r="B16" t="str">
        <f t="array" ref="B16">INDEX(Summary!$P$7:$P$595, MATCH(0, COUNTIF($B$1:B15, Summary!$P$7:$P$595), 0))</f>
        <v>{Stiff 2}</v>
      </c>
      <c r="C16" t="str">
        <f t="array" ref="C16">INDEX(Summary!$Q$7:$Q$595, MATCH(0, COUNTIF($C$1:C15, Summary!$Q$7:$Q$595), 0))</f>
        <v>{Termination Adapter}</v>
      </c>
      <c r="I16">
        <v>1</v>
      </c>
      <c r="J16">
        <v>-1663</v>
      </c>
      <c r="K16">
        <v>1</v>
      </c>
      <c r="L16">
        <v>88.86</v>
      </c>
    </row>
    <row r="17" spans="2:12" x14ac:dyDescent="0.2">
      <c r="B17" t="str">
        <f t="array" ref="B17">INDEX(Summary!$P$7:$P$595, MATCH(0, COUNTIF($B$1:B16, Summary!$P$7:$P$595), 0))</f>
        <v>{Stiff 3}</v>
      </c>
      <c r="C17" t="str">
        <f t="array" ref="C17">INDEX(Summary!$Q$7:$Q$595, MATCH(0, COUNTIF($C$1:C16, Summary!$Q$7:$Q$595), 0))</f>
        <v>{75ft 5000ft 0.875in Buoyant}</v>
      </c>
      <c r="I17">
        <v>1.0860000000000001</v>
      </c>
      <c r="J17">
        <v>-1663</v>
      </c>
      <c r="K17">
        <v>1.171</v>
      </c>
      <c r="L17">
        <v>89.34</v>
      </c>
    </row>
    <row r="18" spans="2:12" x14ac:dyDescent="0.2">
      <c r="B18" t="str">
        <f t="array" ref="B18">INDEX(Summary!$P$7:$P$595, MATCH(0, COUNTIF($B$1:B17, Summary!$P$7:$P$595), 0))</f>
        <v>{Stiff 4}</v>
      </c>
      <c r="C18" t="str">
        <f t="array" ref="C18">INDEX(Summary!$Q$7:$Q$595, MATCH(0, COUNTIF($C$1:C17, Summary!$Q$7:$Q$595), 0))</f>
        <v>{75ft 2500ft 0.875in Buoyant}</v>
      </c>
      <c r="I18">
        <v>1.2709999999999999</v>
      </c>
      <c r="J18">
        <v>1333</v>
      </c>
      <c r="K18">
        <v>1.2709999999999999</v>
      </c>
      <c r="L18">
        <v>-2901</v>
      </c>
    </row>
    <row r="19" spans="2:12" x14ac:dyDescent="0.2">
      <c r="B19" t="str">
        <f t="array" ref="B19">INDEX(Summary!$P$7:$P$595, MATCH(0, COUNTIF($B$1:B18, Summary!$P$7:$P$595), 0))</f>
        <v>{Stiff 5}</v>
      </c>
      <c r="C19" t="str">
        <f t="array" ref="C19">INDEX(Summary!$Q$7:$Q$595, MATCH(0, COUNTIF($C$1:C18, Summary!$Q$7:$Q$595), 0))</f>
        <v>{75ft 2500ft 1in Buoyant}</v>
      </c>
      <c r="I19">
        <v>1.3979999999999999</v>
      </c>
      <c r="J19">
        <v>1336</v>
      </c>
      <c r="K19">
        <v>1.3939999999999999</v>
      </c>
      <c r="L19">
        <v>-2900</v>
      </c>
    </row>
    <row r="20" spans="2:12" x14ac:dyDescent="0.2">
      <c r="B20" t="str">
        <f t="array" ref="B20">INDEX(Summary!$P$7:$P$595, MATCH(0, COUNTIF($B$1:B19, Summary!$P$7:$P$595), 0))</f>
        <v>{Stiff 6}</v>
      </c>
      <c r="C20" t="str">
        <f t="array" ref="C20">INDEX(Summary!$Q$7:$Q$595, MATCH(0, COUNTIF($C$1:C19, Summary!$Q$7:$Q$595), 0))</f>
        <v>{Slick Joint}</v>
      </c>
      <c r="I20">
        <v>1.589</v>
      </c>
      <c r="J20">
        <v>1340</v>
      </c>
      <c r="K20">
        <v>1.579</v>
      </c>
      <c r="L20">
        <v>-2898</v>
      </c>
    </row>
    <row r="21" spans="2:12" x14ac:dyDescent="0.2">
      <c r="B21" t="str">
        <f t="array" ref="B21">INDEX(Summary!$P$7:$P$595, MATCH(0, COUNTIF($B$1:B20, Summary!$P$7:$P$595), 0))</f>
        <v>{Stiff 7}</v>
      </c>
      <c r="C21" t="str">
        <f t="array" ref="C21">INDEX(Summary!$Q$7:$Q$595, MATCH(0, COUNTIF($C$1:C20, Summary!$Q$7:$Q$595), 0))</f>
        <v>{Outer Barrel Lower}</v>
      </c>
      <c r="I21">
        <v>1.78</v>
      </c>
      <c r="J21">
        <v>1344</v>
      </c>
      <c r="K21">
        <v>1.764</v>
      </c>
      <c r="L21">
        <v>-2896</v>
      </c>
    </row>
    <row r="22" spans="2:12" x14ac:dyDescent="0.2">
      <c r="B22" t="str">
        <f t="array" ref="B22">INDEX(Summary!$P$7:$P$595, MATCH(0, COUNTIF($B$1:B21, Summary!$P$7:$P$595), 0))</f>
        <v>{Stiff 8}</v>
      </c>
      <c r="C22" t="str">
        <f t="array" ref="C22">INDEX(Summary!$Q$7:$Q$595, MATCH(0, COUNTIF($C$1:C21, Summary!$Q$7:$Q$595), 0))</f>
        <v>{Outer Barrel Upper}</v>
      </c>
      <c r="I22">
        <v>1.9119999999999999</v>
      </c>
      <c r="J22">
        <v>1348</v>
      </c>
      <c r="K22">
        <v>1.9059999999999999</v>
      </c>
      <c r="L22">
        <v>-2895</v>
      </c>
    </row>
    <row r="23" spans="2:12" x14ac:dyDescent="0.2">
      <c r="B23" t="str">
        <f t="array" ref="B23">INDEX(Summary!$P$7:$P$595, MATCH(0, COUNTIF($B$1:B22, Summary!$P$7:$P$595), 0))</f>
        <v>{Stroke Spring}</v>
      </c>
      <c r="C23" t="str">
        <f t="array" ref="C23">INDEX(Summary!$Q$7:$Q$595, MATCH(0, COUNTIF($C$1:C22, Summary!$Q$7:$Q$595), 0))</f>
        <v>{Outer Barrel Top Element}</v>
      </c>
    </row>
    <row r="24" spans="2:12" x14ac:dyDescent="0.2">
      <c r="B24" t="str">
        <f t="array" ref="B24">INDEX(Summary!$P$7:$P$595, MATCH(0, COUNTIF($B$1:B23, Summary!$P$7:$P$595), 0))</f>
        <v>{Moonpool Clearance 1}</v>
      </c>
      <c r="C24" t="str">
        <f t="array" ref="C24">INDEX(Summary!$Q$7:$Q$595, MATCH(0, COUNTIF($C$1:C23, Summary!$Q$7:$Q$595), 0))</f>
        <v>{Stroke}</v>
      </c>
    </row>
    <row r="25" spans="2:12" x14ac:dyDescent="0.2">
      <c r="B25" t="str">
        <f t="array" ref="B25">INDEX(Summary!$P$7:$P$595, MATCH(0, COUNTIF($B$1:B24, Summary!$P$7:$P$595), 0))</f>
        <v>{Moonpool Clearance 2}</v>
      </c>
      <c r="C25" t="str">
        <f t="array" ref="C25">INDEX(Summary!$Q$7:$Q$595, MATCH(0, COUNTIF($C$1:C24, Summary!$Q$7:$Q$595), 0))</f>
        <v>{Inner Barrel}</v>
      </c>
    </row>
    <row r="26" spans="2:12" x14ac:dyDescent="0.2">
      <c r="C26" t="str">
        <f t="array" ref="C26">INDEX(Summary!$Q$7:$Q$595, MATCH(0, COUNTIF($C$1:C25, Summary!$Q$7:$Q$595), 0))</f>
        <v>{UFJ Lower}</v>
      </c>
    </row>
    <row r="27" spans="2:12" x14ac:dyDescent="0.2">
      <c r="C27" t="str">
        <f t="array" ref="C27">INDEX(Summary!$Q$7:$Q$595, MATCH(0, COUNTIF($C$1:C26, Summary!$Q$7:$Q$595), 0))</f>
        <v>{UFJ Centre}</v>
      </c>
    </row>
    <row r="28" spans="2:12" x14ac:dyDescent="0.2">
      <c r="C28" t="str">
        <f t="array" ref="C28">INDEX(Summary!$Q$7:$Q$595, MATCH(0, COUNTIF($C$1:C27, Summary!$Q$7:$Q$595), 0))</f>
        <v>{UFJ Upper}</v>
      </c>
    </row>
    <row r="29" spans="2:12" x14ac:dyDescent="0.2">
      <c r="C29" t="str">
        <f t="array" ref="C29">INDEX(Summary!$Q$7:$Q$595, MATCH(0, COUNTIF($C$1:C28, Summary!$Q$7:$Q$595), 0))</f>
        <v>{Diverter}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lboxLabels">
          <controlPr defaultSize="0" autoLine="0" autoPict="0" listFillRange="B2:B25" r:id="rId5">
            <anchor moveWithCells="1">
              <from>
                <xdr:col>3</xdr:col>
                <xdr:colOff>66675</xdr:colOff>
                <xdr:row>1</xdr:row>
                <xdr:rowOff>66675</xdr:rowOff>
              </from>
              <to>
                <xdr:col>5</xdr:col>
                <xdr:colOff>352425</xdr:colOff>
                <xdr:row>14</xdr:row>
                <xdr:rowOff>95250</xdr:rowOff>
              </to>
            </anchor>
          </controlPr>
        </control>
      </mc:Choice>
      <mc:Fallback>
        <control shapeId="11269" r:id="rId4" name="lboxLabels"/>
      </mc:Fallback>
    </mc:AlternateContent>
    <mc:AlternateContent xmlns:mc="http://schemas.openxmlformats.org/markup-compatibility/2006">
      <mc:Choice Requires="x14">
        <control shapeId="11267" r:id="rId6" name="Button 3">
          <controlPr defaultSize="0" print="0" autoFill="0" autoPict="0" macro="[0]!GeneratePlotDataSet">
            <anchor moveWithCells="1" sizeWithCells="1">
              <from>
                <xdr:col>3</xdr:col>
                <xdr:colOff>219075</xdr:colOff>
                <xdr:row>25</xdr:row>
                <xdr:rowOff>47625</xdr:rowOff>
              </from>
              <to>
                <xdr:col>5</xdr:col>
                <xdr:colOff>161925</xdr:colOff>
                <xdr:row>28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7" name="Button 4">
          <controlPr defaultSize="0" print="0" autoFill="0" autoPict="0" macro="[0]!ClearPlotData">
            <anchor moveWithCells="1" sizeWithCells="1">
              <from>
                <xdr:col>3</xdr:col>
                <xdr:colOff>209550</xdr:colOff>
                <xdr:row>20</xdr:row>
                <xdr:rowOff>95250</xdr:rowOff>
              </from>
              <to>
                <xdr:col>5</xdr:col>
                <xdr:colOff>152400</xdr:colOff>
                <xdr:row>24</xdr:row>
                <xdr:rowOff>28575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Cover</vt:lpstr>
      <vt:lpstr>EchoData</vt:lpstr>
      <vt:lpstr>Forces+Stresses</vt:lpstr>
      <vt:lpstr>Displacements</vt:lpstr>
      <vt:lpstr>Springs</vt:lpstr>
      <vt:lpstr>Flexjoints</vt:lpstr>
      <vt:lpstr>Stress_Breakdown</vt:lpstr>
      <vt:lpstr>Warnings</vt:lpstr>
      <vt:lpstr>Labels</vt:lpstr>
      <vt:lpstr>Summary</vt:lpstr>
      <vt:lpstr>Plot Data</vt:lpstr>
      <vt:lpstr>Summary Chart</vt:lpstr>
      <vt:lpstr>'Plot Data'!Data_Start</vt:lpstr>
      <vt:lpstr>Summary!First_Element</vt:lpstr>
      <vt:lpstr>'Plot Data'!Last_Row</vt:lpstr>
      <vt:lpstr>Summary!Line_Label</vt:lpstr>
      <vt:lpstr>'Plot Data'!Plot_Label</vt:lpstr>
      <vt:lpstr>Summary!Start_Node_Base_Elev</vt:lpstr>
      <vt:lpstr>Summary!Teff_Max</vt:lpstr>
      <vt:lpstr>Summary!Total_Elements</vt:lpstr>
      <vt:lpstr>'Plot Data'!Total_Labels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Harrison</dc:creator>
  <cp:lastModifiedBy>Craig Dickinson</cp:lastModifiedBy>
  <dcterms:created xsi:type="dcterms:W3CDTF">2014-03-25T14:44:57Z</dcterms:created>
  <dcterms:modified xsi:type="dcterms:W3CDTF">2017-10-27T15:10:36Z</dcterms:modified>
</cp:coreProperties>
</file>