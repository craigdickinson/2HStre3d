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135" windowWidth="20160" windowHeight="7995" firstSheet="4" activeTab="12"/>
  </bookViews>
  <sheets>
    <sheet name="Cover" sheetId="3" r:id="rId1"/>
    <sheet name="EchoData" sheetId="1" r:id="rId2"/>
    <sheet name="Forces+Stresses" sheetId="4" r:id="rId3"/>
    <sheet name="Displacements" sheetId="5" r:id="rId4"/>
    <sheet name="Springs" sheetId="6" r:id="rId5"/>
    <sheet name="Flexjoints" sheetId="7" r:id="rId6"/>
    <sheet name="Stress_Breakdown" sheetId="9" r:id="rId7"/>
    <sheet name="Warnings" sheetId="16" r:id="rId8"/>
    <sheet name="Labels" sheetId="17" r:id="rId9"/>
    <sheet name="API-STD-2RD_Tables" sheetId="18" r:id="rId10"/>
    <sheet name="Functional Loads" sheetId="21" r:id="rId11"/>
    <sheet name="Static Loads" sheetId="22" r:id="rId12"/>
    <sheet name="Summary" sheetId="24" r:id="rId13"/>
  </sheets>
  <definedNames>
    <definedName name="_xlnm._FilterDatabase" localSheetId="12" hidden="1">Summary!$A$6:$W$6</definedName>
    <definedName name="First_Element" localSheetId="12">Summary!$A$7</definedName>
    <definedName name="Line_Label" localSheetId="12">Summary!$P$4</definedName>
    <definedName name="Total_Elements" localSheetId="12">Summary!$C$3</definedName>
  </definedNames>
  <calcPr calcId="145621"/>
</workbook>
</file>

<file path=xl/calcChain.xml><?xml version="1.0" encoding="utf-8"?>
<calcChain xmlns="http://schemas.openxmlformats.org/spreadsheetml/2006/main">
  <c r="N7" i="24" l="1"/>
  <c r="O7" i="24"/>
  <c r="M7" i="24"/>
  <c r="L7" i="24"/>
  <c r="C3" i="24" l="1"/>
  <c r="A7" i="24" l="1"/>
  <c r="P7" i="24" l="1"/>
  <c r="K7" i="24" s="1"/>
  <c r="B7" i="24"/>
  <c r="C7" i="24"/>
  <c r="H7" i="24" s="1"/>
  <c r="E7" i="24"/>
  <c r="F7" i="24" l="1"/>
  <c r="D7" i="24"/>
  <c r="I7" i="24"/>
  <c r="G7" i="24"/>
  <c r="J7" i="24" l="1"/>
</calcChain>
</file>

<file path=xl/sharedStrings.xml><?xml version="1.0" encoding="utf-8"?>
<sst xmlns="http://schemas.openxmlformats.org/spreadsheetml/2006/main" count="44" uniqueCount="34">
  <si>
    <t xml:space="preserve">Stress Check </t>
  </si>
  <si>
    <t>Template file for 2HSTRE3D output</t>
  </si>
  <si>
    <t xml:space="preserve">Number of Warnings </t>
  </si>
  <si>
    <t>Model Summary</t>
  </si>
  <si>
    <t>Element</t>
  </si>
  <si>
    <t>Start Node Coordinates</t>
  </si>
  <si>
    <t>End Node Coordinates</t>
  </si>
  <si>
    <t>Effective Tension</t>
  </si>
  <si>
    <t>Resultant Bending Moment</t>
  </si>
  <si>
    <t>Line Label</t>
  </si>
  <si>
    <t>Section Label</t>
  </si>
  <si>
    <t>Line First Element</t>
  </si>
  <si>
    <t>Line Last Element</t>
  </si>
  <si>
    <t>Section First Element</t>
  </si>
  <si>
    <t>Section Last Element</t>
  </si>
  <si>
    <t>Min</t>
  </si>
  <si>
    <t>Max</t>
  </si>
  <si>
    <t>(m)</t>
  </si>
  <si>
    <t>(kN)</t>
  </si>
  <si>
    <t>(kNm)</t>
  </si>
  <si>
    <t>Node Label Adjacent Elements</t>
  </si>
  <si>
    <t>Additional Node Label Adjacent Elements</t>
  </si>
  <si>
    <t>Total Elements:</t>
  </si>
  <si>
    <r>
      <t>Start
Node
N</t>
    </r>
    <r>
      <rPr>
        <b/>
        <vertAlign val="subscript"/>
        <sz val="10"/>
        <color theme="1"/>
        <rFont val="Tahoma"/>
        <family val="2"/>
      </rPr>
      <t>1</t>
    </r>
  </si>
  <si>
    <r>
      <t>End
Node
N</t>
    </r>
    <r>
      <rPr>
        <b/>
        <vertAlign val="subscript"/>
        <sz val="10"/>
        <color theme="1"/>
        <rFont val="Tahoma"/>
        <family val="2"/>
      </rPr>
      <t>3</t>
    </r>
  </si>
  <si>
    <r>
      <t>X</t>
    </r>
    <r>
      <rPr>
        <b/>
        <vertAlign val="subscript"/>
        <sz val="10"/>
        <color theme="1"/>
        <rFont val="Tahoma"/>
        <family val="2"/>
      </rPr>
      <t>1</t>
    </r>
  </si>
  <si>
    <r>
      <t>Y</t>
    </r>
    <r>
      <rPr>
        <b/>
        <vertAlign val="subscript"/>
        <sz val="10"/>
        <color theme="1"/>
        <rFont val="Tahoma"/>
        <family val="2"/>
      </rPr>
      <t>1</t>
    </r>
  </si>
  <si>
    <r>
      <t>Z</t>
    </r>
    <r>
      <rPr>
        <b/>
        <vertAlign val="subscript"/>
        <sz val="10"/>
        <color theme="1"/>
        <rFont val="Tahoma"/>
        <family val="2"/>
      </rPr>
      <t>1</t>
    </r>
  </si>
  <si>
    <r>
      <t>X</t>
    </r>
    <r>
      <rPr>
        <b/>
        <vertAlign val="subscript"/>
        <sz val="10"/>
        <color theme="1"/>
        <rFont val="Tahoma"/>
        <family val="2"/>
      </rPr>
      <t>3</t>
    </r>
  </si>
  <si>
    <r>
      <t>Y</t>
    </r>
    <r>
      <rPr>
        <b/>
        <vertAlign val="subscript"/>
        <sz val="10"/>
        <color theme="1"/>
        <rFont val="Tahoma"/>
        <family val="2"/>
      </rPr>
      <t>3</t>
    </r>
  </si>
  <si>
    <r>
      <t>Z</t>
    </r>
    <r>
      <rPr>
        <b/>
        <vertAlign val="subscript"/>
        <sz val="10"/>
        <color theme="1"/>
        <rFont val="Tahoma"/>
        <family val="2"/>
      </rPr>
      <t>3</t>
    </r>
  </si>
  <si>
    <t>(-)</t>
  </si>
  <si>
    <t>Element
Length</t>
  </si>
  <si>
    <t>Mesh
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</si>
</sst>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"/>
    <numFmt numFmtId="166" formatCode="0.0"/>
  </numFmts>
  <fonts count="20" x14ac:knownFonts="1">
    <font>
      <sz val="10"/>
      <color theme="1"/>
      <name val="Tahoma"/>
      <family val="2"/>
    </font>
    <font>
      <sz val="10"/>
      <color theme="1"/>
      <name val="Tahoma"/>
      <family val="2"/>
    </font>
    <font>
      <b/>
      <sz val="18"/>
      <color theme="3"/>
      <name val="Tahoma"/>
      <family val="2"/>
      <scheme val="major"/>
    </font>
    <font>
      <b/>
      <sz val="15"/>
      <color theme="3"/>
      <name val="Tahoma"/>
      <family val="2"/>
    </font>
    <font>
      <b/>
      <sz val="13"/>
      <color theme="3"/>
      <name val="Tahoma"/>
      <family val="2"/>
    </font>
    <font>
      <b/>
      <sz val="11"/>
      <color theme="3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sz val="10"/>
      <color rgb="FF9C6500"/>
      <name val="Tahoma"/>
      <family val="2"/>
    </font>
    <font>
      <sz val="10"/>
      <color rgb="FF3F3F76"/>
      <name val="Tahoma"/>
      <family val="2"/>
    </font>
    <font>
      <b/>
      <sz val="10"/>
      <color rgb="FF3F3F3F"/>
      <name val="Tahoma"/>
      <family val="2"/>
    </font>
    <font>
      <b/>
      <sz val="10"/>
      <color rgb="FFFA7D00"/>
      <name val="Tahoma"/>
      <family val="2"/>
    </font>
    <font>
      <sz val="10"/>
      <color rgb="FFFA7D00"/>
      <name val="Tahoma"/>
      <family val="2"/>
    </font>
    <font>
      <b/>
      <sz val="10"/>
      <color theme="0"/>
      <name val="Tahoma"/>
      <family val="2"/>
    </font>
    <font>
      <sz val="10"/>
      <color rgb="FFFF0000"/>
      <name val="Tahoma"/>
      <family val="2"/>
    </font>
    <font>
      <i/>
      <sz val="10"/>
      <color rgb="FF7F7F7F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b/>
      <sz val="14"/>
      <color theme="3"/>
      <name val="Tahoma"/>
      <family val="2"/>
    </font>
    <font>
      <b/>
      <vertAlign val="subscript"/>
      <sz val="10"/>
      <color theme="1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4">
    <xf numFmtId="0" fontId="0" fillId="0" borderId="0" xfId="0"/>
    <xf numFmtId="11" fontId="0" fillId="0" borderId="0" xfId="0" applyNumberFormat="1"/>
    <xf numFmtId="0" fontId="16" fillId="0" borderId="0" xfId="0" applyFont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0" fontId="0" fillId="0" borderId="0" xfId="0" applyAlignment="1"/>
    <xf numFmtId="2" fontId="0" fillId="0" borderId="0" xfId="0" applyNumberFormat="1" applyFont="1" applyAlignment="1"/>
    <xf numFmtId="0" fontId="0" fillId="0" borderId="0" xfId="0" applyFont="1" applyAlignment="1"/>
    <xf numFmtId="0" fontId="0" fillId="0" borderId="0" xfId="0" applyNumberFormat="1"/>
    <xf numFmtId="1" fontId="0" fillId="0" borderId="0" xfId="0" applyNumberFormat="1" applyAlignment="1"/>
    <xf numFmtId="1" fontId="0" fillId="0" borderId="0" xfId="0" applyNumberFormat="1" applyFont="1" applyAlignment="1"/>
    <xf numFmtId="1" fontId="0" fillId="0" borderId="0" xfId="0" applyNumberFormat="1"/>
    <xf numFmtId="165" fontId="0" fillId="0" borderId="0" xfId="0" applyNumberFormat="1"/>
    <xf numFmtId="166" fontId="0" fillId="0" borderId="0" xfId="0" applyNumberFormat="1" applyAlignment="1"/>
    <xf numFmtId="166" fontId="0" fillId="0" borderId="0" xfId="0" applyNumberFormat="1" applyFont="1" applyAlignment="1"/>
    <xf numFmtId="166" fontId="0" fillId="0" borderId="0" xfId="0" applyNumberFormat="1"/>
    <xf numFmtId="165" fontId="0" fillId="0" borderId="0" xfId="0" applyNumberFormat="1" applyAlignment="1"/>
    <xf numFmtId="165" fontId="0" fillId="0" borderId="0" xfId="0" applyNumberFormat="1" applyFont="1" applyAlignment="1"/>
    <xf numFmtId="11" fontId="0" fillId="0" borderId="0" xfId="0" applyNumberFormat="1" applyAlignment="1"/>
    <xf numFmtId="11" fontId="0" fillId="0" borderId="0" xfId="0" applyNumberFormat="1" applyFont="1" applyAlignment="1"/>
    <xf numFmtId="0" fontId="18" fillId="0" borderId="0" xfId="0" applyFont="1"/>
    <xf numFmtId="0" fontId="0" fillId="0" borderId="0" xfId="0" applyBorder="1"/>
    <xf numFmtId="0" fontId="0" fillId="0" borderId="0" xfId="0" applyNumberFormat="1" applyBorder="1"/>
    <xf numFmtId="165" fontId="0" fillId="0" borderId="0" xfId="0" applyNumberFormat="1" applyBorder="1"/>
    <xf numFmtId="2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0" fontId="0" fillId="0" borderId="0" xfId="0" applyAlignment="1">
      <alignment horizontal="right"/>
    </xf>
    <xf numFmtId="0" fontId="16" fillId="34" borderId="21" xfId="0" applyFont="1" applyFill="1" applyBorder="1" applyAlignment="1">
      <alignment horizontal="center" vertical="center" wrapText="1"/>
    </xf>
    <xf numFmtId="0" fontId="16" fillId="34" borderId="22" xfId="0" applyFont="1" applyFill="1" applyBorder="1" applyAlignment="1">
      <alignment horizontal="center" vertical="center" wrapText="1"/>
    </xf>
    <xf numFmtId="0" fontId="16" fillId="34" borderId="23" xfId="0" applyFont="1" applyFill="1" applyBorder="1" applyAlignment="1">
      <alignment horizontal="center" vertical="center" wrapText="1"/>
    </xf>
    <xf numFmtId="0" fontId="16" fillId="34" borderId="31" xfId="0" applyFont="1" applyFill="1" applyBorder="1" applyAlignment="1">
      <alignment horizontal="center" vertical="center" wrapText="1"/>
    </xf>
    <xf numFmtId="0" fontId="16" fillId="34" borderId="32" xfId="0" applyFont="1" applyFill="1" applyBorder="1" applyAlignment="1">
      <alignment horizontal="center" vertical="center" wrapText="1"/>
    </xf>
    <xf numFmtId="0" fontId="16" fillId="34" borderId="33" xfId="0" applyFont="1" applyFill="1" applyBorder="1" applyAlignment="1">
      <alignment horizontal="center" vertical="center" wrapText="1"/>
    </xf>
    <xf numFmtId="166" fontId="16" fillId="33" borderId="24" xfId="0" applyNumberFormat="1" applyFont="1" applyFill="1" applyBorder="1" applyAlignment="1">
      <alignment horizontal="center"/>
    </xf>
    <xf numFmtId="166" fontId="16" fillId="33" borderId="25" xfId="0" applyNumberFormat="1" applyFont="1" applyFill="1" applyBorder="1" applyAlignment="1">
      <alignment horizontal="center"/>
    </xf>
    <xf numFmtId="166" fontId="16" fillId="33" borderId="26" xfId="0" applyNumberFormat="1" applyFont="1" applyFill="1" applyBorder="1" applyAlignment="1">
      <alignment horizontal="center"/>
    </xf>
    <xf numFmtId="166" fontId="16" fillId="33" borderId="31" xfId="0" applyNumberFormat="1" applyFont="1" applyFill="1" applyBorder="1" applyAlignment="1">
      <alignment horizontal="center"/>
    </xf>
    <xf numFmtId="166" fontId="16" fillId="33" borderId="32" xfId="0" applyNumberFormat="1" applyFont="1" applyFill="1" applyBorder="1" applyAlignment="1">
      <alignment horizontal="center"/>
    </xf>
    <xf numFmtId="166" fontId="16" fillId="33" borderId="33" xfId="0" applyNumberFormat="1" applyFont="1" applyFill="1" applyBorder="1" applyAlignment="1">
      <alignment horizontal="center"/>
    </xf>
    <xf numFmtId="0" fontId="16" fillId="35" borderId="12" xfId="0" applyFont="1" applyFill="1" applyBorder="1" applyAlignment="1">
      <alignment vertical="center" wrapText="1"/>
    </xf>
    <xf numFmtId="0" fontId="16" fillId="35" borderId="20" xfId="0" applyFont="1" applyFill="1" applyBorder="1" applyAlignment="1">
      <alignment vertical="center" wrapText="1"/>
    </xf>
    <xf numFmtId="0" fontId="16" fillId="35" borderId="30" xfId="0" applyFont="1" applyFill="1" applyBorder="1" applyAlignment="1">
      <alignment vertical="center" wrapText="1"/>
    </xf>
    <xf numFmtId="0" fontId="16" fillId="35" borderId="10" xfId="0" applyFont="1" applyFill="1" applyBorder="1" applyAlignment="1">
      <alignment vertical="center" wrapText="1"/>
    </xf>
    <xf numFmtId="0" fontId="16" fillId="35" borderId="18" xfId="0" applyFont="1" applyFill="1" applyBorder="1" applyAlignment="1">
      <alignment vertical="center" wrapText="1"/>
    </xf>
    <xf numFmtId="0" fontId="16" fillId="35" borderId="28" xfId="0" applyFont="1" applyFill="1" applyBorder="1" applyAlignment="1">
      <alignment vertical="center" wrapText="1"/>
    </xf>
    <xf numFmtId="0" fontId="16" fillId="35" borderId="13" xfId="0" applyFont="1" applyFill="1" applyBorder="1" applyAlignment="1">
      <alignment vertical="center" wrapText="1"/>
    </xf>
    <xf numFmtId="0" fontId="16" fillId="35" borderId="27" xfId="0" applyFont="1" applyFill="1" applyBorder="1" applyAlignment="1">
      <alignment vertical="center" wrapText="1"/>
    </xf>
    <xf numFmtId="0" fontId="16" fillId="35" borderId="34" xfId="0" applyFont="1" applyFill="1" applyBorder="1" applyAlignment="1">
      <alignment vertical="center" wrapText="1"/>
    </xf>
    <xf numFmtId="0" fontId="16" fillId="35" borderId="0" xfId="0" applyFont="1" applyFill="1" applyBorder="1" applyAlignment="1">
      <alignment vertical="center" wrapText="1"/>
    </xf>
    <xf numFmtId="0" fontId="16" fillId="34" borderId="10" xfId="0" applyFont="1" applyFill="1" applyBorder="1" applyAlignment="1">
      <alignment horizontal="center" vertical="center" wrapText="1"/>
    </xf>
    <xf numFmtId="0" fontId="16" fillId="34" borderId="18" xfId="0" applyFont="1" applyFill="1" applyBorder="1" applyAlignment="1">
      <alignment horizontal="center" vertical="center" wrapText="1"/>
    </xf>
    <xf numFmtId="0" fontId="16" fillId="34" borderId="28" xfId="0" applyFont="1" applyFill="1" applyBorder="1" applyAlignment="1">
      <alignment horizontal="center" vertical="center" wrapText="1"/>
    </xf>
    <xf numFmtId="0" fontId="16" fillId="34" borderId="11" xfId="0" applyFont="1" applyFill="1" applyBorder="1" applyAlignment="1">
      <alignment horizontal="center" vertical="center" wrapText="1"/>
    </xf>
    <xf numFmtId="0" fontId="16" fillId="34" borderId="19" xfId="0" applyFont="1" applyFill="1" applyBorder="1" applyAlignment="1">
      <alignment horizontal="center" vertical="center" wrapText="1"/>
    </xf>
    <xf numFmtId="0" fontId="16" fillId="34" borderId="29" xfId="0" applyFont="1" applyFill="1" applyBorder="1" applyAlignment="1">
      <alignment horizontal="center" vertical="center" wrapText="1"/>
    </xf>
    <xf numFmtId="0" fontId="16" fillId="34" borderId="12" xfId="0" applyFont="1" applyFill="1" applyBorder="1" applyAlignment="1">
      <alignment horizontal="center" vertical="center" wrapText="1"/>
    </xf>
    <xf numFmtId="0" fontId="16" fillId="34" borderId="20" xfId="0" applyFont="1" applyFill="1" applyBorder="1" applyAlignment="1">
      <alignment horizontal="center" vertical="center" wrapText="1"/>
    </xf>
    <xf numFmtId="0" fontId="16" fillId="34" borderId="30" xfId="0" applyFont="1" applyFill="1" applyBorder="1" applyAlignment="1">
      <alignment horizontal="center" vertical="center" wrapText="1"/>
    </xf>
    <xf numFmtId="0" fontId="16" fillId="34" borderId="13" xfId="0" applyFont="1" applyFill="1" applyBorder="1" applyAlignment="1">
      <alignment horizontal="center" vertical="center"/>
    </xf>
    <xf numFmtId="0" fontId="16" fillId="34" borderId="14" xfId="0" applyFont="1" applyFill="1" applyBorder="1" applyAlignment="1">
      <alignment horizontal="center" vertical="center"/>
    </xf>
    <xf numFmtId="0" fontId="16" fillId="34" borderId="15" xfId="0" applyFont="1" applyFill="1" applyBorder="1" applyAlignment="1">
      <alignment horizontal="center" vertical="center"/>
    </xf>
    <xf numFmtId="0" fontId="16" fillId="34" borderId="16" xfId="0" applyFont="1" applyFill="1" applyBorder="1" applyAlignment="1">
      <alignment horizontal="center" vertical="center"/>
    </xf>
    <xf numFmtId="0" fontId="16" fillId="34" borderId="17" xfId="0" applyFont="1" applyFill="1" applyBorder="1" applyAlignment="1">
      <alignment horizontal="center" vertical="center" wrapText="1"/>
    </xf>
    <xf numFmtId="0" fontId="16" fillId="34" borderId="21" xfId="0" applyFont="1" applyFill="1" applyBorder="1" applyAlignment="1">
      <alignment horizontal="center" vertical="center" wrapText="1"/>
    </xf>
    <xf numFmtId="166" fontId="16" fillId="33" borderId="10" xfId="0" applyNumberFormat="1" applyFont="1" applyFill="1" applyBorder="1" applyAlignment="1">
      <alignment horizontal="center" vertical="center"/>
    </xf>
    <xf numFmtId="166" fontId="16" fillId="33" borderId="11" xfId="0" applyNumberFormat="1" applyFont="1" applyFill="1" applyBorder="1" applyAlignment="1">
      <alignment horizontal="center" vertical="center"/>
    </xf>
    <xf numFmtId="166" fontId="16" fillId="33" borderId="11" xfId="0" applyNumberFormat="1" applyFont="1" applyFill="1" applyBorder="1" applyAlignment="1">
      <alignment horizontal="center" vertical="center" wrapText="1"/>
    </xf>
    <xf numFmtId="166" fontId="16" fillId="33" borderId="12" xfId="0" applyNumberFormat="1" applyFont="1" applyFill="1" applyBorder="1" applyAlignment="1">
      <alignment horizontal="center" vertical="center" wrapText="1"/>
    </xf>
    <xf numFmtId="0" fontId="16" fillId="35" borderId="35" xfId="0" applyFont="1" applyFill="1" applyBorder="1" applyAlignment="1">
      <alignment vertical="center" wrapText="1"/>
    </xf>
    <xf numFmtId="0" fontId="16" fillId="35" borderId="23" xfId="0" applyFont="1" applyFill="1" applyBorder="1" applyAlignment="1">
      <alignment vertical="center" wrapText="1"/>
    </xf>
    <xf numFmtId="0" fontId="16" fillId="35" borderId="33" xfId="0" applyFont="1" applyFill="1" applyBorder="1" applyAlignment="1">
      <alignment vertical="center" wrapText="1"/>
    </xf>
    <xf numFmtId="0" fontId="16" fillId="34" borderId="35" xfId="0" applyFont="1" applyFill="1" applyBorder="1" applyAlignment="1">
      <alignment horizontal="center" vertical="center" wrapText="1"/>
    </xf>
    <xf numFmtId="0" fontId="16" fillId="34" borderId="23" xfId="0" applyFont="1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2HTheme">
  <a:themeElements>
    <a:clrScheme name="2HColorTheme">
      <a:dk1>
        <a:srgbClr val="000000"/>
      </a:dk1>
      <a:lt1>
        <a:sysClr val="window" lastClr="FFFFFF"/>
      </a:lt1>
      <a:dk2>
        <a:srgbClr val="003150"/>
      </a:dk2>
      <a:lt2>
        <a:srgbClr val="0088CE"/>
      </a:lt2>
      <a:accent1>
        <a:srgbClr val="FF0000"/>
      </a:accent1>
      <a:accent2>
        <a:srgbClr val="0000FF"/>
      </a:accent2>
      <a:accent3>
        <a:srgbClr val="339966"/>
      </a:accent3>
      <a:accent4>
        <a:srgbClr val="FF9933"/>
      </a:accent4>
      <a:accent5>
        <a:srgbClr val="993366"/>
      </a:accent5>
      <a:accent6>
        <a:srgbClr val="00FFFF"/>
      </a:accent6>
      <a:hlink>
        <a:srgbClr val="0000FF"/>
      </a:hlink>
      <a:folHlink>
        <a:srgbClr val="993366"/>
      </a:folHlink>
    </a:clrScheme>
    <a:fontScheme name="2H Heading">
      <a:majorFont>
        <a:latin typeface="Tahom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20000"/>
              </a:schemeClr>
            </a:gs>
            <a:gs pos="100000">
              <a:schemeClr val="phClr">
                <a:shade val="15000"/>
                <a:satMod val="320000"/>
              </a:schemeClr>
            </a:gs>
          </a:gsLst>
          <a:path path="circle">
            <a:fillToRect l="10000" t="110000" r="1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50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ver"/>
  <dimension ref="B2:O7"/>
  <sheetViews>
    <sheetView workbookViewId="0"/>
  </sheetViews>
  <sheetFormatPr defaultRowHeight="12.75" x14ac:dyDescent="0.2"/>
  <cols>
    <col min="2" max="2" width="31.140625" customWidth="1"/>
    <col min="3" max="3" width="30.28515625" customWidth="1"/>
  </cols>
  <sheetData>
    <row r="2" spans="2:15" x14ac:dyDescent="0.2">
      <c r="B2" s="2" t="s">
        <v>1</v>
      </c>
    </row>
    <row r="4" spans="2:15" x14ac:dyDescent="0.2">
      <c r="B4" t="s">
        <v>0</v>
      </c>
    </row>
    <row r="5" spans="2:15" x14ac:dyDescent="0.2">
      <c r="B5" t="s">
        <v>2</v>
      </c>
    </row>
    <row r="6" spans="2:15" x14ac:dyDescent="0.2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5" x14ac:dyDescent="0.2"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18"/>
  <sheetViews>
    <sheetView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RowHeight="12.75" x14ac:dyDescent="0.2"/>
  <cols>
    <col min="1" max="1" width="25.7109375" style="12" customWidth="1"/>
    <col min="2" max="3" width="9.140625" style="12"/>
    <col min="4" max="4" width="9.140625" style="3"/>
    <col min="5" max="5" width="12.85546875" style="3" customWidth="1"/>
    <col min="6" max="7" width="9.140625" style="3"/>
    <col min="8" max="9" width="9.140625" style="13"/>
    <col min="10" max="11" width="9.140625" style="16"/>
    <col min="12" max="15" width="9.140625" style="3"/>
    <col min="16" max="16" width="9.140625" style="1"/>
    <col min="18" max="18" width="9.140625" style="3"/>
    <col min="19" max="19" width="9.140625" style="1"/>
    <col min="21" max="21" width="11" style="3" customWidth="1"/>
    <col min="28" max="28" width="10.140625" style="12" customWidth="1"/>
    <col min="29" max="29" width="9.140625" style="16"/>
    <col min="30" max="31" width="9.140625" style="3"/>
    <col min="32" max="32" width="9.140625" style="13"/>
    <col min="33" max="34" width="9.140625" style="3"/>
  </cols>
  <sheetData>
    <row r="1" spans="1:34" s="6" customFormat="1" x14ac:dyDescent="0.2">
      <c r="A1" s="10"/>
      <c r="B1" s="10"/>
      <c r="C1" s="10"/>
      <c r="D1" s="5"/>
      <c r="E1" s="5"/>
      <c r="F1" s="5"/>
      <c r="G1" s="5"/>
      <c r="H1" s="17"/>
      <c r="I1" s="17"/>
      <c r="J1" s="14"/>
      <c r="K1" s="14"/>
      <c r="L1" s="5"/>
      <c r="M1" s="5"/>
      <c r="N1" s="5"/>
      <c r="O1" s="5"/>
      <c r="P1" s="19"/>
      <c r="R1" s="5"/>
      <c r="S1" s="19"/>
      <c r="U1" s="5"/>
      <c r="AB1" s="10"/>
      <c r="AC1" s="14"/>
      <c r="AD1" s="5"/>
      <c r="AE1" s="5"/>
      <c r="AF1" s="17"/>
      <c r="AG1" s="5"/>
      <c r="AH1" s="5"/>
    </row>
    <row r="2" spans="1:34" s="6" customFormat="1" x14ac:dyDescent="0.2">
      <c r="A2" s="10"/>
      <c r="B2" s="10"/>
      <c r="C2" s="10"/>
      <c r="D2" s="5"/>
      <c r="E2" s="5"/>
      <c r="F2" s="5"/>
      <c r="G2" s="5"/>
      <c r="H2" s="17"/>
      <c r="I2" s="17"/>
      <c r="J2" s="14"/>
      <c r="K2" s="14"/>
      <c r="L2" s="5"/>
      <c r="M2" s="5"/>
      <c r="N2" s="5"/>
      <c r="O2" s="5"/>
      <c r="P2" s="19"/>
      <c r="R2" s="5"/>
      <c r="S2" s="19"/>
      <c r="U2" s="5"/>
      <c r="AB2" s="10"/>
      <c r="AC2" s="14"/>
      <c r="AD2" s="5"/>
      <c r="AE2" s="5"/>
      <c r="AF2" s="17"/>
      <c r="AG2" s="5"/>
      <c r="AH2" s="5"/>
    </row>
    <row r="3" spans="1:34" s="6" customFormat="1" x14ac:dyDescent="0.2">
      <c r="A3" s="10"/>
      <c r="B3" s="10"/>
      <c r="C3" s="10"/>
      <c r="D3" s="5"/>
      <c r="E3" s="5"/>
      <c r="F3" s="5"/>
      <c r="G3" s="5"/>
      <c r="H3" s="17"/>
      <c r="I3" s="17"/>
      <c r="J3" s="14"/>
      <c r="K3" s="14"/>
      <c r="L3" s="5"/>
      <c r="M3" s="5"/>
      <c r="N3" s="5"/>
      <c r="O3" s="5"/>
      <c r="P3" s="19"/>
      <c r="R3" s="5"/>
      <c r="S3" s="19"/>
      <c r="U3" s="5"/>
      <c r="AB3" s="10"/>
      <c r="AC3" s="14"/>
      <c r="AD3" s="5"/>
      <c r="AE3" s="5"/>
      <c r="AF3" s="17"/>
      <c r="AG3" s="5"/>
      <c r="AH3" s="5"/>
    </row>
    <row r="4" spans="1:34" s="8" customFormat="1" x14ac:dyDescent="0.2">
      <c r="A4" s="11"/>
      <c r="B4" s="11"/>
      <c r="C4" s="11"/>
      <c r="D4" s="7"/>
      <c r="E4" s="7"/>
      <c r="F4" s="7"/>
      <c r="G4" s="7"/>
      <c r="H4" s="18"/>
      <c r="I4" s="18"/>
      <c r="J4" s="15"/>
      <c r="K4" s="15"/>
      <c r="L4" s="7"/>
      <c r="M4" s="7"/>
      <c r="N4" s="7"/>
      <c r="O4" s="7"/>
      <c r="P4" s="20"/>
      <c r="R4" s="7"/>
      <c r="S4" s="20"/>
      <c r="U4" s="7"/>
      <c r="AB4" s="11"/>
      <c r="AC4" s="15"/>
      <c r="AD4" s="7"/>
      <c r="AE4" s="7"/>
      <c r="AF4" s="18"/>
      <c r="AG4" s="7"/>
      <c r="AH4" s="7"/>
    </row>
    <row r="5" spans="1:34" s="6" customFormat="1" x14ac:dyDescent="0.2">
      <c r="A5" s="10"/>
      <c r="B5" s="10"/>
      <c r="C5" s="10"/>
      <c r="D5" s="5"/>
      <c r="E5" s="5"/>
      <c r="F5" s="5"/>
      <c r="G5" s="5"/>
      <c r="H5" s="17"/>
      <c r="I5" s="17"/>
      <c r="J5" s="14"/>
      <c r="K5" s="14"/>
      <c r="L5" s="5"/>
      <c r="M5" s="5"/>
      <c r="N5" s="5"/>
      <c r="O5" s="5"/>
      <c r="P5" s="19"/>
      <c r="R5" s="5"/>
      <c r="S5" s="19"/>
      <c r="U5" s="5"/>
      <c r="AB5" s="10"/>
      <c r="AC5" s="14"/>
      <c r="AD5" s="5"/>
      <c r="AE5" s="5"/>
      <c r="AF5" s="17"/>
      <c r="AG5" s="5"/>
      <c r="AH5" s="5"/>
    </row>
    <row r="6" spans="1:34" s="6" customFormat="1" x14ac:dyDescent="0.2">
      <c r="A6" s="10"/>
      <c r="B6" s="10"/>
      <c r="C6" s="10"/>
      <c r="D6" s="5"/>
      <c r="E6" s="5"/>
      <c r="F6" s="5"/>
      <c r="G6" s="5"/>
      <c r="H6" s="17"/>
      <c r="I6" s="17"/>
      <c r="J6" s="14"/>
      <c r="K6" s="14"/>
      <c r="L6" s="5"/>
      <c r="M6" s="5"/>
      <c r="N6" s="5"/>
      <c r="O6" s="5"/>
      <c r="P6" s="19"/>
      <c r="R6" s="5"/>
      <c r="S6" s="19"/>
      <c r="U6" s="5"/>
      <c r="AB6" s="10"/>
      <c r="AC6" s="14"/>
      <c r="AD6" s="5"/>
      <c r="AE6" s="5"/>
      <c r="AF6" s="17"/>
      <c r="AG6" s="5"/>
      <c r="AH6" s="5"/>
    </row>
    <row r="7" spans="1:34" s="6" customFormat="1" x14ac:dyDescent="0.2">
      <c r="A7" s="10"/>
      <c r="B7" s="10"/>
      <c r="C7" s="10"/>
      <c r="D7" s="5"/>
      <c r="E7" s="5"/>
      <c r="F7" s="5"/>
      <c r="G7" s="5"/>
      <c r="H7" s="17"/>
      <c r="I7" s="17"/>
      <c r="J7" s="14"/>
      <c r="K7" s="14"/>
      <c r="L7" s="5"/>
      <c r="M7" s="5"/>
      <c r="N7" s="5"/>
      <c r="O7" s="5"/>
      <c r="P7" s="19"/>
      <c r="R7" s="5"/>
      <c r="S7" s="19"/>
      <c r="U7" s="5"/>
      <c r="AB7" s="10"/>
      <c r="AC7" s="14"/>
      <c r="AD7" s="5"/>
      <c r="AE7" s="5"/>
      <c r="AF7" s="17"/>
      <c r="AG7" s="5"/>
      <c r="AH7" s="5"/>
    </row>
    <row r="8" spans="1:34" s="6" customFormat="1" x14ac:dyDescent="0.2">
      <c r="A8" s="10"/>
      <c r="B8" s="10"/>
      <c r="C8" s="10"/>
      <c r="D8" s="5"/>
      <c r="E8" s="5"/>
      <c r="F8" s="5"/>
      <c r="G8" s="5"/>
      <c r="H8" s="17"/>
      <c r="I8" s="17"/>
      <c r="J8" s="14"/>
      <c r="K8" s="14"/>
      <c r="L8" s="5"/>
      <c r="M8" s="5"/>
      <c r="N8" s="5"/>
      <c r="O8" s="5"/>
      <c r="P8" s="19"/>
      <c r="R8" s="5"/>
      <c r="S8" s="19"/>
      <c r="U8" s="5"/>
      <c r="AB8" s="10"/>
      <c r="AC8" s="14"/>
      <c r="AD8" s="5"/>
      <c r="AE8" s="5"/>
      <c r="AF8" s="17"/>
      <c r="AG8" s="5"/>
      <c r="AH8" s="5"/>
    </row>
    <row r="9" spans="1:34" s="6" customFormat="1" x14ac:dyDescent="0.2">
      <c r="A9" s="10"/>
      <c r="B9" s="10"/>
      <c r="C9" s="10"/>
      <c r="D9" s="5"/>
      <c r="E9" s="5"/>
      <c r="F9" s="5"/>
      <c r="G9" s="5"/>
      <c r="H9" s="17"/>
      <c r="I9" s="17"/>
      <c r="J9" s="14"/>
      <c r="K9" s="14"/>
      <c r="L9" s="5"/>
      <c r="M9" s="5"/>
      <c r="N9" s="5"/>
      <c r="O9" s="5"/>
      <c r="P9" s="19"/>
      <c r="R9" s="5"/>
      <c r="S9" s="19"/>
      <c r="U9" s="5"/>
      <c r="AB9" s="10"/>
      <c r="AC9" s="14"/>
      <c r="AD9" s="5"/>
      <c r="AE9" s="5"/>
      <c r="AF9" s="17"/>
      <c r="AG9" s="5"/>
      <c r="AH9" s="5"/>
    </row>
    <row r="10" spans="1:34" s="6" customFormat="1" x14ac:dyDescent="0.2">
      <c r="A10" s="10"/>
      <c r="B10" s="10"/>
      <c r="C10" s="10"/>
      <c r="D10" s="5"/>
      <c r="E10" s="5"/>
      <c r="F10" s="5"/>
      <c r="G10" s="5"/>
      <c r="H10" s="17"/>
      <c r="I10" s="17"/>
      <c r="J10" s="14"/>
      <c r="K10" s="14"/>
      <c r="L10" s="5"/>
      <c r="M10" s="5"/>
      <c r="N10" s="5"/>
      <c r="O10" s="5"/>
      <c r="P10" s="19"/>
      <c r="R10" s="5"/>
      <c r="S10" s="19"/>
      <c r="U10" s="5"/>
      <c r="AB10" s="10"/>
      <c r="AC10" s="14"/>
      <c r="AD10" s="5"/>
      <c r="AE10" s="5"/>
      <c r="AF10" s="17"/>
      <c r="AG10" s="5"/>
      <c r="AH10" s="5"/>
    </row>
    <row r="11" spans="1:34" s="6" customFormat="1" x14ac:dyDescent="0.2">
      <c r="A11" s="10"/>
      <c r="B11" s="10"/>
      <c r="C11" s="10"/>
      <c r="D11" s="5"/>
      <c r="E11" s="5"/>
      <c r="F11" s="5"/>
      <c r="G11" s="5"/>
      <c r="H11" s="17"/>
      <c r="I11" s="17"/>
      <c r="J11" s="14"/>
      <c r="K11" s="14"/>
      <c r="L11" s="5"/>
      <c r="M11" s="5"/>
      <c r="N11" s="5"/>
      <c r="O11" s="5"/>
      <c r="P11" s="19"/>
      <c r="R11" s="5"/>
      <c r="S11" s="19"/>
      <c r="U11" s="5"/>
      <c r="AB11" s="10"/>
      <c r="AC11" s="14"/>
      <c r="AD11" s="5"/>
      <c r="AE11" s="5"/>
      <c r="AF11" s="17"/>
      <c r="AG11" s="5"/>
      <c r="AH11" s="5"/>
    </row>
    <row r="12" spans="1:34" s="6" customFormat="1" x14ac:dyDescent="0.2">
      <c r="A12" s="10"/>
      <c r="B12" s="10"/>
      <c r="C12" s="10"/>
      <c r="D12" s="5"/>
      <c r="E12" s="5"/>
      <c r="F12" s="5"/>
      <c r="G12" s="5"/>
      <c r="H12" s="17"/>
      <c r="I12" s="17"/>
      <c r="J12" s="14"/>
      <c r="K12" s="14"/>
      <c r="L12" s="5"/>
      <c r="M12" s="5"/>
      <c r="N12" s="5"/>
      <c r="O12" s="5"/>
      <c r="P12" s="19"/>
      <c r="R12" s="5"/>
      <c r="S12" s="19"/>
      <c r="U12" s="5"/>
      <c r="AB12" s="10"/>
      <c r="AC12" s="14"/>
      <c r="AD12" s="5"/>
      <c r="AE12" s="5"/>
      <c r="AF12" s="17"/>
      <c r="AG12" s="5"/>
      <c r="AH12" s="5"/>
    </row>
    <row r="13" spans="1:34" s="6" customFormat="1" x14ac:dyDescent="0.2">
      <c r="A13" s="10"/>
      <c r="B13" s="10"/>
      <c r="C13" s="10"/>
      <c r="D13" s="5"/>
      <c r="E13" s="5"/>
      <c r="F13" s="5"/>
      <c r="G13" s="5"/>
      <c r="H13" s="17"/>
      <c r="I13" s="17"/>
      <c r="J13" s="14"/>
      <c r="K13" s="14"/>
      <c r="L13" s="5"/>
      <c r="M13" s="5"/>
      <c r="N13" s="5"/>
      <c r="O13" s="5"/>
      <c r="P13" s="19"/>
      <c r="R13" s="5"/>
      <c r="S13" s="19"/>
      <c r="U13" s="5"/>
      <c r="AB13" s="10"/>
      <c r="AC13" s="14"/>
      <c r="AD13" s="5"/>
      <c r="AE13" s="5"/>
      <c r="AF13" s="17"/>
      <c r="AG13" s="5"/>
      <c r="AH13" s="5"/>
    </row>
    <row r="14" spans="1:34" s="6" customFormat="1" x14ac:dyDescent="0.2">
      <c r="A14" s="10"/>
      <c r="B14" s="10"/>
      <c r="C14" s="10"/>
      <c r="D14" s="5"/>
      <c r="E14" s="5"/>
      <c r="F14" s="5"/>
      <c r="G14" s="5"/>
      <c r="H14" s="17"/>
      <c r="I14" s="17"/>
      <c r="J14" s="14"/>
      <c r="K14" s="14"/>
      <c r="L14" s="5"/>
      <c r="M14" s="5"/>
      <c r="N14" s="5"/>
      <c r="O14" s="5"/>
      <c r="P14" s="19"/>
      <c r="R14" s="5"/>
      <c r="S14" s="19"/>
      <c r="U14" s="5"/>
      <c r="AB14" s="10"/>
      <c r="AC14" s="14"/>
      <c r="AD14" s="5"/>
      <c r="AE14" s="5"/>
      <c r="AF14" s="17"/>
      <c r="AG14" s="5"/>
      <c r="AH14" s="5"/>
    </row>
    <row r="15" spans="1:34" s="6" customFormat="1" x14ac:dyDescent="0.2">
      <c r="A15" s="10"/>
      <c r="B15" s="10"/>
      <c r="C15" s="10"/>
      <c r="D15" s="5"/>
      <c r="E15" s="5"/>
      <c r="F15" s="5"/>
      <c r="G15" s="5"/>
      <c r="H15" s="17"/>
      <c r="I15" s="17"/>
      <c r="J15" s="14"/>
      <c r="K15" s="14"/>
      <c r="L15" s="5"/>
      <c r="M15" s="5"/>
      <c r="N15" s="5"/>
      <c r="O15" s="5"/>
      <c r="P15" s="19"/>
      <c r="R15" s="5"/>
      <c r="S15" s="19"/>
      <c r="U15" s="5"/>
      <c r="AB15" s="10"/>
      <c r="AC15" s="14"/>
      <c r="AD15" s="5"/>
      <c r="AE15" s="5"/>
      <c r="AF15" s="17"/>
      <c r="AG15" s="5"/>
      <c r="AH15" s="5"/>
    </row>
    <row r="16" spans="1:34" s="6" customFormat="1" x14ac:dyDescent="0.2">
      <c r="A16" s="10"/>
      <c r="B16" s="10"/>
      <c r="C16" s="10"/>
      <c r="D16" s="5"/>
      <c r="E16" s="5"/>
      <c r="F16" s="5"/>
      <c r="G16" s="5"/>
      <c r="H16" s="17"/>
      <c r="I16" s="17"/>
      <c r="J16" s="14"/>
      <c r="K16" s="14"/>
      <c r="L16" s="5"/>
      <c r="M16" s="5"/>
      <c r="N16" s="5"/>
      <c r="O16" s="5"/>
      <c r="P16" s="19"/>
      <c r="R16" s="5"/>
      <c r="S16" s="19"/>
      <c r="U16" s="5"/>
      <c r="AB16" s="10"/>
      <c r="AC16" s="14"/>
      <c r="AD16" s="5"/>
      <c r="AE16" s="5"/>
      <c r="AF16" s="17"/>
      <c r="AG16" s="5"/>
      <c r="AH16" s="5"/>
    </row>
    <row r="17" spans="1:34" s="6" customFormat="1" x14ac:dyDescent="0.2">
      <c r="A17" s="10"/>
      <c r="B17" s="10"/>
      <c r="C17" s="10"/>
      <c r="D17" s="5"/>
      <c r="E17" s="5"/>
      <c r="F17" s="5"/>
      <c r="G17" s="5"/>
      <c r="H17" s="17"/>
      <c r="I17" s="17"/>
      <c r="J17" s="14"/>
      <c r="K17" s="14"/>
      <c r="L17" s="5"/>
      <c r="M17" s="5"/>
      <c r="N17" s="5"/>
      <c r="O17" s="5"/>
      <c r="P17" s="19"/>
      <c r="R17" s="5"/>
      <c r="S17" s="19"/>
      <c r="U17" s="5"/>
      <c r="AB17" s="10"/>
      <c r="AC17" s="14"/>
      <c r="AD17" s="5"/>
      <c r="AE17" s="5"/>
      <c r="AF17" s="17"/>
      <c r="AG17" s="5"/>
      <c r="AH17" s="5"/>
    </row>
    <row r="18" spans="1:34" s="6" customFormat="1" x14ac:dyDescent="0.2">
      <c r="A18" s="10"/>
      <c r="B18" s="10"/>
      <c r="C18" s="10"/>
      <c r="D18" s="5"/>
      <c r="E18" s="5"/>
      <c r="F18" s="5"/>
      <c r="G18" s="5"/>
      <c r="H18" s="17"/>
      <c r="I18" s="17"/>
      <c r="J18" s="14"/>
      <c r="K18" s="14"/>
      <c r="L18" s="5"/>
      <c r="M18" s="5"/>
      <c r="N18" s="5"/>
      <c r="O18" s="5"/>
      <c r="P18" s="19"/>
      <c r="R18" s="5"/>
      <c r="S18" s="19"/>
      <c r="U18" s="5"/>
      <c r="AB18" s="10"/>
      <c r="AC18" s="14"/>
      <c r="AD18" s="5"/>
      <c r="AE18" s="5"/>
      <c r="AF18" s="17"/>
      <c r="AG18" s="5"/>
      <c r="AH18" s="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H1"/>
  <sheetViews>
    <sheetView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ColWidth="10.7109375" defaultRowHeight="12.75" x14ac:dyDescent="0.2"/>
  <cols>
    <col min="1" max="1" width="25.7109375" customWidth="1"/>
    <col min="2" max="2" width="10.85546875" style="12"/>
    <col min="3" max="4" width="10.85546875" style="16"/>
    <col min="5" max="16" width="10.85546875" style="3"/>
    <col min="17" max="18" width="10.7109375" style="3"/>
    <col min="19" max="20" width="10.7109375" style="13"/>
    <col min="21" max="21" width="10.140625" style="13" customWidth="1"/>
    <col min="22" max="22" width="10.28515625" style="13" customWidth="1"/>
    <col min="23" max="24" width="11.140625" style="13" customWidth="1"/>
    <col min="25" max="34" width="10.7109375" style="13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P5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2.75" x14ac:dyDescent="0.2"/>
  <cols>
    <col min="1" max="1" width="25.7109375" style="12" customWidth="1"/>
    <col min="2" max="16" width="9.140625" style="3"/>
  </cols>
  <sheetData>
    <row r="5" spans="1:16" s="4" customFormat="1" x14ac:dyDescent="0.2">
      <c r="A5" s="12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AV21"/>
  <sheetViews>
    <sheetView workbookViewId="0"/>
  </sheetViews>
  <sheetFormatPr defaultRowHeight="12.75" x14ac:dyDescent="0.2"/>
  <cols>
    <col min="1" max="1" width="25.7109375" style="9" customWidth="1"/>
    <col min="2" max="3" width="9.140625" style="9"/>
    <col min="4" max="5" width="9.140625" style="13"/>
    <col min="6" max="48" width="9.140625" style="9"/>
  </cols>
  <sheetData>
    <row r="5" spans="1:48" s="4" customFormat="1" x14ac:dyDescent="0.2">
      <c r="A5" s="9"/>
      <c r="B5" s="9"/>
      <c r="C5" s="9"/>
      <c r="D5" s="13"/>
      <c r="E5" s="13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</row>
    <row r="10" spans="1:48" x14ac:dyDescent="0.2">
      <c r="B10" s="16"/>
      <c r="C10" s="16"/>
    </row>
    <row r="11" spans="1:48" x14ac:dyDescent="0.2">
      <c r="B11" s="16"/>
      <c r="C11" s="16"/>
    </row>
    <row r="12" spans="1:48" x14ac:dyDescent="0.2">
      <c r="B12" s="16"/>
      <c r="C12" s="16"/>
    </row>
    <row r="13" spans="1:48" x14ac:dyDescent="0.2">
      <c r="B13" s="16"/>
      <c r="C13" s="16"/>
    </row>
    <row r="14" spans="1:48" x14ac:dyDescent="0.2">
      <c r="B14" s="16"/>
      <c r="C14" s="16"/>
    </row>
    <row r="15" spans="1:48" x14ac:dyDescent="0.2">
      <c r="B15" s="16"/>
      <c r="C15" s="16"/>
    </row>
    <row r="16" spans="1:48" x14ac:dyDescent="0.2">
      <c r="B16" s="16"/>
      <c r="C16" s="16"/>
    </row>
    <row r="17" spans="2:3" x14ac:dyDescent="0.2">
      <c r="B17" s="16"/>
      <c r="C17" s="16"/>
    </row>
    <row r="18" spans="2:3" x14ac:dyDescent="0.2">
      <c r="B18" s="16"/>
      <c r="C18" s="16"/>
    </row>
    <row r="19" spans="2:3" x14ac:dyDescent="0.2">
      <c r="B19" s="16"/>
      <c r="C19" s="16"/>
    </row>
    <row r="20" spans="2:3" x14ac:dyDescent="0.2">
      <c r="B20" s="16"/>
      <c r="C20" s="16"/>
    </row>
    <row r="21" spans="2:3" x14ac:dyDescent="0.2">
      <c r="B21" s="16"/>
      <c r="C21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E5"/>
  <sheetViews>
    <sheetView workbookViewId="0"/>
  </sheetViews>
  <sheetFormatPr defaultRowHeight="12.75" x14ac:dyDescent="0.2"/>
  <cols>
    <col min="1" max="1" width="25.7109375" style="12" customWidth="1"/>
    <col min="2" max="2" width="11.28515625" customWidth="1"/>
    <col min="3" max="3" width="16.28515625" customWidth="1"/>
    <col min="4" max="5" width="9.140625" style="16"/>
  </cols>
  <sheetData>
    <row r="5" spans="1:5" s="4" customFormat="1" x14ac:dyDescent="0.2">
      <c r="A5" s="12"/>
      <c r="D5" s="16"/>
      <c r="E5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G5"/>
  <sheetViews>
    <sheetView workbookViewId="0"/>
  </sheetViews>
  <sheetFormatPr defaultRowHeight="12.75" x14ac:dyDescent="0.2"/>
  <cols>
    <col min="1" max="1" width="25.7109375" style="12" customWidth="1"/>
    <col min="2" max="5" width="9.42578125" style="1" bestFit="1" customWidth="1"/>
    <col min="6" max="7" width="9.28515625" style="1" bestFit="1" customWidth="1"/>
  </cols>
  <sheetData>
    <row r="5" spans="1:7" s="4" customFormat="1" x14ac:dyDescent="0.2">
      <c r="A5" s="12"/>
      <c r="B5" s="1"/>
      <c r="C5" s="1"/>
      <c r="D5" s="1"/>
      <c r="E5" s="1"/>
      <c r="F5" s="1"/>
      <c r="G5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abels"/>
  <dimension ref="A1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2.75" x14ac:dyDescent="0.2"/>
  <cols>
    <col min="1" max="85" width="20.7109375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2.75" x14ac:dyDescent="0.2"/>
  <cols>
    <col min="1" max="1" width="30.5703125" customWidth="1"/>
    <col min="2" max="2" width="40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H1"/>
  <sheetViews>
    <sheetView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ColWidth="10.7109375" defaultRowHeight="12.75" x14ac:dyDescent="0.2"/>
  <cols>
    <col min="1" max="1" width="25.7109375" customWidth="1"/>
    <col min="2" max="2" width="10.7109375" style="12"/>
    <col min="3" max="4" width="10.7109375" style="16"/>
    <col min="5" max="16" width="10.7109375" style="3"/>
    <col min="17" max="18" width="10.7109375" style="12"/>
    <col min="19" max="20" width="10.7109375" style="9"/>
    <col min="21" max="21" width="10.140625" style="13" customWidth="1"/>
    <col min="22" max="22" width="10.28515625" style="13" customWidth="1"/>
    <col min="23" max="24" width="11.140625" style="13" customWidth="1"/>
    <col min="25" max="34" width="10.7109375" style="13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AH1"/>
  <sheetViews>
    <sheetView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ColWidth="10.7109375" defaultRowHeight="12.75" x14ac:dyDescent="0.2"/>
  <cols>
    <col min="1" max="1" width="25.7109375" customWidth="1"/>
    <col min="2" max="2" width="10.7109375" style="12"/>
    <col min="3" max="4" width="10.7109375" style="16"/>
    <col min="5" max="16" width="10.7109375" style="3"/>
    <col min="17" max="18" width="10.7109375" style="12"/>
    <col min="19" max="20" width="10.7109375" style="9"/>
    <col min="21" max="21" width="10.140625" style="13" customWidth="1"/>
    <col min="22" max="22" width="10.28515625" style="13" customWidth="1"/>
    <col min="23" max="24" width="11.140625" style="13" customWidth="1"/>
    <col min="25" max="34" width="10.7109375" style="1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ummary"/>
  <dimension ref="A1:W7"/>
  <sheetViews>
    <sheetView tabSelected="1" zoomScale="85" zoomScaleNormal="85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D7" sqref="D7"/>
    </sheetView>
  </sheetViews>
  <sheetFormatPr defaultRowHeight="12.75" x14ac:dyDescent="0.2"/>
  <cols>
    <col min="1" max="23" width="10.7109375" customWidth="1"/>
  </cols>
  <sheetData>
    <row r="1" spans="1:23" ht="18" x14ac:dyDescent="0.25">
      <c r="A1" s="21" t="s">
        <v>3</v>
      </c>
    </row>
    <row r="3" spans="1:23" ht="12.75" customHeight="1" thickBot="1" x14ac:dyDescent="0.25">
      <c r="B3" s="27" t="s">
        <v>22</v>
      </c>
      <c r="C3" t="e">
        <f ca="1">ROW(OFFSET(INDEX(Labels!A:A, MATCH("Nodal Labels", Labels!A:A, 0)), -1, 0)) - 7</f>
        <v>#N/A</v>
      </c>
    </row>
    <row r="4" spans="1:23" ht="27.95" customHeight="1" x14ac:dyDescent="0.2">
      <c r="A4" s="50" t="s">
        <v>4</v>
      </c>
      <c r="B4" s="53" t="s">
        <v>23</v>
      </c>
      <c r="C4" s="56" t="s">
        <v>24</v>
      </c>
      <c r="D4" s="59" t="s">
        <v>5</v>
      </c>
      <c r="E4" s="59"/>
      <c r="F4" s="59"/>
      <c r="G4" s="60" t="s">
        <v>6</v>
      </c>
      <c r="H4" s="61"/>
      <c r="I4" s="62"/>
      <c r="J4" s="63" t="s">
        <v>32</v>
      </c>
      <c r="K4" s="72" t="s">
        <v>33</v>
      </c>
      <c r="L4" s="65" t="s">
        <v>7</v>
      </c>
      <c r="M4" s="66"/>
      <c r="N4" s="67" t="s">
        <v>8</v>
      </c>
      <c r="O4" s="68"/>
      <c r="P4" s="43" t="s">
        <v>9</v>
      </c>
      <c r="Q4" s="69" t="s">
        <v>10</v>
      </c>
      <c r="R4" s="43" t="s">
        <v>11</v>
      </c>
      <c r="S4" s="40" t="s">
        <v>12</v>
      </c>
      <c r="T4" s="43" t="s">
        <v>13</v>
      </c>
      <c r="U4" s="40" t="s">
        <v>14</v>
      </c>
      <c r="V4" s="46" t="s">
        <v>20</v>
      </c>
      <c r="W4" s="49" t="s">
        <v>21</v>
      </c>
    </row>
    <row r="5" spans="1:23" ht="14.25" x14ac:dyDescent="0.2">
      <c r="A5" s="51"/>
      <c r="B5" s="54"/>
      <c r="C5" s="57"/>
      <c r="D5" s="28" t="s">
        <v>25</v>
      </c>
      <c r="E5" s="29" t="s">
        <v>26</v>
      </c>
      <c r="F5" s="30" t="s">
        <v>27</v>
      </c>
      <c r="G5" s="28" t="s">
        <v>28</v>
      </c>
      <c r="H5" s="29" t="s">
        <v>29</v>
      </c>
      <c r="I5" s="30" t="s">
        <v>30</v>
      </c>
      <c r="J5" s="64"/>
      <c r="K5" s="73"/>
      <c r="L5" s="34" t="s">
        <v>15</v>
      </c>
      <c r="M5" s="35" t="s">
        <v>16</v>
      </c>
      <c r="N5" s="35" t="s">
        <v>15</v>
      </c>
      <c r="O5" s="36" t="s">
        <v>16</v>
      </c>
      <c r="P5" s="44"/>
      <c r="Q5" s="70"/>
      <c r="R5" s="44"/>
      <c r="S5" s="41"/>
      <c r="T5" s="44"/>
      <c r="U5" s="41"/>
      <c r="V5" s="47"/>
      <c r="W5" s="49"/>
    </row>
    <row r="6" spans="1:23" s="22" customFormat="1" ht="13.5" thickBot="1" x14ac:dyDescent="0.25">
      <c r="A6" s="52"/>
      <c r="B6" s="55"/>
      <c r="C6" s="58"/>
      <c r="D6" s="31" t="s">
        <v>17</v>
      </c>
      <c r="E6" s="32" t="s">
        <v>17</v>
      </c>
      <c r="F6" s="33" t="s">
        <v>17</v>
      </c>
      <c r="G6" s="31" t="s">
        <v>17</v>
      </c>
      <c r="H6" s="32" t="s">
        <v>17</v>
      </c>
      <c r="I6" s="33" t="s">
        <v>17</v>
      </c>
      <c r="J6" s="31" t="s">
        <v>17</v>
      </c>
      <c r="K6" s="33" t="s">
        <v>31</v>
      </c>
      <c r="L6" s="37" t="s">
        <v>18</v>
      </c>
      <c r="M6" s="38" t="s">
        <v>18</v>
      </c>
      <c r="N6" s="38" t="s">
        <v>19</v>
      </c>
      <c r="O6" s="39" t="s">
        <v>19</v>
      </c>
      <c r="P6" s="45"/>
      <c r="Q6" s="71"/>
      <c r="R6" s="45"/>
      <c r="S6" s="42"/>
      <c r="T6" s="45"/>
      <c r="U6" s="42"/>
      <c r="V6" s="48"/>
      <c r="W6" s="49"/>
    </row>
    <row r="7" spans="1:23" s="22" customFormat="1" x14ac:dyDescent="0.2">
      <c r="A7" s="22">
        <f>Labels!A8</f>
        <v>0</v>
      </c>
      <c r="B7" s="23" t="e">
        <f>INDEX(EchoData!B:B, MATCH(Summary!$A7, EchoData!$A:$A, 0))</f>
        <v>#N/A</v>
      </c>
      <c r="C7" s="23" t="e">
        <f>INDEX(EchoData!C:C, MATCH(Summary!$A7, EchoData!$A:$A, 0))</f>
        <v>#N/A</v>
      </c>
      <c r="D7" s="24" t="e">
        <f>INDEX(Displacements!B:B, MATCH(Summary!$B7, Displacements!$A:$A, 0))</f>
        <v>#N/A</v>
      </c>
      <c r="E7" s="24" t="e">
        <f>INDEX(Displacements!C:C, MATCH(Summary!$B7, Displacements!$A:$A, 0))</f>
        <v>#N/A</v>
      </c>
      <c r="F7" s="24" t="e">
        <f>INDEX(Displacements!D:D, MATCH(Summary!$B7, Displacements!$A:$A, 0))</f>
        <v>#N/A</v>
      </c>
      <c r="G7" s="24" t="e">
        <f>INDEX(Displacements!B:B, MATCH(Summary!$C7, Displacements!$A:$A, 0))</f>
        <v>#N/A</v>
      </c>
      <c r="H7" s="24" t="e">
        <f>INDEX(Displacements!C:C, MATCH(Summary!$C7, Displacements!$A:$A, 0))</f>
        <v>#N/A</v>
      </c>
      <c r="I7" s="24" t="e">
        <f>INDEX(Displacements!D:D, MATCH(Summary!$C7, Displacements!$A:$A, 0))</f>
        <v>#N/A</v>
      </c>
      <c r="J7" s="24" t="e">
        <f t="shared" ref="J7" si="0">SQRT((G7 - D7)^2 + (H7 - E7)^2 + (I7 - F7)^2)</f>
        <v>#N/A</v>
      </c>
      <c r="K7" s="25" t="e">
        <f t="shared" ref="K7" si="1">IF(P7 = P6, J7/J6, "N/A")</f>
        <v>#N/A</v>
      </c>
      <c r="L7" s="26" t="e">
        <f>INDEX('Forces+Stresses'!C:C, MATCH(Summary!$A7, 'Forces+Stresses'!$A:$A, 0))</f>
        <v>#N/A</v>
      </c>
      <c r="M7" s="26" t="e">
        <f>INDEX('Forces+Stresses'!D:D, MATCH(Summary!$A7, 'Forces+Stresses'!$A:$A, 0))</f>
        <v>#N/A</v>
      </c>
      <c r="N7" s="26" t="e">
        <f>IFERROR(INDEX('Forces+Stresses'!Q:Q, MATCH(Summary!$A7, 'Forces+Stresses'!$A:$A, 0)), INDEX(Flexjoints!D:D, MATCH(Summary!$A7, Flexjoints!$A:$A, 0)))</f>
        <v>#N/A</v>
      </c>
      <c r="O7" s="26" t="e">
        <f>IFERROR(INDEX('Forces+Stresses'!R:R, MATCH(Summary!$A7, 'Forces+Stresses'!$A:$A, 0)), INDEX(Flexjoints!E:E, MATCH(Summary!$A7, Flexjoints!$A:$A, 0)))</f>
        <v>#N/A</v>
      </c>
      <c r="P7" s="22" t="e">
        <f>IF(INDEX(Labels!B:B, MATCH(Summary!$A7, Labels!$A:$A, 0)) = 0, "", INDEX(Labels!B:B, MATCH(Summary!$A7, Labels!$A:$A, 0)))</f>
        <v>#N/A</v>
      </c>
    </row>
  </sheetData>
  <autoFilter ref="A6:W6"/>
  <mergeCells count="17">
    <mergeCell ref="R4:R6"/>
    <mergeCell ref="A4:A6"/>
    <mergeCell ref="B4:B6"/>
    <mergeCell ref="C4:C6"/>
    <mergeCell ref="D4:F4"/>
    <mergeCell ref="G4:I4"/>
    <mergeCell ref="J4:J5"/>
    <mergeCell ref="L4:M4"/>
    <mergeCell ref="N4:O4"/>
    <mergeCell ref="P4:P6"/>
    <mergeCell ref="Q4:Q6"/>
    <mergeCell ref="K4:K5"/>
    <mergeCell ref="S4:S6"/>
    <mergeCell ref="T4:T6"/>
    <mergeCell ref="U4:U6"/>
    <mergeCell ref="V4:V6"/>
    <mergeCell ref="W4:W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Cover</vt:lpstr>
      <vt:lpstr>EchoData</vt:lpstr>
      <vt:lpstr>Forces+Stresses</vt:lpstr>
      <vt:lpstr>Displacements</vt:lpstr>
      <vt:lpstr>Springs</vt:lpstr>
      <vt:lpstr>Flexjoints</vt:lpstr>
      <vt:lpstr>Stress_Breakdown</vt:lpstr>
      <vt:lpstr>Warnings</vt:lpstr>
      <vt:lpstr>Labels</vt:lpstr>
      <vt:lpstr>API-STD-2RD_Tables</vt:lpstr>
      <vt:lpstr>Functional Loads</vt:lpstr>
      <vt:lpstr>Static Loads</vt:lpstr>
      <vt:lpstr>Summary</vt:lpstr>
      <vt:lpstr>Summary!First_Element</vt:lpstr>
      <vt:lpstr>Summary!Line_Label</vt:lpstr>
      <vt:lpstr>Summary!Total_Elements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Harrison</dc:creator>
  <cp:lastModifiedBy>Craig Dickinson</cp:lastModifiedBy>
  <dcterms:created xsi:type="dcterms:W3CDTF">2014-03-25T14:44:57Z</dcterms:created>
  <dcterms:modified xsi:type="dcterms:W3CDTF">2017-10-18T23:03:45Z</dcterms:modified>
</cp:coreProperties>
</file>